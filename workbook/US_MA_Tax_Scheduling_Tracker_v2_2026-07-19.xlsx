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Check-in" sheetId="3" state="visible" r:id="rId3"/>
    <sheet name="Scenario" sheetId="4" state="visible" r:id="rId4"/>
    <sheet name="Deals" sheetId="5" state="visible" r:id="rId5"/>
    <sheet name="Assignments" sheetId="6" state="visible" r:id="rId6"/>
    <sheet name="Roster" sheetId="7" state="visible" r:id="rId7"/>
    <sheet name="Templates" sheetId="8" state="visible" r:id="rId8"/>
    <sheet name="Actuals" sheetId="9" state="visible" r:id="rId9"/>
    <sheet name="Variance" sheetId="10" state="visible" r:id="rId10"/>
    <sheet name="Settings" sheetId="11" state="visible" r:id="rId11"/>
    <sheet name="Review" sheetId="12" state="visible" r:id="rId12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TddTypeList">Settings!$M$8:$M$12</definedName>
    <definedName name="TddScopeList">Settings!$N$8:$N$10</definedName>
    <definedName name="OtherTddList">Settings!$O$8:$O$11</definedName>
    <definedName name="CorpModelList">Settings!$P$8:$P$9</definedName>
    <definedName name="YTickList">Settings!$Q$8:$Q$8</definedName>
    <definedName name="_xlnm.Print_Titles" localSheetId="2">'Check-in'!$1:$6</definedName>
    <definedName name="_xlnm.Print_Area" localSheetId="2">'Check-in'!$A$1:$I$403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0.0"/>
    <numFmt numFmtId="166" formatCode="$#,##0"/>
    <numFmt numFmtId="167" formatCode="0.0;-0.0"/>
    <numFmt numFmtId="168" formatCode="0.0;;"/>
    <numFmt numFmtId="169" formatCode="0.0;-0.0;"/>
    <numFmt numFmtId="170" formatCode="0.00;;"/>
    <numFmt numFmtId="171" formatCode="dd-mmm"/>
    <numFmt numFmtId="172" formatCode="+0.0;-0.0;"/>
    <numFmt numFmtId="173" formatCode="+0;-0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E4DFE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1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9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2" fillId="4" borderId="0" pivotButton="0" quotePrefix="0" xfId="0"/>
    <xf numFmtId="0" fontId="5" fillId="3" borderId="0" applyAlignment="1" pivotButton="0" quotePrefix="0" xfId="0">
      <alignment vertical="center" wrapText="1"/>
    </xf>
    <xf numFmtId="0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2" fillId="5" borderId="0" pivotButton="0" quotePrefix="0" xfId="0"/>
    <xf numFmtId="172" fontId="6" fillId="0" borderId="1" pivotButton="0" quotePrefix="0" xfId="0"/>
    <xf numFmtId="173" fontId="2" fillId="0" borderId="0" pivotButton="0" quotePrefix="0" xfId="0"/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9" fontId="3" fillId="5" borderId="1" applyProtection="1" pivotButton="0" quotePrefix="0" xfId="0">
      <protection locked="0" hidden="0"/>
    </xf>
    <xf numFmtId="164" fontId="3" fillId="5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0" fontId="0" fillId="0" borderId="1" pivotButton="0" quotePrefix="0" xfId="0"/>
    <xf numFmtId="165" fontId="3" fillId="0" borderId="1" applyProtection="1" pivotButton="0" quotePrefix="0" xfId="0">
      <protection locked="0" hidden="0"/>
    </xf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0" fontId="2" fillId="2" borderId="0" pivotButton="0" quotePrefix="0" xfId="0"/>
    <xf numFmtId="0" fontId="6" fillId="0" borderId="0" pivotButton="0" quotePrefix="0" xfId="0"/>
    <xf numFmtId="166" fontId="3" fillId="2" borderId="0" applyProtection="1" pivotButton="0" quotePrefix="0" xfId="0">
      <protection locked="0" hidden="0"/>
    </xf>
    <xf numFmtId="9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7" fontId="6" fillId="0" borderId="1" pivotButton="0" quotePrefix="0" xfId="0"/>
    <xf numFmtId="0" fontId="0" fillId="0" borderId="0" applyProtection="1" pivotButton="0" quotePrefix="0" xfId="0">
      <protection locked="0" hidden="0"/>
    </xf>
    <xf numFmtId="168" fontId="6" fillId="0" borderId="1" pivotButton="0" quotePrefix="0" xfId="0"/>
    <xf numFmtId="169" fontId="6" fillId="0" borderId="1" pivotButton="0" quotePrefix="0" xfId="0"/>
    <xf numFmtId="170" fontId="6" fillId="0" borderId="1" pivotButton="0" quotePrefix="0" xfId="0"/>
    <xf numFmtId="168" fontId="6" fillId="0" borderId="0" pivotButton="0" quotePrefix="0" xfId="0"/>
    <xf numFmtId="170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6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or stale). Nothing to edit here - update Settings!B19 to today first.</t>
        </is>
      </c>
    </row>
    <row r="7">
      <c r="B7" s="3" t="inlineStr">
        <is>
          <t xml:space="preserve">  Scenario - what-if analysis. Fill the violet SCENARIO columns on Deals (probability / start / end) - e.g. bump three proposals to 100% - and this tab shows who would blow up, Live vs Scenario, without touching the real plan. Blank overrides = identical to Live.</t>
        </is>
      </c>
    </row>
    <row r="8">
      <c r="B8" s="3" t="inlineStr">
        <is>
          <t xml:space="preserve">  Deals - one row per engagement: lifecycle, probability, dates. The yellow WORKSTREAM SCOPING columns (far right, 'TDD deal type' onward) are Justine's taxonomy - tick what's in scope per engagement. The violet columns are scenario overrides. (The old attribute columns K-P are retired and hidden.)</t>
        </is>
      </c>
    </row>
    <row r="9">
      <c r="B9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10">
      <c r="B10" s="3" t="inlineStr">
        <is>
          <t xml:space="preserve">  Roster - the team, weekly capacity, live utilization.</t>
        </is>
      </c>
    </row>
    <row r="11">
      <c r="B11" s="3" t="inlineStr">
        <is>
          <t xml:space="preserve">  Templates - the fee-&gt;hours allocation parameters: rate card ($/hr by level), fee split-% matrix by workstream group, and default durations. Fill the yellow cells with the team's real numbers; Step 9 wires per-deal fees into hours. (The old effort archetypes above are legacy, kept for reference.)</t>
        </is>
      </c>
    </row>
    <row r="12">
      <c r="B12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3">
      <c r="B13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4">
      <c r="B14" s="3" t="inlineStr">
        <is>
          <t xml:space="preserve">  Settings - dropdown lists, level hour defaults, capacity window start, probability-weighting toggle.</t>
        </is>
      </c>
    </row>
    <row r="15">
      <c r="B15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6">
      <c r="B16" s="3" t="inlineStr"/>
    </row>
    <row r="17">
      <c r="B17" s="4" t="inlineStr">
        <is>
          <t>COLOR CODE</t>
        </is>
      </c>
    </row>
    <row r="18">
      <c r="B18" s="3" t="inlineStr">
        <is>
          <t xml:space="preserve">  Blue text = input you can edit    |    Black text = formula, leave alone    |    Green text = pulled from another tab</t>
        </is>
      </c>
    </row>
    <row r="19">
      <c r="B19" s="3" t="inlineStr">
        <is>
          <t xml:space="preserve">  Yellow fill = please fill in / review    |    Grey row = inactive (dead, closed, rolled off)</t>
        </is>
      </c>
    </row>
    <row r="20">
      <c r="B20" s="3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1">
      <c r="B21" s="3" t="inlineStr"/>
    </row>
    <row r="22">
      <c r="B22" s="4" t="inlineStr">
        <is>
          <t>HOW TO</t>
        </is>
      </c>
    </row>
    <row r="23">
      <c r="B23" s="3" t="inlineStr">
        <is>
          <t xml:space="preserve">  Add a deal: next blank row on Deals - Project ID, client, Lifecycle, Probability, dates, attributes. Then staff it on Assignments.</t>
        </is>
      </c>
    </row>
    <row r="24">
      <c r="B24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5">
      <c r="B25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6">
      <c r="B26" s="3" t="inlineStr">
        <is>
          <t xml:space="preserve">  Roll someone off: set their row's Active? to Inactive (keeps history - do not delete).</t>
        </is>
      </c>
    </row>
    <row r="27">
      <c r="B27" s="3" t="inlineStr">
        <is>
          <t xml:space="preserve">  Deal dies / closes: set Lifecycle on Deals; its assignments stop counting once you mark them Inactive (a grey row reminds you).</t>
        </is>
      </c>
    </row>
    <row r="28">
      <c r="B28" s="3" t="inlineStr">
        <is>
          <t xml:space="preserve">  New team member: add to Roster (name, level, capacity) - they appear in every dropdown.</t>
        </is>
      </c>
    </row>
    <row r="29">
      <c r="B29" s="3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30">
      <c r="B30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1">
      <c r="B31" s="3" t="inlineStr">
        <is>
          <t xml:space="preserve">  Run a what-if: on Deals, fill a violet SCENARIO cell (e.g. set a proposal's Scenario probability to 100%, or a deal's to 0% to drop it), then open the Scenario tab to see the impact. Clear the violet cells to return to Live. Nothing you do there changes the live plan.</t>
        </is>
      </c>
    </row>
    <row r="32">
      <c r="B32" s="3" t="inlineStr"/>
    </row>
    <row r="33">
      <c r="B33" s="4" t="inlineStr">
        <is>
          <t>ASSUMPTIONS BAKED IN (all editable)</t>
        </is>
      </c>
    </row>
    <row r="34">
      <c r="B34" s="3" t="inlineStr">
        <is>
          <t xml:space="preserve">  1. Default hrs/wk by level (Settings B8:B14) are PLACEHOLDERS, not measured data - tune at the first check-in.</t>
        </is>
      </c>
    </row>
    <row r="35">
      <c r="B35" s="3" t="inlineStr">
        <is>
          <t xml:space="preserve">  2. Weekly capacity is 40h for everyone (Roster col D) - placeholder.</t>
        </is>
      </c>
    </row>
    <row r="36">
      <c r="B36" s="3" t="inlineStr">
        <is>
          <t xml:space="preserve">  3. WIP deals were prefilled at 100% probability, Proposals at 50% - review the yellow cells.</t>
        </is>
      </c>
    </row>
    <row r="37">
      <c r="B37" s="3" t="inlineStr">
        <is>
          <t xml:space="preserve">  4. Deals with blank dates count in every week of the Capacity view; fill dates to time-phase.</t>
        </is>
      </c>
    </row>
    <row r="38">
      <c r="B38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9">
      <c r="B39" s="3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40">
      <c r="B40" s="3" t="inlineStr"/>
    </row>
    <row r="41">
      <c r="B41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</cols>
  <sheetData>
    <row r="1">
      <c r="A1" s="5" t="inlineStr">
        <is>
          <t>Weekly Check-in Agenda</t>
        </is>
      </c>
    </row>
    <row r="2" ht="28" customHeight="1">
      <c r="A2" s="6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6" t="inlineStr">
        <is>
          <t>Definitions (adjust in Settings if the team means something different): 'Missing level' = the deal has an Effort archetype that expects hours from a level, but nobody at that level is actively staffed. 'Stale' = weeks since Added-on &gt;= the Settings threshold (currently editable at Settings!B20).</t>
        </is>
      </c>
    </row>
    <row r="4"/>
    <row r="5">
      <c r="A5" s="14" t="inlineStr">
        <is>
          <t>1) Capacity - next 4 weeks</t>
        </is>
      </c>
    </row>
    <row r="6" ht="28" customHeight="1">
      <c r="A6" s="15" t="inlineStr">
        <is>
          <t>Person</t>
        </is>
      </c>
      <c r="B6" s="15" t="inlineStr">
        <is>
          <t>Level</t>
        </is>
      </c>
      <c r="C6" s="15" t="inlineStr">
        <is>
          <t>Cap hrs/wk</t>
        </is>
      </c>
      <c r="D6" s="15" t="inlineStr">
        <is>
          <t>Max load (4 wk)</t>
        </is>
      </c>
      <c r="E6" s="15" t="inlineStr">
        <is>
          <t>Max utilization</t>
        </is>
      </c>
      <c r="F6" s="15" t="inlineStr">
        <is>
          <t>Flag</t>
        </is>
      </c>
    </row>
    <row r="7">
      <c r="A7" s="16">
        <f>IF(Roster!$A2="","",Roster!$A2)</f>
        <v/>
      </c>
      <c r="B7" s="16">
        <f>IF($A7="","",Roster!$B2)</f>
        <v/>
      </c>
      <c r="C7" s="17">
        <f>IF($A7="","",Roster!$D2)</f>
        <v/>
      </c>
      <c r="D7" s="18">
        <f>IF($A7="","",MAX(Capacity!$C$5:$F$5))</f>
        <v/>
      </c>
      <c r="E7" s="19">
        <f>IF(OR($A7="",$C7=0),"",$D7/$C7)</f>
        <v/>
      </c>
      <c r="F7" s="20">
        <f>IF($A7="","",IF(AND(ISNUMBER($E7),$E7&gt;1),"OVER-ALLOCATED",IF(AND(ISNUMBER($E7),$E7&lt;0.5),"UNDER-UTILIZED","")))</f>
        <v/>
      </c>
    </row>
    <row r="8">
      <c r="A8" s="16">
        <f>IF(Roster!$A3="","",Roster!$A3)</f>
        <v/>
      </c>
      <c r="B8" s="16">
        <f>IF($A8="","",Roster!$B3)</f>
        <v/>
      </c>
      <c r="C8" s="17">
        <f>IF($A8="","",Roster!$D3)</f>
        <v/>
      </c>
      <c r="D8" s="18">
        <f>IF($A8="","",MAX(Capacity!$C$6:$F$6))</f>
        <v/>
      </c>
      <c r="E8" s="19">
        <f>IF(OR($A8="",$C8=0),"",$D8/$C8)</f>
        <v/>
      </c>
      <c r="F8" s="20">
        <f>IF($A8="","",IF(AND(ISNUMBER($E8),$E8&gt;1),"OVER-ALLOCATED",IF(AND(ISNUMBER($E8),$E8&lt;0.5),"UNDER-UTILIZED","")))</f>
        <v/>
      </c>
    </row>
    <row r="9">
      <c r="A9" s="16">
        <f>IF(Roster!$A4="","",Roster!$A4)</f>
        <v/>
      </c>
      <c r="B9" s="16">
        <f>IF($A9="","",Roster!$B4)</f>
        <v/>
      </c>
      <c r="C9" s="17">
        <f>IF($A9="","",Roster!$D4)</f>
        <v/>
      </c>
      <c r="D9" s="18">
        <f>IF($A9="","",MAX(Capacity!$C$7:$F$7))</f>
        <v/>
      </c>
      <c r="E9" s="19">
        <f>IF(OR($A9="",$C9=0),"",$D9/$C9)</f>
        <v/>
      </c>
      <c r="F9" s="20">
        <f>IF($A9="","",IF(AND(ISNUMBER($E9),$E9&gt;1),"OVER-ALLOCATED",IF(AND(ISNUMBER($E9),$E9&lt;0.5),"UNDER-UTILIZED","")))</f>
        <v/>
      </c>
    </row>
    <row r="10">
      <c r="A10" s="16">
        <f>IF(Roster!$A5="","",Roster!$A5)</f>
        <v/>
      </c>
      <c r="B10" s="16">
        <f>IF($A10="","",Roster!$B5)</f>
        <v/>
      </c>
      <c r="C10" s="17">
        <f>IF($A10="","",Roster!$D5)</f>
        <v/>
      </c>
      <c r="D10" s="18">
        <f>IF($A10="","",MAX(Capacity!$C$8:$F$8))</f>
        <v/>
      </c>
      <c r="E10" s="19">
        <f>IF(OR($A10="",$C10=0),"",$D10/$C10)</f>
        <v/>
      </c>
      <c r="F10" s="20">
        <f>IF($A10="","",IF(AND(ISNUMBER($E10),$E10&gt;1),"OVER-ALLOCATED",IF(AND(ISNUMBER($E10),$E10&lt;0.5),"UNDER-UTILIZED","")))</f>
        <v/>
      </c>
    </row>
    <row r="11">
      <c r="A11" s="16">
        <f>IF(Roster!$A6="","",Roster!$A6)</f>
        <v/>
      </c>
      <c r="B11" s="16">
        <f>IF($A11="","",Roster!$B6)</f>
        <v/>
      </c>
      <c r="C11" s="17">
        <f>IF($A11="","",Roster!$D6)</f>
        <v/>
      </c>
      <c r="D11" s="18">
        <f>IF($A11="","",MAX(Capacity!$C$9:$F$9))</f>
        <v/>
      </c>
      <c r="E11" s="19">
        <f>IF(OR($A11="",$C11=0),"",$D11/$C11)</f>
        <v/>
      </c>
      <c r="F11" s="20">
        <f>IF($A11="","",IF(AND(ISNUMBER($E11),$E11&gt;1),"OVER-ALLOCATED",IF(AND(ISNUMBER($E11),$E11&lt;0.5),"UNDER-UTILIZED","")))</f>
        <v/>
      </c>
    </row>
    <row r="12">
      <c r="A12" s="16">
        <f>IF(Roster!$A7="","",Roster!$A7)</f>
        <v/>
      </c>
      <c r="B12" s="16">
        <f>IF($A12="","",Roster!$B7)</f>
        <v/>
      </c>
      <c r="C12" s="17">
        <f>IF($A12="","",Roster!$D7)</f>
        <v/>
      </c>
      <c r="D12" s="18">
        <f>IF($A12="","",MAX(Capacity!$C$10:$F$10))</f>
        <v/>
      </c>
      <c r="E12" s="19">
        <f>IF(OR($A12="",$C12=0),"",$D12/$C12)</f>
        <v/>
      </c>
      <c r="F12" s="20">
        <f>IF($A12="","",IF(AND(ISNUMBER($E12),$E12&gt;1),"OVER-ALLOCATED",IF(AND(ISNUMBER($E12),$E12&lt;0.5),"UNDER-UTILIZED","")))</f>
        <v/>
      </c>
    </row>
    <row r="13">
      <c r="A13" s="16">
        <f>IF(Roster!$A8="","",Roster!$A8)</f>
        <v/>
      </c>
      <c r="B13" s="16">
        <f>IF($A13="","",Roster!$B8)</f>
        <v/>
      </c>
      <c r="C13" s="17">
        <f>IF($A13="","",Roster!$D8)</f>
        <v/>
      </c>
      <c r="D13" s="18">
        <f>IF($A13="","",MAX(Capacity!$C$11:$F$11))</f>
        <v/>
      </c>
      <c r="E13" s="19">
        <f>IF(OR($A13="",$C13=0),"",$D13/$C13)</f>
        <v/>
      </c>
      <c r="F13" s="20">
        <f>IF($A13="","",IF(AND(ISNUMBER($E13),$E13&gt;1),"OVER-ALLOCATED",IF(AND(ISNUMBER($E13),$E13&lt;0.5),"UNDER-UTILIZED","")))</f>
        <v/>
      </c>
    </row>
    <row r="14">
      <c r="A14" s="16">
        <f>IF(Roster!$A9="","",Roster!$A9)</f>
        <v/>
      </c>
      <c r="B14" s="16">
        <f>IF($A14="","",Roster!$B9)</f>
        <v/>
      </c>
      <c r="C14" s="17">
        <f>IF($A14="","",Roster!$D9)</f>
        <v/>
      </c>
      <c r="D14" s="18">
        <f>IF($A14="","",MAX(Capacity!$C$12:$F$12))</f>
        <v/>
      </c>
      <c r="E14" s="19">
        <f>IF(OR($A14="",$C14=0),"",$D14/$C14)</f>
        <v/>
      </c>
      <c r="F14" s="20">
        <f>IF($A14="","",IF(AND(ISNUMBER($E14),$E14&gt;1),"OVER-ALLOCATED",IF(AND(ISNUMBER($E14),$E14&lt;0.5),"UNDER-UTILIZED","")))</f>
        <v/>
      </c>
    </row>
    <row r="15">
      <c r="A15" s="16">
        <f>IF(Roster!$A10="","",Roster!$A10)</f>
        <v/>
      </c>
      <c r="B15" s="16">
        <f>IF($A15="","",Roster!$B10)</f>
        <v/>
      </c>
      <c r="C15" s="17">
        <f>IF($A15="","",Roster!$D10)</f>
        <v/>
      </c>
      <c r="D15" s="18">
        <f>IF($A15="","",MAX(Capacity!$C$13:$F$13))</f>
        <v/>
      </c>
      <c r="E15" s="19">
        <f>IF(OR($A15="",$C15=0),"",$D15/$C15)</f>
        <v/>
      </c>
      <c r="F15" s="20">
        <f>IF($A15="","",IF(AND(ISNUMBER($E15),$E15&gt;1),"OVER-ALLOCATED",IF(AND(ISNUMBER($E15),$E15&lt;0.5),"UNDER-UTILIZED","")))</f>
        <v/>
      </c>
    </row>
    <row r="16">
      <c r="A16" s="16">
        <f>IF(Roster!$A11="","",Roster!$A11)</f>
        <v/>
      </c>
      <c r="B16" s="16">
        <f>IF($A16="","",Roster!$B11)</f>
        <v/>
      </c>
      <c r="C16" s="17">
        <f>IF($A16="","",Roster!$D11)</f>
        <v/>
      </c>
      <c r="D16" s="18">
        <f>IF($A16="","",MAX(Capacity!$C$14:$F$14))</f>
        <v/>
      </c>
      <c r="E16" s="19">
        <f>IF(OR($A16="",$C16=0),"",$D16/$C16)</f>
        <v/>
      </c>
      <c r="F16" s="20">
        <f>IF($A16="","",IF(AND(ISNUMBER($E16),$E16&gt;1),"OVER-ALLOCATED",IF(AND(ISNUMBER($E16),$E16&lt;0.5),"UNDER-UTILIZED","")))</f>
        <v/>
      </c>
    </row>
    <row r="17">
      <c r="A17" s="16">
        <f>IF(Roster!$A12="","",Roster!$A12)</f>
        <v/>
      </c>
      <c r="B17" s="16">
        <f>IF($A17="","",Roster!$B12)</f>
        <v/>
      </c>
      <c r="C17" s="17">
        <f>IF($A17="","",Roster!$D12)</f>
        <v/>
      </c>
      <c r="D17" s="18">
        <f>IF($A17="","",MAX(Capacity!$C$15:$F$15))</f>
        <v/>
      </c>
      <c r="E17" s="19">
        <f>IF(OR($A17="",$C17=0),"",$D17/$C17)</f>
        <v/>
      </c>
      <c r="F17" s="20">
        <f>IF($A17="","",IF(AND(ISNUMBER($E17),$E17&gt;1),"OVER-ALLOCATED",IF(AND(ISNUMBER($E17),$E17&lt;0.5),"UNDER-UTILIZED","")))</f>
        <v/>
      </c>
    </row>
    <row r="18">
      <c r="A18" s="16">
        <f>IF(Roster!$A13="","",Roster!$A13)</f>
        <v/>
      </c>
      <c r="B18" s="16">
        <f>IF($A18="","",Roster!$B13)</f>
        <v/>
      </c>
      <c r="C18" s="17">
        <f>IF($A18="","",Roster!$D13)</f>
        <v/>
      </c>
      <c r="D18" s="18">
        <f>IF($A18="","",MAX(Capacity!$C$16:$F$16))</f>
        <v/>
      </c>
      <c r="E18" s="19">
        <f>IF(OR($A18="",$C18=0),"",$D18/$C18)</f>
        <v/>
      </c>
      <c r="F18" s="20">
        <f>IF($A18="","",IF(AND(ISNUMBER($E18),$E18&gt;1),"OVER-ALLOCATED",IF(AND(ISNUMBER($E18),$E18&lt;0.5),"UNDER-UTILIZED","")))</f>
        <v/>
      </c>
    </row>
    <row r="19">
      <c r="A19" s="16">
        <f>IF(Roster!$A14="","",Roster!$A14)</f>
        <v/>
      </c>
      <c r="B19" s="16">
        <f>IF($A19="","",Roster!$B14)</f>
        <v/>
      </c>
      <c r="C19" s="17">
        <f>IF($A19="","",Roster!$D14)</f>
        <v/>
      </c>
      <c r="D19" s="18">
        <f>IF($A19="","",MAX(Capacity!$C$17:$F$17))</f>
        <v/>
      </c>
      <c r="E19" s="19">
        <f>IF(OR($A19="",$C19=0),"",$D19/$C19)</f>
        <v/>
      </c>
      <c r="F19" s="20">
        <f>IF($A19="","",IF(AND(ISNUMBER($E19),$E19&gt;1),"OVER-ALLOCATED",IF(AND(ISNUMBER($E19),$E19&lt;0.5),"UNDER-UTILIZED","")))</f>
        <v/>
      </c>
    </row>
    <row r="20">
      <c r="A20" s="16">
        <f>IF(Roster!$A15="","",Roster!$A15)</f>
        <v/>
      </c>
      <c r="B20" s="16">
        <f>IF($A20="","",Roster!$B15)</f>
        <v/>
      </c>
      <c r="C20" s="17">
        <f>IF($A20="","",Roster!$D15)</f>
        <v/>
      </c>
      <c r="D20" s="18">
        <f>IF($A20="","",MAX(Capacity!$C$18:$F$18))</f>
        <v/>
      </c>
      <c r="E20" s="19">
        <f>IF(OR($A20="",$C20=0),"",$D20/$C20)</f>
        <v/>
      </c>
      <c r="F20" s="20">
        <f>IF($A20="","",IF(AND(ISNUMBER($E20),$E20&gt;1),"OVER-ALLOCATED",IF(AND(ISNUMBER($E20),$E20&lt;0.5),"UNDER-UTILIZED","")))</f>
        <v/>
      </c>
    </row>
    <row r="21">
      <c r="A21" s="16">
        <f>IF(Roster!$A16="","",Roster!$A16)</f>
        <v/>
      </c>
      <c r="B21" s="16">
        <f>IF($A21="","",Roster!$B16)</f>
        <v/>
      </c>
      <c r="C21" s="17">
        <f>IF($A21="","",Roster!$D16)</f>
        <v/>
      </c>
      <c r="D21" s="18">
        <f>IF($A21="","",MAX(Capacity!$C$19:$F$19))</f>
        <v/>
      </c>
      <c r="E21" s="19">
        <f>IF(OR($A21="",$C21=0),"",$D21/$C21)</f>
        <v/>
      </c>
      <c r="F21" s="20">
        <f>IF($A21="","",IF(AND(ISNUMBER($E21),$E21&gt;1),"OVER-ALLOCATED",IF(AND(ISNUMBER($E21),$E21&lt;0.5),"UNDER-UTILIZED","")))</f>
        <v/>
      </c>
    </row>
    <row r="22">
      <c r="A22" s="16">
        <f>IF(Roster!$A17="","",Roster!$A17)</f>
        <v/>
      </c>
      <c r="B22" s="16">
        <f>IF($A22="","",Roster!$B17)</f>
        <v/>
      </c>
      <c r="C22" s="17">
        <f>IF($A22="","",Roster!$D17)</f>
        <v/>
      </c>
      <c r="D22" s="18">
        <f>IF($A22="","",MAX(Capacity!$C$20:$F$20))</f>
        <v/>
      </c>
      <c r="E22" s="19">
        <f>IF(OR($A22="",$C22=0),"",$D22/$C22)</f>
        <v/>
      </c>
      <c r="F22" s="20">
        <f>IF($A22="","",IF(AND(ISNUMBER($E22),$E22&gt;1),"OVER-ALLOCATED",IF(AND(ISNUMBER($E22),$E22&lt;0.5),"UNDER-UTILIZED","")))</f>
        <v/>
      </c>
    </row>
    <row r="23">
      <c r="A23" s="16">
        <f>IF(Roster!$A18="","",Roster!$A18)</f>
        <v/>
      </c>
      <c r="B23" s="16">
        <f>IF($A23="","",Roster!$B18)</f>
        <v/>
      </c>
      <c r="C23" s="17">
        <f>IF($A23="","",Roster!$D18)</f>
        <v/>
      </c>
      <c r="D23" s="18">
        <f>IF($A23="","",MAX(Capacity!$C$21:$F$21))</f>
        <v/>
      </c>
      <c r="E23" s="19">
        <f>IF(OR($A23="",$C23=0),"",$D23/$C23)</f>
        <v/>
      </c>
      <c r="F23" s="20">
        <f>IF($A23="","",IF(AND(ISNUMBER($E23),$E23&gt;1),"OVER-ALLOCATED",IF(AND(ISNUMBER($E23),$E23&lt;0.5),"UNDER-UTILIZED","")))</f>
        <v/>
      </c>
    </row>
    <row r="24">
      <c r="A24" s="16">
        <f>IF(Roster!$A19="","",Roster!$A19)</f>
        <v/>
      </c>
      <c r="B24" s="16">
        <f>IF($A24="","",Roster!$B19)</f>
        <v/>
      </c>
      <c r="C24" s="17">
        <f>IF($A24="","",Roster!$D19)</f>
        <v/>
      </c>
      <c r="D24" s="18">
        <f>IF($A24="","",MAX(Capacity!$C$22:$F$22))</f>
        <v/>
      </c>
      <c r="E24" s="19">
        <f>IF(OR($A24="",$C24=0),"",$D24/$C24)</f>
        <v/>
      </c>
      <c r="F24" s="20">
        <f>IF($A24="","",IF(AND(ISNUMBER($E24),$E24&gt;1),"OVER-ALLOCATED",IF(AND(ISNUMBER($E24),$E24&lt;0.5),"UNDER-UTILIZED","")))</f>
        <v/>
      </c>
    </row>
    <row r="25">
      <c r="A25" s="16">
        <f>IF(Roster!$A20="","",Roster!$A20)</f>
        <v/>
      </c>
      <c r="B25" s="16">
        <f>IF($A25="","",Roster!$B20)</f>
        <v/>
      </c>
      <c r="C25" s="17">
        <f>IF($A25="","",Roster!$D20)</f>
        <v/>
      </c>
      <c r="D25" s="18">
        <f>IF($A25="","",MAX(Capacity!$C$23:$F$23))</f>
        <v/>
      </c>
      <c r="E25" s="19">
        <f>IF(OR($A25="",$C25=0),"",$D25/$C25)</f>
        <v/>
      </c>
      <c r="F25" s="20">
        <f>IF($A25="","",IF(AND(ISNUMBER($E25),$E25&gt;1),"OVER-ALLOCATED",IF(AND(ISNUMBER($E25),$E25&lt;0.5),"UNDER-UTILIZED","")))</f>
        <v/>
      </c>
    </row>
    <row r="26">
      <c r="A26" s="16">
        <f>IF(Roster!$A21="","",Roster!$A21)</f>
        <v/>
      </c>
      <c r="B26" s="16">
        <f>IF($A26="","",Roster!$B21)</f>
        <v/>
      </c>
      <c r="C26" s="17">
        <f>IF($A26="","",Roster!$D21)</f>
        <v/>
      </c>
      <c r="D26" s="18">
        <f>IF($A26="","",MAX(Capacity!$C$24:$F$24))</f>
        <v/>
      </c>
      <c r="E26" s="19">
        <f>IF(OR($A26="",$C26=0),"",$D26/$C26)</f>
        <v/>
      </c>
      <c r="F26" s="20">
        <f>IF($A26="","",IF(AND(ISNUMBER($E26),$E26&gt;1),"OVER-ALLOCATED",IF(AND(ISNUMBER($E26),$E26&lt;0.5),"UNDER-UTILIZED","")))</f>
        <v/>
      </c>
    </row>
    <row r="27">
      <c r="A27" s="16">
        <f>IF(Roster!$A22="","",Roster!$A22)</f>
        <v/>
      </c>
      <c r="B27" s="16">
        <f>IF($A27="","",Roster!$B22)</f>
        <v/>
      </c>
      <c r="C27" s="17">
        <f>IF($A27="","",Roster!$D22)</f>
        <v/>
      </c>
      <c r="D27" s="18">
        <f>IF($A27="","",MAX(Capacity!$C$25:$F$25))</f>
        <v/>
      </c>
      <c r="E27" s="19">
        <f>IF(OR($A27="",$C27=0),"",$D27/$C27)</f>
        <v/>
      </c>
      <c r="F27" s="20">
        <f>IF($A27="","",IF(AND(ISNUMBER($E27),$E27&gt;1),"OVER-ALLOCATED",IF(AND(ISNUMBER($E27),$E27&lt;0.5),"UNDER-UTILIZED","")))</f>
        <v/>
      </c>
    </row>
    <row r="28">
      <c r="A28" s="16">
        <f>IF(Roster!$A23="","",Roster!$A23)</f>
        <v/>
      </c>
      <c r="B28" s="16">
        <f>IF($A28="","",Roster!$B23)</f>
        <v/>
      </c>
      <c r="C28" s="17">
        <f>IF($A28="","",Roster!$D23)</f>
        <v/>
      </c>
      <c r="D28" s="18">
        <f>IF($A28="","",MAX(Capacity!$C$26:$F$26))</f>
        <v/>
      </c>
      <c r="E28" s="19">
        <f>IF(OR($A28="",$C28=0),"",$D28/$C28)</f>
        <v/>
      </c>
      <c r="F28" s="20">
        <f>IF($A28="","",IF(AND(ISNUMBER($E28),$E28&gt;1),"OVER-ALLOCATED",IF(AND(ISNUMBER($E28),$E28&lt;0.5),"UNDER-UTILIZED","")))</f>
        <v/>
      </c>
    </row>
    <row r="29">
      <c r="A29" s="16">
        <f>IF(Roster!$A24="","",Roster!$A24)</f>
        <v/>
      </c>
      <c r="B29" s="16">
        <f>IF($A29="","",Roster!$B24)</f>
        <v/>
      </c>
      <c r="C29" s="17">
        <f>IF($A29="","",Roster!$D24)</f>
        <v/>
      </c>
      <c r="D29" s="18">
        <f>IF($A29="","",MAX(Capacity!$C$27:$F$27))</f>
        <v/>
      </c>
      <c r="E29" s="19">
        <f>IF(OR($A29="",$C29=0),"",$D29/$C29)</f>
        <v/>
      </c>
      <c r="F29" s="20">
        <f>IF($A29="","",IF(AND(ISNUMBER($E29),$E29&gt;1),"OVER-ALLOCATED",IF(AND(ISNUMBER($E29),$E29&lt;0.5),"UNDER-UTILIZED","")))</f>
        <v/>
      </c>
    </row>
    <row r="30">
      <c r="A30" s="16">
        <f>IF(Roster!$A25="","",Roster!$A25)</f>
        <v/>
      </c>
      <c r="B30" s="16">
        <f>IF($A30="","",Roster!$B25)</f>
        <v/>
      </c>
      <c r="C30" s="17">
        <f>IF($A30="","",Roster!$D25)</f>
        <v/>
      </c>
      <c r="D30" s="18">
        <f>IF($A30="","",MAX(Capacity!$C$28:$F$28))</f>
        <v/>
      </c>
      <c r="E30" s="19">
        <f>IF(OR($A30="",$C30=0),"",$D30/$C30)</f>
        <v/>
      </c>
      <c r="F30" s="20">
        <f>IF($A30="","",IF(AND(ISNUMBER($E30),$E30&gt;1),"OVER-ALLOCATED",IF(AND(ISNUMBER($E30),$E30&lt;0.5),"UNDER-UTILIZED","")))</f>
        <v/>
      </c>
    </row>
    <row r="31">
      <c r="A31" s="16">
        <f>IF(Roster!$A26="","",Roster!$A26)</f>
        <v/>
      </c>
      <c r="B31" s="16">
        <f>IF($A31="","",Roster!$B26)</f>
        <v/>
      </c>
      <c r="C31" s="17">
        <f>IF($A31="","",Roster!$D26)</f>
        <v/>
      </c>
      <c r="D31" s="18">
        <f>IF($A31="","",MAX(Capacity!$C$29:$F$29))</f>
        <v/>
      </c>
      <c r="E31" s="19">
        <f>IF(OR($A31="",$C31=0),"",$D31/$C31)</f>
        <v/>
      </c>
      <c r="F31" s="20">
        <f>IF($A31="","",IF(AND(ISNUMBER($E31),$E31&gt;1),"OVER-ALLOCATED",IF(AND(ISNUMBER($E31),$E31&lt;0.5),"UNDER-UTILIZED","")))</f>
        <v/>
      </c>
    </row>
    <row r="32">
      <c r="A32" s="16">
        <f>IF(Roster!$A27="","",Roster!$A27)</f>
        <v/>
      </c>
      <c r="B32" s="16">
        <f>IF($A32="","",Roster!$B27)</f>
        <v/>
      </c>
      <c r="C32" s="17">
        <f>IF($A32="","",Roster!$D27)</f>
        <v/>
      </c>
      <c r="D32" s="18">
        <f>IF($A32="","",MAX(Capacity!$C$30:$F$30))</f>
        <v/>
      </c>
      <c r="E32" s="19">
        <f>IF(OR($A32="",$C32=0),"",$D32/$C32)</f>
        <v/>
      </c>
      <c r="F32" s="20">
        <f>IF($A32="","",IF(AND(ISNUMBER($E32),$E32&gt;1),"OVER-ALLOCATED",IF(AND(ISNUMBER($E32),$E32&lt;0.5),"UNDER-UTILIZED","")))</f>
        <v/>
      </c>
    </row>
    <row r="33">
      <c r="A33" s="16">
        <f>IF(Roster!$A28="","",Roster!$A28)</f>
        <v/>
      </c>
      <c r="B33" s="16">
        <f>IF($A33="","",Roster!$B28)</f>
        <v/>
      </c>
      <c r="C33" s="17">
        <f>IF($A33="","",Roster!$D28)</f>
        <v/>
      </c>
      <c r="D33" s="18">
        <f>IF($A33="","",MAX(Capacity!$C$31:$F$31))</f>
        <v/>
      </c>
      <c r="E33" s="19">
        <f>IF(OR($A33="",$C33=0),"",$D33/$C33)</f>
        <v/>
      </c>
      <c r="F33" s="20">
        <f>IF($A33="","",IF(AND(ISNUMBER($E33),$E33&gt;1),"OVER-ALLOCATED",IF(AND(ISNUMBER($E33),$E33&lt;0.5),"UNDER-UTILIZED","")))</f>
        <v/>
      </c>
    </row>
    <row r="34">
      <c r="A34" s="16">
        <f>IF(Roster!$A29="","",Roster!$A29)</f>
        <v/>
      </c>
      <c r="B34" s="16">
        <f>IF($A34="","",Roster!$B29)</f>
        <v/>
      </c>
      <c r="C34" s="17">
        <f>IF($A34="","",Roster!$D29)</f>
        <v/>
      </c>
      <c r="D34" s="18">
        <f>IF($A34="","",MAX(Capacity!$C$32:$F$32))</f>
        <v/>
      </c>
      <c r="E34" s="19">
        <f>IF(OR($A34="",$C34=0),"",$D34/$C34)</f>
        <v/>
      </c>
      <c r="F34" s="20">
        <f>IF($A34="","",IF(AND(ISNUMBER($E34),$E34&gt;1),"OVER-ALLOCATED",IF(AND(ISNUMBER($E34),$E34&lt;0.5),"UNDER-UTILIZED","")))</f>
        <v/>
      </c>
    </row>
    <row r="35">
      <c r="A35" s="16">
        <f>IF(Roster!$A30="","",Roster!$A30)</f>
        <v/>
      </c>
      <c r="B35" s="16">
        <f>IF($A35="","",Roster!$B30)</f>
        <v/>
      </c>
      <c r="C35" s="17">
        <f>IF($A35="","",Roster!$D30)</f>
        <v/>
      </c>
      <c r="D35" s="18">
        <f>IF($A35="","",MAX(Capacity!$C$33:$F$33))</f>
        <v/>
      </c>
      <c r="E35" s="19">
        <f>IF(OR($A35="",$C35=0),"",$D35/$C35)</f>
        <v/>
      </c>
      <c r="F35" s="20">
        <f>IF($A35="","",IF(AND(ISNUMBER($E35),$E35&gt;1),"OVER-ALLOCATED",IF(AND(ISNUMBER($E35),$E35&lt;0.5),"UNDER-UTILIZED","")))</f>
        <v/>
      </c>
    </row>
    <row r="36">
      <c r="A36" s="16">
        <f>IF(Roster!$A31="","",Roster!$A31)</f>
        <v/>
      </c>
      <c r="B36" s="16">
        <f>IF($A36="","",Roster!$B31)</f>
        <v/>
      </c>
      <c r="C36" s="17">
        <f>IF($A36="","",Roster!$D31)</f>
        <v/>
      </c>
      <c r="D36" s="18">
        <f>IF($A36="","",MAX(Capacity!$C$34:$F$34))</f>
        <v/>
      </c>
      <c r="E36" s="19">
        <f>IF(OR($A36="",$C36=0),"",$D36/$C36)</f>
        <v/>
      </c>
      <c r="F36" s="20">
        <f>IF($A36="","",IF(AND(ISNUMBER($E36),$E36&gt;1),"OVER-ALLOCATED",IF(AND(ISNUMBER($E36),$E36&lt;0.5),"UNDER-UTILIZED","")))</f>
        <v/>
      </c>
    </row>
    <row r="37">
      <c r="A37" s="16">
        <f>IF(Roster!$A32="","",Roster!$A32)</f>
        <v/>
      </c>
      <c r="B37" s="16">
        <f>IF($A37="","",Roster!$B32)</f>
        <v/>
      </c>
      <c r="C37" s="17">
        <f>IF($A37="","",Roster!$D32)</f>
        <v/>
      </c>
      <c r="D37" s="18">
        <f>IF($A37="","",MAX(Capacity!$C$35:$F$35))</f>
        <v/>
      </c>
      <c r="E37" s="19">
        <f>IF(OR($A37="",$C37=0),"",$D37/$C37)</f>
        <v/>
      </c>
      <c r="F37" s="20">
        <f>IF($A37="","",IF(AND(ISNUMBER($E37),$E37&gt;1),"OVER-ALLOCATED",IF(AND(ISNUMBER($E37),$E37&lt;0.5),"UNDER-UTILIZED","")))</f>
        <v/>
      </c>
    </row>
    <row r="38">
      <c r="A38" s="16">
        <f>IF(Roster!$A33="","",Roster!$A33)</f>
        <v/>
      </c>
      <c r="B38" s="16">
        <f>IF($A38="","",Roster!$B33)</f>
        <v/>
      </c>
      <c r="C38" s="17">
        <f>IF($A38="","",Roster!$D33)</f>
        <v/>
      </c>
      <c r="D38" s="18">
        <f>IF($A38="","",MAX(Capacity!$C$36:$F$36))</f>
        <v/>
      </c>
      <c r="E38" s="19">
        <f>IF(OR($A38="",$C38=0),"",$D38/$C38)</f>
        <v/>
      </c>
      <c r="F38" s="20">
        <f>IF($A38="","",IF(AND(ISNUMBER($E38),$E38&gt;1),"OVER-ALLOCATED",IF(AND(ISNUMBER($E38),$E38&lt;0.5),"UNDER-UTILIZED","")))</f>
        <v/>
      </c>
    </row>
    <row r="39">
      <c r="A39" s="16">
        <f>IF(Roster!$A34="","",Roster!$A34)</f>
        <v/>
      </c>
      <c r="B39" s="16">
        <f>IF($A39="","",Roster!$B34)</f>
        <v/>
      </c>
      <c r="C39" s="17">
        <f>IF($A39="","",Roster!$D34)</f>
        <v/>
      </c>
      <c r="D39" s="18">
        <f>IF($A39="","",MAX(Capacity!$C$37:$F$37))</f>
        <v/>
      </c>
      <c r="E39" s="19">
        <f>IF(OR($A39="",$C39=0),"",$D39/$C39)</f>
        <v/>
      </c>
      <c r="F39" s="20">
        <f>IF($A39="","",IF(AND(ISNUMBER($E39),$E39&gt;1),"OVER-ALLOCATED",IF(AND(ISNUMBER($E39),$E39&lt;0.5),"UNDER-UTILIZED","")))</f>
        <v/>
      </c>
    </row>
    <row r="40">
      <c r="A40" s="16">
        <f>IF(Roster!$A35="","",Roster!$A35)</f>
        <v/>
      </c>
      <c r="B40" s="16">
        <f>IF($A40="","",Roster!$B35)</f>
        <v/>
      </c>
      <c r="C40" s="17">
        <f>IF($A40="","",Roster!$D35)</f>
        <v/>
      </c>
      <c r="D40" s="18">
        <f>IF($A40="","",MAX(Capacity!$C$38:$F$38))</f>
        <v/>
      </c>
      <c r="E40" s="19">
        <f>IF(OR($A40="",$C40=0),"",$D40/$C40)</f>
        <v/>
      </c>
      <c r="F40" s="20">
        <f>IF($A40="","",IF(AND(ISNUMBER($E40),$E40&gt;1),"OVER-ALLOCATED",IF(AND(ISNUMBER($E40),$E40&lt;0.5),"UNDER-UTILIZED","")))</f>
        <v/>
      </c>
    </row>
    <row r="41">
      <c r="A41" s="16">
        <f>IF(Roster!$A36="","",Roster!$A36)</f>
        <v/>
      </c>
      <c r="B41" s="16">
        <f>IF($A41="","",Roster!$B36)</f>
        <v/>
      </c>
      <c r="C41" s="17">
        <f>IF($A41="","",Roster!$D36)</f>
        <v/>
      </c>
      <c r="D41" s="18">
        <f>IF($A41="","",MAX(Capacity!$C$39:$F$39))</f>
        <v/>
      </c>
      <c r="E41" s="19">
        <f>IF(OR($A41="",$C41=0),"",$D41/$C41)</f>
        <v/>
      </c>
      <c r="F41" s="20">
        <f>IF($A41="","",IF(AND(ISNUMBER($E41),$E41&gt;1),"OVER-ALLOCATED",IF(AND(ISNUMBER($E41),$E41&lt;0.5),"UNDER-UTILIZED","")))</f>
        <v/>
      </c>
    </row>
    <row r="42">
      <c r="A42" s="16">
        <f>IF(Roster!$A37="","",Roster!$A37)</f>
        <v/>
      </c>
      <c r="B42" s="16">
        <f>IF($A42="","",Roster!$B37)</f>
        <v/>
      </c>
      <c r="C42" s="17">
        <f>IF($A42="","",Roster!$D37)</f>
        <v/>
      </c>
      <c r="D42" s="18">
        <f>IF($A42="","",MAX(Capacity!$C$40:$F$40))</f>
        <v/>
      </c>
      <c r="E42" s="19">
        <f>IF(OR($A42="",$C42=0),"",$D42/$C42)</f>
        <v/>
      </c>
      <c r="F42" s="20">
        <f>IF($A42="","",IF(AND(ISNUMBER($E42),$E42&gt;1),"OVER-ALLOCATED",IF(AND(ISNUMBER($E42),$E42&lt;0.5),"UNDER-UTILIZED","")))</f>
        <v/>
      </c>
    </row>
    <row r="43">
      <c r="A43" s="16">
        <f>IF(Roster!$A38="","",Roster!$A38)</f>
        <v/>
      </c>
      <c r="B43" s="16">
        <f>IF($A43="","",Roster!$B38)</f>
        <v/>
      </c>
      <c r="C43" s="17">
        <f>IF($A43="","",Roster!$D38)</f>
        <v/>
      </c>
      <c r="D43" s="18">
        <f>IF($A43="","",MAX(Capacity!$C$41:$F$41))</f>
        <v/>
      </c>
      <c r="E43" s="19">
        <f>IF(OR($A43="",$C43=0),"",$D43/$C43)</f>
        <v/>
      </c>
      <c r="F43" s="20">
        <f>IF($A43="","",IF(AND(ISNUMBER($E43),$E43&gt;1),"OVER-ALLOCATED",IF(AND(ISNUMBER($E43),$E43&lt;0.5),"UNDER-UTILIZED","")))</f>
        <v/>
      </c>
    </row>
    <row r="44">
      <c r="A44" s="16">
        <f>IF(Roster!$A39="","",Roster!$A39)</f>
        <v/>
      </c>
      <c r="B44" s="16">
        <f>IF($A44="","",Roster!$B39)</f>
        <v/>
      </c>
      <c r="C44" s="17">
        <f>IF($A44="","",Roster!$D39)</f>
        <v/>
      </c>
      <c r="D44" s="18">
        <f>IF($A44="","",MAX(Capacity!$C$42:$F$42))</f>
        <v/>
      </c>
      <c r="E44" s="19">
        <f>IF(OR($A44="",$C44=0),"",$D44/$C44)</f>
        <v/>
      </c>
      <c r="F44" s="20">
        <f>IF($A44="","",IF(AND(ISNUMBER($E44),$E44&gt;1),"OVER-ALLOCATED",IF(AND(ISNUMBER($E44),$E44&lt;0.5),"UNDER-UTILIZED","")))</f>
        <v/>
      </c>
    </row>
    <row r="45">
      <c r="A45" s="16">
        <f>IF(Roster!$A40="","",Roster!$A40)</f>
        <v/>
      </c>
      <c r="B45" s="16">
        <f>IF($A45="","",Roster!$B40)</f>
        <v/>
      </c>
      <c r="C45" s="17">
        <f>IF($A45="","",Roster!$D40)</f>
        <v/>
      </c>
      <c r="D45" s="18">
        <f>IF($A45="","",MAX(Capacity!$C$43:$F$43))</f>
        <v/>
      </c>
      <c r="E45" s="19">
        <f>IF(OR($A45="",$C45=0),"",$D45/$C45)</f>
        <v/>
      </c>
      <c r="F45" s="20">
        <f>IF($A45="","",IF(AND(ISNUMBER($E45),$E45&gt;1),"OVER-ALLOCATED",IF(AND(ISNUMBER($E45),$E45&lt;0.5),"UNDER-UTILIZED","")))</f>
        <v/>
      </c>
    </row>
    <row r="46"/>
    <row r="47"/>
    <row r="48">
      <c r="A48" s="14" t="inlineStr">
        <is>
          <t>2) Deals needing attention</t>
        </is>
      </c>
    </row>
    <row r="49" ht="28" customHeight="1">
      <c r="A49" s="15" t="inlineStr">
        <is>
          <t>Project ID</t>
        </is>
      </c>
      <c r="B49" s="15" t="inlineStr">
        <is>
          <t>Client</t>
        </is>
      </c>
      <c r="C49" s="15" t="inlineStr">
        <is>
          <t>Lifecycle</t>
        </is>
      </c>
      <c r="D49" s="15" t="inlineStr">
        <is>
          <t>Probability</t>
        </is>
      </c>
      <c r="E49" s="15" t="inlineStr">
        <is>
          <t># staffed</t>
        </is>
      </c>
      <c r="F49" s="15" t="inlineStr">
        <is>
          <t>Dates set?</t>
        </is>
      </c>
      <c r="G49" s="15" t="inlineStr">
        <is>
          <t>Added on</t>
        </is>
      </c>
      <c r="H49" s="15" t="inlineStr">
        <is>
          <t>Weeks since added</t>
        </is>
      </c>
      <c r="I49" s="15" t="inlineStr">
        <is>
          <t>Flag</t>
        </is>
      </c>
    </row>
    <row r="50">
      <c r="A50" s="16">
        <f>IF(Deals!$A2="","",Deals!$A2)</f>
        <v/>
      </c>
      <c r="B50" s="16">
        <f>IF($A50="","",Deals!$C2)</f>
        <v/>
      </c>
      <c r="C50" s="16">
        <f>IF($A50="","",Deals!$F2)</f>
        <v/>
      </c>
      <c r="D50" s="21">
        <f>IF($A50="","",Deals!$H2)</f>
        <v/>
      </c>
      <c r="E50" s="17">
        <f>IF($A50="","",Deals!$Q2)</f>
        <v/>
      </c>
      <c r="F50" s="16">
        <f>IF($A50="","",IF(AND(Deals!$I2&lt;&gt;"",Deals!$J2&lt;&gt;""),"Yes","No"))</f>
        <v/>
      </c>
      <c r="G50" s="22">
        <f>IF($A50="","",Deals!$Z2)</f>
        <v/>
      </c>
      <c r="H50" s="23">
        <f>IF(OR($A50="",$G50=""),"",INT((Settings!$B$19-$G50)/7))</f>
        <v/>
      </c>
      <c r="I50" s="24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MissingLevel","")&amp;IF(AND($C50="Proposal",Deals!$H2=0.5)," DefaultProbability","")&amp;IF($F50="No"," NoDates","")&amp;IF(AND(ISNUMBER($H50),$H50&gt;=Settings!$B$20)," Stale","")))</f>
        <v/>
      </c>
    </row>
    <row r="51">
      <c r="A51" s="16">
        <f>IF(Deals!$A3="","",Deals!$A3)</f>
        <v/>
      </c>
      <c r="B51" s="16">
        <f>IF($A51="","",Deals!$C3)</f>
        <v/>
      </c>
      <c r="C51" s="16">
        <f>IF($A51="","",Deals!$F3)</f>
        <v/>
      </c>
      <c r="D51" s="21">
        <f>IF($A51="","",Deals!$H3)</f>
        <v/>
      </c>
      <c r="E51" s="17">
        <f>IF($A51="","",Deals!$Q3)</f>
        <v/>
      </c>
      <c r="F51" s="16">
        <f>IF($A51="","",IF(AND(Deals!$I3&lt;&gt;"",Deals!$J3&lt;&gt;""),"Yes","No"))</f>
        <v/>
      </c>
      <c r="G51" s="22">
        <f>IF($A51="","",Deals!$Z3)</f>
        <v/>
      </c>
      <c r="H51" s="23">
        <f>IF(OR($A51="",$G51=""),"",INT((Settings!$B$19-$G51)/7))</f>
        <v/>
      </c>
      <c r="I51" s="24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MissingLevel","")&amp;IF(AND($C51="Proposal",Deals!$H3=0.5)," DefaultProbability","")&amp;IF($F51="No"," NoDates","")&amp;IF(AND(ISNUMBER($H51),$H51&gt;=Settings!$B$20)," Stale","")))</f>
        <v/>
      </c>
    </row>
    <row r="52">
      <c r="A52" s="16">
        <f>IF(Deals!$A4="","",Deals!$A4)</f>
        <v/>
      </c>
      <c r="B52" s="16">
        <f>IF($A52="","",Deals!$C4)</f>
        <v/>
      </c>
      <c r="C52" s="16">
        <f>IF($A52="","",Deals!$F4)</f>
        <v/>
      </c>
      <c r="D52" s="21">
        <f>IF($A52="","",Deals!$H4)</f>
        <v/>
      </c>
      <c r="E52" s="17">
        <f>IF($A52="","",Deals!$Q4)</f>
        <v/>
      </c>
      <c r="F52" s="16">
        <f>IF($A52="","",IF(AND(Deals!$I4&lt;&gt;"",Deals!$J4&lt;&gt;""),"Yes","No"))</f>
        <v/>
      </c>
      <c r="G52" s="22">
        <f>IF($A52="","",Deals!$Z4)</f>
        <v/>
      </c>
      <c r="H52" s="23">
        <f>IF(OR($A52="",$G52=""),"",INT((Settings!$B$19-$G52)/7))</f>
        <v/>
      </c>
      <c r="I52" s="24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MissingLevel","")&amp;IF(AND($C52="Proposal",Deals!$H4=0.5)," DefaultProbability","")&amp;IF($F52="No"," NoDates","")&amp;IF(AND(ISNUMBER($H52),$H52&gt;=Settings!$B$20)," Stale","")))</f>
        <v/>
      </c>
    </row>
    <row r="53">
      <c r="A53" s="16">
        <f>IF(Deals!$A5="","",Deals!$A5)</f>
        <v/>
      </c>
      <c r="B53" s="16">
        <f>IF($A53="","",Deals!$C5)</f>
        <v/>
      </c>
      <c r="C53" s="16">
        <f>IF($A53="","",Deals!$F5)</f>
        <v/>
      </c>
      <c r="D53" s="21">
        <f>IF($A53="","",Deals!$H5)</f>
        <v/>
      </c>
      <c r="E53" s="17">
        <f>IF($A53="","",Deals!$Q5)</f>
        <v/>
      </c>
      <c r="F53" s="16">
        <f>IF($A53="","",IF(AND(Deals!$I5&lt;&gt;"",Deals!$J5&lt;&gt;""),"Yes","No"))</f>
        <v/>
      </c>
      <c r="G53" s="22">
        <f>IF($A53="","",Deals!$Z5)</f>
        <v/>
      </c>
      <c r="H53" s="23">
        <f>IF(OR($A53="",$G53=""),"",INT((Settings!$B$19-$G53)/7))</f>
        <v/>
      </c>
      <c r="I53" s="24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MissingLevel","")&amp;IF(AND($C53="Proposal",Deals!$H5=0.5)," DefaultProbability","")&amp;IF($F53="No"," NoDates","")&amp;IF(AND(ISNUMBER($H53),$H53&gt;=Settings!$B$20)," Stale","")))</f>
        <v/>
      </c>
    </row>
    <row r="54">
      <c r="A54" s="16">
        <f>IF(Deals!$A6="","",Deals!$A6)</f>
        <v/>
      </c>
      <c r="B54" s="16">
        <f>IF($A54="","",Deals!$C6)</f>
        <v/>
      </c>
      <c r="C54" s="16">
        <f>IF($A54="","",Deals!$F6)</f>
        <v/>
      </c>
      <c r="D54" s="21">
        <f>IF($A54="","",Deals!$H6)</f>
        <v/>
      </c>
      <c r="E54" s="17">
        <f>IF($A54="","",Deals!$Q6)</f>
        <v/>
      </c>
      <c r="F54" s="16">
        <f>IF($A54="","",IF(AND(Deals!$I6&lt;&gt;"",Deals!$J6&lt;&gt;""),"Yes","No"))</f>
        <v/>
      </c>
      <c r="G54" s="22">
        <f>IF($A54="","",Deals!$Z6)</f>
        <v/>
      </c>
      <c r="H54" s="23">
        <f>IF(OR($A54="",$G54=""),"",INT((Settings!$B$19-$G54)/7))</f>
        <v/>
      </c>
      <c r="I54" s="24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MissingLevel","")&amp;IF(AND($C54="Proposal",Deals!$H6=0.5)," DefaultProbability","")&amp;IF($F54="No"," NoDates","")&amp;IF(AND(ISNUMBER($H54),$H54&gt;=Settings!$B$20)," Stale","")))</f>
        <v/>
      </c>
    </row>
    <row r="55">
      <c r="A55" s="16">
        <f>IF(Deals!$A7="","",Deals!$A7)</f>
        <v/>
      </c>
      <c r="B55" s="16">
        <f>IF($A55="","",Deals!$C7)</f>
        <v/>
      </c>
      <c r="C55" s="16">
        <f>IF($A55="","",Deals!$F7)</f>
        <v/>
      </c>
      <c r="D55" s="21">
        <f>IF($A55="","",Deals!$H7)</f>
        <v/>
      </c>
      <c r="E55" s="17">
        <f>IF($A55="","",Deals!$Q7)</f>
        <v/>
      </c>
      <c r="F55" s="16">
        <f>IF($A55="","",IF(AND(Deals!$I7&lt;&gt;"",Deals!$J7&lt;&gt;""),"Yes","No"))</f>
        <v/>
      </c>
      <c r="G55" s="22">
        <f>IF($A55="","",Deals!$Z7)</f>
        <v/>
      </c>
      <c r="H55" s="23">
        <f>IF(OR($A55="",$G55=""),"",INT((Settings!$B$19-$G55)/7))</f>
        <v/>
      </c>
      <c r="I55" s="24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MissingLevel","")&amp;IF(AND($C55="Proposal",Deals!$H7=0.5)," DefaultProbability","")&amp;IF($F55="No"," NoDates","")&amp;IF(AND(ISNUMBER($H55),$H55&gt;=Settings!$B$20)," Stale","")))</f>
        <v/>
      </c>
    </row>
    <row r="56">
      <c r="A56" s="16">
        <f>IF(Deals!$A8="","",Deals!$A8)</f>
        <v/>
      </c>
      <c r="B56" s="16">
        <f>IF($A56="","",Deals!$C8)</f>
        <v/>
      </c>
      <c r="C56" s="16">
        <f>IF($A56="","",Deals!$F8)</f>
        <v/>
      </c>
      <c r="D56" s="21">
        <f>IF($A56="","",Deals!$H8)</f>
        <v/>
      </c>
      <c r="E56" s="17">
        <f>IF($A56="","",Deals!$Q8)</f>
        <v/>
      </c>
      <c r="F56" s="16">
        <f>IF($A56="","",IF(AND(Deals!$I8&lt;&gt;"",Deals!$J8&lt;&gt;""),"Yes","No"))</f>
        <v/>
      </c>
      <c r="G56" s="22">
        <f>IF($A56="","",Deals!$Z8)</f>
        <v/>
      </c>
      <c r="H56" s="23">
        <f>IF(OR($A56="",$G56=""),"",INT((Settings!$B$19-$G56)/7))</f>
        <v/>
      </c>
      <c r="I56" s="24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MissingLevel","")&amp;IF(AND($C56="Proposal",Deals!$H8=0.5)," DefaultProbability","")&amp;IF($F56="No"," NoDates","")&amp;IF(AND(ISNUMBER($H56),$H56&gt;=Settings!$B$20)," Stale","")))</f>
        <v/>
      </c>
    </row>
    <row r="57">
      <c r="A57" s="16">
        <f>IF(Deals!$A9="","",Deals!$A9)</f>
        <v/>
      </c>
      <c r="B57" s="16">
        <f>IF($A57="","",Deals!$C9)</f>
        <v/>
      </c>
      <c r="C57" s="16">
        <f>IF($A57="","",Deals!$F9)</f>
        <v/>
      </c>
      <c r="D57" s="21">
        <f>IF($A57="","",Deals!$H9)</f>
        <v/>
      </c>
      <c r="E57" s="17">
        <f>IF($A57="","",Deals!$Q9)</f>
        <v/>
      </c>
      <c r="F57" s="16">
        <f>IF($A57="","",IF(AND(Deals!$I9&lt;&gt;"",Deals!$J9&lt;&gt;""),"Yes","No"))</f>
        <v/>
      </c>
      <c r="G57" s="22">
        <f>IF($A57="","",Deals!$Z9)</f>
        <v/>
      </c>
      <c r="H57" s="23">
        <f>IF(OR($A57="",$G57=""),"",INT((Settings!$B$19-$G57)/7))</f>
        <v/>
      </c>
      <c r="I57" s="24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MissingLevel","")&amp;IF(AND($C57="Proposal",Deals!$H9=0.5)," DefaultProbability","")&amp;IF($F57="No"," NoDates","")&amp;IF(AND(ISNUMBER($H57),$H57&gt;=Settings!$B$20)," Stale","")))</f>
        <v/>
      </c>
    </row>
    <row r="58">
      <c r="A58" s="16">
        <f>IF(Deals!$A10="","",Deals!$A10)</f>
        <v/>
      </c>
      <c r="B58" s="16">
        <f>IF($A58="","",Deals!$C10)</f>
        <v/>
      </c>
      <c r="C58" s="16">
        <f>IF($A58="","",Deals!$F10)</f>
        <v/>
      </c>
      <c r="D58" s="21">
        <f>IF($A58="","",Deals!$H10)</f>
        <v/>
      </c>
      <c r="E58" s="17">
        <f>IF($A58="","",Deals!$Q10)</f>
        <v/>
      </c>
      <c r="F58" s="16">
        <f>IF($A58="","",IF(AND(Deals!$I10&lt;&gt;"",Deals!$J10&lt;&gt;""),"Yes","No"))</f>
        <v/>
      </c>
      <c r="G58" s="22">
        <f>IF($A58="","",Deals!$Z10)</f>
        <v/>
      </c>
      <c r="H58" s="23">
        <f>IF(OR($A58="",$G58=""),"",INT((Settings!$B$19-$G58)/7))</f>
        <v/>
      </c>
      <c r="I58" s="24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MissingLevel","")&amp;IF(AND($C58="Proposal",Deals!$H10=0.5)," DefaultProbability","")&amp;IF($F58="No"," NoDates","")&amp;IF(AND(ISNUMBER($H58),$H58&gt;=Settings!$B$20)," Stale","")))</f>
        <v/>
      </c>
    </row>
    <row r="59">
      <c r="A59" s="16">
        <f>IF(Deals!$A11="","",Deals!$A11)</f>
        <v/>
      </c>
      <c r="B59" s="16">
        <f>IF($A59="","",Deals!$C11)</f>
        <v/>
      </c>
      <c r="C59" s="16">
        <f>IF($A59="","",Deals!$F11)</f>
        <v/>
      </c>
      <c r="D59" s="21">
        <f>IF($A59="","",Deals!$H11)</f>
        <v/>
      </c>
      <c r="E59" s="17">
        <f>IF($A59="","",Deals!$Q11)</f>
        <v/>
      </c>
      <c r="F59" s="16">
        <f>IF($A59="","",IF(AND(Deals!$I11&lt;&gt;"",Deals!$J11&lt;&gt;""),"Yes","No"))</f>
        <v/>
      </c>
      <c r="G59" s="22">
        <f>IF($A59="","",Deals!$Z11)</f>
        <v/>
      </c>
      <c r="H59" s="23">
        <f>IF(OR($A59="",$G59=""),"",INT((Settings!$B$19-$G59)/7))</f>
        <v/>
      </c>
      <c r="I59" s="24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MissingLevel","")&amp;IF(AND($C59="Proposal",Deals!$H11=0.5)," DefaultProbability","")&amp;IF($F59="No"," NoDates","")&amp;IF(AND(ISNUMBER($H59),$H59&gt;=Settings!$B$20)," Stale","")))</f>
        <v/>
      </c>
    </row>
    <row r="60">
      <c r="A60" s="16">
        <f>IF(Deals!$A12="","",Deals!$A12)</f>
        <v/>
      </c>
      <c r="B60" s="16">
        <f>IF($A60="","",Deals!$C12)</f>
        <v/>
      </c>
      <c r="C60" s="16">
        <f>IF($A60="","",Deals!$F12)</f>
        <v/>
      </c>
      <c r="D60" s="21">
        <f>IF($A60="","",Deals!$H12)</f>
        <v/>
      </c>
      <c r="E60" s="17">
        <f>IF($A60="","",Deals!$Q12)</f>
        <v/>
      </c>
      <c r="F60" s="16">
        <f>IF($A60="","",IF(AND(Deals!$I12&lt;&gt;"",Deals!$J12&lt;&gt;""),"Yes","No"))</f>
        <v/>
      </c>
      <c r="G60" s="22">
        <f>IF($A60="","",Deals!$Z12)</f>
        <v/>
      </c>
      <c r="H60" s="23">
        <f>IF(OR($A60="",$G60=""),"",INT((Settings!$B$19-$G60)/7))</f>
        <v/>
      </c>
      <c r="I60" s="24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MissingLevel","")&amp;IF(AND($C60="Proposal",Deals!$H12=0.5)," DefaultProbability","")&amp;IF($F60="No"," NoDates","")&amp;IF(AND(ISNUMBER($H60),$H60&gt;=Settings!$B$20)," Stale","")))</f>
        <v/>
      </c>
    </row>
    <row r="61">
      <c r="A61" s="16">
        <f>IF(Deals!$A13="","",Deals!$A13)</f>
        <v/>
      </c>
      <c r="B61" s="16">
        <f>IF($A61="","",Deals!$C13)</f>
        <v/>
      </c>
      <c r="C61" s="16">
        <f>IF($A61="","",Deals!$F13)</f>
        <v/>
      </c>
      <c r="D61" s="21">
        <f>IF($A61="","",Deals!$H13)</f>
        <v/>
      </c>
      <c r="E61" s="17">
        <f>IF($A61="","",Deals!$Q13)</f>
        <v/>
      </c>
      <c r="F61" s="16">
        <f>IF($A61="","",IF(AND(Deals!$I13&lt;&gt;"",Deals!$J13&lt;&gt;""),"Yes","No"))</f>
        <v/>
      </c>
      <c r="G61" s="22">
        <f>IF($A61="","",Deals!$Z13)</f>
        <v/>
      </c>
      <c r="H61" s="23">
        <f>IF(OR($A61="",$G61=""),"",INT((Settings!$B$19-$G61)/7))</f>
        <v/>
      </c>
      <c r="I61" s="24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MissingLevel","")&amp;IF(AND($C61="Proposal",Deals!$H13=0.5)," DefaultProbability","")&amp;IF($F61="No"," NoDates","")&amp;IF(AND(ISNUMBER($H61),$H61&gt;=Settings!$B$20)," Stale","")))</f>
        <v/>
      </c>
    </row>
    <row r="62">
      <c r="A62" s="16">
        <f>IF(Deals!$A14="","",Deals!$A14)</f>
        <v/>
      </c>
      <c r="B62" s="16">
        <f>IF($A62="","",Deals!$C14)</f>
        <v/>
      </c>
      <c r="C62" s="16">
        <f>IF($A62="","",Deals!$F14)</f>
        <v/>
      </c>
      <c r="D62" s="21">
        <f>IF($A62="","",Deals!$H14)</f>
        <v/>
      </c>
      <c r="E62" s="17">
        <f>IF($A62="","",Deals!$Q14)</f>
        <v/>
      </c>
      <c r="F62" s="16">
        <f>IF($A62="","",IF(AND(Deals!$I14&lt;&gt;"",Deals!$J14&lt;&gt;""),"Yes","No"))</f>
        <v/>
      </c>
      <c r="G62" s="22">
        <f>IF($A62="","",Deals!$Z14)</f>
        <v/>
      </c>
      <c r="H62" s="23">
        <f>IF(OR($A62="",$G62=""),"",INT((Settings!$B$19-$G62)/7))</f>
        <v/>
      </c>
      <c r="I62" s="24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MissingLevel","")&amp;IF(AND($C62="Proposal",Deals!$H14=0.5)," DefaultProbability","")&amp;IF($F62="No"," NoDates","")&amp;IF(AND(ISNUMBER($H62),$H62&gt;=Settings!$B$20)," Stale","")))</f>
        <v/>
      </c>
    </row>
    <row r="63">
      <c r="A63" s="16">
        <f>IF(Deals!$A15="","",Deals!$A15)</f>
        <v/>
      </c>
      <c r="B63" s="16">
        <f>IF($A63="","",Deals!$C15)</f>
        <v/>
      </c>
      <c r="C63" s="16">
        <f>IF($A63="","",Deals!$F15)</f>
        <v/>
      </c>
      <c r="D63" s="21">
        <f>IF($A63="","",Deals!$H15)</f>
        <v/>
      </c>
      <c r="E63" s="17">
        <f>IF($A63="","",Deals!$Q15)</f>
        <v/>
      </c>
      <c r="F63" s="16">
        <f>IF($A63="","",IF(AND(Deals!$I15&lt;&gt;"",Deals!$J15&lt;&gt;""),"Yes","No"))</f>
        <v/>
      </c>
      <c r="G63" s="22">
        <f>IF($A63="","",Deals!$Z15)</f>
        <v/>
      </c>
      <c r="H63" s="23">
        <f>IF(OR($A63="",$G63=""),"",INT((Settings!$B$19-$G63)/7))</f>
        <v/>
      </c>
      <c r="I63" s="24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MissingLevel","")&amp;IF(AND($C63="Proposal",Deals!$H15=0.5)," DefaultProbability","")&amp;IF($F63="No"," NoDates","")&amp;IF(AND(ISNUMBER($H63),$H63&gt;=Settings!$B$20)," Stale","")))</f>
        <v/>
      </c>
    </row>
    <row r="64">
      <c r="A64" s="16">
        <f>IF(Deals!$A16="","",Deals!$A16)</f>
        <v/>
      </c>
      <c r="B64" s="16">
        <f>IF($A64="","",Deals!$C16)</f>
        <v/>
      </c>
      <c r="C64" s="16">
        <f>IF($A64="","",Deals!$F16)</f>
        <v/>
      </c>
      <c r="D64" s="21">
        <f>IF($A64="","",Deals!$H16)</f>
        <v/>
      </c>
      <c r="E64" s="17">
        <f>IF($A64="","",Deals!$Q16)</f>
        <v/>
      </c>
      <c r="F64" s="16">
        <f>IF($A64="","",IF(AND(Deals!$I16&lt;&gt;"",Deals!$J16&lt;&gt;""),"Yes","No"))</f>
        <v/>
      </c>
      <c r="G64" s="22">
        <f>IF($A64="","",Deals!$Z16)</f>
        <v/>
      </c>
      <c r="H64" s="23">
        <f>IF(OR($A64="",$G64=""),"",INT((Settings!$B$19-$G64)/7))</f>
        <v/>
      </c>
      <c r="I64" s="24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MissingLevel","")&amp;IF(AND($C64="Proposal",Deals!$H16=0.5)," DefaultProbability","")&amp;IF($F64="No"," NoDates","")&amp;IF(AND(ISNUMBER($H64),$H64&gt;=Settings!$B$20)," Stale","")))</f>
        <v/>
      </c>
    </row>
    <row r="65">
      <c r="A65" s="16">
        <f>IF(Deals!$A17="","",Deals!$A17)</f>
        <v/>
      </c>
      <c r="B65" s="16">
        <f>IF($A65="","",Deals!$C17)</f>
        <v/>
      </c>
      <c r="C65" s="16">
        <f>IF($A65="","",Deals!$F17)</f>
        <v/>
      </c>
      <c r="D65" s="21">
        <f>IF($A65="","",Deals!$H17)</f>
        <v/>
      </c>
      <c r="E65" s="17">
        <f>IF($A65="","",Deals!$Q17)</f>
        <v/>
      </c>
      <c r="F65" s="16">
        <f>IF($A65="","",IF(AND(Deals!$I17&lt;&gt;"",Deals!$J17&lt;&gt;""),"Yes","No"))</f>
        <v/>
      </c>
      <c r="G65" s="22">
        <f>IF($A65="","",Deals!$Z17)</f>
        <v/>
      </c>
      <c r="H65" s="23">
        <f>IF(OR($A65="",$G65=""),"",INT((Settings!$B$19-$G65)/7))</f>
        <v/>
      </c>
      <c r="I65" s="24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MissingLevel","")&amp;IF(AND($C65="Proposal",Deals!$H17=0.5)," DefaultProbability","")&amp;IF($F65="No"," NoDates","")&amp;IF(AND(ISNUMBER($H65),$H65&gt;=Settings!$B$20)," Stale","")))</f>
        <v/>
      </c>
    </row>
    <row r="66">
      <c r="A66" s="16">
        <f>IF(Deals!$A18="","",Deals!$A18)</f>
        <v/>
      </c>
      <c r="B66" s="16">
        <f>IF($A66="","",Deals!$C18)</f>
        <v/>
      </c>
      <c r="C66" s="16">
        <f>IF($A66="","",Deals!$F18)</f>
        <v/>
      </c>
      <c r="D66" s="21">
        <f>IF($A66="","",Deals!$H18)</f>
        <v/>
      </c>
      <c r="E66" s="17">
        <f>IF($A66="","",Deals!$Q18)</f>
        <v/>
      </c>
      <c r="F66" s="16">
        <f>IF($A66="","",IF(AND(Deals!$I18&lt;&gt;"",Deals!$J18&lt;&gt;""),"Yes","No"))</f>
        <v/>
      </c>
      <c r="G66" s="22">
        <f>IF($A66="","",Deals!$Z18)</f>
        <v/>
      </c>
      <c r="H66" s="23">
        <f>IF(OR($A66="",$G66=""),"",INT((Settings!$B$19-$G66)/7))</f>
        <v/>
      </c>
      <c r="I66" s="24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MissingLevel","")&amp;IF(AND($C66="Proposal",Deals!$H18=0.5)," DefaultProbability","")&amp;IF($F66="No"," NoDates","")&amp;IF(AND(ISNUMBER($H66),$H66&gt;=Settings!$B$20)," Stale","")))</f>
        <v/>
      </c>
    </row>
    <row r="67">
      <c r="A67" s="16">
        <f>IF(Deals!$A19="","",Deals!$A19)</f>
        <v/>
      </c>
      <c r="B67" s="16">
        <f>IF($A67="","",Deals!$C19)</f>
        <v/>
      </c>
      <c r="C67" s="16">
        <f>IF($A67="","",Deals!$F19)</f>
        <v/>
      </c>
      <c r="D67" s="21">
        <f>IF($A67="","",Deals!$H19)</f>
        <v/>
      </c>
      <c r="E67" s="17">
        <f>IF($A67="","",Deals!$Q19)</f>
        <v/>
      </c>
      <c r="F67" s="16">
        <f>IF($A67="","",IF(AND(Deals!$I19&lt;&gt;"",Deals!$J19&lt;&gt;""),"Yes","No"))</f>
        <v/>
      </c>
      <c r="G67" s="22">
        <f>IF($A67="","",Deals!$Z19)</f>
        <v/>
      </c>
      <c r="H67" s="23">
        <f>IF(OR($A67="",$G67=""),"",INT((Settings!$B$19-$G67)/7))</f>
        <v/>
      </c>
      <c r="I67" s="24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MissingLevel","")&amp;IF(AND($C67="Proposal",Deals!$H19=0.5)," DefaultProbability","")&amp;IF($F67="No"," NoDates","")&amp;IF(AND(ISNUMBER($H67),$H67&gt;=Settings!$B$20)," Stale","")))</f>
        <v/>
      </c>
    </row>
    <row r="68">
      <c r="A68" s="16">
        <f>IF(Deals!$A20="","",Deals!$A20)</f>
        <v/>
      </c>
      <c r="B68" s="16">
        <f>IF($A68="","",Deals!$C20)</f>
        <v/>
      </c>
      <c r="C68" s="16">
        <f>IF($A68="","",Deals!$F20)</f>
        <v/>
      </c>
      <c r="D68" s="21">
        <f>IF($A68="","",Deals!$H20)</f>
        <v/>
      </c>
      <c r="E68" s="17">
        <f>IF($A68="","",Deals!$Q20)</f>
        <v/>
      </c>
      <c r="F68" s="16">
        <f>IF($A68="","",IF(AND(Deals!$I20&lt;&gt;"",Deals!$J20&lt;&gt;""),"Yes","No"))</f>
        <v/>
      </c>
      <c r="G68" s="22">
        <f>IF($A68="","",Deals!$Z20)</f>
        <v/>
      </c>
      <c r="H68" s="23">
        <f>IF(OR($A68="",$G68=""),"",INT((Settings!$B$19-$G68)/7))</f>
        <v/>
      </c>
      <c r="I68" s="24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MissingLevel","")&amp;IF(AND($C68="Proposal",Deals!$H20=0.5)," DefaultProbability","")&amp;IF($F68="No"," NoDates","")&amp;IF(AND(ISNUMBER($H68),$H68&gt;=Settings!$B$20)," Stale","")))</f>
        <v/>
      </c>
    </row>
    <row r="69">
      <c r="A69" s="16">
        <f>IF(Deals!$A21="","",Deals!$A21)</f>
        <v/>
      </c>
      <c r="B69" s="16">
        <f>IF($A69="","",Deals!$C21)</f>
        <v/>
      </c>
      <c r="C69" s="16">
        <f>IF($A69="","",Deals!$F21)</f>
        <v/>
      </c>
      <c r="D69" s="21">
        <f>IF($A69="","",Deals!$H21)</f>
        <v/>
      </c>
      <c r="E69" s="17">
        <f>IF($A69="","",Deals!$Q21)</f>
        <v/>
      </c>
      <c r="F69" s="16">
        <f>IF($A69="","",IF(AND(Deals!$I21&lt;&gt;"",Deals!$J21&lt;&gt;""),"Yes","No"))</f>
        <v/>
      </c>
      <c r="G69" s="22">
        <f>IF($A69="","",Deals!$Z21)</f>
        <v/>
      </c>
      <c r="H69" s="23">
        <f>IF(OR($A69="",$G69=""),"",INT((Settings!$B$19-$G69)/7))</f>
        <v/>
      </c>
      <c r="I69" s="24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MissingLevel","")&amp;IF(AND($C69="Proposal",Deals!$H21=0.5)," DefaultProbability","")&amp;IF($F69="No"," NoDates","")&amp;IF(AND(ISNUMBER($H69),$H69&gt;=Settings!$B$20)," Stale","")))</f>
        <v/>
      </c>
    </row>
    <row r="70">
      <c r="A70" s="16">
        <f>IF(Deals!$A22="","",Deals!$A22)</f>
        <v/>
      </c>
      <c r="B70" s="16">
        <f>IF($A70="","",Deals!$C22)</f>
        <v/>
      </c>
      <c r="C70" s="16">
        <f>IF($A70="","",Deals!$F22)</f>
        <v/>
      </c>
      <c r="D70" s="21">
        <f>IF($A70="","",Deals!$H22)</f>
        <v/>
      </c>
      <c r="E70" s="17">
        <f>IF($A70="","",Deals!$Q22)</f>
        <v/>
      </c>
      <c r="F70" s="16">
        <f>IF($A70="","",IF(AND(Deals!$I22&lt;&gt;"",Deals!$J22&lt;&gt;""),"Yes","No"))</f>
        <v/>
      </c>
      <c r="G70" s="22">
        <f>IF($A70="","",Deals!$Z22)</f>
        <v/>
      </c>
      <c r="H70" s="23">
        <f>IF(OR($A70="",$G70=""),"",INT((Settings!$B$19-$G70)/7))</f>
        <v/>
      </c>
      <c r="I70" s="24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MissingLevel","")&amp;IF(AND($C70="Proposal",Deals!$H22=0.5)," DefaultProbability","")&amp;IF($F70="No"," NoDates","")&amp;IF(AND(ISNUMBER($H70),$H70&gt;=Settings!$B$20)," Stale","")))</f>
        <v/>
      </c>
    </row>
    <row r="71">
      <c r="A71" s="16">
        <f>IF(Deals!$A23="","",Deals!$A23)</f>
        <v/>
      </c>
      <c r="B71" s="16">
        <f>IF($A71="","",Deals!$C23)</f>
        <v/>
      </c>
      <c r="C71" s="16">
        <f>IF($A71="","",Deals!$F23)</f>
        <v/>
      </c>
      <c r="D71" s="21">
        <f>IF($A71="","",Deals!$H23)</f>
        <v/>
      </c>
      <c r="E71" s="17">
        <f>IF($A71="","",Deals!$Q23)</f>
        <v/>
      </c>
      <c r="F71" s="16">
        <f>IF($A71="","",IF(AND(Deals!$I23&lt;&gt;"",Deals!$J23&lt;&gt;""),"Yes","No"))</f>
        <v/>
      </c>
      <c r="G71" s="22">
        <f>IF($A71="","",Deals!$Z23)</f>
        <v/>
      </c>
      <c r="H71" s="23">
        <f>IF(OR($A71="",$G71=""),"",INT((Settings!$B$19-$G71)/7))</f>
        <v/>
      </c>
      <c r="I71" s="24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MissingLevel","")&amp;IF(AND($C71="Proposal",Deals!$H23=0.5)," DefaultProbability","")&amp;IF($F71="No"," NoDates","")&amp;IF(AND(ISNUMBER($H71),$H71&gt;=Settings!$B$20)," Stale","")))</f>
        <v/>
      </c>
    </row>
    <row r="72">
      <c r="A72" s="16">
        <f>IF(Deals!$A24="","",Deals!$A24)</f>
        <v/>
      </c>
      <c r="B72" s="16">
        <f>IF($A72="","",Deals!$C24)</f>
        <v/>
      </c>
      <c r="C72" s="16">
        <f>IF($A72="","",Deals!$F24)</f>
        <v/>
      </c>
      <c r="D72" s="21">
        <f>IF($A72="","",Deals!$H24)</f>
        <v/>
      </c>
      <c r="E72" s="17">
        <f>IF($A72="","",Deals!$Q24)</f>
        <v/>
      </c>
      <c r="F72" s="16">
        <f>IF($A72="","",IF(AND(Deals!$I24&lt;&gt;"",Deals!$J24&lt;&gt;""),"Yes","No"))</f>
        <v/>
      </c>
      <c r="G72" s="22">
        <f>IF($A72="","",Deals!$Z24)</f>
        <v/>
      </c>
      <c r="H72" s="23">
        <f>IF(OR($A72="",$G72=""),"",INT((Settings!$B$19-$G72)/7))</f>
        <v/>
      </c>
      <c r="I72" s="24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MissingLevel","")&amp;IF(AND($C72="Proposal",Deals!$H24=0.5)," DefaultProbability","")&amp;IF($F72="No"," NoDates","")&amp;IF(AND(ISNUMBER($H72),$H72&gt;=Settings!$B$20)," Stale","")))</f>
        <v/>
      </c>
    </row>
    <row r="73">
      <c r="A73" s="16">
        <f>IF(Deals!$A25="","",Deals!$A25)</f>
        <v/>
      </c>
      <c r="B73" s="16">
        <f>IF($A73="","",Deals!$C25)</f>
        <v/>
      </c>
      <c r="C73" s="16">
        <f>IF($A73="","",Deals!$F25)</f>
        <v/>
      </c>
      <c r="D73" s="21">
        <f>IF($A73="","",Deals!$H25)</f>
        <v/>
      </c>
      <c r="E73" s="17">
        <f>IF($A73="","",Deals!$Q25)</f>
        <v/>
      </c>
      <c r="F73" s="16">
        <f>IF($A73="","",IF(AND(Deals!$I25&lt;&gt;"",Deals!$J25&lt;&gt;""),"Yes","No"))</f>
        <v/>
      </c>
      <c r="G73" s="22">
        <f>IF($A73="","",Deals!$Z25)</f>
        <v/>
      </c>
      <c r="H73" s="23">
        <f>IF(OR($A73="",$G73=""),"",INT((Settings!$B$19-$G73)/7))</f>
        <v/>
      </c>
      <c r="I73" s="24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MissingLevel","")&amp;IF(AND($C73="Proposal",Deals!$H25=0.5)," DefaultProbability","")&amp;IF($F73="No"," NoDates","")&amp;IF(AND(ISNUMBER($H73),$H73&gt;=Settings!$B$20)," Stale","")))</f>
        <v/>
      </c>
    </row>
    <row r="74">
      <c r="A74" s="16">
        <f>IF(Deals!$A26="","",Deals!$A26)</f>
        <v/>
      </c>
      <c r="B74" s="16">
        <f>IF($A74="","",Deals!$C26)</f>
        <v/>
      </c>
      <c r="C74" s="16">
        <f>IF($A74="","",Deals!$F26)</f>
        <v/>
      </c>
      <c r="D74" s="21">
        <f>IF($A74="","",Deals!$H26)</f>
        <v/>
      </c>
      <c r="E74" s="17">
        <f>IF($A74="","",Deals!$Q26)</f>
        <v/>
      </c>
      <c r="F74" s="16">
        <f>IF($A74="","",IF(AND(Deals!$I26&lt;&gt;"",Deals!$J26&lt;&gt;""),"Yes","No"))</f>
        <v/>
      </c>
      <c r="G74" s="22">
        <f>IF($A74="","",Deals!$Z26)</f>
        <v/>
      </c>
      <c r="H74" s="23">
        <f>IF(OR($A74="",$G74=""),"",INT((Settings!$B$19-$G74)/7))</f>
        <v/>
      </c>
      <c r="I74" s="24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MissingLevel","")&amp;IF(AND($C74="Proposal",Deals!$H26=0.5)," DefaultProbability","")&amp;IF($F74="No"," NoDates","")&amp;IF(AND(ISNUMBER($H74),$H74&gt;=Settings!$B$20)," Stale","")))</f>
        <v/>
      </c>
    </row>
    <row r="75">
      <c r="A75" s="16">
        <f>IF(Deals!$A27="","",Deals!$A27)</f>
        <v/>
      </c>
      <c r="B75" s="16">
        <f>IF($A75="","",Deals!$C27)</f>
        <v/>
      </c>
      <c r="C75" s="16">
        <f>IF($A75="","",Deals!$F27)</f>
        <v/>
      </c>
      <c r="D75" s="21">
        <f>IF($A75="","",Deals!$H27)</f>
        <v/>
      </c>
      <c r="E75" s="17">
        <f>IF($A75="","",Deals!$Q27)</f>
        <v/>
      </c>
      <c r="F75" s="16">
        <f>IF($A75="","",IF(AND(Deals!$I27&lt;&gt;"",Deals!$J27&lt;&gt;""),"Yes","No"))</f>
        <v/>
      </c>
      <c r="G75" s="22">
        <f>IF($A75="","",Deals!$Z27)</f>
        <v/>
      </c>
      <c r="H75" s="23">
        <f>IF(OR($A75="",$G75=""),"",INT((Settings!$B$19-$G75)/7))</f>
        <v/>
      </c>
      <c r="I75" s="24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MissingLevel","")&amp;IF(AND($C75="Proposal",Deals!$H27=0.5)," DefaultProbability","")&amp;IF($F75="No"," NoDates","")&amp;IF(AND(ISNUMBER($H75),$H75&gt;=Settings!$B$20)," Stale","")))</f>
        <v/>
      </c>
    </row>
    <row r="76">
      <c r="A76" s="16">
        <f>IF(Deals!$A28="","",Deals!$A28)</f>
        <v/>
      </c>
      <c r="B76" s="16">
        <f>IF($A76="","",Deals!$C28)</f>
        <v/>
      </c>
      <c r="C76" s="16">
        <f>IF($A76="","",Deals!$F28)</f>
        <v/>
      </c>
      <c r="D76" s="21">
        <f>IF($A76="","",Deals!$H28)</f>
        <v/>
      </c>
      <c r="E76" s="17">
        <f>IF($A76="","",Deals!$Q28)</f>
        <v/>
      </c>
      <c r="F76" s="16">
        <f>IF($A76="","",IF(AND(Deals!$I28&lt;&gt;"",Deals!$J28&lt;&gt;""),"Yes","No"))</f>
        <v/>
      </c>
      <c r="G76" s="22">
        <f>IF($A76="","",Deals!$Z28)</f>
        <v/>
      </c>
      <c r="H76" s="23">
        <f>IF(OR($A76="",$G76=""),"",INT((Settings!$B$19-$G76)/7))</f>
        <v/>
      </c>
      <c r="I76" s="24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MissingLevel","")&amp;IF(AND($C76="Proposal",Deals!$H28=0.5)," DefaultProbability","")&amp;IF($F76="No"," NoDates","")&amp;IF(AND(ISNUMBER($H76),$H76&gt;=Settings!$B$20)," Stale","")))</f>
        <v/>
      </c>
    </row>
    <row r="77">
      <c r="A77" s="16">
        <f>IF(Deals!$A29="","",Deals!$A29)</f>
        <v/>
      </c>
      <c r="B77" s="16">
        <f>IF($A77="","",Deals!$C29)</f>
        <v/>
      </c>
      <c r="C77" s="16">
        <f>IF($A77="","",Deals!$F29)</f>
        <v/>
      </c>
      <c r="D77" s="21">
        <f>IF($A77="","",Deals!$H29)</f>
        <v/>
      </c>
      <c r="E77" s="17">
        <f>IF($A77="","",Deals!$Q29)</f>
        <v/>
      </c>
      <c r="F77" s="16">
        <f>IF($A77="","",IF(AND(Deals!$I29&lt;&gt;"",Deals!$J29&lt;&gt;""),"Yes","No"))</f>
        <v/>
      </c>
      <c r="G77" s="22">
        <f>IF($A77="","",Deals!$Z29)</f>
        <v/>
      </c>
      <c r="H77" s="23">
        <f>IF(OR($A77="",$G77=""),"",INT((Settings!$B$19-$G77)/7))</f>
        <v/>
      </c>
      <c r="I77" s="24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MissingLevel","")&amp;IF(AND($C77="Proposal",Deals!$H29=0.5)," DefaultProbability","")&amp;IF($F77="No"," NoDates","")&amp;IF(AND(ISNUMBER($H77),$H77&gt;=Settings!$B$20)," Stale","")))</f>
        <v/>
      </c>
    </row>
    <row r="78">
      <c r="A78" s="16">
        <f>IF(Deals!$A30="","",Deals!$A30)</f>
        <v/>
      </c>
      <c r="B78" s="16">
        <f>IF($A78="","",Deals!$C30)</f>
        <v/>
      </c>
      <c r="C78" s="16">
        <f>IF($A78="","",Deals!$F30)</f>
        <v/>
      </c>
      <c r="D78" s="21">
        <f>IF($A78="","",Deals!$H30)</f>
        <v/>
      </c>
      <c r="E78" s="17">
        <f>IF($A78="","",Deals!$Q30)</f>
        <v/>
      </c>
      <c r="F78" s="16">
        <f>IF($A78="","",IF(AND(Deals!$I30&lt;&gt;"",Deals!$J30&lt;&gt;""),"Yes","No"))</f>
        <v/>
      </c>
      <c r="G78" s="22">
        <f>IF($A78="","",Deals!$Z30)</f>
        <v/>
      </c>
      <c r="H78" s="23">
        <f>IF(OR($A78="",$G78=""),"",INT((Settings!$B$19-$G78)/7))</f>
        <v/>
      </c>
      <c r="I78" s="24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MissingLevel","")&amp;IF(AND($C78="Proposal",Deals!$H30=0.5)," DefaultProbability","")&amp;IF($F78="No"," NoDates","")&amp;IF(AND(ISNUMBER($H78),$H78&gt;=Settings!$B$20)," Stale","")))</f>
        <v/>
      </c>
    </row>
    <row r="79">
      <c r="A79" s="16">
        <f>IF(Deals!$A31="","",Deals!$A31)</f>
        <v/>
      </c>
      <c r="B79" s="16">
        <f>IF($A79="","",Deals!$C31)</f>
        <v/>
      </c>
      <c r="C79" s="16">
        <f>IF($A79="","",Deals!$F31)</f>
        <v/>
      </c>
      <c r="D79" s="21">
        <f>IF($A79="","",Deals!$H31)</f>
        <v/>
      </c>
      <c r="E79" s="17">
        <f>IF($A79="","",Deals!$Q31)</f>
        <v/>
      </c>
      <c r="F79" s="16">
        <f>IF($A79="","",IF(AND(Deals!$I31&lt;&gt;"",Deals!$J31&lt;&gt;""),"Yes","No"))</f>
        <v/>
      </c>
      <c r="G79" s="22">
        <f>IF($A79="","",Deals!$Z31)</f>
        <v/>
      </c>
      <c r="H79" s="23">
        <f>IF(OR($A79="",$G79=""),"",INT((Settings!$B$19-$G79)/7))</f>
        <v/>
      </c>
      <c r="I79" s="24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MissingLevel","")&amp;IF(AND($C79="Proposal",Deals!$H31=0.5)," DefaultProbability","")&amp;IF($F79="No"," NoDates","")&amp;IF(AND(ISNUMBER($H79),$H79&gt;=Settings!$B$20)," Stale","")))</f>
        <v/>
      </c>
    </row>
    <row r="80">
      <c r="A80" s="16">
        <f>IF(Deals!$A32="","",Deals!$A32)</f>
        <v/>
      </c>
      <c r="B80" s="16">
        <f>IF($A80="","",Deals!$C32)</f>
        <v/>
      </c>
      <c r="C80" s="16">
        <f>IF($A80="","",Deals!$F32)</f>
        <v/>
      </c>
      <c r="D80" s="21">
        <f>IF($A80="","",Deals!$H32)</f>
        <v/>
      </c>
      <c r="E80" s="17">
        <f>IF($A80="","",Deals!$Q32)</f>
        <v/>
      </c>
      <c r="F80" s="16">
        <f>IF($A80="","",IF(AND(Deals!$I32&lt;&gt;"",Deals!$J32&lt;&gt;""),"Yes","No"))</f>
        <v/>
      </c>
      <c r="G80" s="22">
        <f>IF($A80="","",Deals!$Z32)</f>
        <v/>
      </c>
      <c r="H80" s="23">
        <f>IF(OR($A80="",$G80=""),"",INT((Settings!$B$19-$G80)/7))</f>
        <v/>
      </c>
      <c r="I80" s="24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MissingLevel","")&amp;IF(AND($C80="Proposal",Deals!$H32=0.5)," DefaultProbability","")&amp;IF($F80="No"," NoDates","")&amp;IF(AND(ISNUMBER($H80),$H80&gt;=Settings!$B$20)," Stale","")))</f>
        <v/>
      </c>
    </row>
    <row r="81">
      <c r="A81" s="16">
        <f>IF(Deals!$A33="","",Deals!$A33)</f>
        <v/>
      </c>
      <c r="B81" s="16">
        <f>IF($A81="","",Deals!$C33)</f>
        <v/>
      </c>
      <c r="C81" s="16">
        <f>IF($A81="","",Deals!$F33)</f>
        <v/>
      </c>
      <c r="D81" s="21">
        <f>IF($A81="","",Deals!$H33)</f>
        <v/>
      </c>
      <c r="E81" s="17">
        <f>IF($A81="","",Deals!$Q33)</f>
        <v/>
      </c>
      <c r="F81" s="16">
        <f>IF($A81="","",IF(AND(Deals!$I33&lt;&gt;"",Deals!$J33&lt;&gt;""),"Yes","No"))</f>
        <v/>
      </c>
      <c r="G81" s="22">
        <f>IF($A81="","",Deals!$Z33)</f>
        <v/>
      </c>
      <c r="H81" s="23">
        <f>IF(OR($A81="",$G81=""),"",INT((Settings!$B$19-$G81)/7))</f>
        <v/>
      </c>
      <c r="I81" s="24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MissingLevel","")&amp;IF(AND($C81="Proposal",Deals!$H33=0.5)," DefaultProbability","")&amp;IF($F81="No"," NoDates","")&amp;IF(AND(ISNUMBER($H81),$H81&gt;=Settings!$B$20)," Stale","")))</f>
        <v/>
      </c>
    </row>
    <row r="82">
      <c r="A82" s="16">
        <f>IF(Deals!$A34="","",Deals!$A34)</f>
        <v/>
      </c>
      <c r="B82" s="16">
        <f>IF($A82="","",Deals!$C34)</f>
        <v/>
      </c>
      <c r="C82" s="16">
        <f>IF($A82="","",Deals!$F34)</f>
        <v/>
      </c>
      <c r="D82" s="21">
        <f>IF($A82="","",Deals!$H34)</f>
        <v/>
      </c>
      <c r="E82" s="17">
        <f>IF($A82="","",Deals!$Q34)</f>
        <v/>
      </c>
      <c r="F82" s="16">
        <f>IF($A82="","",IF(AND(Deals!$I34&lt;&gt;"",Deals!$J34&lt;&gt;""),"Yes","No"))</f>
        <v/>
      </c>
      <c r="G82" s="22">
        <f>IF($A82="","",Deals!$Z34)</f>
        <v/>
      </c>
      <c r="H82" s="23">
        <f>IF(OR($A82="",$G82=""),"",INT((Settings!$B$19-$G82)/7))</f>
        <v/>
      </c>
      <c r="I82" s="24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MissingLevel","")&amp;IF(AND($C82="Proposal",Deals!$H34=0.5)," DefaultProbability","")&amp;IF($F82="No"," NoDates","")&amp;IF(AND(ISNUMBER($H82),$H82&gt;=Settings!$B$20)," Stale","")))</f>
        <v/>
      </c>
    </row>
    <row r="83">
      <c r="A83" s="16">
        <f>IF(Deals!$A35="","",Deals!$A35)</f>
        <v/>
      </c>
      <c r="B83" s="16">
        <f>IF($A83="","",Deals!$C35)</f>
        <v/>
      </c>
      <c r="C83" s="16">
        <f>IF($A83="","",Deals!$F35)</f>
        <v/>
      </c>
      <c r="D83" s="21">
        <f>IF($A83="","",Deals!$H35)</f>
        <v/>
      </c>
      <c r="E83" s="17">
        <f>IF($A83="","",Deals!$Q35)</f>
        <v/>
      </c>
      <c r="F83" s="16">
        <f>IF($A83="","",IF(AND(Deals!$I35&lt;&gt;"",Deals!$J35&lt;&gt;""),"Yes","No"))</f>
        <v/>
      </c>
      <c r="G83" s="22">
        <f>IF($A83="","",Deals!$Z35)</f>
        <v/>
      </c>
      <c r="H83" s="23">
        <f>IF(OR($A83="",$G83=""),"",INT((Settings!$B$19-$G83)/7))</f>
        <v/>
      </c>
      <c r="I83" s="24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MissingLevel","")&amp;IF(AND($C83="Proposal",Deals!$H35=0.5)," DefaultProbability","")&amp;IF($F83="No"," NoDates","")&amp;IF(AND(ISNUMBER($H83),$H83&gt;=Settings!$B$20)," Stale","")))</f>
        <v/>
      </c>
    </row>
    <row r="84">
      <c r="A84" s="16">
        <f>IF(Deals!$A36="","",Deals!$A36)</f>
        <v/>
      </c>
      <c r="B84" s="16">
        <f>IF($A84="","",Deals!$C36)</f>
        <v/>
      </c>
      <c r="C84" s="16">
        <f>IF($A84="","",Deals!$F36)</f>
        <v/>
      </c>
      <c r="D84" s="21">
        <f>IF($A84="","",Deals!$H36)</f>
        <v/>
      </c>
      <c r="E84" s="17">
        <f>IF($A84="","",Deals!$Q36)</f>
        <v/>
      </c>
      <c r="F84" s="16">
        <f>IF($A84="","",IF(AND(Deals!$I36&lt;&gt;"",Deals!$J36&lt;&gt;""),"Yes","No"))</f>
        <v/>
      </c>
      <c r="G84" s="22">
        <f>IF($A84="","",Deals!$Z36)</f>
        <v/>
      </c>
      <c r="H84" s="23">
        <f>IF(OR($A84="",$G84=""),"",INT((Settings!$B$19-$G84)/7))</f>
        <v/>
      </c>
      <c r="I84" s="24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MissingLevel","")&amp;IF(AND($C84="Proposal",Deals!$H36=0.5)," DefaultProbability","")&amp;IF($F84="No"," NoDates","")&amp;IF(AND(ISNUMBER($H84),$H84&gt;=Settings!$B$20)," Stale","")))</f>
        <v/>
      </c>
    </row>
    <row r="85">
      <c r="A85" s="16">
        <f>IF(Deals!$A37="","",Deals!$A37)</f>
        <v/>
      </c>
      <c r="B85" s="16">
        <f>IF($A85="","",Deals!$C37)</f>
        <v/>
      </c>
      <c r="C85" s="16">
        <f>IF($A85="","",Deals!$F37)</f>
        <v/>
      </c>
      <c r="D85" s="21">
        <f>IF($A85="","",Deals!$H37)</f>
        <v/>
      </c>
      <c r="E85" s="17">
        <f>IF($A85="","",Deals!$Q37)</f>
        <v/>
      </c>
      <c r="F85" s="16">
        <f>IF($A85="","",IF(AND(Deals!$I37&lt;&gt;"",Deals!$J37&lt;&gt;""),"Yes","No"))</f>
        <v/>
      </c>
      <c r="G85" s="22">
        <f>IF($A85="","",Deals!$Z37)</f>
        <v/>
      </c>
      <c r="H85" s="23">
        <f>IF(OR($A85="",$G85=""),"",INT((Settings!$B$19-$G85)/7))</f>
        <v/>
      </c>
      <c r="I85" s="24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MissingLevel","")&amp;IF(AND($C85="Proposal",Deals!$H37=0.5)," DefaultProbability","")&amp;IF($F85="No"," NoDates","")&amp;IF(AND(ISNUMBER($H85),$H85&gt;=Settings!$B$20)," Stale","")))</f>
        <v/>
      </c>
    </row>
    <row r="86">
      <c r="A86" s="16">
        <f>IF(Deals!$A38="","",Deals!$A38)</f>
        <v/>
      </c>
      <c r="B86" s="16">
        <f>IF($A86="","",Deals!$C38)</f>
        <v/>
      </c>
      <c r="C86" s="16">
        <f>IF($A86="","",Deals!$F38)</f>
        <v/>
      </c>
      <c r="D86" s="21">
        <f>IF($A86="","",Deals!$H38)</f>
        <v/>
      </c>
      <c r="E86" s="17">
        <f>IF($A86="","",Deals!$Q38)</f>
        <v/>
      </c>
      <c r="F86" s="16">
        <f>IF($A86="","",IF(AND(Deals!$I38&lt;&gt;"",Deals!$J38&lt;&gt;""),"Yes","No"))</f>
        <v/>
      </c>
      <c r="G86" s="22">
        <f>IF($A86="","",Deals!$Z38)</f>
        <v/>
      </c>
      <c r="H86" s="23">
        <f>IF(OR($A86="",$G86=""),"",INT((Settings!$B$19-$G86)/7))</f>
        <v/>
      </c>
      <c r="I86" s="24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MissingLevel","")&amp;IF(AND($C86="Proposal",Deals!$H38=0.5)," DefaultProbability","")&amp;IF($F86="No"," NoDates","")&amp;IF(AND(ISNUMBER($H86),$H86&gt;=Settings!$B$20)," Stale","")))</f>
        <v/>
      </c>
    </row>
    <row r="87">
      <c r="A87" s="16">
        <f>IF(Deals!$A39="","",Deals!$A39)</f>
        <v/>
      </c>
      <c r="B87" s="16">
        <f>IF($A87="","",Deals!$C39)</f>
        <v/>
      </c>
      <c r="C87" s="16">
        <f>IF($A87="","",Deals!$F39)</f>
        <v/>
      </c>
      <c r="D87" s="21">
        <f>IF($A87="","",Deals!$H39)</f>
        <v/>
      </c>
      <c r="E87" s="17">
        <f>IF($A87="","",Deals!$Q39)</f>
        <v/>
      </c>
      <c r="F87" s="16">
        <f>IF($A87="","",IF(AND(Deals!$I39&lt;&gt;"",Deals!$J39&lt;&gt;""),"Yes","No"))</f>
        <v/>
      </c>
      <c r="G87" s="22">
        <f>IF($A87="","",Deals!$Z39)</f>
        <v/>
      </c>
      <c r="H87" s="23">
        <f>IF(OR($A87="",$G87=""),"",INT((Settings!$B$19-$G87)/7))</f>
        <v/>
      </c>
      <c r="I87" s="24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MissingLevel","")&amp;IF(AND($C87="Proposal",Deals!$H39=0.5)," DefaultProbability","")&amp;IF($F87="No"," NoDates","")&amp;IF(AND(ISNUMBER($H87),$H87&gt;=Settings!$B$20)," Stale","")))</f>
        <v/>
      </c>
    </row>
    <row r="88">
      <c r="A88" s="16">
        <f>IF(Deals!$A40="","",Deals!$A40)</f>
        <v/>
      </c>
      <c r="B88" s="16">
        <f>IF($A88="","",Deals!$C40)</f>
        <v/>
      </c>
      <c r="C88" s="16">
        <f>IF($A88="","",Deals!$F40)</f>
        <v/>
      </c>
      <c r="D88" s="21">
        <f>IF($A88="","",Deals!$H40)</f>
        <v/>
      </c>
      <c r="E88" s="17">
        <f>IF($A88="","",Deals!$Q40)</f>
        <v/>
      </c>
      <c r="F88" s="16">
        <f>IF($A88="","",IF(AND(Deals!$I40&lt;&gt;"",Deals!$J40&lt;&gt;""),"Yes","No"))</f>
        <v/>
      </c>
      <c r="G88" s="22">
        <f>IF($A88="","",Deals!$Z40)</f>
        <v/>
      </c>
      <c r="H88" s="23">
        <f>IF(OR($A88="",$G88=""),"",INT((Settings!$B$19-$G88)/7))</f>
        <v/>
      </c>
      <c r="I88" s="24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MissingLevel","")&amp;IF(AND($C88="Proposal",Deals!$H40=0.5)," DefaultProbability","")&amp;IF($F88="No"," NoDates","")&amp;IF(AND(ISNUMBER($H88),$H88&gt;=Settings!$B$20)," Stale","")))</f>
        <v/>
      </c>
    </row>
    <row r="89">
      <c r="A89" s="16">
        <f>IF(Deals!$A41="","",Deals!$A41)</f>
        <v/>
      </c>
      <c r="B89" s="16">
        <f>IF($A89="","",Deals!$C41)</f>
        <v/>
      </c>
      <c r="C89" s="16">
        <f>IF($A89="","",Deals!$F41)</f>
        <v/>
      </c>
      <c r="D89" s="21">
        <f>IF($A89="","",Deals!$H41)</f>
        <v/>
      </c>
      <c r="E89" s="17">
        <f>IF($A89="","",Deals!$Q41)</f>
        <v/>
      </c>
      <c r="F89" s="16">
        <f>IF($A89="","",IF(AND(Deals!$I41&lt;&gt;"",Deals!$J41&lt;&gt;""),"Yes","No"))</f>
        <v/>
      </c>
      <c r="G89" s="22">
        <f>IF($A89="","",Deals!$Z41)</f>
        <v/>
      </c>
      <c r="H89" s="23">
        <f>IF(OR($A89="",$G89=""),"",INT((Settings!$B$19-$G89)/7))</f>
        <v/>
      </c>
      <c r="I89" s="24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MissingLevel","")&amp;IF(AND($C89="Proposal",Deals!$H41=0.5)," DefaultProbability","")&amp;IF($F89="No"," NoDates","")&amp;IF(AND(ISNUMBER($H89),$H89&gt;=Settings!$B$20)," Stale","")))</f>
        <v/>
      </c>
    </row>
    <row r="90">
      <c r="A90" s="16">
        <f>IF(Deals!$A42="","",Deals!$A42)</f>
        <v/>
      </c>
      <c r="B90" s="16">
        <f>IF($A90="","",Deals!$C42)</f>
        <v/>
      </c>
      <c r="C90" s="16">
        <f>IF($A90="","",Deals!$F42)</f>
        <v/>
      </c>
      <c r="D90" s="21">
        <f>IF($A90="","",Deals!$H42)</f>
        <v/>
      </c>
      <c r="E90" s="17">
        <f>IF($A90="","",Deals!$Q42)</f>
        <v/>
      </c>
      <c r="F90" s="16">
        <f>IF($A90="","",IF(AND(Deals!$I42&lt;&gt;"",Deals!$J42&lt;&gt;""),"Yes","No"))</f>
        <v/>
      </c>
      <c r="G90" s="22">
        <f>IF($A90="","",Deals!$Z42)</f>
        <v/>
      </c>
      <c r="H90" s="23">
        <f>IF(OR($A90="",$G90=""),"",INT((Settings!$B$19-$G90)/7))</f>
        <v/>
      </c>
      <c r="I90" s="24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MissingLevel","")&amp;IF(AND($C90="Proposal",Deals!$H42=0.5)," DefaultProbability","")&amp;IF($F90="No"," NoDates","")&amp;IF(AND(ISNUMBER($H90),$H90&gt;=Settings!$B$20)," Stale","")))</f>
        <v/>
      </c>
    </row>
    <row r="91">
      <c r="A91" s="16">
        <f>IF(Deals!$A43="","",Deals!$A43)</f>
        <v/>
      </c>
      <c r="B91" s="16">
        <f>IF($A91="","",Deals!$C43)</f>
        <v/>
      </c>
      <c r="C91" s="16">
        <f>IF($A91="","",Deals!$F43)</f>
        <v/>
      </c>
      <c r="D91" s="21">
        <f>IF($A91="","",Deals!$H43)</f>
        <v/>
      </c>
      <c r="E91" s="17">
        <f>IF($A91="","",Deals!$Q43)</f>
        <v/>
      </c>
      <c r="F91" s="16">
        <f>IF($A91="","",IF(AND(Deals!$I43&lt;&gt;"",Deals!$J43&lt;&gt;""),"Yes","No"))</f>
        <v/>
      </c>
      <c r="G91" s="22">
        <f>IF($A91="","",Deals!$Z43)</f>
        <v/>
      </c>
      <c r="H91" s="23">
        <f>IF(OR($A91="",$G91=""),"",INT((Settings!$B$19-$G91)/7))</f>
        <v/>
      </c>
      <c r="I91" s="24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MissingLevel","")&amp;IF(AND($C91="Proposal",Deals!$H43=0.5)," DefaultProbability","")&amp;IF($F91="No"," NoDates","")&amp;IF(AND(ISNUMBER($H91),$H91&gt;=Settings!$B$20)," Stale","")))</f>
        <v/>
      </c>
    </row>
    <row r="92">
      <c r="A92" s="16">
        <f>IF(Deals!$A44="","",Deals!$A44)</f>
        <v/>
      </c>
      <c r="B92" s="16">
        <f>IF($A92="","",Deals!$C44)</f>
        <v/>
      </c>
      <c r="C92" s="16">
        <f>IF($A92="","",Deals!$F44)</f>
        <v/>
      </c>
      <c r="D92" s="21">
        <f>IF($A92="","",Deals!$H44)</f>
        <v/>
      </c>
      <c r="E92" s="17">
        <f>IF($A92="","",Deals!$Q44)</f>
        <v/>
      </c>
      <c r="F92" s="16">
        <f>IF($A92="","",IF(AND(Deals!$I44&lt;&gt;"",Deals!$J44&lt;&gt;""),"Yes","No"))</f>
        <v/>
      </c>
      <c r="G92" s="22">
        <f>IF($A92="","",Deals!$Z44)</f>
        <v/>
      </c>
      <c r="H92" s="23">
        <f>IF(OR($A92="",$G92=""),"",INT((Settings!$B$19-$G92)/7))</f>
        <v/>
      </c>
      <c r="I92" s="24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MissingLevel","")&amp;IF(AND($C92="Proposal",Deals!$H44=0.5)," DefaultProbability","")&amp;IF($F92="No"," NoDates","")&amp;IF(AND(ISNUMBER($H92),$H92&gt;=Settings!$B$20)," Stale","")))</f>
        <v/>
      </c>
    </row>
    <row r="93">
      <c r="A93" s="16">
        <f>IF(Deals!$A45="","",Deals!$A45)</f>
        <v/>
      </c>
      <c r="B93" s="16">
        <f>IF($A93="","",Deals!$C45)</f>
        <v/>
      </c>
      <c r="C93" s="16">
        <f>IF($A93="","",Deals!$F45)</f>
        <v/>
      </c>
      <c r="D93" s="21">
        <f>IF($A93="","",Deals!$H45)</f>
        <v/>
      </c>
      <c r="E93" s="17">
        <f>IF($A93="","",Deals!$Q45)</f>
        <v/>
      </c>
      <c r="F93" s="16">
        <f>IF($A93="","",IF(AND(Deals!$I45&lt;&gt;"",Deals!$J45&lt;&gt;""),"Yes","No"))</f>
        <v/>
      </c>
      <c r="G93" s="22">
        <f>IF($A93="","",Deals!$Z45)</f>
        <v/>
      </c>
      <c r="H93" s="23">
        <f>IF(OR($A93="",$G93=""),"",INT((Settings!$B$19-$G93)/7))</f>
        <v/>
      </c>
      <c r="I93" s="24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MissingLevel","")&amp;IF(AND($C93="Proposal",Deals!$H45=0.5)," DefaultProbability","")&amp;IF($F93="No"," NoDates","")&amp;IF(AND(ISNUMBER($H93),$H93&gt;=Settings!$B$20)," Stale","")))</f>
        <v/>
      </c>
    </row>
    <row r="94">
      <c r="A94" s="16">
        <f>IF(Deals!$A46="","",Deals!$A46)</f>
        <v/>
      </c>
      <c r="B94" s="16">
        <f>IF($A94="","",Deals!$C46)</f>
        <v/>
      </c>
      <c r="C94" s="16">
        <f>IF($A94="","",Deals!$F46)</f>
        <v/>
      </c>
      <c r="D94" s="21">
        <f>IF($A94="","",Deals!$H46)</f>
        <v/>
      </c>
      <c r="E94" s="17">
        <f>IF($A94="","",Deals!$Q46)</f>
        <v/>
      </c>
      <c r="F94" s="16">
        <f>IF($A94="","",IF(AND(Deals!$I46&lt;&gt;"",Deals!$J46&lt;&gt;""),"Yes","No"))</f>
        <v/>
      </c>
      <c r="G94" s="22">
        <f>IF($A94="","",Deals!$Z46)</f>
        <v/>
      </c>
      <c r="H94" s="23">
        <f>IF(OR($A94="",$G94=""),"",INT((Settings!$B$19-$G94)/7))</f>
        <v/>
      </c>
      <c r="I94" s="24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MissingLevel","")&amp;IF(AND($C94="Proposal",Deals!$H46=0.5)," DefaultProbability","")&amp;IF($F94="No"," NoDates","")&amp;IF(AND(ISNUMBER($H94),$H94&gt;=Settings!$B$20)," Stale","")))</f>
        <v/>
      </c>
    </row>
    <row r="95">
      <c r="A95" s="16">
        <f>IF(Deals!$A47="","",Deals!$A47)</f>
        <v/>
      </c>
      <c r="B95" s="16">
        <f>IF($A95="","",Deals!$C47)</f>
        <v/>
      </c>
      <c r="C95" s="16">
        <f>IF($A95="","",Deals!$F47)</f>
        <v/>
      </c>
      <c r="D95" s="21">
        <f>IF($A95="","",Deals!$H47)</f>
        <v/>
      </c>
      <c r="E95" s="17">
        <f>IF($A95="","",Deals!$Q47)</f>
        <v/>
      </c>
      <c r="F95" s="16">
        <f>IF($A95="","",IF(AND(Deals!$I47&lt;&gt;"",Deals!$J47&lt;&gt;""),"Yes","No"))</f>
        <v/>
      </c>
      <c r="G95" s="22">
        <f>IF($A95="","",Deals!$Z47)</f>
        <v/>
      </c>
      <c r="H95" s="23">
        <f>IF(OR($A95="",$G95=""),"",INT((Settings!$B$19-$G95)/7))</f>
        <v/>
      </c>
      <c r="I95" s="24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MissingLevel","")&amp;IF(AND($C95="Proposal",Deals!$H47=0.5)," DefaultProbability","")&amp;IF($F95="No"," NoDates","")&amp;IF(AND(ISNUMBER($H95),$H95&gt;=Settings!$B$20)," Stale","")))</f>
        <v/>
      </c>
    </row>
    <row r="96">
      <c r="A96" s="16">
        <f>IF(Deals!$A48="","",Deals!$A48)</f>
        <v/>
      </c>
      <c r="B96" s="16">
        <f>IF($A96="","",Deals!$C48)</f>
        <v/>
      </c>
      <c r="C96" s="16">
        <f>IF($A96="","",Deals!$F48)</f>
        <v/>
      </c>
      <c r="D96" s="21">
        <f>IF($A96="","",Deals!$H48)</f>
        <v/>
      </c>
      <c r="E96" s="17">
        <f>IF($A96="","",Deals!$Q48)</f>
        <v/>
      </c>
      <c r="F96" s="16">
        <f>IF($A96="","",IF(AND(Deals!$I48&lt;&gt;"",Deals!$J48&lt;&gt;""),"Yes","No"))</f>
        <v/>
      </c>
      <c r="G96" s="22">
        <f>IF($A96="","",Deals!$Z48)</f>
        <v/>
      </c>
      <c r="H96" s="23">
        <f>IF(OR($A96="",$G96=""),"",INT((Settings!$B$19-$G96)/7))</f>
        <v/>
      </c>
      <c r="I96" s="24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MissingLevel","")&amp;IF(AND($C96="Proposal",Deals!$H48=0.5)," DefaultProbability","")&amp;IF($F96="No"," NoDates","")&amp;IF(AND(ISNUMBER($H96),$H96&gt;=Settings!$B$20)," Stale","")))</f>
        <v/>
      </c>
    </row>
    <row r="97">
      <c r="A97" s="16">
        <f>IF(Deals!$A49="","",Deals!$A49)</f>
        <v/>
      </c>
      <c r="B97" s="16">
        <f>IF($A97="","",Deals!$C49)</f>
        <v/>
      </c>
      <c r="C97" s="16">
        <f>IF($A97="","",Deals!$F49)</f>
        <v/>
      </c>
      <c r="D97" s="21">
        <f>IF($A97="","",Deals!$H49)</f>
        <v/>
      </c>
      <c r="E97" s="17">
        <f>IF($A97="","",Deals!$Q49)</f>
        <v/>
      </c>
      <c r="F97" s="16">
        <f>IF($A97="","",IF(AND(Deals!$I49&lt;&gt;"",Deals!$J49&lt;&gt;""),"Yes","No"))</f>
        <v/>
      </c>
      <c r="G97" s="22">
        <f>IF($A97="","",Deals!$Z49)</f>
        <v/>
      </c>
      <c r="H97" s="23">
        <f>IF(OR($A97="",$G97=""),"",INT((Settings!$B$19-$G97)/7))</f>
        <v/>
      </c>
      <c r="I97" s="24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MissingLevel","")&amp;IF(AND($C97="Proposal",Deals!$H49=0.5)," DefaultProbability","")&amp;IF($F97="No"," NoDates","")&amp;IF(AND(ISNUMBER($H97),$H97&gt;=Settings!$B$20)," Stale","")))</f>
        <v/>
      </c>
    </row>
    <row r="98">
      <c r="A98" s="16">
        <f>IF(Deals!$A50="","",Deals!$A50)</f>
        <v/>
      </c>
      <c r="B98" s="16">
        <f>IF($A98="","",Deals!$C50)</f>
        <v/>
      </c>
      <c r="C98" s="16">
        <f>IF($A98="","",Deals!$F50)</f>
        <v/>
      </c>
      <c r="D98" s="21">
        <f>IF($A98="","",Deals!$H50)</f>
        <v/>
      </c>
      <c r="E98" s="17">
        <f>IF($A98="","",Deals!$Q50)</f>
        <v/>
      </c>
      <c r="F98" s="16">
        <f>IF($A98="","",IF(AND(Deals!$I50&lt;&gt;"",Deals!$J50&lt;&gt;""),"Yes","No"))</f>
        <v/>
      </c>
      <c r="G98" s="22">
        <f>IF($A98="","",Deals!$Z50)</f>
        <v/>
      </c>
      <c r="H98" s="23">
        <f>IF(OR($A98="",$G98=""),"",INT((Settings!$B$19-$G98)/7))</f>
        <v/>
      </c>
      <c r="I98" s="24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MissingLevel","")&amp;IF(AND($C98="Proposal",Deals!$H50=0.5)," DefaultProbability","")&amp;IF($F98="No"," NoDates","")&amp;IF(AND(ISNUMBER($H98),$H98&gt;=Settings!$B$20)," Stale","")))</f>
        <v/>
      </c>
    </row>
    <row r="99">
      <c r="A99" s="16">
        <f>IF(Deals!$A51="","",Deals!$A51)</f>
        <v/>
      </c>
      <c r="B99" s="16">
        <f>IF($A99="","",Deals!$C51)</f>
        <v/>
      </c>
      <c r="C99" s="16">
        <f>IF($A99="","",Deals!$F51)</f>
        <v/>
      </c>
      <c r="D99" s="21">
        <f>IF($A99="","",Deals!$H51)</f>
        <v/>
      </c>
      <c r="E99" s="17">
        <f>IF($A99="","",Deals!$Q51)</f>
        <v/>
      </c>
      <c r="F99" s="16">
        <f>IF($A99="","",IF(AND(Deals!$I51&lt;&gt;"",Deals!$J51&lt;&gt;""),"Yes","No"))</f>
        <v/>
      </c>
      <c r="G99" s="22">
        <f>IF($A99="","",Deals!$Z51)</f>
        <v/>
      </c>
      <c r="H99" s="23">
        <f>IF(OR($A99="",$G99=""),"",INT((Settings!$B$19-$G99)/7))</f>
        <v/>
      </c>
      <c r="I99" s="24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MissingLevel","")&amp;IF(AND($C99="Proposal",Deals!$H51=0.5)," DefaultProbability","")&amp;IF($F99="No"," NoDates","")&amp;IF(AND(ISNUMBER($H99),$H99&gt;=Settings!$B$20)," Stale","")))</f>
        <v/>
      </c>
    </row>
    <row r="100">
      <c r="A100" s="16">
        <f>IF(Deals!$A52="","",Deals!$A52)</f>
        <v/>
      </c>
      <c r="B100" s="16">
        <f>IF($A100="","",Deals!$C52)</f>
        <v/>
      </c>
      <c r="C100" s="16">
        <f>IF($A100="","",Deals!$F52)</f>
        <v/>
      </c>
      <c r="D100" s="21">
        <f>IF($A100="","",Deals!$H52)</f>
        <v/>
      </c>
      <c r="E100" s="17">
        <f>IF($A100="","",Deals!$Q52)</f>
        <v/>
      </c>
      <c r="F100" s="16">
        <f>IF($A100="","",IF(AND(Deals!$I52&lt;&gt;"",Deals!$J52&lt;&gt;""),"Yes","No"))</f>
        <v/>
      </c>
      <c r="G100" s="22">
        <f>IF($A100="","",Deals!$Z52)</f>
        <v/>
      </c>
      <c r="H100" s="23">
        <f>IF(OR($A100="",$G100=""),"",INT((Settings!$B$19-$G100)/7))</f>
        <v/>
      </c>
      <c r="I100" s="24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MissingLevel","")&amp;IF(AND($C100="Proposal",Deals!$H52=0.5)," DefaultProbability","")&amp;IF($F100="No"," NoDates","")&amp;IF(AND(ISNUMBER($H100),$H100&gt;=Settings!$B$20)," Stale","")))</f>
        <v/>
      </c>
    </row>
    <row r="101">
      <c r="A101" s="16">
        <f>IF(Deals!$A53="","",Deals!$A53)</f>
        <v/>
      </c>
      <c r="B101" s="16">
        <f>IF($A101="","",Deals!$C53)</f>
        <v/>
      </c>
      <c r="C101" s="16">
        <f>IF($A101="","",Deals!$F53)</f>
        <v/>
      </c>
      <c r="D101" s="21">
        <f>IF($A101="","",Deals!$H53)</f>
        <v/>
      </c>
      <c r="E101" s="17">
        <f>IF($A101="","",Deals!$Q53)</f>
        <v/>
      </c>
      <c r="F101" s="16">
        <f>IF($A101="","",IF(AND(Deals!$I53&lt;&gt;"",Deals!$J53&lt;&gt;""),"Yes","No"))</f>
        <v/>
      </c>
      <c r="G101" s="22">
        <f>IF($A101="","",Deals!$Z53)</f>
        <v/>
      </c>
      <c r="H101" s="23">
        <f>IF(OR($A101="",$G101=""),"",INT((Settings!$B$19-$G101)/7))</f>
        <v/>
      </c>
      <c r="I101" s="24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MissingLevel","")&amp;IF(AND($C101="Proposal",Deals!$H53=0.5)," DefaultProbability","")&amp;IF($F101="No"," NoDates","")&amp;IF(AND(ISNUMBER($H101),$H101&gt;=Settings!$B$20)," Stale","")))</f>
        <v/>
      </c>
    </row>
    <row r="102">
      <c r="A102" s="16">
        <f>IF(Deals!$A54="","",Deals!$A54)</f>
        <v/>
      </c>
      <c r="B102" s="16">
        <f>IF($A102="","",Deals!$C54)</f>
        <v/>
      </c>
      <c r="C102" s="16">
        <f>IF($A102="","",Deals!$F54)</f>
        <v/>
      </c>
      <c r="D102" s="21">
        <f>IF($A102="","",Deals!$H54)</f>
        <v/>
      </c>
      <c r="E102" s="17">
        <f>IF($A102="","",Deals!$Q54)</f>
        <v/>
      </c>
      <c r="F102" s="16">
        <f>IF($A102="","",IF(AND(Deals!$I54&lt;&gt;"",Deals!$J54&lt;&gt;""),"Yes","No"))</f>
        <v/>
      </c>
      <c r="G102" s="22">
        <f>IF($A102="","",Deals!$Z54)</f>
        <v/>
      </c>
      <c r="H102" s="23">
        <f>IF(OR($A102="",$G102=""),"",INT((Settings!$B$19-$G102)/7))</f>
        <v/>
      </c>
      <c r="I102" s="24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MissingLevel","")&amp;IF(AND($C102="Proposal",Deals!$H54=0.5)," DefaultProbability","")&amp;IF($F102="No"," NoDates","")&amp;IF(AND(ISNUMBER($H102),$H102&gt;=Settings!$B$20)," Stale","")))</f>
        <v/>
      </c>
    </row>
    <row r="103">
      <c r="A103" s="16">
        <f>IF(Deals!$A55="","",Deals!$A55)</f>
        <v/>
      </c>
      <c r="B103" s="16">
        <f>IF($A103="","",Deals!$C55)</f>
        <v/>
      </c>
      <c r="C103" s="16">
        <f>IF($A103="","",Deals!$F55)</f>
        <v/>
      </c>
      <c r="D103" s="21">
        <f>IF($A103="","",Deals!$H55)</f>
        <v/>
      </c>
      <c r="E103" s="17">
        <f>IF($A103="","",Deals!$Q55)</f>
        <v/>
      </c>
      <c r="F103" s="16">
        <f>IF($A103="","",IF(AND(Deals!$I55&lt;&gt;"",Deals!$J55&lt;&gt;""),"Yes","No"))</f>
        <v/>
      </c>
      <c r="G103" s="22">
        <f>IF($A103="","",Deals!$Z55)</f>
        <v/>
      </c>
      <c r="H103" s="23">
        <f>IF(OR($A103="",$G103=""),"",INT((Settings!$B$19-$G103)/7))</f>
        <v/>
      </c>
      <c r="I103" s="24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MissingLevel","")&amp;IF(AND($C103="Proposal",Deals!$H55=0.5)," DefaultProbability","")&amp;IF($F103="No"," NoDates","")&amp;IF(AND(ISNUMBER($H103),$H103&gt;=Settings!$B$20)," Stale","")))</f>
        <v/>
      </c>
    </row>
    <row r="104">
      <c r="A104" s="16">
        <f>IF(Deals!$A56="","",Deals!$A56)</f>
        <v/>
      </c>
      <c r="B104" s="16">
        <f>IF($A104="","",Deals!$C56)</f>
        <v/>
      </c>
      <c r="C104" s="16">
        <f>IF($A104="","",Deals!$F56)</f>
        <v/>
      </c>
      <c r="D104" s="21">
        <f>IF($A104="","",Deals!$H56)</f>
        <v/>
      </c>
      <c r="E104" s="17">
        <f>IF($A104="","",Deals!$Q56)</f>
        <v/>
      </c>
      <c r="F104" s="16">
        <f>IF($A104="","",IF(AND(Deals!$I56&lt;&gt;"",Deals!$J56&lt;&gt;""),"Yes","No"))</f>
        <v/>
      </c>
      <c r="G104" s="22">
        <f>IF($A104="","",Deals!$Z56)</f>
        <v/>
      </c>
      <c r="H104" s="23">
        <f>IF(OR($A104="",$G104=""),"",INT((Settings!$B$19-$G104)/7))</f>
        <v/>
      </c>
      <c r="I104" s="24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MissingLevel","")&amp;IF(AND($C104="Proposal",Deals!$H56=0.5)," DefaultProbability","")&amp;IF($F104="No"," NoDates","")&amp;IF(AND(ISNUMBER($H104),$H104&gt;=Settings!$B$20)," Stale","")))</f>
        <v/>
      </c>
    </row>
    <row r="105">
      <c r="A105" s="16">
        <f>IF(Deals!$A57="","",Deals!$A57)</f>
        <v/>
      </c>
      <c r="B105" s="16">
        <f>IF($A105="","",Deals!$C57)</f>
        <v/>
      </c>
      <c r="C105" s="16">
        <f>IF($A105="","",Deals!$F57)</f>
        <v/>
      </c>
      <c r="D105" s="21">
        <f>IF($A105="","",Deals!$H57)</f>
        <v/>
      </c>
      <c r="E105" s="17">
        <f>IF($A105="","",Deals!$Q57)</f>
        <v/>
      </c>
      <c r="F105" s="16">
        <f>IF($A105="","",IF(AND(Deals!$I57&lt;&gt;"",Deals!$J57&lt;&gt;""),"Yes","No"))</f>
        <v/>
      </c>
      <c r="G105" s="22">
        <f>IF($A105="","",Deals!$Z57)</f>
        <v/>
      </c>
      <c r="H105" s="23">
        <f>IF(OR($A105="",$G105=""),"",INT((Settings!$B$19-$G105)/7))</f>
        <v/>
      </c>
      <c r="I105" s="24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MissingLevel","")&amp;IF(AND($C105="Proposal",Deals!$H57=0.5)," DefaultProbability","")&amp;IF($F105="No"," NoDates","")&amp;IF(AND(ISNUMBER($H105),$H105&gt;=Settings!$B$20)," Stale","")))</f>
        <v/>
      </c>
    </row>
    <row r="106">
      <c r="A106" s="16">
        <f>IF(Deals!$A58="","",Deals!$A58)</f>
        <v/>
      </c>
      <c r="B106" s="16">
        <f>IF($A106="","",Deals!$C58)</f>
        <v/>
      </c>
      <c r="C106" s="16">
        <f>IF($A106="","",Deals!$F58)</f>
        <v/>
      </c>
      <c r="D106" s="21">
        <f>IF($A106="","",Deals!$H58)</f>
        <v/>
      </c>
      <c r="E106" s="17">
        <f>IF($A106="","",Deals!$Q58)</f>
        <v/>
      </c>
      <c r="F106" s="16">
        <f>IF($A106="","",IF(AND(Deals!$I58&lt;&gt;"",Deals!$J58&lt;&gt;""),"Yes","No"))</f>
        <v/>
      </c>
      <c r="G106" s="22">
        <f>IF($A106="","",Deals!$Z58)</f>
        <v/>
      </c>
      <c r="H106" s="23">
        <f>IF(OR($A106="",$G106=""),"",INT((Settings!$B$19-$G106)/7))</f>
        <v/>
      </c>
      <c r="I106" s="24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MissingLevel","")&amp;IF(AND($C106="Proposal",Deals!$H58=0.5)," DefaultProbability","")&amp;IF($F106="No"," NoDates","")&amp;IF(AND(ISNUMBER($H106),$H106&gt;=Settings!$B$20)," Stale","")))</f>
        <v/>
      </c>
    </row>
    <row r="107">
      <c r="A107" s="16">
        <f>IF(Deals!$A59="","",Deals!$A59)</f>
        <v/>
      </c>
      <c r="B107" s="16">
        <f>IF($A107="","",Deals!$C59)</f>
        <v/>
      </c>
      <c r="C107" s="16">
        <f>IF($A107="","",Deals!$F59)</f>
        <v/>
      </c>
      <c r="D107" s="21">
        <f>IF($A107="","",Deals!$H59)</f>
        <v/>
      </c>
      <c r="E107" s="17">
        <f>IF($A107="","",Deals!$Q59)</f>
        <v/>
      </c>
      <c r="F107" s="16">
        <f>IF($A107="","",IF(AND(Deals!$I59&lt;&gt;"",Deals!$J59&lt;&gt;""),"Yes","No"))</f>
        <v/>
      </c>
      <c r="G107" s="22">
        <f>IF($A107="","",Deals!$Z59)</f>
        <v/>
      </c>
      <c r="H107" s="23">
        <f>IF(OR($A107="",$G107=""),"",INT((Settings!$B$19-$G107)/7))</f>
        <v/>
      </c>
      <c r="I107" s="24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MissingLevel","")&amp;IF(AND($C107="Proposal",Deals!$H59=0.5)," DefaultProbability","")&amp;IF($F107="No"," NoDates","")&amp;IF(AND(ISNUMBER($H107),$H107&gt;=Settings!$B$20)," Stale","")))</f>
        <v/>
      </c>
    </row>
    <row r="108">
      <c r="A108" s="16">
        <f>IF(Deals!$A60="","",Deals!$A60)</f>
        <v/>
      </c>
      <c r="B108" s="16">
        <f>IF($A108="","",Deals!$C60)</f>
        <v/>
      </c>
      <c r="C108" s="16">
        <f>IF($A108="","",Deals!$F60)</f>
        <v/>
      </c>
      <c r="D108" s="21">
        <f>IF($A108="","",Deals!$H60)</f>
        <v/>
      </c>
      <c r="E108" s="17">
        <f>IF($A108="","",Deals!$Q60)</f>
        <v/>
      </c>
      <c r="F108" s="16">
        <f>IF($A108="","",IF(AND(Deals!$I60&lt;&gt;"",Deals!$J60&lt;&gt;""),"Yes","No"))</f>
        <v/>
      </c>
      <c r="G108" s="22">
        <f>IF($A108="","",Deals!$Z60)</f>
        <v/>
      </c>
      <c r="H108" s="23">
        <f>IF(OR($A108="",$G108=""),"",INT((Settings!$B$19-$G108)/7))</f>
        <v/>
      </c>
      <c r="I108" s="24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MissingLevel","")&amp;IF(AND($C108="Proposal",Deals!$H60=0.5)," DefaultProbability","")&amp;IF($F108="No"," NoDates","")&amp;IF(AND(ISNUMBER($H108),$H108&gt;=Settings!$B$20)," Stale","")))</f>
        <v/>
      </c>
    </row>
    <row r="109">
      <c r="A109" s="16">
        <f>IF(Deals!$A61="","",Deals!$A61)</f>
        <v/>
      </c>
      <c r="B109" s="16">
        <f>IF($A109="","",Deals!$C61)</f>
        <v/>
      </c>
      <c r="C109" s="16">
        <f>IF($A109="","",Deals!$F61)</f>
        <v/>
      </c>
      <c r="D109" s="21">
        <f>IF($A109="","",Deals!$H61)</f>
        <v/>
      </c>
      <c r="E109" s="17">
        <f>IF($A109="","",Deals!$Q61)</f>
        <v/>
      </c>
      <c r="F109" s="16">
        <f>IF($A109="","",IF(AND(Deals!$I61&lt;&gt;"",Deals!$J61&lt;&gt;""),"Yes","No"))</f>
        <v/>
      </c>
      <c r="G109" s="22">
        <f>IF($A109="","",Deals!$Z61)</f>
        <v/>
      </c>
      <c r="H109" s="23">
        <f>IF(OR($A109="",$G109=""),"",INT((Settings!$B$19-$G109)/7))</f>
        <v/>
      </c>
      <c r="I109" s="24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MissingLevel","")&amp;IF(AND($C109="Proposal",Deals!$H61=0.5)," DefaultProbability","")&amp;IF($F109="No"," NoDates","")&amp;IF(AND(ISNUMBER($H109),$H109&gt;=Settings!$B$20)," Stale","")))</f>
        <v/>
      </c>
    </row>
    <row r="110">
      <c r="A110" s="16">
        <f>IF(Deals!$A62="","",Deals!$A62)</f>
        <v/>
      </c>
      <c r="B110" s="16">
        <f>IF($A110="","",Deals!$C62)</f>
        <v/>
      </c>
      <c r="C110" s="16">
        <f>IF($A110="","",Deals!$F62)</f>
        <v/>
      </c>
      <c r="D110" s="21">
        <f>IF($A110="","",Deals!$H62)</f>
        <v/>
      </c>
      <c r="E110" s="17">
        <f>IF($A110="","",Deals!$Q62)</f>
        <v/>
      </c>
      <c r="F110" s="16">
        <f>IF($A110="","",IF(AND(Deals!$I62&lt;&gt;"",Deals!$J62&lt;&gt;""),"Yes","No"))</f>
        <v/>
      </c>
      <c r="G110" s="22">
        <f>IF($A110="","",Deals!$Z62)</f>
        <v/>
      </c>
      <c r="H110" s="23">
        <f>IF(OR($A110="",$G110=""),"",INT((Settings!$B$19-$G110)/7))</f>
        <v/>
      </c>
      <c r="I110" s="24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MissingLevel","")&amp;IF(AND($C110="Proposal",Deals!$H62=0.5)," DefaultProbability","")&amp;IF($F110="No"," NoDates","")&amp;IF(AND(ISNUMBER($H110),$H110&gt;=Settings!$B$20)," Stale","")))</f>
        <v/>
      </c>
    </row>
    <row r="111">
      <c r="A111" s="16">
        <f>IF(Deals!$A63="","",Deals!$A63)</f>
        <v/>
      </c>
      <c r="B111" s="16">
        <f>IF($A111="","",Deals!$C63)</f>
        <v/>
      </c>
      <c r="C111" s="16">
        <f>IF($A111="","",Deals!$F63)</f>
        <v/>
      </c>
      <c r="D111" s="21">
        <f>IF($A111="","",Deals!$H63)</f>
        <v/>
      </c>
      <c r="E111" s="17">
        <f>IF($A111="","",Deals!$Q63)</f>
        <v/>
      </c>
      <c r="F111" s="16">
        <f>IF($A111="","",IF(AND(Deals!$I63&lt;&gt;"",Deals!$J63&lt;&gt;""),"Yes","No"))</f>
        <v/>
      </c>
      <c r="G111" s="22">
        <f>IF($A111="","",Deals!$Z63)</f>
        <v/>
      </c>
      <c r="H111" s="23">
        <f>IF(OR($A111="",$G111=""),"",INT((Settings!$B$19-$G111)/7))</f>
        <v/>
      </c>
      <c r="I111" s="24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MissingLevel","")&amp;IF(AND($C111="Proposal",Deals!$H63=0.5)," DefaultProbability","")&amp;IF($F111="No"," NoDates","")&amp;IF(AND(ISNUMBER($H111),$H111&gt;=Settings!$B$20)," Stale","")))</f>
        <v/>
      </c>
    </row>
    <row r="112">
      <c r="A112" s="16">
        <f>IF(Deals!$A64="","",Deals!$A64)</f>
        <v/>
      </c>
      <c r="B112" s="16">
        <f>IF($A112="","",Deals!$C64)</f>
        <v/>
      </c>
      <c r="C112" s="16">
        <f>IF($A112="","",Deals!$F64)</f>
        <v/>
      </c>
      <c r="D112" s="21">
        <f>IF($A112="","",Deals!$H64)</f>
        <v/>
      </c>
      <c r="E112" s="17">
        <f>IF($A112="","",Deals!$Q64)</f>
        <v/>
      </c>
      <c r="F112" s="16">
        <f>IF($A112="","",IF(AND(Deals!$I64&lt;&gt;"",Deals!$J64&lt;&gt;""),"Yes","No"))</f>
        <v/>
      </c>
      <c r="G112" s="22">
        <f>IF($A112="","",Deals!$Z64)</f>
        <v/>
      </c>
      <c r="H112" s="23">
        <f>IF(OR($A112="",$G112=""),"",INT((Settings!$B$19-$G112)/7))</f>
        <v/>
      </c>
      <c r="I112" s="24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MissingLevel","")&amp;IF(AND($C112="Proposal",Deals!$H64=0.5)," DefaultProbability","")&amp;IF($F112="No"," NoDates","")&amp;IF(AND(ISNUMBER($H112),$H112&gt;=Settings!$B$20)," Stale","")))</f>
        <v/>
      </c>
    </row>
    <row r="113">
      <c r="A113" s="16">
        <f>IF(Deals!$A65="","",Deals!$A65)</f>
        <v/>
      </c>
      <c r="B113" s="16">
        <f>IF($A113="","",Deals!$C65)</f>
        <v/>
      </c>
      <c r="C113" s="16">
        <f>IF($A113="","",Deals!$F65)</f>
        <v/>
      </c>
      <c r="D113" s="21">
        <f>IF($A113="","",Deals!$H65)</f>
        <v/>
      </c>
      <c r="E113" s="17">
        <f>IF($A113="","",Deals!$Q65)</f>
        <v/>
      </c>
      <c r="F113" s="16">
        <f>IF($A113="","",IF(AND(Deals!$I65&lt;&gt;"",Deals!$J65&lt;&gt;""),"Yes","No"))</f>
        <v/>
      </c>
      <c r="G113" s="22">
        <f>IF($A113="","",Deals!$Z65)</f>
        <v/>
      </c>
      <c r="H113" s="23">
        <f>IF(OR($A113="",$G113=""),"",INT((Settings!$B$19-$G113)/7))</f>
        <v/>
      </c>
      <c r="I113" s="24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MissingLevel","")&amp;IF(AND($C113="Proposal",Deals!$H65=0.5)," DefaultProbability","")&amp;IF($F113="No"," NoDates","")&amp;IF(AND(ISNUMBER($H113),$H113&gt;=Settings!$B$20)," Stale","")))</f>
        <v/>
      </c>
    </row>
    <row r="114">
      <c r="A114" s="16">
        <f>IF(Deals!$A66="","",Deals!$A66)</f>
        <v/>
      </c>
      <c r="B114" s="16">
        <f>IF($A114="","",Deals!$C66)</f>
        <v/>
      </c>
      <c r="C114" s="16">
        <f>IF($A114="","",Deals!$F66)</f>
        <v/>
      </c>
      <c r="D114" s="21">
        <f>IF($A114="","",Deals!$H66)</f>
        <v/>
      </c>
      <c r="E114" s="17">
        <f>IF($A114="","",Deals!$Q66)</f>
        <v/>
      </c>
      <c r="F114" s="16">
        <f>IF($A114="","",IF(AND(Deals!$I66&lt;&gt;"",Deals!$J66&lt;&gt;""),"Yes","No"))</f>
        <v/>
      </c>
      <c r="G114" s="22">
        <f>IF($A114="","",Deals!$Z66)</f>
        <v/>
      </c>
      <c r="H114" s="23">
        <f>IF(OR($A114="",$G114=""),"",INT((Settings!$B$19-$G114)/7))</f>
        <v/>
      </c>
      <c r="I114" s="24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MissingLevel","")&amp;IF(AND($C114="Proposal",Deals!$H66=0.5)," DefaultProbability","")&amp;IF($F114="No"," NoDates","")&amp;IF(AND(ISNUMBER($H114),$H114&gt;=Settings!$B$20)," Stale","")))</f>
        <v/>
      </c>
    </row>
    <row r="115">
      <c r="A115" s="16">
        <f>IF(Deals!$A67="","",Deals!$A67)</f>
        <v/>
      </c>
      <c r="B115" s="16">
        <f>IF($A115="","",Deals!$C67)</f>
        <v/>
      </c>
      <c r="C115" s="16">
        <f>IF($A115="","",Deals!$F67)</f>
        <v/>
      </c>
      <c r="D115" s="21">
        <f>IF($A115="","",Deals!$H67)</f>
        <v/>
      </c>
      <c r="E115" s="17">
        <f>IF($A115="","",Deals!$Q67)</f>
        <v/>
      </c>
      <c r="F115" s="16">
        <f>IF($A115="","",IF(AND(Deals!$I67&lt;&gt;"",Deals!$J67&lt;&gt;""),"Yes","No"))</f>
        <v/>
      </c>
      <c r="G115" s="22">
        <f>IF($A115="","",Deals!$Z67)</f>
        <v/>
      </c>
      <c r="H115" s="23">
        <f>IF(OR($A115="",$G115=""),"",INT((Settings!$B$19-$G115)/7))</f>
        <v/>
      </c>
      <c r="I115" s="24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MissingLevel","")&amp;IF(AND($C115="Proposal",Deals!$H67=0.5)," DefaultProbability","")&amp;IF($F115="No"," NoDates","")&amp;IF(AND(ISNUMBER($H115),$H115&gt;=Settings!$B$20)," Stale","")))</f>
        <v/>
      </c>
    </row>
    <row r="116">
      <c r="A116" s="16">
        <f>IF(Deals!$A68="","",Deals!$A68)</f>
        <v/>
      </c>
      <c r="B116" s="16">
        <f>IF($A116="","",Deals!$C68)</f>
        <v/>
      </c>
      <c r="C116" s="16">
        <f>IF($A116="","",Deals!$F68)</f>
        <v/>
      </c>
      <c r="D116" s="21">
        <f>IF($A116="","",Deals!$H68)</f>
        <v/>
      </c>
      <c r="E116" s="17">
        <f>IF($A116="","",Deals!$Q68)</f>
        <v/>
      </c>
      <c r="F116" s="16">
        <f>IF($A116="","",IF(AND(Deals!$I68&lt;&gt;"",Deals!$J68&lt;&gt;""),"Yes","No"))</f>
        <v/>
      </c>
      <c r="G116" s="22">
        <f>IF($A116="","",Deals!$Z68)</f>
        <v/>
      </c>
      <c r="H116" s="23">
        <f>IF(OR($A116="",$G116=""),"",INT((Settings!$B$19-$G116)/7))</f>
        <v/>
      </c>
      <c r="I116" s="24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MissingLevel","")&amp;IF(AND($C116="Proposal",Deals!$H68=0.5)," DefaultProbability","")&amp;IF($F116="No"," NoDates","")&amp;IF(AND(ISNUMBER($H116),$H116&gt;=Settings!$B$20)," Stale","")))</f>
        <v/>
      </c>
    </row>
    <row r="117">
      <c r="A117" s="16">
        <f>IF(Deals!$A69="","",Deals!$A69)</f>
        <v/>
      </c>
      <c r="B117" s="16">
        <f>IF($A117="","",Deals!$C69)</f>
        <v/>
      </c>
      <c r="C117" s="16">
        <f>IF($A117="","",Deals!$F69)</f>
        <v/>
      </c>
      <c r="D117" s="21">
        <f>IF($A117="","",Deals!$H69)</f>
        <v/>
      </c>
      <c r="E117" s="17">
        <f>IF($A117="","",Deals!$Q69)</f>
        <v/>
      </c>
      <c r="F117" s="16">
        <f>IF($A117="","",IF(AND(Deals!$I69&lt;&gt;"",Deals!$J69&lt;&gt;""),"Yes","No"))</f>
        <v/>
      </c>
      <c r="G117" s="22">
        <f>IF($A117="","",Deals!$Z69)</f>
        <v/>
      </c>
      <c r="H117" s="23">
        <f>IF(OR($A117="",$G117=""),"",INT((Settings!$B$19-$G117)/7))</f>
        <v/>
      </c>
      <c r="I117" s="24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MissingLevel","")&amp;IF(AND($C117="Proposal",Deals!$H69=0.5)," DefaultProbability","")&amp;IF($F117="No"," NoDates","")&amp;IF(AND(ISNUMBER($H117),$H117&gt;=Settings!$B$20)," Stale","")))</f>
        <v/>
      </c>
    </row>
    <row r="118">
      <c r="A118" s="16">
        <f>IF(Deals!$A70="","",Deals!$A70)</f>
        <v/>
      </c>
      <c r="B118" s="16">
        <f>IF($A118="","",Deals!$C70)</f>
        <v/>
      </c>
      <c r="C118" s="16">
        <f>IF($A118="","",Deals!$F70)</f>
        <v/>
      </c>
      <c r="D118" s="21">
        <f>IF($A118="","",Deals!$H70)</f>
        <v/>
      </c>
      <c r="E118" s="17">
        <f>IF($A118="","",Deals!$Q70)</f>
        <v/>
      </c>
      <c r="F118" s="16">
        <f>IF($A118="","",IF(AND(Deals!$I70&lt;&gt;"",Deals!$J70&lt;&gt;""),"Yes","No"))</f>
        <v/>
      </c>
      <c r="G118" s="22">
        <f>IF($A118="","",Deals!$Z70)</f>
        <v/>
      </c>
      <c r="H118" s="23">
        <f>IF(OR($A118="",$G118=""),"",INT((Settings!$B$19-$G118)/7))</f>
        <v/>
      </c>
      <c r="I118" s="24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MissingLevel","")&amp;IF(AND($C118="Proposal",Deals!$H70=0.5)," DefaultProbability","")&amp;IF($F118="No"," NoDates","")&amp;IF(AND(ISNUMBER($H118),$H118&gt;=Settings!$B$20)," Stale","")))</f>
        <v/>
      </c>
    </row>
    <row r="119">
      <c r="A119" s="16">
        <f>IF(Deals!$A71="","",Deals!$A71)</f>
        <v/>
      </c>
      <c r="B119" s="16">
        <f>IF($A119="","",Deals!$C71)</f>
        <v/>
      </c>
      <c r="C119" s="16">
        <f>IF($A119="","",Deals!$F71)</f>
        <v/>
      </c>
      <c r="D119" s="21">
        <f>IF($A119="","",Deals!$H71)</f>
        <v/>
      </c>
      <c r="E119" s="17">
        <f>IF($A119="","",Deals!$Q71)</f>
        <v/>
      </c>
      <c r="F119" s="16">
        <f>IF($A119="","",IF(AND(Deals!$I71&lt;&gt;"",Deals!$J71&lt;&gt;""),"Yes","No"))</f>
        <v/>
      </c>
      <c r="G119" s="22">
        <f>IF($A119="","",Deals!$Z71)</f>
        <v/>
      </c>
      <c r="H119" s="23">
        <f>IF(OR($A119="",$G119=""),"",INT((Settings!$B$19-$G119)/7))</f>
        <v/>
      </c>
      <c r="I119" s="24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MissingLevel","")&amp;IF(AND($C119="Proposal",Deals!$H71=0.5)," DefaultProbability","")&amp;IF($F119="No"," NoDates","")&amp;IF(AND(ISNUMBER($H119),$H119&gt;=Settings!$B$20)," Stale","")))</f>
        <v/>
      </c>
    </row>
    <row r="120">
      <c r="A120" s="16">
        <f>IF(Deals!$A72="","",Deals!$A72)</f>
        <v/>
      </c>
      <c r="B120" s="16">
        <f>IF($A120="","",Deals!$C72)</f>
        <v/>
      </c>
      <c r="C120" s="16">
        <f>IF($A120="","",Deals!$F72)</f>
        <v/>
      </c>
      <c r="D120" s="21">
        <f>IF($A120="","",Deals!$H72)</f>
        <v/>
      </c>
      <c r="E120" s="17">
        <f>IF($A120="","",Deals!$Q72)</f>
        <v/>
      </c>
      <c r="F120" s="16">
        <f>IF($A120="","",IF(AND(Deals!$I72&lt;&gt;"",Deals!$J72&lt;&gt;""),"Yes","No"))</f>
        <v/>
      </c>
      <c r="G120" s="22">
        <f>IF($A120="","",Deals!$Z72)</f>
        <v/>
      </c>
      <c r="H120" s="23">
        <f>IF(OR($A120="",$G120=""),"",INT((Settings!$B$19-$G120)/7))</f>
        <v/>
      </c>
      <c r="I120" s="24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MissingLevel","")&amp;IF(AND($C120="Proposal",Deals!$H72=0.5)," DefaultProbability","")&amp;IF($F120="No"," NoDates","")&amp;IF(AND(ISNUMBER($H120),$H120&gt;=Settings!$B$20)," Stale","")))</f>
        <v/>
      </c>
    </row>
    <row r="121">
      <c r="A121" s="16">
        <f>IF(Deals!$A73="","",Deals!$A73)</f>
        <v/>
      </c>
      <c r="B121" s="16">
        <f>IF($A121="","",Deals!$C73)</f>
        <v/>
      </c>
      <c r="C121" s="16">
        <f>IF($A121="","",Deals!$F73)</f>
        <v/>
      </c>
      <c r="D121" s="21">
        <f>IF($A121="","",Deals!$H73)</f>
        <v/>
      </c>
      <c r="E121" s="17">
        <f>IF($A121="","",Deals!$Q73)</f>
        <v/>
      </c>
      <c r="F121" s="16">
        <f>IF($A121="","",IF(AND(Deals!$I73&lt;&gt;"",Deals!$J73&lt;&gt;""),"Yes","No"))</f>
        <v/>
      </c>
      <c r="G121" s="22">
        <f>IF($A121="","",Deals!$Z73)</f>
        <v/>
      </c>
      <c r="H121" s="23">
        <f>IF(OR($A121="",$G121=""),"",INT((Settings!$B$19-$G121)/7))</f>
        <v/>
      </c>
      <c r="I121" s="24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MissingLevel","")&amp;IF(AND($C121="Proposal",Deals!$H73=0.5)," DefaultProbability","")&amp;IF($F121="No"," NoDates","")&amp;IF(AND(ISNUMBER($H121),$H121&gt;=Settings!$B$20)," Stale","")))</f>
        <v/>
      </c>
    </row>
    <row r="122">
      <c r="A122" s="16">
        <f>IF(Deals!$A74="","",Deals!$A74)</f>
        <v/>
      </c>
      <c r="B122" s="16">
        <f>IF($A122="","",Deals!$C74)</f>
        <v/>
      </c>
      <c r="C122" s="16">
        <f>IF($A122="","",Deals!$F74)</f>
        <v/>
      </c>
      <c r="D122" s="21">
        <f>IF($A122="","",Deals!$H74)</f>
        <v/>
      </c>
      <c r="E122" s="17">
        <f>IF($A122="","",Deals!$Q74)</f>
        <v/>
      </c>
      <c r="F122" s="16">
        <f>IF($A122="","",IF(AND(Deals!$I74&lt;&gt;"",Deals!$J74&lt;&gt;""),"Yes","No"))</f>
        <v/>
      </c>
      <c r="G122" s="22">
        <f>IF($A122="","",Deals!$Z74)</f>
        <v/>
      </c>
      <c r="H122" s="23">
        <f>IF(OR($A122="",$G122=""),"",INT((Settings!$B$19-$G122)/7))</f>
        <v/>
      </c>
      <c r="I122" s="24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MissingLevel","")&amp;IF(AND($C122="Proposal",Deals!$H74=0.5)," DefaultProbability","")&amp;IF($F122="No"," NoDates","")&amp;IF(AND(ISNUMBER($H122),$H122&gt;=Settings!$B$20)," Stale","")))</f>
        <v/>
      </c>
    </row>
    <row r="123">
      <c r="A123" s="16">
        <f>IF(Deals!$A75="","",Deals!$A75)</f>
        <v/>
      </c>
      <c r="B123" s="16">
        <f>IF($A123="","",Deals!$C75)</f>
        <v/>
      </c>
      <c r="C123" s="16">
        <f>IF($A123="","",Deals!$F75)</f>
        <v/>
      </c>
      <c r="D123" s="21">
        <f>IF($A123="","",Deals!$H75)</f>
        <v/>
      </c>
      <c r="E123" s="17">
        <f>IF($A123="","",Deals!$Q75)</f>
        <v/>
      </c>
      <c r="F123" s="16">
        <f>IF($A123="","",IF(AND(Deals!$I75&lt;&gt;"",Deals!$J75&lt;&gt;""),"Yes","No"))</f>
        <v/>
      </c>
      <c r="G123" s="22">
        <f>IF($A123="","",Deals!$Z75)</f>
        <v/>
      </c>
      <c r="H123" s="23">
        <f>IF(OR($A123="",$G123=""),"",INT((Settings!$B$19-$G123)/7))</f>
        <v/>
      </c>
      <c r="I123" s="24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MissingLevel","")&amp;IF(AND($C123="Proposal",Deals!$H75=0.5)," DefaultProbability","")&amp;IF($F123="No"," NoDates","")&amp;IF(AND(ISNUMBER($H123),$H123&gt;=Settings!$B$20)," Stale","")))</f>
        <v/>
      </c>
    </row>
    <row r="124">
      <c r="A124" s="16">
        <f>IF(Deals!$A76="","",Deals!$A76)</f>
        <v/>
      </c>
      <c r="B124" s="16">
        <f>IF($A124="","",Deals!$C76)</f>
        <v/>
      </c>
      <c r="C124" s="16">
        <f>IF($A124="","",Deals!$F76)</f>
        <v/>
      </c>
      <c r="D124" s="21">
        <f>IF($A124="","",Deals!$H76)</f>
        <v/>
      </c>
      <c r="E124" s="17">
        <f>IF($A124="","",Deals!$Q76)</f>
        <v/>
      </c>
      <c r="F124" s="16">
        <f>IF($A124="","",IF(AND(Deals!$I76&lt;&gt;"",Deals!$J76&lt;&gt;""),"Yes","No"))</f>
        <v/>
      </c>
      <c r="G124" s="22">
        <f>IF($A124="","",Deals!$Z76)</f>
        <v/>
      </c>
      <c r="H124" s="23">
        <f>IF(OR($A124="",$G124=""),"",INT((Settings!$B$19-$G124)/7))</f>
        <v/>
      </c>
      <c r="I124" s="24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MissingLevel","")&amp;IF(AND($C124="Proposal",Deals!$H76=0.5)," DefaultProbability","")&amp;IF($F124="No"," NoDates","")&amp;IF(AND(ISNUMBER($H124),$H124&gt;=Settings!$B$20)," Stale","")))</f>
        <v/>
      </c>
    </row>
    <row r="125">
      <c r="A125" s="16">
        <f>IF(Deals!$A77="","",Deals!$A77)</f>
        <v/>
      </c>
      <c r="B125" s="16">
        <f>IF($A125="","",Deals!$C77)</f>
        <v/>
      </c>
      <c r="C125" s="16">
        <f>IF($A125="","",Deals!$F77)</f>
        <v/>
      </c>
      <c r="D125" s="21">
        <f>IF($A125="","",Deals!$H77)</f>
        <v/>
      </c>
      <c r="E125" s="17">
        <f>IF($A125="","",Deals!$Q77)</f>
        <v/>
      </c>
      <c r="F125" s="16">
        <f>IF($A125="","",IF(AND(Deals!$I77&lt;&gt;"",Deals!$J77&lt;&gt;""),"Yes","No"))</f>
        <v/>
      </c>
      <c r="G125" s="22">
        <f>IF($A125="","",Deals!$Z77)</f>
        <v/>
      </c>
      <c r="H125" s="23">
        <f>IF(OR($A125="",$G125=""),"",INT((Settings!$B$19-$G125)/7))</f>
        <v/>
      </c>
      <c r="I125" s="24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MissingLevel","")&amp;IF(AND($C125="Proposal",Deals!$H77=0.5)," DefaultProbability","")&amp;IF($F125="No"," NoDates","")&amp;IF(AND(ISNUMBER($H125),$H125&gt;=Settings!$B$20)," Stale","")))</f>
        <v/>
      </c>
    </row>
    <row r="126">
      <c r="A126" s="16">
        <f>IF(Deals!$A78="","",Deals!$A78)</f>
        <v/>
      </c>
      <c r="B126" s="16">
        <f>IF($A126="","",Deals!$C78)</f>
        <v/>
      </c>
      <c r="C126" s="16">
        <f>IF($A126="","",Deals!$F78)</f>
        <v/>
      </c>
      <c r="D126" s="21">
        <f>IF($A126="","",Deals!$H78)</f>
        <v/>
      </c>
      <c r="E126" s="17">
        <f>IF($A126="","",Deals!$Q78)</f>
        <v/>
      </c>
      <c r="F126" s="16">
        <f>IF($A126="","",IF(AND(Deals!$I78&lt;&gt;"",Deals!$J78&lt;&gt;""),"Yes","No"))</f>
        <v/>
      </c>
      <c r="G126" s="22">
        <f>IF($A126="","",Deals!$Z78)</f>
        <v/>
      </c>
      <c r="H126" s="23">
        <f>IF(OR($A126="",$G126=""),"",INT((Settings!$B$19-$G126)/7))</f>
        <v/>
      </c>
      <c r="I126" s="24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MissingLevel","")&amp;IF(AND($C126="Proposal",Deals!$H78=0.5)," DefaultProbability","")&amp;IF($F126="No"," NoDates","")&amp;IF(AND(ISNUMBER($H126),$H126&gt;=Settings!$B$20)," Stale","")))</f>
        <v/>
      </c>
    </row>
    <row r="127">
      <c r="A127" s="16">
        <f>IF(Deals!$A79="","",Deals!$A79)</f>
        <v/>
      </c>
      <c r="B127" s="16">
        <f>IF($A127="","",Deals!$C79)</f>
        <v/>
      </c>
      <c r="C127" s="16">
        <f>IF($A127="","",Deals!$F79)</f>
        <v/>
      </c>
      <c r="D127" s="21">
        <f>IF($A127="","",Deals!$H79)</f>
        <v/>
      </c>
      <c r="E127" s="17">
        <f>IF($A127="","",Deals!$Q79)</f>
        <v/>
      </c>
      <c r="F127" s="16">
        <f>IF($A127="","",IF(AND(Deals!$I79&lt;&gt;"",Deals!$J79&lt;&gt;""),"Yes","No"))</f>
        <v/>
      </c>
      <c r="G127" s="22">
        <f>IF($A127="","",Deals!$Z79)</f>
        <v/>
      </c>
      <c r="H127" s="23">
        <f>IF(OR($A127="",$G127=""),"",INT((Settings!$B$19-$G127)/7))</f>
        <v/>
      </c>
      <c r="I127" s="24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MissingLevel","")&amp;IF(AND($C127="Proposal",Deals!$H79=0.5)," DefaultProbability","")&amp;IF($F127="No"," NoDates","")&amp;IF(AND(ISNUMBER($H127),$H127&gt;=Settings!$B$20)," Stale","")))</f>
        <v/>
      </c>
    </row>
    <row r="128">
      <c r="A128" s="16">
        <f>IF(Deals!$A80="","",Deals!$A80)</f>
        <v/>
      </c>
      <c r="B128" s="16">
        <f>IF($A128="","",Deals!$C80)</f>
        <v/>
      </c>
      <c r="C128" s="16">
        <f>IF($A128="","",Deals!$F80)</f>
        <v/>
      </c>
      <c r="D128" s="21">
        <f>IF($A128="","",Deals!$H80)</f>
        <v/>
      </c>
      <c r="E128" s="17">
        <f>IF($A128="","",Deals!$Q80)</f>
        <v/>
      </c>
      <c r="F128" s="16">
        <f>IF($A128="","",IF(AND(Deals!$I80&lt;&gt;"",Deals!$J80&lt;&gt;""),"Yes","No"))</f>
        <v/>
      </c>
      <c r="G128" s="22">
        <f>IF($A128="","",Deals!$Z80)</f>
        <v/>
      </c>
      <c r="H128" s="23">
        <f>IF(OR($A128="",$G128=""),"",INT((Settings!$B$19-$G128)/7))</f>
        <v/>
      </c>
      <c r="I128" s="24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MissingLevel","")&amp;IF(AND($C128="Proposal",Deals!$H80=0.5)," DefaultProbability","")&amp;IF($F128="No"," NoDates","")&amp;IF(AND(ISNUMBER($H128),$H128&gt;=Settings!$B$20)," Stale","")))</f>
        <v/>
      </c>
    </row>
    <row r="129">
      <c r="A129" s="16">
        <f>IF(Deals!$A81="","",Deals!$A81)</f>
        <v/>
      </c>
      <c r="B129" s="16">
        <f>IF($A129="","",Deals!$C81)</f>
        <v/>
      </c>
      <c r="C129" s="16">
        <f>IF($A129="","",Deals!$F81)</f>
        <v/>
      </c>
      <c r="D129" s="21">
        <f>IF($A129="","",Deals!$H81)</f>
        <v/>
      </c>
      <c r="E129" s="17">
        <f>IF($A129="","",Deals!$Q81)</f>
        <v/>
      </c>
      <c r="F129" s="16">
        <f>IF($A129="","",IF(AND(Deals!$I81&lt;&gt;"",Deals!$J81&lt;&gt;""),"Yes","No"))</f>
        <v/>
      </c>
      <c r="G129" s="22">
        <f>IF($A129="","",Deals!$Z81)</f>
        <v/>
      </c>
      <c r="H129" s="23">
        <f>IF(OR($A129="",$G129=""),"",INT((Settings!$B$19-$G129)/7))</f>
        <v/>
      </c>
      <c r="I129" s="24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MissingLevel","")&amp;IF(AND($C129="Proposal",Deals!$H81=0.5)," DefaultProbability","")&amp;IF($F129="No"," NoDates","")&amp;IF(AND(ISNUMBER($H129),$H129&gt;=Settings!$B$20)," Stale","")))</f>
        <v/>
      </c>
    </row>
    <row r="130">
      <c r="A130" s="16">
        <f>IF(Deals!$A82="","",Deals!$A82)</f>
        <v/>
      </c>
      <c r="B130" s="16">
        <f>IF($A130="","",Deals!$C82)</f>
        <v/>
      </c>
      <c r="C130" s="16">
        <f>IF($A130="","",Deals!$F82)</f>
        <v/>
      </c>
      <c r="D130" s="21">
        <f>IF($A130="","",Deals!$H82)</f>
        <v/>
      </c>
      <c r="E130" s="17">
        <f>IF($A130="","",Deals!$Q82)</f>
        <v/>
      </c>
      <c r="F130" s="16">
        <f>IF($A130="","",IF(AND(Deals!$I82&lt;&gt;"",Deals!$J82&lt;&gt;""),"Yes","No"))</f>
        <v/>
      </c>
      <c r="G130" s="22">
        <f>IF($A130="","",Deals!$Z82)</f>
        <v/>
      </c>
      <c r="H130" s="23">
        <f>IF(OR($A130="",$G130=""),"",INT((Settings!$B$19-$G130)/7))</f>
        <v/>
      </c>
      <c r="I130" s="24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MissingLevel","")&amp;IF(AND($C130="Proposal",Deals!$H82=0.5)," DefaultProbability","")&amp;IF($F130="No"," NoDates","")&amp;IF(AND(ISNUMBER($H130),$H130&gt;=Settings!$B$20)," Stale","")))</f>
        <v/>
      </c>
    </row>
    <row r="131">
      <c r="A131" s="16">
        <f>IF(Deals!$A83="","",Deals!$A83)</f>
        <v/>
      </c>
      <c r="B131" s="16">
        <f>IF($A131="","",Deals!$C83)</f>
        <v/>
      </c>
      <c r="C131" s="16">
        <f>IF($A131="","",Deals!$F83)</f>
        <v/>
      </c>
      <c r="D131" s="21">
        <f>IF($A131="","",Deals!$H83)</f>
        <v/>
      </c>
      <c r="E131" s="17">
        <f>IF($A131="","",Deals!$Q83)</f>
        <v/>
      </c>
      <c r="F131" s="16">
        <f>IF($A131="","",IF(AND(Deals!$I83&lt;&gt;"",Deals!$J83&lt;&gt;""),"Yes","No"))</f>
        <v/>
      </c>
      <c r="G131" s="22">
        <f>IF($A131="","",Deals!$Z83)</f>
        <v/>
      </c>
      <c r="H131" s="23">
        <f>IF(OR($A131="",$G131=""),"",INT((Settings!$B$19-$G131)/7))</f>
        <v/>
      </c>
      <c r="I131" s="24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MissingLevel","")&amp;IF(AND($C131="Proposal",Deals!$H83=0.5)," DefaultProbability","")&amp;IF($F131="No"," NoDates","")&amp;IF(AND(ISNUMBER($H131),$H131&gt;=Settings!$B$20)," Stale","")))</f>
        <v/>
      </c>
    </row>
    <row r="132">
      <c r="A132" s="16">
        <f>IF(Deals!$A84="","",Deals!$A84)</f>
        <v/>
      </c>
      <c r="B132" s="16">
        <f>IF($A132="","",Deals!$C84)</f>
        <v/>
      </c>
      <c r="C132" s="16">
        <f>IF($A132="","",Deals!$F84)</f>
        <v/>
      </c>
      <c r="D132" s="21">
        <f>IF($A132="","",Deals!$H84)</f>
        <v/>
      </c>
      <c r="E132" s="17">
        <f>IF($A132="","",Deals!$Q84)</f>
        <v/>
      </c>
      <c r="F132" s="16">
        <f>IF($A132="","",IF(AND(Deals!$I84&lt;&gt;"",Deals!$J84&lt;&gt;""),"Yes","No"))</f>
        <v/>
      </c>
      <c r="G132" s="22">
        <f>IF($A132="","",Deals!$Z84)</f>
        <v/>
      </c>
      <c r="H132" s="23">
        <f>IF(OR($A132="",$G132=""),"",INT((Settings!$B$19-$G132)/7))</f>
        <v/>
      </c>
      <c r="I132" s="24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MissingLevel","")&amp;IF(AND($C132="Proposal",Deals!$H84=0.5)," DefaultProbability","")&amp;IF($F132="No"," NoDates","")&amp;IF(AND(ISNUMBER($H132),$H132&gt;=Settings!$B$20)," Stale","")))</f>
        <v/>
      </c>
    </row>
    <row r="133">
      <c r="A133" s="16">
        <f>IF(Deals!$A85="","",Deals!$A85)</f>
        <v/>
      </c>
      <c r="B133" s="16">
        <f>IF($A133="","",Deals!$C85)</f>
        <v/>
      </c>
      <c r="C133" s="16">
        <f>IF($A133="","",Deals!$F85)</f>
        <v/>
      </c>
      <c r="D133" s="21">
        <f>IF($A133="","",Deals!$H85)</f>
        <v/>
      </c>
      <c r="E133" s="17">
        <f>IF($A133="","",Deals!$Q85)</f>
        <v/>
      </c>
      <c r="F133" s="16">
        <f>IF($A133="","",IF(AND(Deals!$I85&lt;&gt;"",Deals!$J85&lt;&gt;""),"Yes","No"))</f>
        <v/>
      </c>
      <c r="G133" s="22">
        <f>IF($A133="","",Deals!$Z85)</f>
        <v/>
      </c>
      <c r="H133" s="23">
        <f>IF(OR($A133="",$G133=""),"",INT((Settings!$B$19-$G133)/7))</f>
        <v/>
      </c>
      <c r="I133" s="24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MissingLevel","")&amp;IF(AND($C133="Proposal",Deals!$H85=0.5)," DefaultProbability","")&amp;IF($F133="No"," NoDates","")&amp;IF(AND(ISNUMBER($H133),$H133&gt;=Settings!$B$20)," Stale","")))</f>
        <v/>
      </c>
    </row>
    <row r="134">
      <c r="A134" s="16">
        <f>IF(Deals!$A86="","",Deals!$A86)</f>
        <v/>
      </c>
      <c r="B134" s="16">
        <f>IF($A134="","",Deals!$C86)</f>
        <v/>
      </c>
      <c r="C134" s="16">
        <f>IF($A134="","",Deals!$F86)</f>
        <v/>
      </c>
      <c r="D134" s="21">
        <f>IF($A134="","",Deals!$H86)</f>
        <v/>
      </c>
      <c r="E134" s="17">
        <f>IF($A134="","",Deals!$Q86)</f>
        <v/>
      </c>
      <c r="F134" s="16">
        <f>IF($A134="","",IF(AND(Deals!$I86&lt;&gt;"",Deals!$J86&lt;&gt;""),"Yes","No"))</f>
        <v/>
      </c>
      <c r="G134" s="22">
        <f>IF($A134="","",Deals!$Z86)</f>
        <v/>
      </c>
      <c r="H134" s="23">
        <f>IF(OR($A134="",$G134=""),"",INT((Settings!$B$19-$G134)/7))</f>
        <v/>
      </c>
      <c r="I134" s="24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MissingLevel","")&amp;IF(AND($C134="Proposal",Deals!$H86=0.5)," DefaultProbability","")&amp;IF($F134="No"," NoDates","")&amp;IF(AND(ISNUMBER($H134),$H134&gt;=Settings!$B$20)," Stale","")))</f>
        <v/>
      </c>
    </row>
    <row r="135">
      <c r="A135" s="16">
        <f>IF(Deals!$A87="","",Deals!$A87)</f>
        <v/>
      </c>
      <c r="B135" s="16">
        <f>IF($A135="","",Deals!$C87)</f>
        <v/>
      </c>
      <c r="C135" s="16">
        <f>IF($A135="","",Deals!$F87)</f>
        <v/>
      </c>
      <c r="D135" s="21">
        <f>IF($A135="","",Deals!$H87)</f>
        <v/>
      </c>
      <c r="E135" s="17">
        <f>IF($A135="","",Deals!$Q87)</f>
        <v/>
      </c>
      <c r="F135" s="16">
        <f>IF($A135="","",IF(AND(Deals!$I87&lt;&gt;"",Deals!$J87&lt;&gt;""),"Yes","No"))</f>
        <v/>
      </c>
      <c r="G135" s="22">
        <f>IF($A135="","",Deals!$Z87)</f>
        <v/>
      </c>
      <c r="H135" s="23">
        <f>IF(OR($A135="",$G135=""),"",INT((Settings!$B$19-$G135)/7))</f>
        <v/>
      </c>
      <c r="I135" s="24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MissingLevel","")&amp;IF(AND($C135="Proposal",Deals!$H87=0.5)," DefaultProbability","")&amp;IF($F135="No"," NoDates","")&amp;IF(AND(ISNUMBER($H135),$H135&gt;=Settings!$B$20)," Stale","")))</f>
        <v/>
      </c>
    </row>
    <row r="136">
      <c r="A136" s="16">
        <f>IF(Deals!$A88="","",Deals!$A88)</f>
        <v/>
      </c>
      <c r="B136" s="16">
        <f>IF($A136="","",Deals!$C88)</f>
        <v/>
      </c>
      <c r="C136" s="16">
        <f>IF($A136="","",Deals!$F88)</f>
        <v/>
      </c>
      <c r="D136" s="21">
        <f>IF($A136="","",Deals!$H88)</f>
        <v/>
      </c>
      <c r="E136" s="17">
        <f>IF($A136="","",Deals!$Q88)</f>
        <v/>
      </c>
      <c r="F136" s="16">
        <f>IF($A136="","",IF(AND(Deals!$I88&lt;&gt;"",Deals!$J88&lt;&gt;""),"Yes","No"))</f>
        <v/>
      </c>
      <c r="G136" s="22">
        <f>IF($A136="","",Deals!$Z88)</f>
        <v/>
      </c>
      <c r="H136" s="23">
        <f>IF(OR($A136="",$G136=""),"",INT((Settings!$B$19-$G136)/7))</f>
        <v/>
      </c>
      <c r="I136" s="24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MissingLevel","")&amp;IF(AND($C136="Proposal",Deals!$H88=0.5)," DefaultProbability","")&amp;IF($F136="No"," NoDates","")&amp;IF(AND(ISNUMBER($H136),$H136&gt;=Settings!$B$20)," Stale","")))</f>
        <v/>
      </c>
    </row>
    <row r="137">
      <c r="A137" s="16">
        <f>IF(Deals!$A89="","",Deals!$A89)</f>
        <v/>
      </c>
      <c r="B137" s="16">
        <f>IF($A137="","",Deals!$C89)</f>
        <v/>
      </c>
      <c r="C137" s="16">
        <f>IF($A137="","",Deals!$F89)</f>
        <v/>
      </c>
      <c r="D137" s="21">
        <f>IF($A137="","",Deals!$H89)</f>
        <v/>
      </c>
      <c r="E137" s="17">
        <f>IF($A137="","",Deals!$Q89)</f>
        <v/>
      </c>
      <c r="F137" s="16">
        <f>IF($A137="","",IF(AND(Deals!$I89&lt;&gt;"",Deals!$J89&lt;&gt;""),"Yes","No"))</f>
        <v/>
      </c>
      <c r="G137" s="22">
        <f>IF($A137="","",Deals!$Z89)</f>
        <v/>
      </c>
      <c r="H137" s="23">
        <f>IF(OR($A137="",$G137=""),"",INT((Settings!$B$19-$G137)/7))</f>
        <v/>
      </c>
      <c r="I137" s="24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MissingLevel","")&amp;IF(AND($C137="Proposal",Deals!$H89=0.5)," DefaultProbability","")&amp;IF($F137="No"," NoDates","")&amp;IF(AND(ISNUMBER($H137),$H137&gt;=Settings!$B$20)," Stale","")))</f>
        <v/>
      </c>
    </row>
    <row r="138">
      <c r="A138" s="16">
        <f>IF(Deals!$A90="","",Deals!$A90)</f>
        <v/>
      </c>
      <c r="B138" s="16">
        <f>IF($A138="","",Deals!$C90)</f>
        <v/>
      </c>
      <c r="C138" s="16">
        <f>IF($A138="","",Deals!$F90)</f>
        <v/>
      </c>
      <c r="D138" s="21">
        <f>IF($A138="","",Deals!$H90)</f>
        <v/>
      </c>
      <c r="E138" s="17">
        <f>IF($A138="","",Deals!$Q90)</f>
        <v/>
      </c>
      <c r="F138" s="16">
        <f>IF($A138="","",IF(AND(Deals!$I90&lt;&gt;"",Deals!$J90&lt;&gt;""),"Yes","No"))</f>
        <v/>
      </c>
      <c r="G138" s="22">
        <f>IF($A138="","",Deals!$Z90)</f>
        <v/>
      </c>
      <c r="H138" s="23">
        <f>IF(OR($A138="",$G138=""),"",INT((Settings!$B$19-$G138)/7))</f>
        <v/>
      </c>
      <c r="I138" s="24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MissingLevel","")&amp;IF(AND($C138="Proposal",Deals!$H90=0.5)," DefaultProbability","")&amp;IF($F138="No"," NoDates","")&amp;IF(AND(ISNUMBER($H138),$H138&gt;=Settings!$B$20)," Stale","")))</f>
        <v/>
      </c>
    </row>
    <row r="139">
      <c r="A139" s="16">
        <f>IF(Deals!$A91="","",Deals!$A91)</f>
        <v/>
      </c>
      <c r="B139" s="16">
        <f>IF($A139="","",Deals!$C91)</f>
        <v/>
      </c>
      <c r="C139" s="16">
        <f>IF($A139="","",Deals!$F91)</f>
        <v/>
      </c>
      <c r="D139" s="21">
        <f>IF($A139="","",Deals!$H91)</f>
        <v/>
      </c>
      <c r="E139" s="17">
        <f>IF($A139="","",Deals!$Q91)</f>
        <v/>
      </c>
      <c r="F139" s="16">
        <f>IF($A139="","",IF(AND(Deals!$I91&lt;&gt;"",Deals!$J91&lt;&gt;""),"Yes","No"))</f>
        <v/>
      </c>
      <c r="G139" s="22">
        <f>IF($A139="","",Deals!$Z91)</f>
        <v/>
      </c>
      <c r="H139" s="23">
        <f>IF(OR($A139="",$G139=""),"",INT((Settings!$B$19-$G139)/7))</f>
        <v/>
      </c>
      <c r="I139" s="24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MissingLevel","")&amp;IF(AND($C139="Proposal",Deals!$H91=0.5)," DefaultProbability","")&amp;IF($F139="No"," NoDates","")&amp;IF(AND(ISNUMBER($H139),$H139&gt;=Settings!$B$20)," Stale","")))</f>
        <v/>
      </c>
    </row>
    <row r="140">
      <c r="A140" s="16">
        <f>IF(Deals!$A92="","",Deals!$A92)</f>
        <v/>
      </c>
      <c r="B140" s="16">
        <f>IF($A140="","",Deals!$C92)</f>
        <v/>
      </c>
      <c r="C140" s="16">
        <f>IF($A140="","",Deals!$F92)</f>
        <v/>
      </c>
      <c r="D140" s="21">
        <f>IF($A140="","",Deals!$H92)</f>
        <v/>
      </c>
      <c r="E140" s="17">
        <f>IF($A140="","",Deals!$Q92)</f>
        <v/>
      </c>
      <c r="F140" s="16">
        <f>IF($A140="","",IF(AND(Deals!$I92&lt;&gt;"",Deals!$J92&lt;&gt;""),"Yes","No"))</f>
        <v/>
      </c>
      <c r="G140" s="22">
        <f>IF($A140="","",Deals!$Z92)</f>
        <v/>
      </c>
      <c r="H140" s="23">
        <f>IF(OR($A140="",$G140=""),"",INT((Settings!$B$19-$G140)/7))</f>
        <v/>
      </c>
      <c r="I140" s="24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MissingLevel","")&amp;IF(AND($C140="Proposal",Deals!$H92=0.5)," DefaultProbability","")&amp;IF($F140="No"," NoDates","")&amp;IF(AND(ISNUMBER($H140),$H140&gt;=Settings!$B$20)," Stale","")))</f>
        <v/>
      </c>
    </row>
    <row r="141">
      <c r="A141" s="16">
        <f>IF(Deals!$A93="","",Deals!$A93)</f>
        <v/>
      </c>
      <c r="B141" s="16">
        <f>IF($A141="","",Deals!$C93)</f>
        <v/>
      </c>
      <c r="C141" s="16">
        <f>IF($A141="","",Deals!$F93)</f>
        <v/>
      </c>
      <c r="D141" s="21">
        <f>IF($A141="","",Deals!$H93)</f>
        <v/>
      </c>
      <c r="E141" s="17">
        <f>IF($A141="","",Deals!$Q93)</f>
        <v/>
      </c>
      <c r="F141" s="16">
        <f>IF($A141="","",IF(AND(Deals!$I93&lt;&gt;"",Deals!$J93&lt;&gt;""),"Yes","No"))</f>
        <v/>
      </c>
      <c r="G141" s="22">
        <f>IF($A141="","",Deals!$Z93)</f>
        <v/>
      </c>
      <c r="H141" s="23">
        <f>IF(OR($A141="",$G141=""),"",INT((Settings!$B$19-$G141)/7))</f>
        <v/>
      </c>
      <c r="I141" s="24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MissingLevel","")&amp;IF(AND($C141="Proposal",Deals!$H93=0.5)," DefaultProbability","")&amp;IF($F141="No"," NoDates","")&amp;IF(AND(ISNUMBER($H141),$H141&gt;=Settings!$B$20)," Stale","")))</f>
        <v/>
      </c>
    </row>
    <row r="142">
      <c r="A142" s="16">
        <f>IF(Deals!$A94="","",Deals!$A94)</f>
        <v/>
      </c>
      <c r="B142" s="16">
        <f>IF($A142="","",Deals!$C94)</f>
        <v/>
      </c>
      <c r="C142" s="16">
        <f>IF($A142="","",Deals!$F94)</f>
        <v/>
      </c>
      <c r="D142" s="21">
        <f>IF($A142="","",Deals!$H94)</f>
        <v/>
      </c>
      <c r="E142" s="17">
        <f>IF($A142="","",Deals!$Q94)</f>
        <v/>
      </c>
      <c r="F142" s="16">
        <f>IF($A142="","",IF(AND(Deals!$I94&lt;&gt;"",Deals!$J94&lt;&gt;""),"Yes","No"))</f>
        <v/>
      </c>
      <c r="G142" s="22">
        <f>IF($A142="","",Deals!$Z94)</f>
        <v/>
      </c>
      <c r="H142" s="23">
        <f>IF(OR($A142="",$G142=""),"",INT((Settings!$B$19-$G142)/7))</f>
        <v/>
      </c>
      <c r="I142" s="24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MissingLevel","")&amp;IF(AND($C142="Proposal",Deals!$H94=0.5)," DefaultProbability","")&amp;IF($F142="No"," NoDates","")&amp;IF(AND(ISNUMBER($H142),$H142&gt;=Settings!$B$20)," Stale","")))</f>
        <v/>
      </c>
    </row>
    <row r="143">
      <c r="A143" s="16">
        <f>IF(Deals!$A95="","",Deals!$A95)</f>
        <v/>
      </c>
      <c r="B143" s="16">
        <f>IF($A143="","",Deals!$C95)</f>
        <v/>
      </c>
      <c r="C143" s="16">
        <f>IF($A143="","",Deals!$F95)</f>
        <v/>
      </c>
      <c r="D143" s="21">
        <f>IF($A143="","",Deals!$H95)</f>
        <v/>
      </c>
      <c r="E143" s="17">
        <f>IF($A143="","",Deals!$Q95)</f>
        <v/>
      </c>
      <c r="F143" s="16">
        <f>IF($A143="","",IF(AND(Deals!$I95&lt;&gt;"",Deals!$J95&lt;&gt;""),"Yes","No"))</f>
        <v/>
      </c>
      <c r="G143" s="22">
        <f>IF($A143="","",Deals!$Z95)</f>
        <v/>
      </c>
      <c r="H143" s="23">
        <f>IF(OR($A143="",$G143=""),"",INT((Settings!$B$19-$G143)/7))</f>
        <v/>
      </c>
      <c r="I143" s="24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MissingLevel","")&amp;IF(AND($C143="Proposal",Deals!$H95=0.5)," DefaultProbability","")&amp;IF($F143="No"," NoDates","")&amp;IF(AND(ISNUMBER($H143),$H143&gt;=Settings!$B$20)," Stale","")))</f>
        <v/>
      </c>
    </row>
    <row r="144">
      <c r="A144" s="16">
        <f>IF(Deals!$A96="","",Deals!$A96)</f>
        <v/>
      </c>
      <c r="B144" s="16">
        <f>IF($A144="","",Deals!$C96)</f>
        <v/>
      </c>
      <c r="C144" s="16">
        <f>IF($A144="","",Deals!$F96)</f>
        <v/>
      </c>
      <c r="D144" s="21">
        <f>IF($A144="","",Deals!$H96)</f>
        <v/>
      </c>
      <c r="E144" s="17">
        <f>IF($A144="","",Deals!$Q96)</f>
        <v/>
      </c>
      <c r="F144" s="16">
        <f>IF($A144="","",IF(AND(Deals!$I96&lt;&gt;"",Deals!$J96&lt;&gt;""),"Yes","No"))</f>
        <v/>
      </c>
      <c r="G144" s="22">
        <f>IF($A144="","",Deals!$Z96)</f>
        <v/>
      </c>
      <c r="H144" s="23">
        <f>IF(OR($A144="",$G144=""),"",INT((Settings!$B$19-$G144)/7))</f>
        <v/>
      </c>
      <c r="I144" s="24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MissingLevel","")&amp;IF(AND($C144="Proposal",Deals!$H96=0.5)," DefaultProbability","")&amp;IF($F144="No"," NoDates","")&amp;IF(AND(ISNUMBER($H144),$H144&gt;=Settings!$B$20)," Stale","")))</f>
        <v/>
      </c>
    </row>
    <row r="145">
      <c r="A145" s="16">
        <f>IF(Deals!$A97="","",Deals!$A97)</f>
        <v/>
      </c>
      <c r="B145" s="16">
        <f>IF($A145="","",Deals!$C97)</f>
        <v/>
      </c>
      <c r="C145" s="16">
        <f>IF($A145="","",Deals!$F97)</f>
        <v/>
      </c>
      <c r="D145" s="21">
        <f>IF($A145="","",Deals!$H97)</f>
        <v/>
      </c>
      <c r="E145" s="17">
        <f>IF($A145="","",Deals!$Q97)</f>
        <v/>
      </c>
      <c r="F145" s="16">
        <f>IF($A145="","",IF(AND(Deals!$I97&lt;&gt;"",Deals!$J97&lt;&gt;""),"Yes","No"))</f>
        <v/>
      </c>
      <c r="G145" s="22">
        <f>IF($A145="","",Deals!$Z97)</f>
        <v/>
      </c>
      <c r="H145" s="23">
        <f>IF(OR($A145="",$G145=""),"",INT((Settings!$B$19-$G145)/7))</f>
        <v/>
      </c>
      <c r="I145" s="24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MissingLevel","")&amp;IF(AND($C145="Proposal",Deals!$H97=0.5)," DefaultProbability","")&amp;IF($F145="No"," NoDates","")&amp;IF(AND(ISNUMBER($H145),$H145&gt;=Settings!$B$20)," Stale","")))</f>
        <v/>
      </c>
    </row>
    <row r="146">
      <c r="A146" s="16">
        <f>IF(Deals!$A98="","",Deals!$A98)</f>
        <v/>
      </c>
      <c r="B146" s="16">
        <f>IF($A146="","",Deals!$C98)</f>
        <v/>
      </c>
      <c r="C146" s="16">
        <f>IF($A146="","",Deals!$F98)</f>
        <v/>
      </c>
      <c r="D146" s="21">
        <f>IF($A146="","",Deals!$H98)</f>
        <v/>
      </c>
      <c r="E146" s="17">
        <f>IF($A146="","",Deals!$Q98)</f>
        <v/>
      </c>
      <c r="F146" s="16">
        <f>IF($A146="","",IF(AND(Deals!$I98&lt;&gt;"",Deals!$J98&lt;&gt;""),"Yes","No"))</f>
        <v/>
      </c>
      <c r="G146" s="22">
        <f>IF($A146="","",Deals!$Z98)</f>
        <v/>
      </c>
      <c r="H146" s="23">
        <f>IF(OR($A146="",$G146=""),"",INT((Settings!$B$19-$G146)/7))</f>
        <v/>
      </c>
      <c r="I146" s="24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MissingLevel","")&amp;IF(AND($C146="Proposal",Deals!$H98=0.5)," DefaultProbability","")&amp;IF($F146="No"," NoDates","")&amp;IF(AND(ISNUMBER($H146),$H146&gt;=Settings!$B$20)," Stale","")))</f>
        <v/>
      </c>
    </row>
    <row r="147">
      <c r="A147" s="16">
        <f>IF(Deals!$A99="","",Deals!$A99)</f>
        <v/>
      </c>
      <c r="B147" s="16">
        <f>IF($A147="","",Deals!$C99)</f>
        <v/>
      </c>
      <c r="C147" s="16">
        <f>IF($A147="","",Deals!$F99)</f>
        <v/>
      </c>
      <c r="D147" s="21">
        <f>IF($A147="","",Deals!$H99)</f>
        <v/>
      </c>
      <c r="E147" s="17">
        <f>IF($A147="","",Deals!$Q99)</f>
        <v/>
      </c>
      <c r="F147" s="16">
        <f>IF($A147="","",IF(AND(Deals!$I99&lt;&gt;"",Deals!$J99&lt;&gt;""),"Yes","No"))</f>
        <v/>
      </c>
      <c r="G147" s="22">
        <f>IF($A147="","",Deals!$Z99)</f>
        <v/>
      </c>
      <c r="H147" s="23">
        <f>IF(OR($A147="",$G147=""),"",INT((Settings!$B$19-$G147)/7))</f>
        <v/>
      </c>
      <c r="I147" s="24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MissingLevel","")&amp;IF(AND($C147="Proposal",Deals!$H99=0.5)," DefaultProbability","")&amp;IF($F147="No"," NoDates","")&amp;IF(AND(ISNUMBER($H147),$H147&gt;=Settings!$B$20)," Stale","")))</f>
        <v/>
      </c>
    </row>
    <row r="148">
      <c r="A148" s="16">
        <f>IF(Deals!$A100="","",Deals!$A100)</f>
        <v/>
      </c>
      <c r="B148" s="16">
        <f>IF($A148="","",Deals!$C100)</f>
        <v/>
      </c>
      <c r="C148" s="16">
        <f>IF($A148="","",Deals!$F100)</f>
        <v/>
      </c>
      <c r="D148" s="21">
        <f>IF($A148="","",Deals!$H100)</f>
        <v/>
      </c>
      <c r="E148" s="17">
        <f>IF($A148="","",Deals!$Q100)</f>
        <v/>
      </c>
      <c r="F148" s="16">
        <f>IF($A148="","",IF(AND(Deals!$I100&lt;&gt;"",Deals!$J100&lt;&gt;""),"Yes","No"))</f>
        <v/>
      </c>
      <c r="G148" s="22">
        <f>IF($A148="","",Deals!$Z100)</f>
        <v/>
      </c>
      <c r="H148" s="23">
        <f>IF(OR($A148="",$G148=""),"",INT((Settings!$B$19-$G148)/7))</f>
        <v/>
      </c>
      <c r="I148" s="24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MissingLevel","")&amp;IF(AND($C148="Proposal",Deals!$H100=0.5)," DefaultProbability","")&amp;IF($F148="No"," NoDates","")&amp;IF(AND(ISNUMBER($H148),$H148&gt;=Settings!$B$20)," Stale","")))</f>
        <v/>
      </c>
    </row>
    <row r="149">
      <c r="A149" s="16">
        <f>IF(Deals!$A101="","",Deals!$A101)</f>
        <v/>
      </c>
      <c r="B149" s="16">
        <f>IF($A149="","",Deals!$C101)</f>
        <v/>
      </c>
      <c r="C149" s="16">
        <f>IF($A149="","",Deals!$F101)</f>
        <v/>
      </c>
      <c r="D149" s="21">
        <f>IF($A149="","",Deals!$H101)</f>
        <v/>
      </c>
      <c r="E149" s="17">
        <f>IF($A149="","",Deals!$Q101)</f>
        <v/>
      </c>
      <c r="F149" s="16">
        <f>IF($A149="","",IF(AND(Deals!$I101&lt;&gt;"",Deals!$J101&lt;&gt;""),"Yes","No"))</f>
        <v/>
      </c>
      <c r="G149" s="22">
        <f>IF($A149="","",Deals!$Z101)</f>
        <v/>
      </c>
      <c r="H149" s="23">
        <f>IF(OR($A149="",$G149=""),"",INT((Settings!$B$19-$G149)/7))</f>
        <v/>
      </c>
      <c r="I149" s="24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MissingLevel","")&amp;IF(AND($C149="Proposal",Deals!$H101=0.5)," DefaultProbability","")&amp;IF($F149="No"," NoDates","")&amp;IF(AND(ISNUMBER($H149),$H149&gt;=Settings!$B$20)," Stale","")))</f>
        <v/>
      </c>
    </row>
    <row r="150">
      <c r="A150" s="16">
        <f>IF(Deals!$A102="","",Deals!$A102)</f>
        <v/>
      </c>
      <c r="B150" s="16">
        <f>IF($A150="","",Deals!$C102)</f>
        <v/>
      </c>
      <c r="C150" s="16">
        <f>IF($A150="","",Deals!$F102)</f>
        <v/>
      </c>
      <c r="D150" s="21">
        <f>IF($A150="","",Deals!$H102)</f>
        <v/>
      </c>
      <c r="E150" s="17">
        <f>IF($A150="","",Deals!$Q102)</f>
        <v/>
      </c>
      <c r="F150" s="16">
        <f>IF($A150="","",IF(AND(Deals!$I102&lt;&gt;"",Deals!$J102&lt;&gt;""),"Yes","No"))</f>
        <v/>
      </c>
      <c r="G150" s="22">
        <f>IF($A150="","",Deals!$Z102)</f>
        <v/>
      </c>
      <c r="H150" s="23">
        <f>IF(OR($A150="",$G150=""),"",INT((Settings!$B$19-$G150)/7))</f>
        <v/>
      </c>
      <c r="I150" s="24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MissingLevel","")&amp;IF(AND($C150="Proposal",Deals!$H102=0.5)," DefaultProbability","")&amp;IF($F150="No"," NoDates","")&amp;IF(AND(ISNUMBER($H150),$H150&gt;=Settings!$B$20)," Stale","")))</f>
        <v/>
      </c>
    </row>
    <row r="151">
      <c r="A151" s="16">
        <f>IF(Deals!$A103="","",Deals!$A103)</f>
        <v/>
      </c>
      <c r="B151" s="16">
        <f>IF($A151="","",Deals!$C103)</f>
        <v/>
      </c>
      <c r="C151" s="16">
        <f>IF($A151="","",Deals!$F103)</f>
        <v/>
      </c>
      <c r="D151" s="21">
        <f>IF($A151="","",Deals!$H103)</f>
        <v/>
      </c>
      <c r="E151" s="17">
        <f>IF($A151="","",Deals!$Q103)</f>
        <v/>
      </c>
      <c r="F151" s="16">
        <f>IF($A151="","",IF(AND(Deals!$I103&lt;&gt;"",Deals!$J103&lt;&gt;""),"Yes","No"))</f>
        <v/>
      </c>
      <c r="G151" s="22">
        <f>IF($A151="","",Deals!$Z103)</f>
        <v/>
      </c>
      <c r="H151" s="23">
        <f>IF(OR($A151="",$G151=""),"",INT((Settings!$B$19-$G151)/7))</f>
        <v/>
      </c>
      <c r="I151" s="24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MissingLevel","")&amp;IF(AND($C151="Proposal",Deals!$H103=0.5)," DefaultProbability","")&amp;IF($F151="No"," NoDates","")&amp;IF(AND(ISNUMBER($H151),$H151&gt;=Settings!$B$20)," Stale","")))</f>
        <v/>
      </c>
    </row>
    <row r="152">
      <c r="A152" s="16">
        <f>IF(Deals!$A104="","",Deals!$A104)</f>
        <v/>
      </c>
      <c r="B152" s="16">
        <f>IF($A152="","",Deals!$C104)</f>
        <v/>
      </c>
      <c r="C152" s="16">
        <f>IF($A152="","",Deals!$F104)</f>
        <v/>
      </c>
      <c r="D152" s="21">
        <f>IF($A152="","",Deals!$H104)</f>
        <v/>
      </c>
      <c r="E152" s="17">
        <f>IF($A152="","",Deals!$Q104)</f>
        <v/>
      </c>
      <c r="F152" s="16">
        <f>IF($A152="","",IF(AND(Deals!$I104&lt;&gt;"",Deals!$J104&lt;&gt;""),"Yes","No"))</f>
        <v/>
      </c>
      <c r="G152" s="22">
        <f>IF($A152="","",Deals!$Z104)</f>
        <v/>
      </c>
      <c r="H152" s="23">
        <f>IF(OR($A152="",$G152=""),"",INT((Settings!$B$19-$G152)/7))</f>
        <v/>
      </c>
      <c r="I152" s="24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MissingLevel","")&amp;IF(AND($C152="Proposal",Deals!$H104=0.5)," DefaultProbability","")&amp;IF($F152="No"," NoDates","")&amp;IF(AND(ISNUMBER($H152),$H152&gt;=Settings!$B$20)," Stale","")))</f>
        <v/>
      </c>
    </row>
    <row r="153">
      <c r="A153" s="16">
        <f>IF(Deals!$A105="","",Deals!$A105)</f>
        <v/>
      </c>
      <c r="B153" s="16">
        <f>IF($A153="","",Deals!$C105)</f>
        <v/>
      </c>
      <c r="C153" s="16">
        <f>IF($A153="","",Deals!$F105)</f>
        <v/>
      </c>
      <c r="D153" s="21">
        <f>IF($A153="","",Deals!$H105)</f>
        <v/>
      </c>
      <c r="E153" s="17">
        <f>IF($A153="","",Deals!$Q105)</f>
        <v/>
      </c>
      <c r="F153" s="16">
        <f>IF($A153="","",IF(AND(Deals!$I105&lt;&gt;"",Deals!$J105&lt;&gt;""),"Yes","No"))</f>
        <v/>
      </c>
      <c r="G153" s="22">
        <f>IF($A153="","",Deals!$Z105)</f>
        <v/>
      </c>
      <c r="H153" s="23">
        <f>IF(OR($A153="",$G153=""),"",INT((Settings!$B$19-$G153)/7))</f>
        <v/>
      </c>
      <c r="I153" s="24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MissingLevel","")&amp;IF(AND($C153="Proposal",Deals!$H105=0.5)," DefaultProbability","")&amp;IF($F153="No"," NoDates","")&amp;IF(AND(ISNUMBER($H153),$H153&gt;=Settings!$B$20)," Stale","")))</f>
        <v/>
      </c>
    </row>
    <row r="154">
      <c r="A154" s="16">
        <f>IF(Deals!$A106="","",Deals!$A106)</f>
        <v/>
      </c>
      <c r="B154" s="16">
        <f>IF($A154="","",Deals!$C106)</f>
        <v/>
      </c>
      <c r="C154" s="16">
        <f>IF($A154="","",Deals!$F106)</f>
        <v/>
      </c>
      <c r="D154" s="21">
        <f>IF($A154="","",Deals!$H106)</f>
        <v/>
      </c>
      <c r="E154" s="17">
        <f>IF($A154="","",Deals!$Q106)</f>
        <v/>
      </c>
      <c r="F154" s="16">
        <f>IF($A154="","",IF(AND(Deals!$I106&lt;&gt;"",Deals!$J106&lt;&gt;""),"Yes","No"))</f>
        <v/>
      </c>
      <c r="G154" s="22">
        <f>IF($A154="","",Deals!$Z106)</f>
        <v/>
      </c>
      <c r="H154" s="23">
        <f>IF(OR($A154="",$G154=""),"",INT((Settings!$B$19-$G154)/7))</f>
        <v/>
      </c>
      <c r="I154" s="24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MissingLevel","")&amp;IF(AND($C154="Proposal",Deals!$H106=0.5)," DefaultProbability","")&amp;IF($F154="No"," NoDates","")&amp;IF(AND(ISNUMBER($H154),$H154&gt;=Settings!$B$20)," Stale","")))</f>
        <v/>
      </c>
    </row>
    <row r="155">
      <c r="A155" s="16">
        <f>IF(Deals!$A107="","",Deals!$A107)</f>
        <v/>
      </c>
      <c r="B155" s="16">
        <f>IF($A155="","",Deals!$C107)</f>
        <v/>
      </c>
      <c r="C155" s="16">
        <f>IF($A155="","",Deals!$F107)</f>
        <v/>
      </c>
      <c r="D155" s="21">
        <f>IF($A155="","",Deals!$H107)</f>
        <v/>
      </c>
      <c r="E155" s="17">
        <f>IF($A155="","",Deals!$Q107)</f>
        <v/>
      </c>
      <c r="F155" s="16">
        <f>IF($A155="","",IF(AND(Deals!$I107&lt;&gt;"",Deals!$J107&lt;&gt;""),"Yes","No"))</f>
        <v/>
      </c>
      <c r="G155" s="22">
        <f>IF($A155="","",Deals!$Z107)</f>
        <v/>
      </c>
      <c r="H155" s="23">
        <f>IF(OR($A155="",$G155=""),"",INT((Settings!$B$19-$G155)/7))</f>
        <v/>
      </c>
      <c r="I155" s="24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MissingLevel","")&amp;IF(AND($C155="Proposal",Deals!$H107=0.5)," DefaultProbability","")&amp;IF($F155="No"," NoDates","")&amp;IF(AND(ISNUMBER($H155),$H155&gt;=Settings!$B$20)," Stale","")))</f>
        <v/>
      </c>
    </row>
    <row r="156">
      <c r="A156" s="16">
        <f>IF(Deals!$A108="","",Deals!$A108)</f>
        <v/>
      </c>
      <c r="B156" s="16">
        <f>IF($A156="","",Deals!$C108)</f>
        <v/>
      </c>
      <c r="C156" s="16">
        <f>IF($A156="","",Deals!$F108)</f>
        <v/>
      </c>
      <c r="D156" s="21">
        <f>IF($A156="","",Deals!$H108)</f>
        <v/>
      </c>
      <c r="E156" s="17">
        <f>IF($A156="","",Deals!$Q108)</f>
        <v/>
      </c>
      <c r="F156" s="16">
        <f>IF($A156="","",IF(AND(Deals!$I108&lt;&gt;"",Deals!$J108&lt;&gt;""),"Yes","No"))</f>
        <v/>
      </c>
      <c r="G156" s="22">
        <f>IF($A156="","",Deals!$Z108)</f>
        <v/>
      </c>
      <c r="H156" s="23">
        <f>IF(OR($A156="",$G156=""),"",INT((Settings!$B$19-$G156)/7))</f>
        <v/>
      </c>
      <c r="I156" s="24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MissingLevel","")&amp;IF(AND($C156="Proposal",Deals!$H108=0.5)," DefaultProbability","")&amp;IF($F156="No"," NoDates","")&amp;IF(AND(ISNUMBER($H156),$H156&gt;=Settings!$B$20)," Stale","")))</f>
        <v/>
      </c>
    </row>
    <row r="157">
      <c r="A157" s="16">
        <f>IF(Deals!$A109="","",Deals!$A109)</f>
        <v/>
      </c>
      <c r="B157" s="16">
        <f>IF($A157="","",Deals!$C109)</f>
        <v/>
      </c>
      <c r="C157" s="16">
        <f>IF($A157="","",Deals!$F109)</f>
        <v/>
      </c>
      <c r="D157" s="21">
        <f>IF($A157="","",Deals!$H109)</f>
        <v/>
      </c>
      <c r="E157" s="17">
        <f>IF($A157="","",Deals!$Q109)</f>
        <v/>
      </c>
      <c r="F157" s="16">
        <f>IF($A157="","",IF(AND(Deals!$I109&lt;&gt;"",Deals!$J109&lt;&gt;""),"Yes","No"))</f>
        <v/>
      </c>
      <c r="G157" s="22">
        <f>IF($A157="","",Deals!$Z109)</f>
        <v/>
      </c>
      <c r="H157" s="23">
        <f>IF(OR($A157="",$G157=""),"",INT((Settings!$B$19-$G157)/7))</f>
        <v/>
      </c>
      <c r="I157" s="24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MissingLevel","")&amp;IF(AND($C157="Proposal",Deals!$H109=0.5)," DefaultProbability","")&amp;IF($F157="No"," NoDates","")&amp;IF(AND(ISNUMBER($H157),$H157&gt;=Settings!$B$20)," Stale","")))</f>
        <v/>
      </c>
    </row>
    <row r="158">
      <c r="A158" s="16">
        <f>IF(Deals!$A110="","",Deals!$A110)</f>
        <v/>
      </c>
      <c r="B158" s="16">
        <f>IF($A158="","",Deals!$C110)</f>
        <v/>
      </c>
      <c r="C158" s="16">
        <f>IF($A158="","",Deals!$F110)</f>
        <v/>
      </c>
      <c r="D158" s="21">
        <f>IF($A158="","",Deals!$H110)</f>
        <v/>
      </c>
      <c r="E158" s="17">
        <f>IF($A158="","",Deals!$Q110)</f>
        <v/>
      </c>
      <c r="F158" s="16">
        <f>IF($A158="","",IF(AND(Deals!$I110&lt;&gt;"",Deals!$J110&lt;&gt;""),"Yes","No"))</f>
        <v/>
      </c>
      <c r="G158" s="22">
        <f>IF($A158="","",Deals!$Z110)</f>
        <v/>
      </c>
      <c r="H158" s="23">
        <f>IF(OR($A158="",$G158=""),"",INT((Settings!$B$19-$G158)/7))</f>
        <v/>
      </c>
      <c r="I158" s="24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MissingLevel","")&amp;IF(AND($C158="Proposal",Deals!$H110=0.5)," DefaultProbability","")&amp;IF($F158="No"," NoDates","")&amp;IF(AND(ISNUMBER($H158),$H158&gt;=Settings!$B$20)," Stale","")))</f>
        <v/>
      </c>
    </row>
    <row r="159">
      <c r="A159" s="16">
        <f>IF(Deals!$A111="","",Deals!$A111)</f>
        <v/>
      </c>
      <c r="B159" s="16">
        <f>IF($A159="","",Deals!$C111)</f>
        <v/>
      </c>
      <c r="C159" s="16">
        <f>IF($A159="","",Deals!$F111)</f>
        <v/>
      </c>
      <c r="D159" s="21">
        <f>IF($A159="","",Deals!$H111)</f>
        <v/>
      </c>
      <c r="E159" s="17">
        <f>IF($A159="","",Deals!$Q111)</f>
        <v/>
      </c>
      <c r="F159" s="16">
        <f>IF($A159="","",IF(AND(Deals!$I111&lt;&gt;"",Deals!$J111&lt;&gt;""),"Yes","No"))</f>
        <v/>
      </c>
      <c r="G159" s="22">
        <f>IF($A159="","",Deals!$Z111)</f>
        <v/>
      </c>
      <c r="H159" s="23">
        <f>IF(OR($A159="",$G159=""),"",INT((Settings!$B$19-$G159)/7))</f>
        <v/>
      </c>
      <c r="I159" s="24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MissingLevel","")&amp;IF(AND($C159="Proposal",Deals!$H111=0.5)," DefaultProbability","")&amp;IF($F159="No"," NoDates","")&amp;IF(AND(ISNUMBER($H159),$H159&gt;=Settings!$B$20)," Stale","")))</f>
        <v/>
      </c>
    </row>
    <row r="160">
      <c r="A160" s="16">
        <f>IF(Deals!$A112="","",Deals!$A112)</f>
        <v/>
      </c>
      <c r="B160" s="16">
        <f>IF($A160="","",Deals!$C112)</f>
        <v/>
      </c>
      <c r="C160" s="16">
        <f>IF($A160="","",Deals!$F112)</f>
        <v/>
      </c>
      <c r="D160" s="21">
        <f>IF($A160="","",Deals!$H112)</f>
        <v/>
      </c>
      <c r="E160" s="17">
        <f>IF($A160="","",Deals!$Q112)</f>
        <v/>
      </c>
      <c r="F160" s="16">
        <f>IF($A160="","",IF(AND(Deals!$I112&lt;&gt;"",Deals!$J112&lt;&gt;""),"Yes","No"))</f>
        <v/>
      </c>
      <c r="G160" s="22">
        <f>IF($A160="","",Deals!$Z112)</f>
        <v/>
      </c>
      <c r="H160" s="23">
        <f>IF(OR($A160="",$G160=""),"",INT((Settings!$B$19-$G160)/7))</f>
        <v/>
      </c>
      <c r="I160" s="24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MissingLevel","")&amp;IF(AND($C160="Proposal",Deals!$H112=0.5)," DefaultProbability","")&amp;IF($F160="No"," NoDates","")&amp;IF(AND(ISNUMBER($H160),$H160&gt;=Settings!$B$20)," Stale","")))</f>
        <v/>
      </c>
    </row>
    <row r="161">
      <c r="A161" s="16">
        <f>IF(Deals!$A113="","",Deals!$A113)</f>
        <v/>
      </c>
      <c r="B161" s="16">
        <f>IF($A161="","",Deals!$C113)</f>
        <v/>
      </c>
      <c r="C161" s="16">
        <f>IF($A161="","",Deals!$F113)</f>
        <v/>
      </c>
      <c r="D161" s="21">
        <f>IF($A161="","",Deals!$H113)</f>
        <v/>
      </c>
      <c r="E161" s="17">
        <f>IF($A161="","",Deals!$Q113)</f>
        <v/>
      </c>
      <c r="F161" s="16">
        <f>IF($A161="","",IF(AND(Deals!$I113&lt;&gt;"",Deals!$J113&lt;&gt;""),"Yes","No"))</f>
        <v/>
      </c>
      <c r="G161" s="22">
        <f>IF($A161="","",Deals!$Z113)</f>
        <v/>
      </c>
      <c r="H161" s="23">
        <f>IF(OR($A161="",$G161=""),"",INT((Settings!$B$19-$G161)/7))</f>
        <v/>
      </c>
      <c r="I161" s="24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MissingLevel","")&amp;IF(AND($C161="Proposal",Deals!$H113=0.5)," DefaultProbability","")&amp;IF($F161="No"," NoDates","")&amp;IF(AND(ISNUMBER($H161),$H161&gt;=Settings!$B$20)," Stale","")))</f>
        <v/>
      </c>
    </row>
    <row r="162">
      <c r="A162" s="16">
        <f>IF(Deals!$A114="","",Deals!$A114)</f>
        <v/>
      </c>
      <c r="B162" s="16">
        <f>IF($A162="","",Deals!$C114)</f>
        <v/>
      </c>
      <c r="C162" s="16">
        <f>IF($A162="","",Deals!$F114)</f>
        <v/>
      </c>
      <c r="D162" s="21">
        <f>IF($A162="","",Deals!$H114)</f>
        <v/>
      </c>
      <c r="E162" s="17">
        <f>IF($A162="","",Deals!$Q114)</f>
        <v/>
      </c>
      <c r="F162" s="16">
        <f>IF($A162="","",IF(AND(Deals!$I114&lt;&gt;"",Deals!$J114&lt;&gt;""),"Yes","No"))</f>
        <v/>
      </c>
      <c r="G162" s="22">
        <f>IF($A162="","",Deals!$Z114)</f>
        <v/>
      </c>
      <c r="H162" s="23">
        <f>IF(OR($A162="",$G162=""),"",INT((Settings!$B$19-$G162)/7))</f>
        <v/>
      </c>
      <c r="I162" s="24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MissingLevel","")&amp;IF(AND($C162="Proposal",Deals!$H114=0.5)," DefaultProbability","")&amp;IF($F162="No"," NoDates","")&amp;IF(AND(ISNUMBER($H162),$H162&gt;=Settings!$B$20)," Stale","")))</f>
        <v/>
      </c>
    </row>
    <row r="163">
      <c r="A163" s="16">
        <f>IF(Deals!$A115="","",Deals!$A115)</f>
        <v/>
      </c>
      <c r="B163" s="16">
        <f>IF($A163="","",Deals!$C115)</f>
        <v/>
      </c>
      <c r="C163" s="16">
        <f>IF($A163="","",Deals!$F115)</f>
        <v/>
      </c>
      <c r="D163" s="21">
        <f>IF($A163="","",Deals!$H115)</f>
        <v/>
      </c>
      <c r="E163" s="17">
        <f>IF($A163="","",Deals!$Q115)</f>
        <v/>
      </c>
      <c r="F163" s="16">
        <f>IF($A163="","",IF(AND(Deals!$I115&lt;&gt;"",Deals!$J115&lt;&gt;""),"Yes","No"))</f>
        <v/>
      </c>
      <c r="G163" s="22">
        <f>IF($A163="","",Deals!$Z115)</f>
        <v/>
      </c>
      <c r="H163" s="23">
        <f>IF(OR($A163="",$G163=""),"",INT((Settings!$B$19-$G163)/7))</f>
        <v/>
      </c>
      <c r="I163" s="24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MissingLevel","")&amp;IF(AND($C163="Proposal",Deals!$H115=0.5)," DefaultProbability","")&amp;IF($F163="No"," NoDates","")&amp;IF(AND(ISNUMBER($H163),$H163&gt;=Settings!$B$20)," Stale","")))</f>
        <v/>
      </c>
    </row>
    <row r="164">
      <c r="A164" s="16">
        <f>IF(Deals!$A116="","",Deals!$A116)</f>
        <v/>
      </c>
      <c r="B164" s="16">
        <f>IF($A164="","",Deals!$C116)</f>
        <v/>
      </c>
      <c r="C164" s="16">
        <f>IF($A164="","",Deals!$F116)</f>
        <v/>
      </c>
      <c r="D164" s="21">
        <f>IF($A164="","",Deals!$H116)</f>
        <v/>
      </c>
      <c r="E164" s="17">
        <f>IF($A164="","",Deals!$Q116)</f>
        <v/>
      </c>
      <c r="F164" s="16">
        <f>IF($A164="","",IF(AND(Deals!$I116&lt;&gt;"",Deals!$J116&lt;&gt;""),"Yes","No"))</f>
        <v/>
      </c>
      <c r="G164" s="22">
        <f>IF($A164="","",Deals!$Z116)</f>
        <v/>
      </c>
      <c r="H164" s="23">
        <f>IF(OR($A164="",$G164=""),"",INT((Settings!$B$19-$G164)/7))</f>
        <v/>
      </c>
      <c r="I164" s="24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MissingLevel","")&amp;IF(AND($C164="Proposal",Deals!$H116=0.5)," DefaultProbability","")&amp;IF($F164="No"," NoDates","")&amp;IF(AND(ISNUMBER($H164),$H164&gt;=Settings!$B$20)," Stale","")))</f>
        <v/>
      </c>
    </row>
    <row r="165">
      <c r="A165" s="16">
        <f>IF(Deals!$A117="","",Deals!$A117)</f>
        <v/>
      </c>
      <c r="B165" s="16">
        <f>IF($A165="","",Deals!$C117)</f>
        <v/>
      </c>
      <c r="C165" s="16">
        <f>IF($A165="","",Deals!$F117)</f>
        <v/>
      </c>
      <c r="D165" s="21">
        <f>IF($A165="","",Deals!$H117)</f>
        <v/>
      </c>
      <c r="E165" s="17">
        <f>IF($A165="","",Deals!$Q117)</f>
        <v/>
      </c>
      <c r="F165" s="16">
        <f>IF($A165="","",IF(AND(Deals!$I117&lt;&gt;"",Deals!$J117&lt;&gt;""),"Yes","No"))</f>
        <v/>
      </c>
      <c r="G165" s="22">
        <f>IF($A165="","",Deals!$Z117)</f>
        <v/>
      </c>
      <c r="H165" s="23">
        <f>IF(OR($A165="",$G165=""),"",INT((Settings!$B$19-$G165)/7))</f>
        <v/>
      </c>
      <c r="I165" s="24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MissingLevel","")&amp;IF(AND($C165="Proposal",Deals!$H117=0.5)," DefaultProbability","")&amp;IF($F165="No"," NoDates","")&amp;IF(AND(ISNUMBER($H165),$H165&gt;=Settings!$B$20)," Stale","")))</f>
        <v/>
      </c>
    </row>
    <row r="166">
      <c r="A166" s="16">
        <f>IF(Deals!$A118="","",Deals!$A118)</f>
        <v/>
      </c>
      <c r="B166" s="16">
        <f>IF($A166="","",Deals!$C118)</f>
        <v/>
      </c>
      <c r="C166" s="16">
        <f>IF($A166="","",Deals!$F118)</f>
        <v/>
      </c>
      <c r="D166" s="21">
        <f>IF($A166="","",Deals!$H118)</f>
        <v/>
      </c>
      <c r="E166" s="17">
        <f>IF($A166="","",Deals!$Q118)</f>
        <v/>
      </c>
      <c r="F166" s="16">
        <f>IF($A166="","",IF(AND(Deals!$I118&lt;&gt;"",Deals!$J118&lt;&gt;""),"Yes","No"))</f>
        <v/>
      </c>
      <c r="G166" s="22">
        <f>IF($A166="","",Deals!$Z118)</f>
        <v/>
      </c>
      <c r="H166" s="23">
        <f>IF(OR($A166="",$G166=""),"",INT((Settings!$B$19-$G166)/7))</f>
        <v/>
      </c>
      <c r="I166" s="24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MissingLevel","")&amp;IF(AND($C166="Proposal",Deals!$H118=0.5)," DefaultProbability","")&amp;IF($F166="No"," NoDates","")&amp;IF(AND(ISNUMBER($H166),$H166&gt;=Settings!$B$20)," Stale","")))</f>
        <v/>
      </c>
    </row>
    <row r="167">
      <c r="A167" s="16">
        <f>IF(Deals!$A119="","",Deals!$A119)</f>
        <v/>
      </c>
      <c r="B167" s="16">
        <f>IF($A167="","",Deals!$C119)</f>
        <v/>
      </c>
      <c r="C167" s="16">
        <f>IF($A167="","",Deals!$F119)</f>
        <v/>
      </c>
      <c r="D167" s="21">
        <f>IF($A167="","",Deals!$H119)</f>
        <v/>
      </c>
      <c r="E167" s="17">
        <f>IF($A167="","",Deals!$Q119)</f>
        <v/>
      </c>
      <c r="F167" s="16">
        <f>IF($A167="","",IF(AND(Deals!$I119&lt;&gt;"",Deals!$J119&lt;&gt;""),"Yes","No"))</f>
        <v/>
      </c>
      <c r="G167" s="22">
        <f>IF($A167="","",Deals!$Z119)</f>
        <v/>
      </c>
      <c r="H167" s="23">
        <f>IF(OR($A167="",$G167=""),"",INT((Settings!$B$19-$G167)/7))</f>
        <v/>
      </c>
      <c r="I167" s="24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MissingLevel","")&amp;IF(AND($C167="Proposal",Deals!$H119=0.5)," DefaultProbability","")&amp;IF($F167="No"," NoDates","")&amp;IF(AND(ISNUMBER($H167),$H167&gt;=Settings!$B$20)," Stale","")))</f>
        <v/>
      </c>
    </row>
    <row r="168">
      <c r="A168" s="16">
        <f>IF(Deals!$A120="","",Deals!$A120)</f>
        <v/>
      </c>
      <c r="B168" s="16">
        <f>IF($A168="","",Deals!$C120)</f>
        <v/>
      </c>
      <c r="C168" s="16">
        <f>IF($A168="","",Deals!$F120)</f>
        <v/>
      </c>
      <c r="D168" s="21">
        <f>IF($A168="","",Deals!$H120)</f>
        <v/>
      </c>
      <c r="E168" s="17">
        <f>IF($A168="","",Deals!$Q120)</f>
        <v/>
      </c>
      <c r="F168" s="16">
        <f>IF($A168="","",IF(AND(Deals!$I120&lt;&gt;"",Deals!$J120&lt;&gt;""),"Yes","No"))</f>
        <v/>
      </c>
      <c r="G168" s="22">
        <f>IF($A168="","",Deals!$Z120)</f>
        <v/>
      </c>
      <c r="H168" s="23">
        <f>IF(OR($A168="",$G168=""),"",INT((Settings!$B$19-$G168)/7))</f>
        <v/>
      </c>
      <c r="I168" s="24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MissingLevel","")&amp;IF(AND($C168="Proposal",Deals!$H120=0.5)," DefaultProbability","")&amp;IF($F168="No"," NoDates","")&amp;IF(AND(ISNUMBER($H168),$H168&gt;=Settings!$B$20)," Stale","")))</f>
        <v/>
      </c>
    </row>
    <row r="169">
      <c r="A169" s="16">
        <f>IF(Deals!$A121="","",Deals!$A121)</f>
        <v/>
      </c>
      <c r="B169" s="16">
        <f>IF($A169="","",Deals!$C121)</f>
        <v/>
      </c>
      <c r="C169" s="16">
        <f>IF($A169="","",Deals!$F121)</f>
        <v/>
      </c>
      <c r="D169" s="21">
        <f>IF($A169="","",Deals!$H121)</f>
        <v/>
      </c>
      <c r="E169" s="17">
        <f>IF($A169="","",Deals!$Q121)</f>
        <v/>
      </c>
      <c r="F169" s="16">
        <f>IF($A169="","",IF(AND(Deals!$I121&lt;&gt;"",Deals!$J121&lt;&gt;""),"Yes","No"))</f>
        <v/>
      </c>
      <c r="G169" s="22">
        <f>IF($A169="","",Deals!$Z121)</f>
        <v/>
      </c>
      <c r="H169" s="23">
        <f>IF(OR($A169="",$G169=""),"",INT((Settings!$B$19-$G169)/7))</f>
        <v/>
      </c>
      <c r="I169" s="24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MissingLevel","")&amp;IF(AND($C169="Proposal",Deals!$H121=0.5)," DefaultProbability","")&amp;IF($F169="No"," NoDates","")&amp;IF(AND(ISNUMBER($H169),$H169&gt;=Settings!$B$20)," Stale","")))</f>
        <v/>
      </c>
    </row>
    <row r="170">
      <c r="A170" s="16">
        <f>IF(Deals!$A122="","",Deals!$A122)</f>
        <v/>
      </c>
      <c r="B170" s="16">
        <f>IF($A170="","",Deals!$C122)</f>
        <v/>
      </c>
      <c r="C170" s="16">
        <f>IF($A170="","",Deals!$F122)</f>
        <v/>
      </c>
      <c r="D170" s="21">
        <f>IF($A170="","",Deals!$H122)</f>
        <v/>
      </c>
      <c r="E170" s="17">
        <f>IF($A170="","",Deals!$Q122)</f>
        <v/>
      </c>
      <c r="F170" s="16">
        <f>IF($A170="","",IF(AND(Deals!$I122&lt;&gt;"",Deals!$J122&lt;&gt;""),"Yes","No"))</f>
        <v/>
      </c>
      <c r="G170" s="22">
        <f>IF($A170="","",Deals!$Z122)</f>
        <v/>
      </c>
      <c r="H170" s="23">
        <f>IF(OR($A170="",$G170=""),"",INT((Settings!$B$19-$G170)/7))</f>
        <v/>
      </c>
      <c r="I170" s="24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MissingLevel","")&amp;IF(AND($C170="Proposal",Deals!$H122=0.5)," DefaultProbability","")&amp;IF($F170="No"," NoDates","")&amp;IF(AND(ISNUMBER($H170),$H170&gt;=Settings!$B$20)," Stale","")))</f>
        <v/>
      </c>
    </row>
    <row r="171">
      <c r="A171" s="16">
        <f>IF(Deals!$A123="","",Deals!$A123)</f>
        <v/>
      </c>
      <c r="B171" s="16">
        <f>IF($A171="","",Deals!$C123)</f>
        <v/>
      </c>
      <c r="C171" s="16">
        <f>IF($A171="","",Deals!$F123)</f>
        <v/>
      </c>
      <c r="D171" s="21">
        <f>IF($A171="","",Deals!$H123)</f>
        <v/>
      </c>
      <c r="E171" s="17">
        <f>IF($A171="","",Deals!$Q123)</f>
        <v/>
      </c>
      <c r="F171" s="16">
        <f>IF($A171="","",IF(AND(Deals!$I123&lt;&gt;"",Deals!$J123&lt;&gt;""),"Yes","No"))</f>
        <v/>
      </c>
      <c r="G171" s="22">
        <f>IF($A171="","",Deals!$Z123)</f>
        <v/>
      </c>
      <c r="H171" s="23">
        <f>IF(OR($A171="",$G171=""),"",INT((Settings!$B$19-$G171)/7))</f>
        <v/>
      </c>
      <c r="I171" s="24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MissingLevel","")&amp;IF(AND($C171="Proposal",Deals!$H123=0.5)," DefaultProbability","")&amp;IF($F171="No"," NoDates","")&amp;IF(AND(ISNUMBER($H171),$H171&gt;=Settings!$B$20)," Stale","")))</f>
        <v/>
      </c>
    </row>
    <row r="172">
      <c r="A172" s="16">
        <f>IF(Deals!$A124="","",Deals!$A124)</f>
        <v/>
      </c>
      <c r="B172" s="16">
        <f>IF($A172="","",Deals!$C124)</f>
        <v/>
      </c>
      <c r="C172" s="16">
        <f>IF($A172="","",Deals!$F124)</f>
        <v/>
      </c>
      <c r="D172" s="21">
        <f>IF($A172="","",Deals!$H124)</f>
        <v/>
      </c>
      <c r="E172" s="17">
        <f>IF($A172="","",Deals!$Q124)</f>
        <v/>
      </c>
      <c r="F172" s="16">
        <f>IF($A172="","",IF(AND(Deals!$I124&lt;&gt;"",Deals!$J124&lt;&gt;""),"Yes","No"))</f>
        <v/>
      </c>
      <c r="G172" s="22">
        <f>IF($A172="","",Deals!$Z124)</f>
        <v/>
      </c>
      <c r="H172" s="23">
        <f>IF(OR($A172="",$G172=""),"",INT((Settings!$B$19-$G172)/7))</f>
        <v/>
      </c>
      <c r="I172" s="24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MissingLevel","")&amp;IF(AND($C172="Proposal",Deals!$H124=0.5)," DefaultProbability","")&amp;IF($F172="No"," NoDates","")&amp;IF(AND(ISNUMBER($H172),$H172&gt;=Settings!$B$20)," Stale","")))</f>
        <v/>
      </c>
    </row>
    <row r="173">
      <c r="A173" s="16">
        <f>IF(Deals!$A125="","",Deals!$A125)</f>
        <v/>
      </c>
      <c r="B173" s="16">
        <f>IF($A173="","",Deals!$C125)</f>
        <v/>
      </c>
      <c r="C173" s="16">
        <f>IF($A173="","",Deals!$F125)</f>
        <v/>
      </c>
      <c r="D173" s="21">
        <f>IF($A173="","",Deals!$H125)</f>
        <v/>
      </c>
      <c r="E173" s="17">
        <f>IF($A173="","",Deals!$Q125)</f>
        <v/>
      </c>
      <c r="F173" s="16">
        <f>IF($A173="","",IF(AND(Deals!$I125&lt;&gt;"",Deals!$J125&lt;&gt;""),"Yes","No"))</f>
        <v/>
      </c>
      <c r="G173" s="22">
        <f>IF($A173="","",Deals!$Z125)</f>
        <v/>
      </c>
      <c r="H173" s="23">
        <f>IF(OR($A173="",$G173=""),"",INT((Settings!$B$19-$G173)/7))</f>
        <v/>
      </c>
      <c r="I173" s="24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MissingLevel","")&amp;IF(AND($C173="Proposal",Deals!$H125=0.5)," DefaultProbability","")&amp;IF($F173="No"," NoDates","")&amp;IF(AND(ISNUMBER($H173),$H173&gt;=Settings!$B$20)," Stale","")))</f>
        <v/>
      </c>
    </row>
    <row r="174">
      <c r="A174" s="16">
        <f>IF(Deals!$A126="","",Deals!$A126)</f>
        <v/>
      </c>
      <c r="B174" s="16">
        <f>IF($A174="","",Deals!$C126)</f>
        <v/>
      </c>
      <c r="C174" s="16">
        <f>IF($A174="","",Deals!$F126)</f>
        <v/>
      </c>
      <c r="D174" s="21">
        <f>IF($A174="","",Deals!$H126)</f>
        <v/>
      </c>
      <c r="E174" s="17">
        <f>IF($A174="","",Deals!$Q126)</f>
        <v/>
      </c>
      <c r="F174" s="16">
        <f>IF($A174="","",IF(AND(Deals!$I126&lt;&gt;"",Deals!$J126&lt;&gt;""),"Yes","No"))</f>
        <v/>
      </c>
      <c r="G174" s="22">
        <f>IF($A174="","",Deals!$Z126)</f>
        <v/>
      </c>
      <c r="H174" s="23">
        <f>IF(OR($A174="",$G174=""),"",INT((Settings!$B$19-$G174)/7))</f>
        <v/>
      </c>
      <c r="I174" s="24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MissingLevel","")&amp;IF(AND($C174="Proposal",Deals!$H126=0.5)," DefaultProbability","")&amp;IF($F174="No"," NoDates","")&amp;IF(AND(ISNUMBER($H174),$H174&gt;=Settings!$B$20)," Stale","")))</f>
        <v/>
      </c>
    </row>
    <row r="175">
      <c r="A175" s="16">
        <f>IF(Deals!$A127="","",Deals!$A127)</f>
        <v/>
      </c>
      <c r="B175" s="16">
        <f>IF($A175="","",Deals!$C127)</f>
        <v/>
      </c>
      <c r="C175" s="16">
        <f>IF($A175="","",Deals!$F127)</f>
        <v/>
      </c>
      <c r="D175" s="21">
        <f>IF($A175="","",Deals!$H127)</f>
        <v/>
      </c>
      <c r="E175" s="17">
        <f>IF($A175="","",Deals!$Q127)</f>
        <v/>
      </c>
      <c r="F175" s="16">
        <f>IF($A175="","",IF(AND(Deals!$I127&lt;&gt;"",Deals!$J127&lt;&gt;""),"Yes","No"))</f>
        <v/>
      </c>
      <c r="G175" s="22">
        <f>IF($A175="","",Deals!$Z127)</f>
        <v/>
      </c>
      <c r="H175" s="23">
        <f>IF(OR($A175="",$G175=""),"",INT((Settings!$B$19-$G175)/7))</f>
        <v/>
      </c>
      <c r="I175" s="24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MissingLevel","")&amp;IF(AND($C175="Proposal",Deals!$H127=0.5)," DefaultProbability","")&amp;IF($F175="No"," NoDates","")&amp;IF(AND(ISNUMBER($H175),$H175&gt;=Settings!$B$20)," Stale","")))</f>
        <v/>
      </c>
    </row>
    <row r="176">
      <c r="A176" s="16">
        <f>IF(Deals!$A128="","",Deals!$A128)</f>
        <v/>
      </c>
      <c r="B176" s="16">
        <f>IF($A176="","",Deals!$C128)</f>
        <v/>
      </c>
      <c r="C176" s="16">
        <f>IF($A176="","",Deals!$F128)</f>
        <v/>
      </c>
      <c r="D176" s="21">
        <f>IF($A176="","",Deals!$H128)</f>
        <v/>
      </c>
      <c r="E176" s="17">
        <f>IF($A176="","",Deals!$Q128)</f>
        <v/>
      </c>
      <c r="F176" s="16">
        <f>IF($A176="","",IF(AND(Deals!$I128&lt;&gt;"",Deals!$J128&lt;&gt;""),"Yes","No"))</f>
        <v/>
      </c>
      <c r="G176" s="22">
        <f>IF($A176="","",Deals!$Z128)</f>
        <v/>
      </c>
      <c r="H176" s="23">
        <f>IF(OR($A176="",$G176=""),"",INT((Settings!$B$19-$G176)/7))</f>
        <v/>
      </c>
      <c r="I176" s="24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MissingLevel","")&amp;IF(AND($C176="Proposal",Deals!$H128=0.5)," DefaultProbability","")&amp;IF($F176="No"," NoDates","")&amp;IF(AND(ISNUMBER($H176),$H176&gt;=Settings!$B$20)," Stale","")))</f>
        <v/>
      </c>
    </row>
    <row r="177">
      <c r="A177" s="16">
        <f>IF(Deals!$A129="","",Deals!$A129)</f>
        <v/>
      </c>
      <c r="B177" s="16">
        <f>IF($A177="","",Deals!$C129)</f>
        <v/>
      </c>
      <c r="C177" s="16">
        <f>IF($A177="","",Deals!$F129)</f>
        <v/>
      </c>
      <c r="D177" s="21">
        <f>IF($A177="","",Deals!$H129)</f>
        <v/>
      </c>
      <c r="E177" s="17">
        <f>IF($A177="","",Deals!$Q129)</f>
        <v/>
      </c>
      <c r="F177" s="16">
        <f>IF($A177="","",IF(AND(Deals!$I129&lt;&gt;"",Deals!$J129&lt;&gt;""),"Yes","No"))</f>
        <v/>
      </c>
      <c r="G177" s="22">
        <f>IF($A177="","",Deals!$Z129)</f>
        <v/>
      </c>
      <c r="H177" s="23">
        <f>IF(OR($A177="",$G177=""),"",INT((Settings!$B$19-$G177)/7))</f>
        <v/>
      </c>
      <c r="I177" s="24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MissingLevel","")&amp;IF(AND($C177="Proposal",Deals!$H129=0.5)," DefaultProbability","")&amp;IF($F177="No"," NoDates","")&amp;IF(AND(ISNUMBER($H177),$H177&gt;=Settings!$B$20)," Stale","")))</f>
        <v/>
      </c>
    </row>
    <row r="178">
      <c r="A178" s="16">
        <f>IF(Deals!$A130="","",Deals!$A130)</f>
        <v/>
      </c>
      <c r="B178" s="16">
        <f>IF($A178="","",Deals!$C130)</f>
        <v/>
      </c>
      <c r="C178" s="16">
        <f>IF($A178="","",Deals!$F130)</f>
        <v/>
      </c>
      <c r="D178" s="21">
        <f>IF($A178="","",Deals!$H130)</f>
        <v/>
      </c>
      <c r="E178" s="17">
        <f>IF($A178="","",Deals!$Q130)</f>
        <v/>
      </c>
      <c r="F178" s="16">
        <f>IF($A178="","",IF(AND(Deals!$I130&lt;&gt;"",Deals!$J130&lt;&gt;""),"Yes","No"))</f>
        <v/>
      </c>
      <c r="G178" s="22">
        <f>IF($A178="","",Deals!$Z130)</f>
        <v/>
      </c>
      <c r="H178" s="23">
        <f>IF(OR($A178="",$G178=""),"",INT((Settings!$B$19-$G178)/7))</f>
        <v/>
      </c>
      <c r="I178" s="24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MissingLevel","")&amp;IF(AND($C178="Proposal",Deals!$H130=0.5)," DefaultProbability","")&amp;IF($F178="No"," NoDates","")&amp;IF(AND(ISNUMBER($H178),$H178&gt;=Settings!$B$20)," Stale","")))</f>
        <v/>
      </c>
    </row>
    <row r="179">
      <c r="A179" s="16">
        <f>IF(Deals!$A131="","",Deals!$A131)</f>
        <v/>
      </c>
      <c r="B179" s="16">
        <f>IF($A179="","",Deals!$C131)</f>
        <v/>
      </c>
      <c r="C179" s="16">
        <f>IF($A179="","",Deals!$F131)</f>
        <v/>
      </c>
      <c r="D179" s="21">
        <f>IF($A179="","",Deals!$H131)</f>
        <v/>
      </c>
      <c r="E179" s="17">
        <f>IF($A179="","",Deals!$Q131)</f>
        <v/>
      </c>
      <c r="F179" s="16">
        <f>IF($A179="","",IF(AND(Deals!$I131&lt;&gt;"",Deals!$J131&lt;&gt;""),"Yes","No"))</f>
        <v/>
      </c>
      <c r="G179" s="22">
        <f>IF($A179="","",Deals!$Z131)</f>
        <v/>
      </c>
      <c r="H179" s="23">
        <f>IF(OR($A179="",$G179=""),"",INT((Settings!$B$19-$G179)/7))</f>
        <v/>
      </c>
      <c r="I179" s="24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MissingLevel","")&amp;IF(AND($C179="Proposal",Deals!$H131=0.5)," DefaultProbability","")&amp;IF($F179="No"," NoDates","")&amp;IF(AND(ISNUMBER($H179),$H179&gt;=Settings!$B$20)," Stale","")))</f>
        <v/>
      </c>
    </row>
    <row r="180">
      <c r="A180" s="16">
        <f>IF(Deals!$A132="","",Deals!$A132)</f>
        <v/>
      </c>
      <c r="B180" s="16">
        <f>IF($A180="","",Deals!$C132)</f>
        <v/>
      </c>
      <c r="C180" s="16">
        <f>IF($A180="","",Deals!$F132)</f>
        <v/>
      </c>
      <c r="D180" s="21">
        <f>IF($A180="","",Deals!$H132)</f>
        <v/>
      </c>
      <c r="E180" s="17">
        <f>IF($A180="","",Deals!$Q132)</f>
        <v/>
      </c>
      <c r="F180" s="16">
        <f>IF($A180="","",IF(AND(Deals!$I132&lt;&gt;"",Deals!$J132&lt;&gt;""),"Yes","No"))</f>
        <v/>
      </c>
      <c r="G180" s="22">
        <f>IF($A180="","",Deals!$Z132)</f>
        <v/>
      </c>
      <c r="H180" s="23">
        <f>IF(OR($A180="",$G180=""),"",INT((Settings!$B$19-$G180)/7))</f>
        <v/>
      </c>
      <c r="I180" s="24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MissingLevel","")&amp;IF(AND($C180="Proposal",Deals!$H132=0.5)," DefaultProbability","")&amp;IF($F180="No"," NoDates","")&amp;IF(AND(ISNUMBER($H180),$H180&gt;=Settings!$B$20)," Stale","")))</f>
        <v/>
      </c>
    </row>
    <row r="181">
      <c r="A181" s="16">
        <f>IF(Deals!$A133="","",Deals!$A133)</f>
        <v/>
      </c>
      <c r="B181" s="16">
        <f>IF($A181="","",Deals!$C133)</f>
        <v/>
      </c>
      <c r="C181" s="16">
        <f>IF($A181="","",Deals!$F133)</f>
        <v/>
      </c>
      <c r="D181" s="21">
        <f>IF($A181="","",Deals!$H133)</f>
        <v/>
      </c>
      <c r="E181" s="17">
        <f>IF($A181="","",Deals!$Q133)</f>
        <v/>
      </c>
      <c r="F181" s="16">
        <f>IF($A181="","",IF(AND(Deals!$I133&lt;&gt;"",Deals!$J133&lt;&gt;""),"Yes","No"))</f>
        <v/>
      </c>
      <c r="G181" s="22">
        <f>IF($A181="","",Deals!$Z133)</f>
        <v/>
      </c>
      <c r="H181" s="23">
        <f>IF(OR($A181="",$G181=""),"",INT((Settings!$B$19-$G181)/7))</f>
        <v/>
      </c>
      <c r="I181" s="24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MissingLevel","")&amp;IF(AND($C181="Proposal",Deals!$H133=0.5)," DefaultProbability","")&amp;IF($F181="No"," NoDates","")&amp;IF(AND(ISNUMBER($H181),$H181&gt;=Settings!$B$20)," Stale","")))</f>
        <v/>
      </c>
    </row>
    <row r="182">
      <c r="A182" s="16">
        <f>IF(Deals!$A134="","",Deals!$A134)</f>
        <v/>
      </c>
      <c r="B182" s="16">
        <f>IF($A182="","",Deals!$C134)</f>
        <v/>
      </c>
      <c r="C182" s="16">
        <f>IF($A182="","",Deals!$F134)</f>
        <v/>
      </c>
      <c r="D182" s="21">
        <f>IF($A182="","",Deals!$H134)</f>
        <v/>
      </c>
      <c r="E182" s="17">
        <f>IF($A182="","",Deals!$Q134)</f>
        <v/>
      </c>
      <c r="F182" s="16">
        <f>IF($A182="","",IF(AND(Deals!$I134&lt;&gt;"",Deals!$J134&lt;&gt;""),"Yes","No"))</f>
        <v/>
      </c>
      <c r="G182" s="22">
        <f>IF($A182="","",Deals!$Z134)</f>
        <v/>
      </c>
      <c r="H182" s="23">
        <f>IF(OR($A182="",$G182=""),"",INT((Settings!$B$19-$G182)/7))</f>
        <v/>
      </c>
      <c r="I182" s="24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MissingLevel","")&amp;IF(AND($C182="Proposal",Deals!$H134=0.5)," DefaultProbability","")&amp;IF($F182="No"," NoDates","")&amp;IF(AND(ISNUMBER($H182),$H182&gt;=Settings!$B$20)," Stale","")))</f>
        <v/>
      </c>
    </row>
    <row r="183">
      <c r="A183" s="16">
        <f>IF(Deals!$A135="","",Deals!$A135)</f>
        <v/>
      </c>
      <c r="B183" s="16">
        <f>IF($A183="","",Deals!$C135)</f>
        <v/>
      </c>
      <c r="C183" s="16">
        <f>IF($A183="","",Deals!$F135)</f>
        <v/>
      </c>
      <c r="D183" s="21">
        <f>IF($A183="","",Deals!$H135)</f>
        <v/>
      </c>
      <c r="E183" s="17">
        <f>IF($A183="","",Deals!$Q135)</f>
        <v/>
      </c>
      <c r="F183" s="16">
        <f>IF($A183="","",IF(AND(Deals!$I135&lt;&gt;"",Deals!$J135&lt;&gt;""),"Yes","No"))</f>
        <v/>
      </c>
      <c r="G183" s="22">
        <f>IF($A183="","",Deals!$Z135)</f>
        <v/>
      </c>
      <c r="H183" s="23">
        <f>IF(OR($A183="",$G183=""),"",INT((Settings!$B$19-$G183)/7))</f>
        <v/>
      </c>
      <c r="I183" s="24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MissingLevel","")&amp;IF(AND($C183="Proposal",Deals!$H135=0.5)," DefaultProbability","")&amp;IF($F183="No"," NoDates","")&amp;IF(AND(ISNUMBER($H183),$H183&gt;=Settings!$B$20)," Stale","")))</f>
        <v/>
      </c>
    </row>
    <row r="184">
      <c r="A184" s="16">
        <f>IF(Deals!$A136="","",Deals!$A136)</f>
        <v/>
      </c>
      <c r="B184" s="16">
        <f>IF($A184="","",Deals!$C136)</f>
        <v/>
      </c>
      <c r="C184" s="16">
        <f>IF($A184="","",Deals!$F136)</f>
        <v/>
      </c>
      <c r="D184" s="21">
        <f>IF($A184="","",Deals!$H136)</f>
        <v/>
      </c>
      <c r="E184" s="17">
        <f>IF($A184="","",Deals!$Q136)</f>
        <v/>
      </c>
      <c r="F184" s="16">
        <f>IF($A184="","",IF(AND(Deals!$I136&lt;&gt;"",Deals!$J136&lt;&gt;""),"Yes","No"))</f>
        <v/>
      </c>
      <c r="G184" s="22">
        <f>IF($A184="","",Deals!$Z136)</f>
        <v/>
      </c>
      <c r="H184" s="23">
        <f>IF(OR($A184="",$G184=""),"",INT((Settings!$B$19-$G184)/7))</f>
        <v/>
      </c>
      <c r="I184" s="24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MissingLevel","")&amp;IF(AND($C184="Proposal",Deals!$H136=0.5)," DefaultProbability","")&amp;IF($F184="No"," NoDates","")&amp;IF(AND(ISNUMBER($H184),$H184&gt;=Settings!$B$20)," Stale","")))</f>
        <v/>
      </c>
    </row>
    <row r="185">
      <c r="A185" s="16">
        <f>IF(Deals!$A137="","",Deals!$A137)</f>
        <v/>
      </c>
      <c r="B185" s="16">
        <f>IF($A185="","",Deals!$C137)</f>
        <v/>
      </c>
      <c r="C185" s="16">
        <f>IF($A185="","",Deals!$F137)</f>
        <v/>
      </c>
      <c r="D185" s="21">
        <f>IF($A185="","",Deals!$H137)</f>
        <v/>
      </c>
      <c r="E185" s="17">
        <f>IF($A185="","",Deals!$Q137)</f>
        <v/>
      </c>
      <c r="F185" s="16">
        <f>IF($A185="","",IF(AND(Deals!$I137&lt;&gt;"",Deals!$J137&lt;&gt;""),"Yes","No"))</f>
        <v/>
      </c>
      <c r="G185" s="22">
        <f>IF($A185="","",Deals!$Z137)</f>
        <v/>
      </c>
      <c r="H185" s="23">
        <f>IF(OR($A185="",$G185=""),"",INT((Settings!$B$19-$G185)/7))</f>
        <v/>
      </c>
      <c r="I185" s="24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MissingLevel","")&amp;IF(AND($C185="Proposal",Deals!$H137=0.5)," DefaultProbability","")&amp;IF($F185="No"," NoDates","")&amp;IF(AND(ISNUMBER($H185),$H185&gt;=Settings!$B$20)," Stale","")))</f>
        <v/>
      </c>
    </row>
    <row r="186">
      <c r="A186" s="16">
        <f>IF(Deals!$A138="","",Deals!$A138)</f>
        <v/>
      </c>
      <c r="B186" s="16">
        <f>IF($A186="","",Deals!$C138)</f>
        <v/>
      </c>
      <c r="C186" s="16">
        <f>IF($A186="","",Deals!$F138)</f>
        <v/>
      </c>
      <c r="D186" s="21">
        <f>IF($A186="","",Deals!$H138)</f>
        <v/>
      </c>
      <c r="E186" s="17">
        <f>IF($A186="","",Deals!$Q138)</f>
        <v/>
      </c>
      <c r="F186" s="16">
        <f>IF($A186="","",IF(AND(Deals!$I138&lt;&gt;"",Deals!$J138&lt;&gt;""),"Yes","No"))</f>
        <v/>
      </c>
      <c r="G186" s="22">
        <f>IF($A186="","",Deals!$Z138)</f>
        <v/>
      </c>
      <c r="H186" s="23">
        <f>IF(OR($A186="",$G186=""),"",INT((Settings!$B$19-$G186)/7))</f>
        <v/>
      </c>
      <c r="I186" s="24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MissingLevel","")&amp;IF(AND($C186="Proposal",Deals!$H138=0.5)," DefaultProbability","")&amp;IF($F186="No"," NoDates","")&amp;IF(AND(ISNUMBER($H186),$H186&gt;=Settings!$B$20)," Stale","")))</f>
        <v/>
      </c>
    </row>
    <row r="187">
      <c r="A187" s="16">
        <f>IF(Deals!$A139="","",Deals!$A139)</f>
        <v/>
      </c>
      <c r="B187" s="16">
        <f>IF($A187="","",Deals!$C139)</f>
        <v/>
      </c>
      <c r="C187" s="16">
        <f>IF($A187="","",Deals!$F139)</f>
        <v/>
      </c>
      <c r="D187" s="21">
        <f>IF($A187="","",Deals!$H139)</f>
        <v/>
      </c>
      <c r="E187" s="17">
        <f>IF($A187="","",Deals!$Q139)</f>
        <v/>
      </c>
      <c r="F187" s="16">
        <f>IF($A187="","",IF(AND(Deals!$I139&lt;&gt;"",Deals!$J139&lt;&gt;""),"Yes","No"))</f>
        <v/>
      </c>
      <c r="G187" s="22">
        <f>IF($A187="","",Deals!$Z139)</f>
        <v/>
      </c>
      <c r="H187" s="23">
        <f>IF(OR($A187="",$G187=""),"",INT((Settings!$B$19-$G187)/7))</f>
        <v/>
      </c>
      <c r="I187" s="24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MissingLevel","")&amp;IF(AND($C187="Proposal",Deals!$H139=0.5)," DefaultProbability","")&amp;IF($F187="No"," NoDates","")&amp;IF(AND(ISNUMBER($H187),$H187&gt;=Settings!$B$20)," Stale","")))</f>
        <v/>
      </c>
    </row>
    <row r="188">
      <c r="A188" s="16">
        <f>IF(Deals!$A140="","",Deals!$A140)</f>
        <v/>
      </c>
      <c r="B188" s="16">
        <f>IF($A188="","",Deals!$C140)</f>
        <v/>
      </c>
      <c r="C188" s="16">
        <f>IF($A188="","",Deals!$F140)</f>
        <v/>
      </c>
      <c r="D188" s="21">
        <f>IF($A188="","",Deals!$H140)</f>
        <v/>
      </c>
      <c r="E188" s="17">
        <f>IF($A188="","",Deals!$Q140)</f>
        <v/>
      </c>
      <c r="F188" s="16">
        <f>IF($A188="","",IF(AND(Deals!$I140&lt;&gt;"",Deals!$J140&lt;&gt;""),"Yes","No"))</f>
        <v/>
      </c>
      <c r="G188" s="22">
        <f>IF($A188="","",Deals!$Z140)</f>
        <v/>
      </c>
      <c r="H188" s="23">
        <f>IF(OR($A188="",$G188=""),"",INT((Settings!$B$19-$G188)/7))</f>
        <v/>
      </c>
      <c r="I188" s="24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MissingLevel","")&amp;IF(AND($C188="Proposal",Deals!$H140=0.5)," DefaultProbability","")&amp;IF($F188="No"," NoDates","")&amp;IF(AND(ISNUMBER($H188),$H188&gt;=Settings!$B$20)," Stale","")))</f>
        <v/>
      </c>
    </row>
    <row r="189">
      <c r="A189" s="16">
        <f>IF(Deals!$A141="","",Deals!$A141)</f>
        <v/>
      </c>
      <c r="B189" s="16">
        <f>IF($A189="","",Deals!$C141)</f>
        <v/>
      </c>
      <c r="C189" s="16">
        <f>IF($A189="","",Deals!$F141)</f>
        <v/>
      </c>
      <c r="D189" s="21">
        <f>IF($A189="","",Deals!$H141)</f>
        <v/>
      </c>
      <c r="E189" s="17">
        <f>IF($A189="","",Deals!$Q141)</f>
        <v/>
      </c>
      <c r="F189" s="16">
        <f>IF($A189="","",IF(AND(Deals!$I141&lt;&gt;"",Deals!$J141&lt;&gt;""),"Yes","No"))</f>
        <v/>
      </c>
      <c r="G189" s="22">
        <f>IF($A189="","",Deals!$Z141)</f>
        <v/>
      </c>
      <c r="H189" s="23">
        <f>IF(OR($A189="",$G189=""),"",INT((Settings!$B$19-$G189)/7))</f>
        <v/>
      </c>
      <c r="I189" s="24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MissingLevel","")&amp;IF(AND($C189="Proposal",Deals!$H141=0.5)," DefaultProbability","")&amp;IF($F189="No"," NoDates","")&amp;IF(AND(ISNUMBER($H189),$H189&gt;=Settings!$B$20)," Stale","")))</f>
        <v/>
      </c>
    </row>
    <row r="190">
      <c r="A190" s="16">
        <f>IF(Deals!$A142="","",Deals!$A142)</f>
        <v/>
      </c>
      <c r="B190" s="16">
        <f>IF($A190="","",Deals!$C142)</f>
        <v/>
      </c>
      <c r="C190" s="16">
        <f>IF($A190="","",Deals!$F142)</f>
        <v/>
      </c>
      <c r="D190" s="21">
        <f>IF($A190="","",Deals!$H142)</f>
        <v/>
      </c>
      <c r="E190" s="17">
        <f>IF($A190="","",Deals!$Q142)</f>
        <v/>
      </c>
      <c r="F190" s="16">
        <f>IF($A190="","",IF(AND(Deals!$I142&lt;&gt;"",Deals!$J142&lt;&gt;""),"Yes","No"))</f>
        <v/>
      </c>
      <c r="G190" s="22">
        <f>IF($A190="","",Deals!$Z142)</f>
        <v/>
      </c>
      <c r="H190" s="23">
        <f>IF(OR($A190="",$G190=""),"",INT((Settings!$B$19-$G190)/7))</f>
        <v/>
      </c>
      <c r="I190" s="24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MissingLevel","")&amp;IF(AND($C190="Proposal",Deals!$H142=0.5)," DefaultProbability","")&amp;IF($F190="No"," NoDates","")&amp;IF(AND(ISNUMBER($H190),$H190&gt;=Settings!$B$20)," Stale","")))</f>
        <v/>
      </c>
    </row>
    <row r="191">
      <c r="A191" s="16">
        <f>IF(Deals!$A143="","",Deals!$A143)</f>
        <v/>
      </c>
      <c r="B191" s="16">
        <f>IF($A191="","",Deals!$C143)</f>
        <v/>
      </c>
      <c r="C191" s="16">
        <f>IF($A191="","",Deals!$F143)</f>
        <v/>
      </c>
      <c r="D191" s="21">
        <f>IF($A191="","",Deals!$H143)</f>
        <v/>
      </c>
      <c r="E191" s="17">
        <f>IF($A191="","",Deals!$Q143)</f>
        <v/>
      </c>
      <c r="F191" s="16">
        <f>IF($A191="","",IF(AND(Deals!$I143&lt;&gt;"",Deals!$J143&lt;&gt;""),"Yes","No"))</f>
        <v/>
      </c>
      <c r="G191" s="22">
        <f>IF($A191="","",Deals!$Z143)</f>
        <v/>
      </c>
      <c r="H191" s="23">
        <f>IF(OR($A191="",$G191=""),"",INT((Settings!$B$19-$G191)/7))</f>
        <v/>
      </c>
      <c r="I191" s="24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MissingLevel","")&amp;IF(AND($C191="Proposal",Deals!$H143=0.5)," DefaultProbability","")&amp;IF($F191="No"," NoDates","")&amp;IF(AND(ISNUMBER($H191),$H191&gt;=Settings!$B$20)," Stale","")))</f>
        <v/>
      </c>
    </row>
    <row r="192">
      <c r="A192" s="16">
        <f>IF(Deals!$A144="","",Deals!$A144)</f>
        <v/>
      </c>
      <c r="B192" s="16">
        <f>IF($A192="","",Deals!$C144)</f>
        <v/>
      </c>
      <c r="C192" s="16">
        <f>IF($A192="","",Deals!$F144)</f>
        <v/>
      </c>
      <c r="D192" s="21">
        <f>IF($A192="","",Deals!$H144)</f>
        <v/>
      </c>
      <c r="E192" s="17">
        <f>IF($A192="","",Deals!$Q144)</f>
        <v/>
      </c>
      <c r="F192" s="16">
        <f>IF($A192="","",IF(AND(Deals!$I144&lt;&gt;"",Deals!$J144&lt;&gt;""),"Yes","No"))</f>
        <v/>
      </c>
      <c r="G192" s="22">
        <f>IF($A192="","",Deals!$Z144)</f>
        <v/>
      </c>
      <c r="H192" s="23">
        <f>IF(OR($A192="",$G192=""),"",INT((Settings!$B$19-$G192)/7))</f>
        <v/>
      </c>
      <c r="I192" s="24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MissingLevel","")&amp;IF(AND($C192="Proposal",Deals!$H144=0.5)," DefaultProbability","")&amp;IF($F192="No"," NoDates","")&amp;IF(AND(ISNUMBER($H192),$H192&gt;=Settings!$B$20)," Stale","")))</f>
        <v/>
      </c>
    </row>
    <row r="193">
      <c r="A193" s="16">
        <f>IF(Deals!$A145="","",Deals!$A145)</f>
        <v/>
      </c>
      <c r="B193" s="16">
        <f>IF($A193="","",Deals!$C145)</f>
        <v/>
      </c>
      <c r="C193" s="16">
        <f>IF($A193="","",Deals!$F145)</f>
        <v/>
      </c>
      <c r="D193" s="21">
        <f>IF($A193="","",Deals!$H145)</f>
        <v/>
      </c>
      <c r="E193" s="17">
        <f>IF($A193="","",Deals!$Q145)</f>
        <v/>
      </c>
      <c r="F193" s="16">
        <f>IF($A193="","",IF(AND(Deals!$I145&lt;&gt;"",Deals!$J145&lt;&gt;""),"Yes","No"))</f>
        <v/>
      </c>
      <c r="G193" s="22">
        <f>IF($A193="","",Deals!$Z145)</f>
        <v/>
      </c>
      <c r="H193" s="23">
        <f>IF(OR($A193="",$G193=""),"",INT((Settings!$B$19-$G193)/7))</f>
        <v/>
      </c>
      <c r="I193" s="24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MissingLevel","")&amp;IF(AND($C193="Proposal",Deals!$H145=0.5)," DefaultProbability","")&amp;IF($F193="No"," NoDates","")&amp;IF(AND(ISNUMBER($H193),$H193&gt;=Settings!$B$20)," Stale","")))</f>
        <v/>
      </c>
    </row>
    <row r="194">
      <c r="A194" s="16">
        <f>IF(Deals!$A146="","",Deals!$A146)</f>
        <v/>
      </c>
      <c r="B194" s="16">
        <f>IF($A194="","",Deals!$C146)</f>
        <v/>
      </c>
      <c r="C194" s="16">
        <f>IF($A194="","",Deals!$F146)</f>
        <v/>
      </c>
      <c r="D194" s="21">
        <f>IF($A194="","",Deals!$H146)</f>
        <v/>
      </c>
      <c r="E194" s="17">
        <f>IF($A194="","",Deals!$Q146)</f>
        <v/>
      </c>
      <c r="F194" s="16">
        <f>IF($A194="","",IF(AND(Deals!$I146&lt;&gt;"",Deals!$J146&lt;&gt;""),"Yes","No"))</f>
        <v/>
      </c>
      <c r="G194" s="22">
        <f>IF($A194="","",Deals!$Z146)</f>
        <v/>
      </c>
      <c r="H194" s="23">
        <f>IF(OR($A194="",$G194=""),"",INT((Settings!$B$19-$G194)/7))</f>
        <v/>
      </c>
      <c r="I194" s="24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MissingLevel","")&amp;IF(AND($C194="Proposal",Deals!$H146=0.5)," DefaultProbability","")&amp;IF($F194="No"," NoDates","")&amp;IF(AND(ISNUMBER($H194),$H194&gt;=Settings!$B$20)," Stale","")))</f>
        <v/>
      </c>
    </row>
    <row r="195">
      <c r="A195" s="16">
        <f>IF(Deals!$A147="","",Deals!$A147)</f>
        <v/>
      </c>
      <c r="B195" s="16">
        <f>IF($A195="","",Deals!$C147)</f>
        <v/>
      </c>
      <c r="C195" s="16">
        <f>IF($A195="","",Deals!$F147)</f>
        <v/>
      </c>
      <c r="D195" s="21">
        <f>IF($A195="","",Deals!$H147)</f>
        <v/>
      </c>
      <c r="E195" s="17">
        <f>IF($A195="","",Deals!$Q147)</f>
        <v/>
      </c>
      <c r="F195" s="16">
        <f>IF($A195="","",IF(AND(Deals!$I147&lt;&gt;"",Deals!$J147&lt;&gt;""),"Yes","No"))</f>
        <v/>
      </c>
      <c r="G195" s="22">
        <f>IF($A195="","",Deals!$Z147)</f>
        <v/>
      </c>
      <c r="H195" s="23">
        <f>IF(OR($A195="",$G195=""),"",INT((Settings!$B$19-$G195)/7))</f>
        <v/>
      </c>
      <c r="I195" s="24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MissingLevel","")&amp;IF(AND($C195="Proposal",Deals!$H147=0.5)," DefaultProbability","")&amp;IF($F195="No"," NoDates","")&amp;IF(AND(ISNUMBER($H195),$H195&gt;=Settings!$B$20)," Stale","")))</f>
        <v/>
      </c>
    </row>
    <row r="196">
      <c r="A196" s="16">
        <f>IF(Deals!$A148="","",Deals!$A148)</f>
        <v/>
      </c>
      <c r="B196" s="16">
        <f>IF($A196="","",Deals!$C148)</f>
        <v/>
      </c>
      <c r="C196" s="16">
        <f>IF($A196="","",Deals!$F148)</f>
        <v/>
      </c>
      <c r="D196" s="21">
        <f>IF($A196="","",Deals!$H148)</f>
        <v/>
      </c>
      <c r="E196" s="17">
        <f>IF($A196="","",Deals!$Q148)</f>
        <v/>
      </c>
      <c r="F196" s="16">
        <f>IF($A196="","",IF(AND(Deals!$I148&lt;&gt;"",Deals!$J148&lt;&gt;""),"Yes","No"))</f>
        <v/>
      </c>
      <c r="G196" s="22">
        <f>IF($A196="","",Deals!$Z148)</f>
        <v/>
      </c>
      <c r="H196" s="23">
        <f>IF(OR($A196="",$G196=""),"",INT((Settings!$B$19-$G196)/7))</f>
        <v/>
      </c>
      <c r="I196" s="24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MissingLevel","")&amp;IF(AND($C196="Proposal",Deals!$H148=0.5)," DefaultProbability","")&amp;IF($F196="No"," NoDates","")&amp;IF(AND(ISNUMBER($H196),$H196&gt;=Settings!$B$20)," Stale","")))</f>
        <v/>
      </c>
    </row>
    <row r="197">
      <c r="A197" s="16">
        <f>IF(Deals!$A149="","",Deals!$A149)</f>
        <v/>
      </c>
      <c r="B197" s="16">
        <f>IF($A197="","",Deals!$C149)</f>
        <v/>
      </c>
      <c r="C197" s="16">
        <f>IF($A197="","",Deals!$F149)</f>
        <v/>
      </c>
      <c r="D197" s="21">
        <f>IF($A197="","",Deals!$H149)</f>
        <v/>
      </c>
      <c r="E197" s="17">
        <f>IF($A197="","",Deals!$Q149)</f>
        <v/>
      </c>
      <c r="F197" s="16">
        <f>IF($A197="","",IF(AND(Deals!$I149&lt;&gt;"",Deals!$J149&lt;&gt;""),"Yes","No"))</f>
        <v/>
      </c>
      <c r="G197" s="22">
        <f>IF($A197="","",Deals!$Z149)</f>
        <v/>
      </c>
      <c r="H197" s="23">
        <f>IF(OR($A197="",$G197=""),"",INT((Settings!$B$19-$G197)/7))</f>
        <v/>
      </c>
      <c r="I197" s="24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MissingLevel","")&amp;IF(AND($C197="Proposal",Deals!$H149=0.5)," DefaultProbability","")&amp;IF($F197="No"," NoDates","")&amp;IF(AND(ISNUMBER($H197),$H197&gt;=Settings!$B$20)," Stale","")))</f>
        <v/>
      </c>
    </row>
    <row r="198">
      <c r="A198" s="16">
        <f>IF(Deals!$A150="","",Deals!$A150)</f>
        <v/>
      </c>
      <c r="B198" s="16">
        <f>IF($A198="","",Deals!$C150)</f>
        <v/>
      </c>
      <c r="C198" s="16">
        <f>IF($A198="","",Deals!$F150)</f>
        <v/>
      </c>
      <c r="D198" s="21">
        <f>IF($A198="","",Deals!$H150)</f>
        <v/>
      </c>
      <c r="E198" s="17">
        <f>IF($A198="","",Deals!$Q150)</f>
        <v/>
      </c>
      <c r="F198" s="16">
        <f>IF($A198="","",IF(AND(Deals!$I150&lt;&gt;"",Deals!$J150&lt;&gt;""),"Yes","No"))</f>
        <v/>
      </c>
      <c r="G198" s="22">
        <f>IF($A198="","",Deals!$Z150)</f>
        <v/>
      </c>
      <c r="H198" s="23">
        <f>IF(OR($A198="",$G198=""),"",INT((Settings!$B$19-$G198)/7))</f>
        <v/>
      </c>
      <c r="I198" s="24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MissingLevel","")&amp;IF(AND($C198="Proposal",Deals!$H150=0.5)," DefaultProbability","")&amp;IF($F198="No"," NoDates","")&amp;IF(AND(ISNUMBER($H198),$H198&gt;=Settings!$B$20)," Stale","")))</f>
        <v/>
      </c>
    </row>
    <row r="199">
      <c r="A199" s="16">
        <f>IF(Deals!$A151="","",Deals!$A151)</f>
        <v/>
      </c>
      <c r="B199" s="16">
        <f>IF($A199="","",Deals!$C151)</f>
        <v/>
      </c>
      <c r="C199" s="16">
        <f>IF($A199="","",Deals!$F151)</f>
        <v/>
      </c>
      <c r="D199" s="21">
        <f>IF($A199="","",Deals!$H151)</f>
        <v/>
      </c>
      <c r="E199" s="17">
        <f>IF($A199="","",Deals!$Q151)</f>
        <v/>
      </c>
      <c r="F199" s="16">
        <f>IF($A199="","",IF(AND(Deals!$I151&lt;&gt;"",Deals!$J151&lt;&gt;""),"Yes","No"))</f>
        <v/>
      </c>
      <c r="G199" s="22">
        <f>IF($A199="","",Deals!$Z151)</f>
        <v/>
      </c>
      <c r="H199" s="23">
        <f>IF(OR($A199="",$G199=""),"",INT((Settings!$B$19-$G199)/7))</f>
        <v/>
      </c>
      <c r="I199" s="24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MissingLevel","")&amp;IF(AND($C199="Proposal",Deals!$H151=0.5)," DefaultProbability","")&amp;IF($F199="No"," NoDates","")&amp;IF(AND(ISNUMBER($H199),$H199&gt;=Settings!$B$20)," Stale","")))</f>
        <v/>
      </c>
    </row>
    <row r="200">
      <c r="A200" s="16">
        <f>IF(Deals!$A152="","",Deals!$A152)</f>
        <v/>
      </c>
      <c r="B200" s="16">
        <f>IF($A200="","",Deals!$C152)</f>
        <v/>
      </c>
      <c r="C200" s="16">
        <f>IF($A200="","",Deals!$F152)</f>
        <v/>
      </c>
      <c r="D200" s="21">
        <f>IF($A200="","",Deals!$H152)</f>
        <v/>
      </c>
      <c r="E200" s="17">
        <f>IF($A200="","",Deals!$Q152)</f>
        <v/>
      </c>
      <c r="F200" s="16">
        <f>IF($A200="","",IF(AND(Deals!$I152&lt;&gt;"",Deals!$J152&lt;&gt;""),"Yes","No"))</f>
        <v/>
      </c>
      <c r="G200" s="22">
        <f>IF($A200="","",Deals!$Z152)</f>
        <v/>
      </c>
      <c r="H200" s="23">
        <f>IF(OR($A200="",$G200=""),"",INT((Settings!$B$19-$G200)/7))</f>
        <v/>
      </c>
      <c r="I200" s="24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MissingLevel","")&amp;IF(AND($C200="Proposal",Deals!$H152=0.5)," DefaultProbability","")&amp;IF($F200="No"," NoDates","")&amp;IF(AND(ISNUMBER($H200),$H200&gt;=Settings!$B$20)," Stale","")))</f>
        <v/>
      </c>
    </row>
    <row r="201">
      <c r="A201" s="16">
        <f>IF(Deals!$A153="","",Deals!$A153)</f>
        <v/>
      </c>
      <c r="B201" s="16">
        <f>IF($A201="","",Deals!$C153)</f>
        <v/>
      </c>
      <c r="C201" s="16">
        <f>IF($A201="","",Deals!$F153)</f>
        <v/>
      </c>
      <c r="D201" s="21">
        <f>IF($A201="","",Deals!$H153)</f>
        <v/>
      </c>
      <c r="E201" s="17">
        <f>IF($A201="","",Deals!$Q153)</f>
        <v/>
      </c>
      <c r="F201" s="16">
        <f>IF($A201="","",IF(AND(Deals!$I153&lt;&gt;"",Deals!$J153&lt;&gt;""),"Yes","No"))</f>
        <v/>
      </c>
      <c r="G201" s="22">
        <f>IF($A201="","",Deals!$Z153)</f>
        <v/>
      </c>
      <c r="H201" s="23">
        <f>IF(OR($A201="",$G201=""),"",INT((Settings!$B$19-$G201)/7))</f>
        <v/>
      </c>
      <c r="I201" s="24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MissingLevel","")&amp;IF(AND($C201="Proposal",Deals!$H153=0.5)," DefaultProbability","")&amp;IF($F201="No"," NoDates","")&amp;IF(AND(ISNUMBER($H201),$H201&gt;=Settings!$B$20)," Stale","")))</f>
        <v/>
      </c>
    </row>
    <row r="202">
      <c r="A202" s="16">
        <f>IF(Deals!$A154="","",Deals!$A154)</f>
        <v/>
      </c>
      <c r="B202" s="16">
        <f>IF($A202="","",Deals!$C154)</f>
        <v/>
      </c>
      <c r="C202" s="16">
        <f>IF($A202="","",Deals!$F154)</f>
        <v/>
      </c>
      <c r="D202" s="21">
        <f>IF($A202="","",Deals!$H154)</f>
        <v/>
      </c>
      <c r="E202" s="17">
        <f>IF($A202="","",Deals!$Q154)</f>
        <v/>
      </c>
      <c r="F202" s="16">
        <f>IF($A202="","",IF(AND(Deals!$I154&lt;&gt;"",Deals!$J154&lt;&gt;""),"Yes","No"))</f>
        <v/>
      </c>
      <c r="G202" s="22">
        <f>IF($A202="","",Deals!$Z154)</f>
        <v/>
      </c>
      <c r="H202" s="23">
        <f>IF(OR($A202="",$G202=""),"",INT((Settings!$B$19-$G202)/7))</f>
        <v/>
      </c>
      <c r="I202" s="24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MissingLevel","")&amp;IF(AND($C202="Proposal",Deals!$H154=0.5)," DefaultProbability","")&amp;IF($F202="No"," NoDates","")&amp;IF(AND(ISNUMBER($H202),$H202&gt;=Settings!$B$20)," Stale","")))</f>
        <v/>
      </c>
    </row>
    <row r="203">
      <c r="A203" s="16">
        <f>IF(Deals!$A155="","",Deals!$A155)</f>
        <v/>
      </c>
      <c r="B203" s="16">
        <f>IF($A203="","",Deals!$C155)</f>
        <v/>
      </c>
      <c r="C203" s="16">
        <f>IF($A203="","",Deals!$F155)</f>
        <v/>
      </c>
      <c r="D203" s="21">
        <f>IF($A203="","",Deals!$H155)</f>
        <v/>
      </c>
      <c r="E203" s="17">
        <f>IF($A203="","",Deals!$Q155)</f>
        <v/>
      </c>
      <c r="F203" s="16">
        <f>IF($A203="","",IF(AND(Deals!$I155&lt;&gt;"",Deals!$J155&lt;&gt;""),"Yes","No"))</f>
        <v/>
      </c>
      <c r="G203" s="22">
        <f>IF($A203="","",Deals!$Z155)</f>
        <v/>
      </c>
      <c r="H203" s="23">
        <f>IF(OR($A203="",$G203=""),"",INT((Settings!$B$19-$G203)/7))</f>
        <v/>
      </c>
      <c r="I203" s="24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MissingLevel","")&amp;IF(AND($C203="Proposal",Deals!$H155=0.5)," DefaultProbability","")&amp;IF($F203="No"," NoDates","")&amp;IF(AND(ISNUMBER($H203),$H203&gt;=Settings!$B$20)," Stale","")))</f>
        <v/>
      </c>
    </row>
    <row r="204">
      <c r="A204" s="16">
        <f>IF(Deals!$A156="","",Deals!$A156)</f>
        <v/>
      </c>
      <c r="B204" s="16">
        <f>IF($A204="","",Deals!$C156)</f>
        <v/>
      </c>
      <c r="C204" s="16">
        <f>IF($A204="","",Deals!$F156)</f>
        <v/>
      </c>
      <c r="D204" s="21">
        <f>IF($A204="","",Deals!$H156)</f>
        <v/>
      </c>
      <c r="E204" s="17">
        <f>IF($A204="","",Deals!$Q156)</f>
        <v/>
      </c>
      <c r="F204" s="16">
        <f>IF($A204="","",IF(AND(Deals!$I156&lt;&gt;"",Deals!$J156&lt;&gt;""),"Yes","No"))</f>
        <v/>
      </c>
      <c r="G204" s="22">
        <f>IF($A204="","",Deals!$Z156)</f>
        <v/>
      </c>
      <c r="H204" s="23">
        <f>IF(OR($A204="",$G204=""),"",INT((Settings!$B$19-$G204)/7))</f>
        <v/>
      </c>
      <c r="I204" s="24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MissingLevel","")&amp;IF(AND($C204="Proposal",Deals!$H156=0.5)," DefaultProbability","")&amp;IF($F204="No"," NoDates","")&amp;IF(AND(ISNUMBER($H204),$H204&gt;=Settings!$B$20)," Stale","")))</f>
        <v/>
      </c>
    </row>
    <row r="205">
      <c r="A205" s="16">
        <f>IF(Deals!$A157="","",Deals!$A157)</f>
        <v/>
      </c>
      <c r="B205" s="16">
        <f>IF($A205="","",Deals!$C157)</f>
        <v/>
      </c>
      <c r="C205" s="16">
        <f>IF($A205="","",Deals!$F157)</f>
        <v/>
      </c>
      <c r="D205" s="21">
        <f>IF($A205="","",Deals!$H157)</f>
        <v/>
      </c>
      <c r="E205" s="17">
        <f>IF($A205="","",Deals!$Q157)</f>
        <v/>
      </c>
      <c r="F205" s="16">
        <f>IF($A205="","",IF(AND(Deals!$I157&lt;&gt;"",Deals!$J157&lt;&gt;""),"Yes","No"))</f>
        <v/>
      </c>
      <c r="G205" s="22">
        <f>IF($A205="","",Deals!$Z157)</f>
        <v/>
      </c>
      <c r="H205" s="23">
        <f>IF(OR($A205="",$G205=""),"",INT((Settings!$B$19-$G205)/7))</f>
        <v/>
      </c>
      <c r="I205" s="24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MissingLevel","")&amp;IF(AND($C205="Proposal",Deals!$H157=0.5)," DefaultProbability","")&amp;IF($F205="No"," NoDates","")&amp;IF(AND(ISNUMBER($H205),$H205&gt;=Settings!$B$20)," Stale","")))</f>
        <v/>
      </c>
    </row>
    <row r="206">
      <c r="A206" s="16">
        <f>IF(Deals!$A158="","",Deals!$A158)</f>
        <v/>
      </c>
      <c r="B206" s="16">
        <f>IF($A206="","",Deals!$C158)</f>
        <v/>
      </c>
      <c r="C206" s="16">
        <f>IF($A206="","",Deals!$F158)</f>
        <v/>
      </c>
      <c r="D206" s="21">
        <f>IF($A206="","",Deals!$H158)</f>
        <v/>
      </c>
      <c r="E206" s="17">
        <f>IF($A206="","",Deals!$Q158)</f>
        <v/>
      </c>
      <c r="F206" s="16">
        <f>IF($A206="","",IF(AND(Deals!$I158&lt;&gt;"",Deals!$J158&lt;&gt;""),"Yes","No"))</f>
        <v/>
      </c>
      <c r="G206" s="22">
        <f>IF($A206="","",Deals!$Z158)</f>
        <v/>
      </c>
      <c r="H206" s="23">
        <f>IF(OR($A206="",$G206=""),"",INT((Settings!$B$19-$G206)/7))</f>
        <v/>
      </c>
      <c r="I206" s="24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MissingLevel","")&amp;IF(AND($C206="Proposal",Deals!$H158=0.5)," DefaultProbability","")&amp;IF($F206="No"," NoDates","")&amp;IF(AND(ISNUMBER($H206),$H206&gt;=Settings!$B$20)," Stale","")))</f>
        <v/>
      </c>
    </row>
    <row r="207">
      <c r="A207" s="16">
        <f>IF(Deals!$A159="","",Deals!$A159)</f>
        <v/>
      </c>
      <c r="B207" s="16">
        <f>IF($A207="","",Deals!$C159)</f>
        <v/>
      </c>
      <c r="C207" s="16">
        <f>IF($A207="","",Deals!$F159)</f>
        <v/>
      </c>
      <c r="D207" s="21">
        <f>IF($A207="","",Deals!$H159)</f>
        <v/>
      </c>
      <c r="E207" s="17">
        <f>IF($A207="","",Deals!$Q159)</f>
        <v/>
      </c>
      <c r="F207" s="16">
        <f>IF($A207="","",IF(AND(Deals!$I159&lt;&gt;"",Deals!$J159&lt;&gt;""),"Yes","No"))</f>
        <v/>
      </c>
      <c r="G207" s="22">
        <f>IF($A207="","",Deals!$Z159)</f>
        <v/>
      </c>
      <c r="H207" s="23">
        <f>IF(OR($A207="",$G207=""),"",INT((Settings!$B$19-$G207)/7))</f>
        <v/>
      </c>
      <c r="I207" s="24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MissingLevel","")&amp;IF(AND($C207="Proposal",Deals!$H159=0.5)," DefaultProbability","")&amp;IF($F207="No"," NoDates","")&amp;IF(AND(ISNUMBER($H207),$H207&gt;=Settings!$B$20)," Stale","")))</f>
        <v/>
      </c>
    </row>
    <row r="208">
      <c r="A208" s="16">
        <f>IF(Deals!$A160="","",Deals!$A160)</f>
        <v/>
      </c>
      <c r="B208" s="16">
        <f>IF($A208="","",Deals!$C160)</f>
        <v/>
      </c>
      <c r="C208" s="16">
        <f>IF($A208="","",Deals!$F160)</f>
        <v/>
      </c>
      <c r="D208" s="21">
        <f>IF($A208="","",Deals!$H160)</f>
        <v/>
      </c>
      <c r="E208" s="17">
        <f>IF($A208="","",Deals!$Q160)</f>
        <v/>
      </c>
      <c r="F208" s="16">
        <f>IF($A208="","",IF(AND(Deals!$I160&lt;&gt;"",Deals!$J160&lt;&gt;""),"Yes","No"))</f>
        <v/>
      </c>
      <c r="G208" s="22">
        <f>IF($A208="","",Deals!$Z160)</f>
        <v/>
      </c>
      <c r="H208" s="23">
        <f>IF(OR($A208="",$G208=""),"",INT((Settings!$B$19-$G208)/7))</f>
        <v/>
      </c>
      <c r="I208" s="24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MissingLevel","")&amp;IF(AND($C208="Proposal",Deals!$H160=0.5)," DefaultProbability","")&amp;IF($F208="No"," NoDates","")&amp;IF(AND(ISNUMBER($H208),$H208&gt;=Settings!$B$20)," Stale","")))</f>
        <v/>
      </c>
    </row>
    <row r="209">
      <c r="A209" s="16">
        <f>IF(Deals!$A161="","",Deals!$A161)</f>
        <v/>
      </c>
      <c r="B209" s="16">
        <f>IF($A209="","",Deals!$C161)</f>
        <v/>
      </c>
      <c r="C209" s="16">
        <f>IF($A209="","",Deals!$F161)</f>
        <v/>
      </c>
      <c r="D209" s="21">
        <f>IF($A209="","",Deals!$H161)</f>
        <v/>
      </c>
      <c r="E209" s="17">
        <f>IF($A209="","",Deals!$Q161)</f>
        <v/>
      </c>
      <c r="F209" s="16">
        <f>IF($A209="","",IF(AND(Deals!$I161&lt;&gt;"",Deals!$J161&lt;&gt;""),"Yes","No"))</f>
        <v/>
      </c>
      <c r="G209" s="22">
        <f>IF($A209="","",Deals!$Z161)</f>
        <v/>
      </c>
      <c r="H209" s="23">
        <f>IF(OR($A209="",$G209=""),"",INT((Settings!$B$19-$G209)/7))</f>
        <v/>
      </c>
      <c r="I209" s="24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MissingLevel","")&amp;IF(AND($C209="Proposal",Deals!$H161=0.5)," DefaultProbability","")&amp;IF($F209="No"," NoDates","")&amp;IF(AND(ISNUMBER($H209),$H209&gt;=Settings!$B$20)," Stale","")))</f>
        <v/>
      </c>
    </row>
    <row r="210">
      <c r="A210" s="16">
        <f>IF(Deals!$A162="","",Deals!$A162)</f>
        <v/>
      </c>
      <c r="B210" s="16">
        <f>IF($A210="","",Deals!$C162)</f>
        <v/>
      </c>
      <c r="C210" s="16">
        <f>IF($A210="","",Deals!$F162)</f>
        <v/>
      </c>
      <c r="D210" s="21">
        <f>IF($A210="","",Deals!$H162)</f>
        <v/>
      </c>
      <c r="E210" s="17">
        <f>IF($A210="","",Deals!$Q162)</f>
        <v/>
      </c>
      <c r="F210" s="16">
        <f>IF($A210="","",IF(AND(Deals!$I162&lt;&gt;"",Deals!$J162&lt;&gt;""),"Yes","No"))</f>
        <v/>
      </c>
      <c r="G210" s="22">
        <f>IF($A210="","",Deals!$Z162)</f>
        <v/>
      </c>
      <c r="H210" s="23">
        <f>IF(OR($A210="",$G210=""),"",INT((Settings!$B$19-$G210)/7))</f>
        <v/>
      </c>
      <c r="I210" s="24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MissingLevel","")&amp;IF(AND($C210="Proposal",Deals!$H162=0.5)," DefaultProbability","")&amp;IF($F210="No"," NoDates","")&amp;IF(AND(ISNUMBER($H210),$H210&gt;=Settings!$B$20)," Stale","")))</f>
        <v/>
      </c>
    </row>
    <row r="211">
      <c r="A211" s="16">
        <f>IF(Deals!$A163="","",Deals!$A163)</f>
        <v/>
      </c>
      <c r="B211" s="16">
        <f>IF($A211="","",Deals!$C163)</f>
        <v/>
      </c>
      <c r="C211" s="16">
        <f>IF($A211="","",Deals!$F163)</f>
        <v/>
      </c>
      <c r="D211" s="21">
        <f>IF($A211="","",Deals!$H163)</f>
        <v/>
      </c>
      <c r="E211" s="17">
        <f>IF($A211="","",Deals!$Q163)</f>
        <v/>
      </c>
      <c r="F211" s="16">
        <f>IF($A211="","",IF(AND(Deals!$I163&lt;&gt;"",Deals!$J163&lt;&gt;""),"Yes","No"))</f>
        <v/>
      </c>
      <c r="G211" s="22">
        <f>IF($A211="","",Deals!$Z163)</f>
        <v/>
      </c>
      <c r="H211" s="23">
        <f>IF(OR($A211="",$G211=""),"",INT((Settings!$B$19-$G211)/7))</f>
        <v/>
      </c>
      <c r="I211" s="24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MissingLevel","")&amp;IF(AND($C211="Proposal",Deals!$H163=0.5)," DefaultProbability","")&amp;IF($F211="No"," NoDates","")&amp;IF(AND(ISNUMBER($H211),$H211&gt;=Settings!$B$20)," Stale","")))</f>
        <v/>
      </c>
    </row>
    <row r="212">
      <c r="A212" s="16">
        <f>IF(Deals!$A164="","",Deals!$A164)</f>
        <v/>
      </c>
      <c r="B212" s="16">
        <f>IF($A212="","",Deals!$C164)</f>
        <v/>
      </c>
      <c r="C212" s="16">
        <f>IF($A212="","",Deals!$F164)</f>
        <v/>
      </c>
      <c r="D212" s="21">
        <f>IF($A212="","",Deals!$H164)</f>
        <v/>
      </c>
      <c r="E212" s="17">
        <f>IF($A212="","",Deals!$Q164)</f>
        <v/>
      </c>
      <c r="F212" s="16">
        <f>IF($A212="","",IF(AND(Deals!$I164&lt;&gt;"",Deals!$J164&lt;&gt;""),"Yes","No"))</f>
        <v/>
      </c>
      <c r="G212" s="22">
        <f>IF($A212="","",Deals!$Z164)</f>
        <v/>
      </c>
      <c r="H212" s="23">
        <f>IF(OR($A212="",$G212=""),"",INT((Settings!$B$19-$G212)/7))</f>
        <v/>
      </c>
      <c r="I212" s="24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MissingLevel","")&amp;IF(AND($C212="Proposal",Deals!$H164=0.5)," DefaultProbability","")&amp;IF($F212="No"," NoDates","")&amp;IF(AND(ISNUMBER($H212),$H212&gt;=Settings!$B$20)," Stale","")))</f>
        <v/>
      </c>
    </row>
    <row r="213">
      <c r="A213" s="16">
        <f>IF(Deals!$A165="","",Deals!$A165)</f>
        <v/>
      </c>
      <c r="B213" s="16">
        <f>IF($A213="","",Deals!$C165)</f>
        <v/>
      </c>
      <c r="C213" s="16">
        <f>IF($A213="","",Deals!$F165)</f>
        <v/>
      </c>
      <c r="D213" s="21">
        <f>IF($A213="","",Deals!$H165)</f>
        <v/>
      </c>
      <c r="E213" s="17">
        <f>IF($A213="","",Deals!$Q165)</f>
        <v/>
      </c>
      <c r="F213" s="16">
        <f>IF($A213="","",IF(AND(Deals!$I165&lt;&gt;"",Deals!$J165&lt;&gt;""),"Yes","No"))</f>
        <v/>
      </c>
      <c r="G213" s="22">
        <f>IF($A213="","",Deals!$Z165)</f>
        <v/>
      </c>
      <c r="H213" s="23">
        <f>IF(OR($A213="",$G213=""),"",INT((Settings!$B$19-$G213)/7))</f>
        <v/>
      </c>
      <c r="I213" s="24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MissingLevel","")&amp;IF(AND($C213="Proposal",Deals!$H165=0.5)," DefaultProbability","")&amp;IF($F213="No"," NoDates","")&amp;IF(AND(ISNUMBER($H213),$H213&gt;=Settings!$B$20)," Stale","")))</f>
        <v/>
      </c>
    </row>
    <row r="214">
      <c r="A214" s="16">
        <f>IF(Deals!$A166="","",Deals!$A166)</f>
        <v/>
      </c>
      <c r="B214" s="16">
        <f>IF($A214="","",Deals!$C166)</f>
        <v/>
      </c>
      <c r="C214" s="16">
        <f>IF($A214="","",Deals!$F166)</f>
        <v/>
      </c>
      <c r="D214" s="21">
        <f>IF($A214="","",Deals!$H166)</f>
        <v/>
      </c>
      <c r="E214" s="17">
        <f>IF($A214="","",Deals!$Q166)</f>
        <v/>
      </c>
      <c r="F214" s="16">
        <f>IF($A214="","",IF(AND(Deals!$I166&lt;&gt;"",Deals!$J166&lt;&gt;""),"Yes","No"))</f>
        <v/>
      </c>
      <c r="G214" s="22">
        <f>IF($A214="","",Deals!$Z166)</f>
        <v/>
      </c>
      <c r="H214" s="23">
        <f>IF(OR($A214="",$G214=""),"",INT((Settings!$B$19-$G214)/7))</f>
        <v/>
      </c>
      <c r="I214" s="24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MissingLevel","")&amp;IF(AND($C214="Proposal",Deals!$H166=0.5)," DefaultProbability","")&amp;IF($F214="No"," NoDates","")&amp;IF(AND(ISNUMBER($H214),$H214&gt;=Settings!$B$20)," Stale","")))</f>
        <v/>
      </c>
    </row>
    <row r="215">
      <c r="A215" s="16">
        <f>IF(Deals!$A167="","",Deals!$A167)</f>
        <v/>
      </c>
      <c r="B215" s="16">
        <f>IF($A215="","",Deals!$C167)</f>
        <v/>
      </c>
      <c r="C215" s="16">
        <f>IF($A215="","",Deals!$F167)</f>
        <v/>
      </c>
      <c r="D215" s="21">
        <f>IF($A215="","",Deals!$H167)</f>
        <v/>
      </c>
      <c r="E215" s="17">
        <f>IF($A215="","",Deals!$Q167)</f>
        <v/>
      </c>
      <c r="F215" s="16">
        <f>IF($A215="","",IF(AND(Deals!$I167&lt;&gt;"",Deals!$J167&lt;&gt;""),"Yes","No"))</f>
        <v/>
      </c>
      <c r="G215" s="22">
        <f>IF($A215="","",Deals!$Z167)</f>
        <v/>
      </c>
      <c r="H215" s="23">
        <f>IF(OR($A215="",$G215=""),"",INT((Settings!$B$19-$G215)/7))</f>
        <v/>
      </c>
      <c r="I215" s="24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MissingLevel","")&amp;IF(AND($C215="Proposal",Deals!$H167=0.5)," DefaultProbability","")&amp;IF($F215="No"," NoDates","")&amp;IF(AND(ISNUMBER($H215),$H215&gt;=Settings!$B$20)," Stale","")))</f>
        <v/>
      </c>
    </row>
    <row r="216">
      <c r="A216" s="16">
        <f>IF(Deals!$A168="","",Deals!$A168)</f>
        <v/>
      </c>
      <c r="B216" s="16">
        <f>IF($A216="","",Deals!$C168)</f>
        <v/>
      </c>
      <c r="C216" s="16">
        <f>IF($A216="","",Deals!$F168)</f>
        <v/>
      </c>
      <c r="D216" s="21">
        <f>IF($A216="","",Deals!$H168)</f>
        <v/>
      </c>
      <c r="E216" s="17">
        <f>IF($A216="","",Deals!$Q168)</f>
        <v/>
      </c>
      <c r="F216" s="16">
        <f>IF($A216="","",IF(AND(Deals!$I168&lt;&gt;"",Deals!$J168&lt;&gt;""),"Yes","No"))</f>
        <v/>
      </c>
      <c r="G216" s="22">
        <f>IF($A216="","",Deals!$Z168)</f>
        <v/>
      </c>
      <c r="H216" s="23">
        <f>IF(OR($A216="",$G216=""),"",INT((Settings!$B$19-$G216)/7))</f>
        <v/>
      </c>
      <c r="I216" s="24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MissingLevel","")&amp;IF(AND($C216="Proposal",Deals!$H168=0.5)," DefaultProbability","")&amp;IF($F216="No"," NoDates","")&amp;IF(AND(ISNUMBER($H216),$H216&gt;=Settings!$B$20)," Stale","")))</f>
        <v/>
      </c>
    </row>
    <row r="217">
      <c r="A217" s="16">
        <f>IF(Deals!$A169="","",Deals!$A169)</f>
        <v/>
      </c>
      <c r="B217" s="16">
        <f>IF($A217="","",Deals!$C169)</f>
        <v/>
      </c>
      <c r="C217" s="16">
        <f>IF($A217="","",Deals!$F169)</f>
        <v/>
      </c>
      <c r="D217" s="21">
        <f>IF($A217="","",Deals!$H169)</f>
        <v/>
      </c>
      <c r="E217" s="17">
        <f>IF($A217="","",Deals!$Q169)</f>
        <v/>
      </c>
      <c r="F217" s="16">
        <f>IF($A217="","",IF(AND(Deals!$I169&lt;&gt;"",Deals!$J169&lt;&gt;""),"Yes","No"))</f>
        <v/>
      </c>
      <c r="G217" s="22">
        <f>IF($A217="","",Deals!$Z169)</f>
        <v/>
      </c>
      <c r="H217" s="23">
        <f>IF(OR($A217="",$G217=""),"",INT((Settings!$B$19-$G217)/7))</f>
        <v/>
      </c>
      <c r="I217" s="24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MissingLevel","")&amp;IF(AND($C217="Proposal",Deals!$H169=0.5)," DefaultProbability","")&amp;IF($F217="No"," NoDates","")&amp;IF(AND(ISNUMBER($H217),$H217&gt;=Settings!$B$20)," Stale","")))</f>
        <v/>
      </c>
    </row>
    <row r="218">
      <c r="A218" s="16">
        <f>IF(Deals!$A170="","",Deals!$A170)</f>
        <v/>
      </c>
      <c r="B218" s="16">
        <f>IF($A218="","",Deals!$C170)</f>
        <v/>
      </c>
      <c r="C218" s="16">
        <f>IF($A218="","",Deals!$F170)</f>
        <v/>
      </c>
      <c r="D218" s="21">
        <f>IF($A218="","",Deals!$H170)</f>
        <v/>
      </c>
      <c r="E218" s="17">
        <f>IF($A218="","",Deals!$Q170)</f>
        <v/>
      </c>
      <c r="F218" s="16">
        <f>IF($A218="","",IF(AND(Deals!$I170&lt;&gt;"",Deals!$J170&lt;&gt;""),"Yes","No"))</f>
        <v/>
      </c>
      <c r="G218" s="22">
        <f>IF($A218="","",Deals!$Z170)</f>
        <v/>
      </c>
      <c r="H218" s="23">
        <f>IF(OR($A218="",$G218=""),"",INT((Settings!$B$19-$G218)/7))</f>
        <v/>
      </c>
      <c r="I218" s="24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MissingLevel","")&amp;IF(AND($C218="Proposal",Deals!$H170=0.5)," DefaultProbability","")&amp;IF($F218="No"," NoDates","")&amp;IF(AND(ISNUMBER($H218),$H218&gt;=Settings!$B$20)," Stale","")))</f>
        <v/>
      </c>
    </row>
    <row r="219">
      <c r="A219" s="16">
        <f>IF(Deals!$A171="","",Deals!$A171)</f>
        <v/>
      </c>
      <c r="B219" s="16">
        <f>IF($A219="","",Deals!$C171)</f>
        <v/>
      </c>
      <c r="C219" s="16">
        <f>IF($A219="","",Deals!$F171)</f>
        <v/>
      </c>
      <c r="D219" s="21">
        <f>IF($A219="","",Deals!$H171)</f>
        <v/>
      </c>
      <c r="E219" s="17">
        <f>IF($A219="","",Deals!$Q171)</f>
        <v/>
      </c>
      <c r="F219" s="16">
        <f>IF($A219="","",IF(AND(Deals!$I171&lt;&gt;"",Deals!$J171&lt;&gt;""),"Yes","No"))</f>
        <v/>
      </c>
      <c r="G219" s="22">
        <f>IF($A219="","",Deals!$Z171)</f>
        <v/>
      </c>
      <c r="H219" s="23">
        <f>IF(OR($A219="",$G219=""),"",INT((Settings!$B$19-$G219)/7))</f>
        <v/>
      </c>
      <c r="I219" s="24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MissingLevel","")&amp;IF(AND($C219="Proposal",Deals!$H171=0.5)," DefaultProbability","")&amp;IF($F219="No"," NoDates","")&amp;IF(AND(ISNUMBER($H219),$H219&gt;=Settings!$B$20)," Stale","")))</f>
        <v/>
      </c>
    </row>
    <row r="220">
      <c r="A220" s="16">
        <f>IF(Deals!$A172="","",Deals!$A172)</f>
        <v/>
      </c>
      <c r="B220" s="16">
        <f>IF($A220="","",Deals!$C172)</f>
        <v/>
      </c>
      <c r="C220" s="16">
        <f>IF($A220="","",Deals!$F172)</f>
        <v/>
      </c>
      <c r="D220" s="21">
        <f>IF($A220="","",Deals!$H172)</f>
        <v/>
      </c>
      <c r="E220" s="17">
        <f>IF($A220="","",Deals!$Q172)</f>
        <v/>
      </c>
      <c r="F220" s="16">
        <f>IF($A220="","",IF(AND(Deals!$I172&lt;&gt;"",Deals!$J172&lt;&gt;""),"Yes","No"))</f>
        <v/>
      </c>
      <c r="G220" s="22">
        <f>IF($A220="","",Deals!$Z172)</f>
        <v/>
      </c>
      <c r="H220" s="23">
        <f>IF(OR($A220="",$G220=""),"",INT((Settings!$B$19-$G220)/7))</f>
        <v/>
      </c>
      <c r="I220" s="24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MissingLevel","")&amp;IF(AND($C220="Proposal",Deals!$H172=0.5)," DefaultProbability","")&amp;IF($F220="No"," NoDates","")&amp;IF(AND(ISNUMBER($H220),$H220&gt;=Settings!$B$20)," Stale","")))</f>
        <v/>
      </c>
    </row>
    <row r="221">
      <c r="A221" s="16">
        <f>IF(Deals!$A173="","",Deals!$A173)</f>
        <v/>
      </c>
      <c r="B221" s="16">
        <f>IF($A221="","",Deals!$C173)</f>
        <v/>
      </c>
      <c r="C221" s="16">
        <f>IF($A221="","",Deals!$F173)</f>
        <v/>
      </c>
      <c r="D221" s="21">
        <f>IF($A221="","",Deals!$H173)</f>
        <v/>
      </c>
      <c r="E221" s="17">
        <f>IF($A221="","",Deals!$Q173)</f>
        <v/>
      </c>
      <c r="F221" s="16">
        <f>IF($A221="","",IF(AND(Deals!$I173&lt;&gt;"",Deals!$J173&lt;&gt;""),"Yes","No"))</f>
        <v/>
      </c>
      <c r="G221" s="22">
        <f>IF($A221="","",Deals!$Z173)</f>
        <v/>
      </c>
      <c r="H221" s="23">
        <f>IF(OR($A221="",$G221=""),"",INT((Settings!$B$19-$G221)/7))</f>
        <v/>
      </c>
      <c r="I221" s="24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MissingLevel","")&amp;IF(AND($C221="Proposal",Deals!$H173=0.5)," DefaultProbability","")&amp;IF($F221="No"," NoDates","")&amp;IF(AND(ISNUMBER($H221),$H221&gt;=Settings!$B$20)," Stale","")))</f>
        <v/>
      </c>
    </row>
    <row r="222">
      <c r="A222" s="16">
        <f>IF(Deals!$A174="","",Deals!$A174)</f>
        <v/>
      </c>
      <c r="B222" s="16">
        <f>IF($A222="","",Deals!$C174)</f>
        <v/>
      </c>
      <c r="C222" s="16">
        <f>IF($A222="","",Deals!$F174)</f>
        <v/>
      </c>
      <c r="D222" s="21">
        <f>IF($A222="","",Deals!$H174)</f>
        <v/>
      </c>
      <c r="E222" s="17">
        <f>IF($A222="","",Deals!$Q174)</f>
        <v/>
      </c>
      <c r="F222" s="16">
        <f>IF($A222="","",IF(AND(Deals!$I174&lt;&gt;"",Deals!$J174&lt;&gt;""),"Yes","No"))</f>
        <v/>
      </c>
      <c r="G222" s="22">
        <f>IF($A222="","",Deals!$Z174)</f>
        <v/>
      </c>
      <c r="H222" s="23">
        <f>IF(OR($A222="",$G222=""),"",INT((Settings!$B$19-$G222)/7))</f>
        <v/>
      </c>
      <c r="I222" s="24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MissingLevel","")&amp;IF(AND($C222="Proposal",Deals!$H174=0.5)," DefaultProbability","")&amp;IF($F222="No"," NoDates","")&amp;IF(AND(ISNUMBER($H222),$H222&gt;=Settings!$B$20)," Stale","")))</f>
        <v/>
      </c>
    </row>
    <row r="223">
      <c r="A223" s="16">
        <f>IF(Deals!$A175="","",Deals!$A175)</f>
        <v/>
      </c>
      <c r="B223" s="16">
        <f>IF($A223="","",Deals!$C175)</f>
        <v/>
      </c>
      <c r="C223" s="16">
        <f>IF($A223="","",Deals!$F175)</f>
        <v/>
      </c>
      <c r="D223" s="21">
        <f>IF($A223="","",Deals!$H175)</f>
        <v/>
      </c>
      <c r="E223" s="17">
        <f>IF($A223="","",Deals!$Q175)</f>
        <v/>
      </c>
      <c r="F223" s="16">
        <f>IF($A223="","",IF(AND(Deals!$I175&lt;&gt;"",Deals!$J175&lt;&gt;""),"Yes","No"))</f>
        <v/>
      </c>
      <c r="G223" s="22">
        <f>IF($A223="","",Deals!$Z175)</f>
        <v/>
      </c>
      <c r="H223" s="23">
        <f>IF(OR($A223="",$G223=""),"",INT((Settings!$B$19-$G223)/7))</f>
        <v/>
      </c>
      <c r="I223" s="24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MissingLevel","")&amp;IF(AND($C223="Proposal",Deals!$H175=0.5)," DefaultProbability","")&amp;IF($F223="No"," NoDates","")&amp;IF(AND(ISNUMBER($H223),$H223&gt;=Settings!$B$20)," Stale","")))</f>
        <v/>
      </c>
    </row>
    <row r="224">
      <c r="A224" s="16">
        <f>IF(Deals!$A176="","",Deals!$A176)</f>
        <v/>
      </c>
      <c r="B224" s="16">
        <f>IF($A224="","",Deals!$C176)</f>
        <v/>
      </c>
      <c r="C224" s="16">
        <f>IF($A224="","",Deals!$F176)</f>
        <v/>
      </c>
      <c r="D224" s="21">
        <f>IF($A224="","",Deals!$H176)</f>
        <v/>
      </c>
      <c r="E224" s="17">
        <f>IF($A224="","",Deals!$Q176)</f>
        <v/>
      </c>
      <c r="F224" s="16">
        <f>IF($A224="","",IF(AND(Deals!$I176&lt;&gt;"",Deals!$J176&lt;&gt;""),"Yes","No"))</f>
        <v/>
      </c>
      <c r="G224" s="22">
        <f>IF($A224="","",Deals!$Z176)</f>
        <v/>
      </c>
      <c r="H224" s="23">
        <f>IF(OR($A224="",$G224=""),"",INT((Settings!$B$19-$G224)/7))</f>
        <v/>
      </c>
      <c r="I224" s="24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MissingLevel","")&amp;IF(AND($C224="Proposal",Deals!$H176=0.5)," DefaultProbability","")&amp;IF($F224="No"," NoDates","")&amp;IF(AND(ISNUMBER($H224),$H224&gt;=Settings!$B$20)," Stale","")))</f>
        <v/>
      </c>
    </row>
    <row r="225">
      <c r="A225" s="16">
        <f>IF(Deals!$A177="","",Deals!$A177)</f>
        <v/>
      </c>
      <c r="B225" s="16">
        <f>IF($A225="","",Deals!$C177)</f>
        <v/>
      </c>
      <c r="C225" s="16">
        <f>IF($A225="","",Deals!$F177)</f>
        <v/>
      </c>
      <c r="D225" s="21">
        <f>IF($A225="","",Deals!$H177)</f>
        <v/>
      </c>
      <c r="E225" s="17">
        <f>IF($A225="","",Deals!$Q177)</f>
        <v/>
      </c>
      <c r="F225" s="16">
        <f>IF($A225="","",IF(AND(Deals!$I177&lt;&gt;"",Deals!$J177&lt;&gt;""),"Yes","No"))</f>
        <v/>
      </c>
      <c r="G225" s="22">
        <f>IF($A225="","",Deals!$Z177)</f>
        <v/>
      </c>
      <c r="H225" s="23">
        <f>IF(OR($A225="",$G225=""),"",INT((Settings!$B$19-$G225)/7))</f>
        <v/>
      </c>
      <c r="I225" s="24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MissingLevel","")&amp;IF(AND($C225="Proposal",Deals!$H177=0.5)," DefaultProbability","")&amp;IF($F225="No"," NoDates","")&amp;IF(AND(ISNUMBER($H225),$H225&gt;=Settings!$B$20)," Stale","")))</f>
        <v/>
      </c>
    </row>
    <row r="226">
      <c r="A226" s="16">
        <f>IF(Deals!$A178="","",Deals!$A178)</f>
        <v/>
      </c>
      <c r="B226" s="16">
        <f>IF($A226="","",Deals!$C178)</f>
        <v/>
      </c>
      <c r="C226" s="16">
        <f>IF($A226="","",Deals!$F178)</f>
        <v/>
      </c>
      <c r="D226" s="21">
        <f>IF($A226="","",Deals!$H178)</f>
        <v/>
      </c>
      <c r="E226" s="17">
        <f>IF($A226="","",Deals!$Q178)</f>
        <v/>
      </c>
      <c r="F226" s="16">
        <f>IF($A226="","",IF(AND(Deals!$I178&lt;&gt;"",Deals!$J178&lt;&gt;""),"Yes","No"))</f>
        <v/>
      </c>
      <c r="G226" s="22">
        <f>IF($A226="","",Deals!$Z178)</f>
        <v/>
      </c>
      <c r="H226" s="23">
        <f>IF(OR($A226="",$G226=""),"",INT((Settings!$B$19-$G226)/7))</f>
        <v/>
      </c>
      <c r="I226" s="24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MissingLevel","")&amp;IF(AND($C226="Proposal",Deals!$H178=0.5)," DefaultProbability","")&amp;IF($F226="No"," NoDates","")&amp;IF(AND(ISNUMBER($H226),$H226&gt;=Settings!$B$20)," Stale","")))</f>
        <v/>
      </c>
    </row>
    <row r="227">
      <c r="A227" s="16">
        <f>IF(Deals!$A179="","",Deals!$A179)</f>
        <v/>
      </c>
      <c r="B227" s="16">
        <f>IF($A227="","",Deals!$C179)</f>
        <v/>
      </c>
      <c r="C227" s="16">
        <f>IF($A227="","",Deals!$F179)</f>
        <v/>
      </c>
      <c r="D227" s="21">
        <f>IF($A227="","",Deals!$H179)</f>
        <v/>
      </c>
      <c r="E227" s="17">
        <f>IF($A227="","",Deals!$Q179)</f>
        <v/>
      </c>
      <c r="F227" s="16">
        <f>IF($A227="","",IF(AND(Deals!$I179&lt;&gt;"",Deals!$J179&lt;&gt;""),"Yes","No"))</f>
        <v/>
      </c>
      <c r="G227" s="22">
        <f>IF($A227="","",Deals!$Z179)</f>
        <v/>
      </c>
      <c r="H227" s="23">
        <f>IF(OR($A227="",$G227=""),"",INT((Settings!$B$19-$G227)/7))</f>
        <v/>
      </c>
      <c r="I227" s="24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MissingLevel","")&amp;IF(AND($C227="Proposal",Deals!$H179=0.5)," DefaultProbability","")&amp;IF($F227="No"," NoDates","")&amp;IF(AND(ISNUMBER($H227),$H227&gt;=Settings!$B$20)," Stale","")))</f>
        <v/>
      </c>
    </row>
    <row r="228">
      <c r="A228" s="16">
        <f>IF(Deals!$A180="","",Deals!$A180)</f>
        <v/>
      </c>
      <c r="B228" s="16">
        <f>IF($A228="","",Deals!$C180)</f>
        <v/>
      </c>
      <c r="C228" s="16">
        <f>IF($A228="","",Deals!$F180)</f>
        <v/>
      </c>
      <c r="D228" s="21">
        <f>IF($A228="","",Deals!$H180)</f>
        <v/>
      </c>
      <c r="E228" s="17">
        <f>IF($A228="","",Deals!$Q180)</f>
        <v/>
      </c>
      <c r="F228" s="16">
        <f>IF($A228="","",IF(AND(Deals!$I180&lt;&gt;"",Deals!$J180&lt;&gt;""),"Yes","No"))</f>
        <v/>
      </c>
      <c r="G228" s="22">
        <f>IF($A228="","",Deals!$Z180)</f>
        <v/>
      </c>
      <c r="H228" s="23">
        <f>IF(OR($A228="",$G228=""),"",INT((Settings!$B$19-$G228)/7))</f>
        <v/>
      </c>
      <c r="I228" s="24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MissingLevel","")&amp;IF(AND($C228="Proposal",Deals!$H180=0.5)," DefaultProbability","")&amp;IF($F228="No"," NoDates","")&amp;IF(AND(ISNUMBER($H228),$H228&gt;=Settings!$B$20)," Stale","")))</f>
        <v/>
      </c>
    </row>
    <row r="229">
      <c r="A229" s="16">
        <f>IF(Deals!$A181="","",Deals!$A181)</f>
        <v/>
      </c>
      <c r="B229" s="16">
        <f>IF($A229="","",Deals!$C181)</f>
        <v/>
      </c>
      <c r="C229" s="16">
        <f>IF($A229="","",Deals!$F181)</f>
        <v/>
      </c>
      <c r="D229" s="21">
        <f>IF($A229="","",Deals!$H181)</f>
        <v/>
      </c>
      <c r="E229" s="17">
        <f>IF($A229="","",Deals!$Q181)</f>
        <v/>
      </c>
      <c r="F229" s="16">
        <f>IF($A229="","",IF(AND(Deals!$I181&lt;&gt;"",Deals!$J181&lt;&gt;""),"Yes","No"))</f>
        <v/>
      </c>
      <c r="G229" s="22">
        <f>IF($A229="","",Deals!$Z181)</f>
        <v/>
      </c>
      <c r="H229" s="23">
        <f>IF(OR($A229="",$G229=""),"",INT((Settings!$B$19-$G229)/7))</f>
        <v/>
      </c>
      <c r="I229" s="24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MissingLevel","")&amp;IF(AND($C229="Proposal",Deals!$H181=0.5)," DefaultProbability","")&amp;IF($F229="No"," NoDates","")&amp;IF(AND(ISNUMBER($H229),$H229&gt;=Settings!$B$20)," Stale","")))</f>
        <v/>
      </c>
    </row>
    <row r="230">
      <c r="A230" s="16">
        <f>IF(Deals!$A182="","",Deals!$A182)</f>
        <v/>
      </c>
      <c r="B230" s="16">
        <f>IF($A230="","",Deals!$C182)</f>
        <v/>
      </c>
      <c r="C230" s="16">
        <f>IF($A230="","",Deals!$F182)</f>
        <v/>
      </c>
      <c r="D230" s="21">
        <f>IF($A230="","",Deals!$H182)</f>
        <v/>
      </c>
      <c r="E230" s="17">
        <f>IF($A230="","",Deals!$Q182)</f>
        <v/>
      </c>
      <c r="F230" s="16">
        <f>IF($A230="","",IF(AND(Deals!$I182&lt;&gt;"",Deals!$J182&lt;&gt;""),"Yes","No"))</f>
        <v/>
      </c>
      <c r="G230" s="22">
        <f>IF($A230="","",Deals!$Z182)</f>
        <v/>
      </c>
      <c r="H230" s="23">
        <f>IF(OR($A230="",$G230=""),"",INT((Settings!$B$19-$G230)/7))</f>
        <v/>
      </c>
      <c r="I230" s="24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MissingLevel","")&amp;IF(AND($C230="Proposal",Deals!$H182=0.5)," DefaultProbability","")&amp;IF($F230="No"," NoDates","")&amp;IF(AND(ISNUMBER($H230),$H230&gt;=Settings!$B$20)," Stale","")))</f>
        <v/>
      </c>
    </row>
    <row r="231">
      <c r="A231" s="16">
        <f>IF(Deals!$A183="","",Deals!$A183)</f>
        <v/>
      </c>
      <c r="B231" s="16">
        <f>IF($A231="","",Deals!$C183)</f>
        <v/>
      </c>
      <c r="C231" s="16">
        <f>IF($A231="","",Deals!$F183)</f>
        <v/>
      </c>
      <c r="D231" s="21">
        <f>IF($A231="","",Deals!$H183)</f>
        <v/>
      </c>
      <c r="E231" s="17">
        <f>IF($A231="","",Deals!$Q183)</f>
        <v/>
      </c>
      <c r="F231" s="16">
        <f>IF($A231="","",IF(AND(Deals!$I183&lt;&gt;"",Deals!$J183&lt;&gt;""),"Yes","No"))</f>
        <v/>
      </c>
      <c r="G231" s="22">
        <f>IF($A231="","",Deals!$Z183)</f>
        <v/>
      </c>
      <c r="H231" s="23">
        <f>IF(OR($A231="",$G231=""),"",INT((Settings!$B$19-$G231)/7))</f>
        <v/>
      </c>
      <c r="I231" s="24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MissingLevel","")&amp;IF(AND($C231="Proposal",Deals!$H183=0.5)," DefaultProbability","")&amp;IF($F231="No"," NoDates","")&amp;IF(AND(ISNUMBER($H231),$H231&gt;=Settings!$B$20)," Stale","")))</f>
        <v/>
      </c>
    </row>
    <row r="232">
      <c r="A232" s="16">
        <f>IF(Deals!$A184="","",Deals!$A184)</f>
        <v/>
      </c>
      <c r="B232" s="16">
        <f>IF($A232="","",Deals!$C184)</f>
        <v/>
      </c>
      <c r="C232" s="16">
        <f>IF($A232="","",Deals!$F184)</f>
        <v/>
      </c>
      <c r="D232" s="21">
        <f>IF($A232="","",Deals!$H184)</f>
        <v/>
      </c>
      <c r="E232" s="17">
        <f>IF($A232="","",Deals!$Q184)</f>
        <v/>
      </c>
      <c r="F232" s="16">
        <f>IF($A232="","",IF(AND(Deals!$I184&lt;&gt;"",Deals!$J184&lt;&gt;""),"Yes","No"))</f>
        <v/>
      </c>
      <c r="G232" s="22">
        <f>IF($A232="","",Deals!$Z184)</f>
        <v/>
      </c>
      <c r="H232" s="23">
        <f>IF(OR($A232="",$G232=""),"",INT((Settings!$B$19-$G232)/7))</f>
        <v/>
      </c>
      <c r="I232" s="24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MissingLevel","")&amp;IF(AND($C232="Proposal",Deals!$H184=0.5)," DefaultProbability","")&amp;IF($F232="No"," NoDates","")&amp;IF(AND(ISNUMBER($H232),$H232&gt;=Settings!$B$20)," Stale","")))</f>
        <v/>
      </c>
    </row>
    <row r="233">
      <c r="A233" s="16">
        <f>IF(Deals!$A185="","",Deals!$A185)</f>
        <v/>
      </c>
      <c r="B233" s="16">
        <f>IF($A233="","",Deals!$C185)</f>
        <v/>
      </c>
      <c r="C233" s="16">
        <f>IF($A233="","",Deals!$F185)</f>
        <v/>
      </c>
      <c r="D233" s="21">
        <f>IF($A233="","",Deals!$H185)</f>
        <v/>
      </c>
      <c r="E233" s="17">
        <f>IF($A233="","",Deals!$Q185)</f>
        <v/>
      </c>
      <c r="F233" s="16">
        <f>IF($A233="","",IF(AND(Deals!$I185&lt;&gt;"",Deals!$J185&lt;&gt;""),"Yes","No"))</f>
        <v/>
      </c>
      <c r="G233" s="22">
        <f>IF($A233="","",Deals!$Z185)</f>
        <v/>
      </c>
      <c r="H233" s="23">
        <f>IF(OR($A233="",$G233=""),"",INT((Settings!$B$19-$G233)/7))</f>
        <v/>
      </c>
      <c r="I233" s="24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MissingLevel","")&amp;IF(AND($C233="Proposal",Deals!$H185=0.5)," DefaultProbability","")&amp;IF($F233="No"," NoDates","")&amp;IF(AND(ISNUMBER($H233),$H233&gt;=Settings!$B$20)," Stale","")))</f>
        <v/>
      </c>
    </row>
    <row r="234">
      <c r="A234" s="16">
        <f>IF(Deals!$A186="","",Deals!$A186)</f>
        <v/>
      </c>
      <c r="B234" s="16">
        <f>IF($A234="","",Deals!$C186)</f>
        <v/>
      </c>
      <c r="C234" s="16">
        <f>IF($A234="","",Deals!$F186)</f>
        <v/>
      </c>
      <c r="D234" s="21">
        <f>IF($A234="","",Deals!$H186)</f>
        <v/>
      </c>
      <c r="E234" s="17">
        <f>IF($A234="","",Deals!$Q186)</f>
        <v/>
      </c>
      <c r="F234" s="16">
        <f>IF($A234="","",IF(AND(Deals!$I186&lt;&gt;"",Deals!$J186&lt;&gt;""),"Yes","No"))</f>
        <v/>
      </c>
      <c r="G234" s="22">
        <f>IF($A234="","",Deals!$Z186)</f>
        <v/>
      </c>
      <c r="H234" s="23">
        <f>IF(OR($A234="",$G234=""),"",INT((Settings!$B$19-$G234)/7))</f>
        <v/>
      </c>
      <c r="I234" s="24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MissingLevel","")&amp;IF(AND($C234="Proposal",Deals!$H186=0.5)," DefaultProbability","")&amp;IF($F234="No"," NoDates","")&amp;IF(AND(ISNUMBER($H234),$H234&gt;=Settings!$B$20)," Stale","")))</f>
        <v/>
      </c>
    </row>
    <row r="235">
      <c r="A235" s="16">
        <f>IF(Deals!$A187="","",Deals!$A187)</f>
        <v/>
      </c>
      <c r="B235" s="16">
        <f>IF($A235="","",Deals!$C187)</f>
        <v/>
      </c>
      <c r="C235" s="16">
        <f>IF($A235="","",Deals!$F187)</f>
        <v/>
      </c>
      <c r="D235" s="21">
        <f>IF($A235="","",Deals!$H187)</f>
        <v/>
      </c>
      <c r="E235" s="17">
        <f>IF($A235="","",Deals!$Q187)</f>
        <v/>
      </c>
      <c r="F235" s="16">
        <f>IF($A235="","",IF(AND(Deals!$I187&lt;&gt;"",Deals!$J187&lt;&gt;""),"Yes","No"))</f>
        <v/>
      </c>
      <c r="G235" s="22">
        <f>IF($A235="","",Deals!$Z187)</f>
        <v/>
      </c>
      <c r="H235" s="23">
        <f>IF(OR($A235="",$G235=""),"",INT((Settings!$B$19-$G235)/7))</f>
        <v/>
      </c>
      <c r="I235" s="24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MissingLevel","")&amp;IF(AND($C235="Proposal",Deals!$H187=0.5)," DefaultProbability","")&amp;IF($F235="No"," NoDates","")&amp;IF(AND(ISNUMBER($H235),$H235&gt;=Settings!$B$20)," Stale","")))</f>
        <v/>
      </c>
    </row>
    <row r="236">
      <c r="A236" s="16">
        <f>IF(Deals!$A188="","",Deals!$A188)</f>
        <v/>
      </c>
      <c r="B236" s="16">
        <f>IF($A236="","",Deals!$C188)</f>
        <v/>
      </c>
      <c r="C236" s="16">
        <f>IF($A236="","",Deals!$F188)</f>
        <v/>
      </c>
      <c r="D236" s="21">
        <f>IF($A236="","",Deals!$H188)</f>
        <v/>
      </c>
      <c r="E236" s="17">
        <f>IF($A236="","",Deals!$Q188)</f>
        <v/>
      </c>
      <c r="F236" s="16">
        <f>IF($A236="","",IF(AND(Deals!$I188&lt;&gt;"",Deals!$J188&lt;&gt;""),"Yes","No"))</f>
        <v/>
      </c>
      <c r="G236" s="22">
        <f>IF($A236="","",Deals!$Z188)</f>
        <v/>
      </c>
      <c r="H236" s="23">
        <f>IF(OR($A236="",$G236=""),"",INT((Settings!$B$19-$G236)/7))</f>
        <v/>
      </c>
      <c r="I236" s="24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MissingLevel","")&amp;IF(AND($C236="Proposal",Deals!$H188=0.5)," DefaultProbability","")&amp;IF($F236="No"," NoDates","")&amp;IF(AND(ISNUMBER($H236),$H236&gt;=Settings!$B$20)," Stale","")))</f>
        <v/>
      </c>
    </row>
    <row r="237">
      <c r="A237" s="16">
        <f>IF(Deals!$A189="","",Deals!$A189)</f>
        <v/>
      </c>
      <c r="B237" s="16">
        <f>IF($A237="","",Deals!$C189)</f>
        <v/>
      </c>
      <c r="C237" s="16">
        <f>IF($A237="","",Deals!$F189)</f>
        <v/>
      </c>
      <c r="D237" s="21">
        <f>IF($A237="","",Deals!$H189)</f>
        <v/>
      </c>
      <c r="E237" s="17">
        <f>IF($A237="","",Deals!$Q189)</f>
        <v/>
      </c>
      <c r="F237" s="16">
        <f>IF($A237="","",IF(AND(Deals!$I189&lt;&gt;"",Deals!$J189&lt;&gt;""),"Yes","No"))</f>
        <v/>
      </c>
      <c r="G237" s="22">
        <f>IF($A237="","",Deals!$Z189)</f>
        <v/>
      </c>
      <c r="H237" s="23">
        <f>IF(OR($A237="",$G237=""),"",INT((Settings!$B$19-$G237)/7))</f>
        <v/>
      </c>
      <c r="I237" s="24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MissingLevel","")&amp;IF(AND($C237="Proposal",Deals!$H189=0.5)," DefaultProbability","")&amp;IF($F237="No"," NoDates","")&amp;IF(AND(ISNUMBER($H237),$H237&gt;=Settings!$B$20)," Stale","")))</f>
        <v/>
      </c>
    </row>
    <row r="238">
      <c r="A238" s="16">
        <f>IF(Deals!$A190="","",Deals!$A190)</f>
        <v/>
      </c>
      <c r="B238" s="16">
        <f>IF($A238="","",Deals!$C190)</f>
        <v/>
      </c>
      <c r="C238" s="16">
        <f>IF($A238="","",Deals!$F190)</f>
        <v/>
      </c>
      <c r="D238" s="21">
        <f>IF($A238="","",Deals!$H190)</f>
        <v/>
      </c>
      <c r="E238" s="17">
        <f>IF($A238="","",Deals!$Q190)</f>
        <v/>
      </c>
      <c r="F238" s="16">
        <f>IF($A238="","",IF(AND(Deals!$I190&lt;&gt;"",Deals!$J190&lt;&gt;""),"Yes","No"))</f>
        <v/>
      </c>
      <c r="G238" s="22">
        <f>IF($A238="","",Deals!$Z190)</f>
        <v/>
      </c>
      <c r="H238" s="23">
        <f>IF(OR($A238="",$G238=""),"",INT((Settings!$B$19-$G238)/7))</f>
        <v/>
      </c>
      <c r="I238" s="24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MissingLevel","")&amp;IF(AND($C238="Proposal",Deals!$H190=0.5)," DefaultProbability","")&amp;IF($F238="No"," NoDates","")&amp;IF(AND(ISNUMBER($H238),$H238&gt;=Settings!$B$20)," Stale","")))</f>
        <v/>
      </c>
    </row>
    <row r="239">
      <c r="A239" s="16">
        <f>IF(Deals!$A191="","",Deals!$A191)</f>
        <v/>
      </c>
      <c r="B239" s="16">
        <f>IF($A239="","",Deals!$C191)</f>
        <v/>
      </c>
      <c r="C239" s="16">
        <f>IF($A239="","",Deals!$F191)</f>
        <v/>
      </c>
      <c r="D239" s="21">
        <f>IF($A239="","",Deals!$H191)</f>
        <v/>
      </c>
      <c r="E239" s="17">
        <f>IF($A239="","",Deals!$Q191)</f>
        <v/>
      </c>
      <c r="F239" s="16">
        <f>IF($A239="","",IF(AND(Deals!$I191&lt;&gt;"",Deals!$J191&lt;&gt;""),"Yes","No"))</f>
        <v/>
      </c>
      <c r="G239" s="22">
        <f>IF($A239="","",Deals!$Z191)</f>
        <v/>
      </c>
      <c r="H239" s="23">
        <f>IF(OR($A239="",$G239=""),"",INT((Settings!$B$19-$G239)/7))</f>
        <v/>
      </c>
      <c r="I239" s="24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MissingLevel","")&amp;IF(AND($C239="Proposal",Deals!$H191=0.5)," DefaultProbability","")&amp;IF($F239="No"," NoDates","")&amp;IF(AND(ISNUMBER($H239),$H239&gt;=Settings!$B$20)," Stale","")))</f>
        <v/>
      </c>
    </row>
    <row r="240">
      <c r="A240" s="16">
        <f>IF(Deals!$A192="","",Deals!$A192)</f>
        <v/>
      </c>
      <c r="B240" s="16">
        <f>IF($A240="","",Deals!$C192)</f>
        <v/>
      </c>
      <c r="C240" s="16">
        <f>IF($A240="","",Deals!$F192)</f>
        <v/>
      </c>
      <c r="D240" s="21">
        <f>IF($A240="","",Deals!$H192)</f>
        <v/>
      </c>
      <c r="E240" s="17">
        <f>IF($A240="","",Deals!$Q192)</f>
        <v/>
      </c>
      <c r="F240" s="16">
        <f>IF($A240="","",IF(AND(Deals!$I192&lt;&gt;"",Deals!$J192&lt;&gt;""),"Yes","No"))</f>
        <v/>
      </c>
      <c r="G240" s="22">
        <f>IF($A240="","",Deals!$Z192)</f>
        <v/>
      </c>
      <c r="H240" s="23">
        <f>IF(OR($A240="",$G240=""),"",INT((Settings!$B$19-$G240)/7))</f>
        <v/>
      </c>
      <c r="I240" s="24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MissingLevel","")&amp;IF(AND($C240="Proposal",Deals!$H192=0.5)," DefaultProbability","")&amp;IF($F240="No"," NoDates","")&amp;IF(AND(ISNUMBER($H240),$H240&gt;=Settings!$B$20)," Stale","")))</f>
        <v/>
      </c>
    </row>
    <row r="241">
      <c r="A241" s="16">
        <f>IF(Deals!$A193="","",Deals!$A193)</f>
        <v/>
      </c>
      <c r="B241" s="16">
        <f>IF($A241="","",Deals!$C193)</f>
        <v/>
      </c>
      <c r="C241" s="16">
        <f>IF($A241="","",Deals!$F193)</f>
        <v/>
      </c>
      <c r="D241" s="21">
        <f>IF($A241="","",Deals!$H193)</f>
        <v/>
      </c>
      <c r="E241" s="17">
        <f>IF($A241="","",Deals!$Q193)</f>
        <v/>
      </c>
      <c r="F241" s="16">
        <f>IF($A241="","",IF(AND(Deals!$I193&lt;&gt;"",Deals!$J193&lt;&gt;""),"Yes","No"))</f>
        <v/>
      </c>
      <c r="G241" s="22">
        <f>IF($A241="","",Deals!$Z193)</f>
        <v/>
      </c>
      <c r="H241" s="23">
        <f>IF(OR($A241="",$G241=""),"",INT((Settings!$B$19-$G241)/7))</f>
        <v/>
      </c>
      <c r="I241" s="24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MissingLevel","")&amp;IF(AND($C241="Proposal",Deals!$H193=0.5)," DefaultProbability","")&amp;IF($F241="No"," NoDates","")&amp;IF(AND(ISNUMBER($H241),$H241&gt;=Settings!$B$20)," Stale","")))</f>
        <v/>
      </c>
    </row>
    <row r="242">
      <c r="A242" s="16">
        <f>IF(Deals!$A194="","",Deals!$A194)</f>
        <v/>
      </c>
      <c r="B242" s="16">
        <f>IF($A242="","",Deals!$C194)</f>
        <v/>
      </c>
      <c r="C242" s="16">
        <f>IF($A242="","",Deals!$F194)</f>
        <v/>
      </c>
      <c r="D242" s="21">
        <f>IF($A242="","",Deals!$H194)</f>
        <v/>
      </c>
      <c r="E242" s="17">
        <f>IF($A242="","",Deals!$Q194)</f>
        <v/>
      </c>
      <c r="F242" s="16">
        <f>IF($A242="","",IF(AND(Deals!$I194&lt;&gt;"",Deals!$J194&lt;&gt;""),"Yes","No"))</f>
        <v/>
      </c>
      <c r="G242" s="22">
        <f>IF($A242="","",Deals!$Z194)</f>
        <v/>
      </c>
      <c r="H242" s="23">
        <f>IF(OR($A242="",$G242=""),"",INT((Settings!$B$19-$G242)/7))</f>
        <v/>
      </c>
      <c r="I242" s="24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MissingLevel","")&amp;IF(AND($C242="Proposal",Deals!$H194=0.5)," DefaultProbability","")&amp;IF($F242="No"," NoDates","")&amp;IF(AND(ISNUMBER($H242),$H242&gt;=Settings!$B$20)," Stale","")))</f>
        <v/>
      </c>
    </row>
    <row r="243">
      <c r="A243" s="16">
        <f>IF(Deals!$A195="","",Deals!$A195)</f>
        <v/>
      </c>
      <c r="B243" s="16">
        <f>IF($A243="","",Deals!$C195)</f>
        <v/>
      </c>
      <c r="C243" s="16">
        <f>IF($A243="","",Deals!$F195)</f>
        <v/>
      </c>
      <c r="D243" s="21">
        <f>IF($A243="","",Deals!$H195)</f>
        <v/>
      </c>
      <c r="E243" s="17">
        <f>IF($A243="","",Deals!$Q195)</f>
        <v/>
      </c>
      <c r="F243" s="16">
        <f>IF($A243="","",IF(AND(Deals!$I195&lt;&gt;"",Deals!$J195&lt;&gt;""),"Yes","No"))</f>
        <v/>
      </c>
      <c r="G243" s="22">
        <f>IF($A243="","",Deals!$Z195)</f>
        <v/>
      </c>
      <c r="H243" s="23">
        <f>IF(OR($A243="",$G243=""),"",INT((Settings!$B$19-$G243)/7))</f>
        <v/>
      </c>
      <c r="I243" s="24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MissingLevel","")&amp;IF(AND($C243="Proposal",Deals!$H195=0.5)," DefaultProbability","")&amp;IF($F243="No"," NoDates","")&amp;IF(AND(ISNUMBER($H243),$H243&gt;=Settings!$B$20)," Stale","")))</f>
        <v/>
      </c>
    </row>
    <row r="244">
      <c r="A244" s="16">
        <f>IF(Deals!$A196="","",Deals!$A196)</f>
        <v/>
      </c>
      <c r="B244" s="16">
        <f>IF($A244="","",Deals!$C196)</f>
        <v/>
      </c>
      <c r="C244" s="16">
        <f>IF($A244="","",Deals!$F196)</f>
        <v/>
      </c>
      <c r="D244" s="21">
        <f>IF($A244="","",Deals!$H196)</f>
        <v/>
      </c>
      <c r="E244" s="17">
        <f>IF($A244="","",Deals!$Q196)</f>
        <v/>
      </c>
      <c r="F244" s="16">
        <f>IF($A244="","",IF(AND(Deals!$I196&lt;&gt;"",Deals!$J196&lt;&gt;""),"Yes","No"))</f>
        <v/>
      </c>
      <c r="G244" s="22">
        <f>IF($A244="","",Deals!$Z196)</f>
        <v/>
      </c>
      <c r="H244" s="23">
        <f>IF(OR($A244="",$G244=""),"",INT((Settings!$B$19-$G244)/7))</f>
        <v/>
      </c>
      <c r="I244" s="24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MissingLevel","")&amp;IF(AND($C244="Proposal",Deals!$H196=0.5)," DefaultProbability","")&amp;IF($F244="No"," NoDates","")&amp;IF(AND(ISNUMBER($H244),$H244&gt;=Settings!$B$20)," Stale","")))</f>
        <v/>
      </c>
    </row>
    <row r="245">
      <c r="A245" s="16">
        <f>IF(Deals!$A197="","",Deals!$A197)</f>
        <v/>
      </c>
      <c r="B245" s="16">
        <f>IF($A245="","",Deals!$C197)</f>
        <v/>
      </c>
      <c r="C245" s="16">
        <f>IF($A245="","",Deals!$F197)</f>
        <v/>
      </c>
      <c r="D245" s="21">
        <f>IF($A245="","",Deals!$H197)</f>
        <v/>
      </c>
      <c r="E245" s="17">
        <f>IF($A245="","",Deals!$Q197)</f>
        <v/>
      </c>
      <c r="F245" s="16">
        <f>IF($A245="","",IF(AND(Deals!$I197&lt;&gt;"",Deals!$J197&lt;&gt;""),"Yes","No"))</f>
        <v/>
      </c>
      <c r="G245" s="22">
        <f>IF($A245="","",Deals!$Z197)</f>
        <v/>
      </c>
      <c r="H245" s="23">
        <f>IF(OR($A245="",$G245=""),"",INT((Settings!$B$19-$G245)/7))</f>
        <v/>
      </c>
      <c r="I245" s="24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MissingLevel","")&amp;IF(AND($C245="Proposal",Deals!$H197=0.5)," DefaultProbability","")&amp;IF($F245="No"," NoDates","")&amp;IF(AND(ISNUMBER($H245),$H245&gt;=Settings!$B$20)," Stale","")))</f>
        <v/>
      </c>
    </row>
    <row r="246">
      <c r="A246" s="16">
        <f>IF(Deals!$A198="","",Deals!$A198)</f>
        <v/>
      </c>
      <c r="B246" s="16">
        <f>IF($A246="","",Deals!$C198)</f>
        <v/>
      </c>
      <c r="C246" s="16">
        <f>IF($A246="","",Deals!$F198)</f>
        <v/>
      </c>
      <c r="D246" s="21">
        <f>IF($A246="","",Deals!$H198)</f>
        <v/>
      </c>
      <c r="E246" s="17">
        <f>IF($A246="","",Deals!$Q198)</f>
        <v/>
      </c>
      <c r="F246" s="16">
        <f>IF($A246="","",IF(AND(Deals!$I198&lt;&gt;"",Deals!$J198&lt;&gt;""),"Yes","No"))</f>
        <v/>
      </c>
      <c r="G246" s="22">
        <f>IF($A246="","",Deals!$Z198)</f>
        <v/>
      </c>
      <c r="H246" s="23">
        <f>IF(OR($A246="",$G246=""),"",INT((Settings!$B$19-$G246)/7))</f>
        <v/>
      </c>
      <c r="I246" s="24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MissingLevel","")&amp;IF(AND($C246="Proposal",Deals!$H198=0.5)," DefaultProbability","")&amp;IF($F246="No"," NoDates","")&amp;IF(AND(ISNUMBER($H246),$H246&gt;=Settings!$B$20)," Stale","")))</f>
        <v/>
      </c>
    </row>
    <row r="247">
      <c r="A247" s="16">
        <f>IF(Deals!$A199="","",Deals!$A199)</f>
        <v/>
      </c>
      <c r="B247" s="16">
        <f>IF($A247="","",Deals!$C199)</f>
        <v/>
      </c>
      <c r="C247" s="16">
        <f>IF($A247="","",Deals!$F199)</f>
        <v/>
      </c>
      <c r="D247" s="21">
        <f>IF($A247="","",Deals!$H199)</f>
        <v/>
      </c>
      <c r="E247" s="17">
        <f>IF($A247="","",Deals!$Q199)</f>
        <v/>
      </c>
      <c r="F247" s="16">
        <f>IF($A247="","",IF(AND(Deals!$I199&lt;&gt;"",Deals!$J199&lt;&gt;""),"Yes","No"))</f>
        <v/>
      </c>
      <c r="G247" s="22">
        <f>IF($A247="","",Deals!$Z199)</f>
        <v/>
      </c>
      <c r="H247" s="23">
        <f>IF(OR($A247="",$G247=""),"",INT((Settings!$B$19-$G247)/7))</f>
        <v/>
      </c>
      <c r="I247" s="24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MissingLevel","")&amp;IF(AND($C247="Proposal",Deals!$H199=0.5)," DefaultProbability","")&amp;IF($F247="No"," NoDates","")&amp;IF(AND(ISNUMBER($H247),$H247&gt;=Settings!$B$20)," Stale","")))</f>
        <v/>
      </c>
    </row>
    <row r="248">
      <c r="A248" s="16">
        <f>IF(Deals!$A200="","",Deals!$A200)</f>
        <v/>
      </c>
      <c r="B248" s="16">
        <f>IF($A248="","",Deals!$C200)</f>
        <v/>
      </c>
      <c r="C248" s="16">
        <f>IF($A248="","",Deals!$F200)</f>
        <v/>
      </c>
      <c r="D248" s="21">
        <f>IF($A248="","",Deals!$H200)</f>
        <v/>
      </c>
      <c r="E248" s="17">
        <f>IF($A248="","",Deals!$Q200)</f>
        <v/>
      </c>
      <c r="F248" s="16">
        <f>IF($A248="","",IF(AND(Deals!$I200&lt;&gt;"",Deals!$J200&lt;&gt;""),"Yes","No"))</f>
        <v/>
      </c>
      <c r="G248" s="22">
        <f>IF($A248="","",Deals!$Z200)</f>
        <v/>
      </c>
      <c r="H248" s="23">
        <f>IF(OR($A248="",$G248=""),"",INT((Settings!$B$19-$G248)/7))</f>
        <v/>
      </c>
      <c r="I248" s="24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MissingLevel","")&amp;IF(AND($C248="Proposal",Deals!$H200=0.5)," DefaultProbability","")&amp;IF($F248="No"," NoDates","")&amp;IF(AND(ISNUMBER($H248),$H248&gt;=Settings!$B$20)," Stale","")))</f>
        <v/>
      </c>
    </row>
    <row r="249">
      <c r="A249" s="16">
        <f>IF(Deals!$A201="","",Deals!$A201)</f>
        <v/>
      </c>
      <c r="B249" s="16">
        <f>IF($A249="","",Deals!$C201)</f>
        <v/>
      </c>
      <c r="C249" s="16">
        <f>IF($A249="","",Deals!$F201)</f>
        <v/>
      </c>
      <c r="D249" s="21">
        <f>IF($A249="","",Deals!$H201)</f>
        <v/>
      </c>
      <c r="E249" s="17">
        <f>IF($A249="","",Deals!$Q201)</f>
        <v/>
      </c>
      <c r="F249" s="16">
        <f>IF($A249="","",IF(AND(Deals!$I201&lt;&gt;"",Deals!$J201&lt;&gt;""),"Yes","No"))</f>
        <v/>
      </c>
      <c r="G249" s="22">
        <f>IF($A249="","",Deals!$Z201)</f>
        <v/>
      </c>
      <c r="H249" s="23">
        <f>IF(OR($A249="",$G249=""),"",INT((Settings!$B$19-$G249)/7))</f>
        <v/>
      </c>
      <c r="I249" s="24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MissingLevel","")&amp;IF(AND($C249="Proposal",Deals!$H201=0.5)," DefaultProbability","")&amp;IF($F249="No"," NoDates","")&amp;IF(AND(ISNUMBER($H249),$H249&gt;=Settings!$B$20)," Stale","")))</f>
        <v/>
      </c>
    </row>
    <row r="250">
      <c r="A250" s="16">
        <f>IF(Deals!$A202="","",Deals!$A202)</f>
        <v/>
      </c>
      <c r="B250" s="16">
        <f>IF($A250="","",Deals!$C202)</f>
        <v/>
      </c>
      <c r="C250" s="16">
        <f>IF($A250="","",Deals!$F202)</f>
        <v/>
      </c>
      <c r="D250" s="21">
        <f>IF($A250="","",Deals!$H202)</f>
        <v/>
      </c>
      <c r="E250" s="17">
        <f>IF($A250="","",Deals!$Q202)</f>
        <v/>
      </c>
      <c r="F250" s="16">
        <f>IF($A250="","",IF(AND(Deals!$I202&lt;&gt;"",Deals!$J202&lt;&gt;""),"Yes","No"))</f>
        <v/>
      </c>
      <c r="G250" s="22">
        <f>IF($A250="","",Deals!$Z202)</f>
        <v/>
      </c>
      <c r="H250" s="23">
        <f>IF(OR($A250="",$G250=""),"",INT((Settings!$B$19-$G250)/7))</f>
        <v/>
      </c>
      <c r="I250" s="24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MissingLevel","")&amp;IF(AND($C250="Proposal",Deals!$H202=0.5)," DefaultProbability","")&amp;IF($F250="No"," NoDates","")&amp;IF(AND(ISNUMBER($H250),$H250&gt;=Settings!$B$20)," Stale","")))</f>
        <v/>
      </c>
    </row>
    <row r="251">
      <c r="A251" s="16">
        <f>IF(Deals!$A203="","",Deals!$A203)</f>
        <v/>
      </c>
      <c r="B251" s="16">
        <f>IF($A251="","",Deals!$C203)</f>
        <v/>
      </c>
      <c r="C251" s="16">
        <f>IF($A251="","",Deals!$F203)</f>
        <v/>
      </c>
      <c r="D251" s="21">
        <f>IF($A251="","",Deals!$H203)</f>
        <v/>
      </c>
      <c r="E251" s="17">
        <f>IF($A251="","",Deals!$Q203)</f>
        <v/>
      </c>
      <c r="F251" s="16">
        <f>IF($A251="","",IF(AND(Deals!$I203&lt;&gt;"",Deals!$J203&lt;&gt;""),"Yes","No"))</f>
        <v/>
      </c>
      <c r="G251" s="22">
        <f>IF($A251="","",Deals!$Z203)</f>
        <v/>
      </c>
      <c r="H251" s="23">
        <f>IF(OR($A251="",$G251=""),"",INT((Settings!$B$19-$G251)/7))</f>
        <v/>
      </c>
      <c r="I251" s="24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MissingLevel","")&amp;IF(AND($C251="Proposal",Deals!$H203=0.5)," DefaultProbability","")&amp;IF($F251="No"," NoDates","")&amp;IF(AND(ISNUMBER($H251),$H251&gt;=Settings!$B$20)," Stale","")))</f>
        <v/>
      </c>
    </row>
    <row r="252">
      <c r="A252" s="16">
        <f>IF(Deals!$A204="","",Deals!$A204)</f>
        <v/>
      </c>
      <c r="B252" s="16">
        <f>IF($A252="","",Deals!$C204)</f>
        <v/>
      </c>
      <c r="C252" s="16">
        <f>IF($A252="","",Deals!$F204)</f>
        <v/>
      </c>
      <c r="D252" s="21">
        <f>IF($A252="","",Deals!$H204)</f>
        <v/>
      </c>
      <c r="E252" s="17">
        <f>IF($A252="","",Deals!$Q204)</f>
        <v/>
      </c>
      <c r="F252" s="16">
        <f>IF($A252="","",IF(AND(Deals!$I204&lt;&gt;"",Deals!$J204&lt;&gt;""),"Yes","No"))</f>
        <v/>
      </c>
      <c r="G252" s="22">
        <f>IF($A252="","",Deals!$Z204)</f>
        <v/>
      </c>
      <c r="H252" s="23">
        <f>IF(OR($A252="",$G252=""),"",INT((Settings!$B$19-$G252)/7))</f>
        <v/>
      </c>
      <c r="I252" s="24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MissingLevel","")&amp;IF(AND($C252="Proposal",Deals!$H204=0.5)," DefaultProbability","")&amp;IF($F252="No"," NoDates","")&amp;IF(AND(ISNUMBER($H252),$H252&gt;=Settings!$B$20)," Stale","")))</f>
        <v/>
      </c>
    </row>
    <row r="253">
      <c r="A253" s="16">
        <f>IF(Deals!$A205="","",Deals!$A205)</f>
        <v/>
      </c>
      <c r="B253" s="16">
        <f>IF($A253="","",Deals!$C205)</f>
        <v/>
      </c>
      <c r="C253" s="16">
        <f>IF($A253="","",Deals!$F205)</f>
        <v/>
      </c>
      <c r="D253" s="21">
        <f>IF($A253="","",Deals!$H205)</f>
        <v/>
      </c>
      <c r="E253" s="17">
        <f>IF($A253="","",Deals!$Q205)</f>
        <v/>
      </c>
      <c r="F253" s="16">
        <f>IF($A253="","",IF(AND(Deals!$I205&lt;&gt;"",Deals!$J205&lt;&gt;""),"Yes","No"))</f>
        <v/>
      </c>
      <c r="G253" s="22">
        <f>IF($A253="","",Deals!$Z205)</f>
        <v/>
      </c>
      <c r="H253" s="23">
        <f>IF(OR($A253="",$G253=""),"",INT((Settings!$B$19-$G253)/7))</f>
        <v/>
      </c>
      <c r="I253" s="24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MissingLevel","")&amp;IF(AND($C253="Proposal",Deals!$H205=0.5)," DefaultProbability","")&amp;IF($F253="No"," NoDates","")&amp;IF(AND(ISNUMBER($H253),$H253&gt;=Settings!$B$20)," Stale","")))</f>
        <v/>
      </c>
    </row>
    <row r="254">
      <c r="A254" s="16">
        <f>IF(Deals!$A206="","",Deals!$A206)</f>
        <v/>
      </c>
      <c r="B254" s="16">
        <f>IF($A254="","",Deals!$C206)</f>
        <v/>
      </c>
      <c r="C254" s="16">
        <f>IF($A254="","",Deals!$F206)</f>
        <v/>
      </c>
      <c r="D254" s="21">
        <f>IF($A254="","",Deals!$H206)</f>
        <v/>
      </c>
      <c r="E254" s="17">
        <f>IF($A254="","",Deals!$Q206)</f>
        <v/>
      </c>
      <c r="F254" s="16">
        <f>IF($A254="","",IF(AND(Deals!$I206&lt;&gt;"",Deals!$J206&lt;&gt;""),"Yes","No"))</f>
        <v/>
      </c>
      <c r="G254" s="22">
        <f>IF($A254="","",Deals!$Z206)</f>
        <v/>
      </c>
      <c r="H254" s="23">
        <f>IF(OR($A254="",$G254=""),"",INT((Settings!$B$19-$G254)/7))</f>
        <v/>
      </c>
      <c r="I254" s="24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MissingLevel","")&amp;IF(AND($C254="Proposal",Deals!$H206=0.5)," DefaultProbability","")&amp;IF($F254="No"," NoDates","")&amp;IF(AND(ISNUMBER($H254),$H254&gt;=Settings!$B$20)," Stale","")))</f>
        <v/>
      </c>
    </row>
    <row r="255">
      <c r="A255" s="16">
        <f>IF(Deals!$A207="","",Deals!$A207)</f>
        <v/>
      </c>
      <c r="B255" s="16">
        <f>IF($A255="","",Deals!$C207)</f>
        <v/>
      </c>
      <c r="C255" s="16">
        <f>IF($A255="","",Deals!$F207)</f>
        <v/>
      </c>
      <c r="D255" s="21">
        <f>IF($A255="","",Deals!$H207)</f>
        <v/>
      </c>
      <c r="E255" s="17">
        <f>IF($A255="","",Deals!$Q207)</f>
        <v/>
      </c>
      <c r="F255" s="16">
        <f>IF($A255="","",IF(AND(Deals!$I207&lt;&gt;"",Deals!$J207&lt;&gt;""),"Yes","No"))</f>
        <v/>
      </c>
      <c r="G255" s="22">
        <f>IF($A255="","",Deals!$Z207)</f>
        <v/>
      </c>
      <c r="H255" s="23">
        <f>IF(OR($A255="",$G255=""),"",INT((Settings!$B$19-$G255)/7))</f>
        <v/>
      </c>
      <c r="I255" s="24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MissingLevel","")&amp;IF(AND($C255="Proposal",Deals!$H207=0.5)," DefaultProbability","")&amp;IF($F255="No"," NoDates","")&amp;IF(AND(ISNUMBER($H255),$H255&gt;=Settings!$B$20)," Stale","")))</f>
        <v/>
      </c>
    </row>
    <row r="256">
      <c r="A256" s="16">
        <f>IF(Deals!$A208="","",Deals!$A208)</f>
        <v/>
      </c>
      <c r="B256" s="16">
        <f>IF($A256="","",Deals!$C208)</f>
        <v/>
      </c>
      <c r="C256" s="16">
        <f>IF($A256="","",Deals!$F208)</f>
        <v/>
      </c>
      <c r="D256" s="21">
        <f>IF($A256="","",Deals!$H208)</f>
        <v/>
      </c>
      <c r="E256" s="17">
        <f>IF($A256="","",Deals!$Q208)</f>
        <v/>
      </c>
      <c r="F256" s="16">
        <f>IF($A256="","",IF(AND(Deals!$I208&lt;&gt;"",Deals!$J208&lt;&gt;""),"Yes","No"))</f>
        <v/>
      </c>
      <c r="G256" s="22">
        <f>IF($A256="","",Deals!$Z208)</f>
        <v/>
      </c>
      <c r="H256" s="23">
        <f>IF(OR($A256="",$G256=""),"",INT((Settings!$B$19-$G256)/7))</f>
        <v/>
      </c>
      <c r="I256" s="24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MissingLevel","")&amp;IF(AND($C256="Proposal",Deals!$H208=0.5)," DefaultProbability","")&amp;IF($F256="No"," NoDates","")&amp;IF(AND(ISNUMBER($H256),$H256&gt;=Settings!$B$20)," Stale","")))</f>
        <v/>
      </c>
    </row>
    <row r="257">
      <c r="A257" s="16">
        <f>IF(Deals!$A209="","",Deals!$A209)</f>
        <v/>
      </c>
      <c r="B257" s="16">
        <f>IF($A257="","",Deals!$C209)</f>
        <v/>
      </c>
      <c r="C257" s="16">
        <f>IF($A257="","",Deals!$F209)</f>
        <v/>
      </c>
      <c r="D257" s="21">
        <f>IF($A257="","",Deals!$H209)</f>
        <v/>
      </c>
      <c r="E257" s="17">
        <f>IF($A257="","",Deals!$Q209)</f>
        <v/>
      </c>
      <c r="F257" s="16">
        <f>IF($A257="","",IF(AND(Deals!$I209&lt;&gt;"",Deals!$J209&lt;&gt;""),"Yes","No"))</f>
        <v/>
      </c>
      <c r="G257" s="22">
        <f>IF($A257="","",Deals!$Z209)</f>
        <v/>
      </c>
      <c r="H257" s="23">
        <f>IF(OR($A257="",$G257=""),"",INT((Settings!$B$19-$G257)/7))</f>
        <v/>
      </c>
      <c r="I257" s="24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MissingLevel","")&amp;IF(AND($C257="Proposal",Deals!$H209=0.5)," DefaultProbability","")&amp;IF($F257="No"," NoDates","")&amp;IF(AND(ISNUMBER($H257),$H257&gt;=Settings!$B$20)," Stale","")))</f>
        <v/>
      </c>
    </row>
    <row r="258">
      <c r="A258" s="16">
        <f>IF(Deals!$A210="","",Deals!$A210)</f>
        <v/>
      </c>
      <c r="B258" s="16">
        <f>IF($A258="","",Deals!$C210)</f>
        <v/>
      </c>
      <c r="C258" s="16">
        <f>IF($A258="","",Deals!$F210)</f>
        <v/>
      </c>
      <c r="D258" s="21">
        <f>IF($A258="","",Deals!$H210)</f>
        <v/>
      </c>
      <c r="E258" s="17">
        <f>IF($A258="","",Deals!$Q210)</f>
        <v/>
      </c>
      <c r="F258" s="16">
        <f>IF($A258="","",IF(AND(Deals!$I210&lt;&gt;"",Deals!$J210&lt;&gt;""),"Yes","No"))</f>
        <v/>
      </c>
      <c r="G258" s="22">
        <f>IF($A258="","",Deals!$Z210)</f>
        <v/>
      </c>
      <c r="H258" s="23">
        <f>IF(OR($A258="",$G258=""),"",INT((Settings!$B$19-$G258)/7))</f>
        <v/>
      </c>
      <c r="I258" s="24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MissingLevel","")&amp;IF(AND($C258="Proposal",Deals!$H210=0.5)," DefaultProbability","")&amp;IF($F258="No"," NoDates","")&amp;IF(AND(ISNUMBER($H258),$H258&gt;=Settings!$B$20)," Stale","")))</f>
        <v/>
      </c>
    </row>
    <row r="259">
      <c r="A259" s="16">
        <f>IF(Deals!$A211="","",Deals!$A211)</f>
        <v/>
      </c>
      <c r="B259" s="16">
        <f>IF($A259="","",Deals!$C211)</f>
        <v/>
      </c>
      <c r="C259" s="16">
        <f>IF($A259="","",Deals!$F211)</f>
        <v/>
      </c>
      <c r="D259" s="21">
        <f>IF($A259="","",Deals!$H211)</f>
        <v/>
      </c>
      <c r="E259" s="17">
        <f>IF($A259="","",Deals!$Q211)</f>
        <v/>
      </c>
      <c r="F259" s="16">
        <f>IF($A259="","",IF(AND(Deals!$I211&lt;&gt;"",Deals!$J211&lt;&gt;""),"Yes","No"))</f>
        <v/>
      </c>
      <c r="G259" s="22">
        <f>IF($A259="","",Deals!$Z211)</f>
        <v/>
      </c>
      <c r="H259" s="23">
        <f>IF(OR($A259="",$G259=""),"",INT((Settings!$B$19-$G259)/7))</f>
        <v/>
      </c>
      <c r="I259" s="24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MissingLevel","")&amp;IF(AND($C259="Proposal",Deals!$H211=0.5)," DefaultProbability","")&amp;IF($F259="No"," NoDates","")&amp;IF(AND(ISNUMBER($H259),$H259&gt;=Settings!$B$20)," Stale","")))</f>
        <v/>
      </c>
    </row>
    <row r="260">
      <c r="A260" s="16">
        <f>IF(Deals!$A212="","",Deals!$A212)</f>
        <v/>
      </c>
      <c r="B260" s="16">
        <f>IF($A260="","",Deals!$C212)</f>
        <v/>
      </c>
      <c r="C260" s="16">
        <f>IF($A260="","",Deals!$F212)</f>
        <v/>
      </c>
      <c r="D260" s="21">
        <f>IF($A260="","",Deals!$H212)</f>
        <v/>
      </c>
      <c r="E260" s="17">
        <f>IF($A260="","",Deals!$Q212)</f>
        <v/>
      </c>
      <c r="F260" s="16">
        <f>IF($A260="","",IF(AND(Deals!$I212&lt;&gt;"",Deals!$J212&lt;&gt;""),"Yes","No"))</f>
        <v/>
      </c>
      <c r="G260" s="22">
        <f>IF($A260="","",Deals!$Z212)</f>
        <v/>
      </c>
      <c r="H260" s="23">
        <f>IF(OR($A260="",$G260=""),"",INT((Settings!$B$19-$G260)/7))</f>
        <v/>
      </c>
      <c r="I260" s="24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MissingLevel","")&amp;IF(AND($C260="Proposal",Deals!$H212=0.5)," DefaultProbability","")&amp;IF($F260="No"," NoDates","")&amp;IF(AND(ISNUMBER($H260),$H260&gt;=Settings!$B$20)," Stale","")))</f>
        <v/>
      </c>
    </row>
    <row r="261">
      <c r="A261" s="16">
        <f>IF(Deals!$A213="","",Deals!$A213)</f>
        <v/>
      </c>
      <c r="B261" s="16">
        <f>IF($A261="","",Deals!$C213)</f>
        <v/>
      </c>
      <c r="C261" s="16">
        <f>IF($A261="","",Deals!$F213)</f>
        <v/>
      </c>
      <c r="D261" s="21">
        <f>IF($A261="","",Deals!$H213)</f>
        <v/>
      </c>
      <c r="E261" s="17">
        <f>IF($A261="","",Deals!$Q213)</f>
        <v/>
      </c>
      <c r="F261" s="16">
        <f>IF($A261="","",IF(AND(Deals!$I213&lt;&gt;"",Deals!$J213&lt;&gt;""),"Yes","No"))</f>
        <v/>
      </c>
      <c r="G261" s="22">
        <f>IF($A261="","",Deals!$Z213)</f>
        <v/>
      </c>
      <c r="H261" s="23">
        <f>IF(OR($A261="",$G261=""),"",INT((Settings!$B$19-$G261)/7))</f>
        <v/>
      </c>
      <c r="I261" s="24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MissingLevel","")&amp;IF(AND($C261="Proposal",Deals!$H213=0.5)," DefaultProbability","")&amp;IF($F261="No"," NoDates","")&amp;IF(AND(ISNUMBER($H261),$H261&gt;=Settings!$B$20)," Stale","")))</f>
        <v/>
      </c>
    </row>
    <row r="262">
      <c r="A262" s="16">
        <f>IF(Deals!$A214="","",Deals!$A214)</f>
        <v/>
      </c>
      <c r="B262" s="16">
        <f>IF($A262="","",Deals!$C214)</f>
        <v/>
      </c>
      <c r="C262" s="16">
        <f>IF($A262="","",Deals!$F214)</f>
        <v/>
      </c>
      <c r="D262" s="21">
        <f>IF($A262="","",Deals!$H214)</f>
        <v/>
      </c>
      <c r="E262" s="17">
        <f>IF($A262="","",Deals!$Q214)</f>
        <v/>
      </c>
      <c r="F262" s="16">
        <f>IF($A262="","",IF(AND(Deals!$I214&lt;&gt;"",Deals!$J214&lt;&gt;""),"Yes","No"))</f>
        <v/>
      </c>
      <c r="G262" s="22">
        <f>IF($A262="","",Deals!$Z214)</f>
        <v/>
      </c>
      <c r="H262" s="23">
        <f>IF(OR($A262="",$G262=""),"",INT((Settings!$B$19-$G262)/7))</f>
        <v/>
      </c>
      <c r="I262" s="24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MissingLevel","")&amp;IF(AND($C262="Proposal",Deals!$H214=0.5)," DefaultProbability","")&amp;IF($F262="No"," NoDates","")&amp;IF(AND(ISNUMBER($H262),$H262&gt;=Settings!$B$20)," Stale","")))</f>
        <v/>
      </c>
    </row>
    <row r="263">
      <c r="A263" s="16">
        <f>IF(Deals!$A215="","",Deals!$A215)</f>
        <v/>
      </c>
      <c r="B263" s="16">
        <f>IF($A263="","",Deals!$C215)</f>
        <v/>
      </c>
      <c r="C263" s="16">
        <f>IF($A263="","",Deals!$F215)</f>
        <v/>
      </c>
      <c r="D263" s="21">
        <f>IF($A263="","",Deals!$H215)</f>
        <v/>
      </c>
      <c r="E263" s="17">
        <f>IF($A263="","",Deals!$Q215)</f>
        <v/>
      </c>
      <c r="F263" s="16">
        <f>IF($A263="","",IF(AND(Deals!$I215&lt;&gt;"",Deals!$J215&lt;&gt;""),"Yes","No"))</f>
        <v/>
      </c>
      <c r="G263" s="22">
        <f>IF($A263="","",Deals!$Z215)</f>
        <v/>
      </c>
      <c r="H263" s="23">
        <f>IF(OR($A263="",$G263=""),"",INT((Settings!$B$19-$G263)/7))</f>
        <v/>
      </c>
      <c r="I263" s="24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MissingLevel","")&amp;IF(AND($C263="Proposal",Deals!$H215=0.5)," DefaultProbability","")&amp;IF($F263="No"," NoDates","")&amp;IF(AND(ISNUMBER($H263),$H263&gt;=Settings!$B$20)," Stale","")))</f>
        <v/>
      </c>
    </row>
    <row r="264">
      <c r="A264" s="16">
        <f>IF(Deals!$A216="","",Deals!$A216)</f>
        <v/>
      </c>
      <c r="B264" s="16">
        <f>IF($A264="","",Deals!$C216)</f>
        <v/>
      </c>
      <c r="C264" s="16">
        <f>IF($A264="","",Deals!$F216)</f>
        <v/>
      </c>
      <c r="D264" s="21">
        <f>IF($A264="","",Deals!$H216)</f>
        <v/>
      </c>
      <c r="E264" s="17">
        <f>IF($A264="","",Deals!$Q216)</f>
        <v/>
      </c>
      <c r="F264" s="16">
        <f>IF($A264="","",IF(AND(Deals!$I216&lt;&gt;"",Deals!$J216&lt;&gt;""),"Yes","No"))</f>
        <v/>
      </c>
      <c r="G264" s="22">
        <f>IF($A264="","",Deals!$Z216)</f>
        <v/>
      </c>
      <c r="H264" s="23">
        <f>IF(OR($A264="",$G264=""),"",INT((Settings!$B$19-$G264)/7))</f>
        <v/>
      </c>
      <c r="I264" s="24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MissingLevel","")&amp;IF(AND($C264="Proposal",Deals!$H216=0.5)," DefaultProbability","")&amp;IF($F264="No"," NoDates","")&amp;IF(AND(ISNUMBER($H264),$H264&gt;=Settings!$B$20)," Stale","")))</f>
        <v/>
      </c>
    </row>
    <row r="265">
      <c r="A265" s="16">
        <f>IF(Deals!$A217="","",Deals!$A217)</f>
        <v/>
      </c>
      <c r="B265" s="16">
        <f>IF($A265="","",Deals!$C217)</f>
        <v/>
      </c>
      <c r="C265" s="16">
        <f>IF($A265="","",Deals!$F217)</f>
        <v/>
      </c>
      <c r="D265" s="21">
        <f>IF($A265="","",Deals!$H217)</f>
        <v/>
      </c>
      <c r="E265" s="17">
        <f>IF($A265="","",Deals!$Q217)</f>
        <v/>
      </c>
      <c r="F265" s="16">
        <f>IF($A265="","",IF(AND(Deals!$I217&lt;&gt;"",Deals!$J217&lt;&gt;""),"Yes","No"))</f>
        <v/>
      </c>
      <c r="G265" s="22">
        <f>IF($A265="","",Deals!$Z217)</f>
        <v/>
      </c>
      <c r="H265" s="23">
        <f>IF(OR($A265="",$G265=""),"",INT((Settings!$B$19-$G265)/7))</f>
        <v/>
      </c>
      <c r="I265" s="24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MissingLevel","")&amp;IF(AND($C265="Proposal",Deals!$H217=0.5)," DefaultProbability","")&amp;IF($F265="No"," NoDates","")&amp;IF(AND(ISNUMBER($H265),$H265&gt;=Settings!$B$20)," Stale","")))</f>
        <v/>
      </c>
    </row>
    <row r="266">
      <c r="A266" s="16">
        <f>IF(Deals!$A218="","",Deals!$A218)</f>
        <v/>
      </c>
      <c r="B266" s="16">
        <f>IF($A266="","",Deals!$C218)</f>
        <v/>
      </c>
      <c r="C266" s="16">
        <f>IF($A266="","",Deals!$F218)</f>
        <v/>
      </c>
      <c r="D266" s="21">
        <f>IF($A266="","",Deals!$H218)</f>
        <v/>
      </c>
      <c r="E266" s="17">
        <f>IF($A266="","",Deals!$Q218)</f>
        <v/>
      </c>
      <c r="F266" s="16">
        <f>IF($A266="","",IF(AND(Deals!$I218&lt;&gt;"",Deals!$J218&lt;&gt;""),"Yes","No"))</f>
        <v/>
      </c>
      <c r="G266" s="22">
        <f>IF($A266="","",Deals!$Z218)</f>
        <v/>
      </c>
      <c r="H266" s="23">
        <f>IF(OR($A266="",$G266=""),"",INT((Settings!$B$19-$G266)/7))</f>
        <v/>
      </c>
      <c r="I266" s="24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MissingLevel","")&amp;IF(AND($C266="Proposal",Deals!$H218=0.5)," DefaultProbability","")&amp;IF($F266="No"," NoDates","")&amp;IF(AND(ISNUMBER($H266),$H266&gt;=Settings!$B$20)," Stale","")))</f>
        <v/>
      </c>
    </row>
    <row r="267">
      <c r="A267" s="16">
        <f>IF(Deals!$A219="","",Deals!$A219)</f>
        <v/>
      </c>
      <c r="B267" s="16">
        <f>IF($A267="","",Deals!$C219)</f>
        <v/>
      </c>
      <c r="C267" s="16">
        <f>IF($A267="","",Deals!$F219)</f>
        <v/>
      </c>
      <c r="D267" s="21">
        <f>IF($A267="","",Deals!$H219)</f>
        <v/>
      </c>
      <c r="E267" s="17">
        <f>IF($A267="","",Deals!$Q219)</f>
        <v/>
      </c>
      <c r="F267" s="16">
        <f>IF($A267="","",IF(AND(Deals!$I219&lt;&gt;"",Deals!$J219&lt;&gt;""),"Yes","No"))</f>
        <v/>
      </c>
      <c r="G267" s="22">
        <f>IF($A267="","",Deals!$Z219)</f>
        <v/>
      </c>
      <c r="H267" s="23">
        <f>IF(OR($A267="",$G267=""),"",INT((Settings!$B$19-$G267)/7))</f>
        <v/>
      </c>
      <c r="I267" s="24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MissingLevel","")&amp;IF(AND($C267="Proposal",Deals!$H219=0.5)," DefaultProbability","")&amp;IF($F267="No"," NoDates","")&amp;IF(AND(ISNUMBER($H267),$H267&gt;=Settings!$B$20)," Stale","")))</f>
        <v/>
      </c>
    </row>
    <row r="268">
      <c r="A268" s="16">
        <f>IF(Deals!$A220="","",Deals!$A220)</f>
        <v/>
      </c>
      <c r="B268" s="16">
        <f>IF($A268="","",Deals!$C220)</f>
        <v/>
      </c>
      <c r="C268" s="16">
        <f>IF($A268="","",Deals!$F220)</f>
        <v/>
      </c>
      <c r="D268" s="21">
        <f>IF($A268="","",Deals!$H220)</f>
        <v/>
      </c>
      <c r="E268" s="17">
        <f>IF($A268="","",Deals!$Q220)</f>
        <v/>
      </c>
      <c r="F268" s="16">
        <f>IF($A268="","",IF(AND(Deals!$I220&lt;&gt;"",Deals!$J220&lt;&gt;""),"Yes","No"))</f>
        <v/>
      </c>
      <c r="G268" s="22">
        <f>IF($A268="","",Deals!$Z220)</f>
        <v/>
      </c>
      <c r="H268" s="23">
        <f>IF(OR($A268="",$G268=""),"",INT((Settings!$B$19-$G268)/7))</f>
        <v/>
      </c>
      <c r="I268" s="24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MissingLevel","")&amp;IF(AND($C268="Proposal",Deals!$H220=0.5)," DefaultProbability","")&amp;IF($F268="No"," NoDates","")&amp;IF(AND(ISNUMBER($H268),$H268&gt;=Settings!$B$20)," Stale","")))</f>
        <v/>
      </c>
    </row>
    <row r="269">
      <c r="A269" s="16">
        <f>IF(Deals!$A221="","",Deals!$A221)</f>
        <v/>
      </c>
      <c r="B269" s="16">
        <f>IF($A269="","",Deals!$C221)</f>
        <v/>
      </c>
      <c r="C269" s="16">
        <f>IF($A269="","",Deals!$F221)</f>
        <v/>
      </c>
      <c r="D269" s="21">
        <f>IF($A269="","",Deals!$H221)</f>
        <v/>
      </c>
      <c r="E269" s="17">
        <f>IF($A269="","",Deals!$Q221)</f>
        <v/>
      </c>
      <c r="F269" s="16">
        <f>IF($A269="","",IF(AND(Deals!$I221&lt;&gt;"",Deals!$J221&lt;&gt;""),"Yes","No"))</f>
        <v/>
      </c>
      <c r="G269" s="22">
        <f>IF($A269="","",Deals!$Z221)</f>
        <v/>
      </c>
      <c r="H269" s="23">
        <f>IF(OR($A269="",$G269=""),"",INT((Settings!$B$19-$G269)/7))</f>
        <v/>
      </c>
      <c r="I269" s="24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MissingLevel","")&amp;IF(AND($C269="Proposal",Deals!$H221=0.5)," DefaultProbability","")&amp;IF($F269="No"," NoDates","")&amp;IF(AND(ISNUMBER($H269),$H269&gt;=Settings!$B$20)," Stale","")))</f>
        <v/>
      </c>
    </row>
    <row r="270">
      <c r="A270" s="16">
        <f>IF(Deals!$A222="","",Deals!$A222)</f>
        <v/>
      </c>
      <c r="B270" s="16">
        <f>IF($A270="","",Deals!$C222)</f>
        <v/>
      </c>
      <c r="C270" s="16">
        <f>IF($A270="","",Deals!$F222)</f>
        <v/>
      </c>
      <c r="D270" s="21">
        <f>IF($A270="","",Deals!$H222)</f>
        <v/>
      </c>
      <c r="E270" s="17">
        <f>IF($A270="","",Deals!$Q222)</f>
        <v/>
      </c>
      <c r="F270" s="16">
        <f>IF($A270="","",IF(AND(Deals!$I222&lt;&gt;"",Deals!$J222&lt;&gt;""),"Yes","No"))</f>
        <v/>
      </c>
      <c r="G270" s="22">
        <f>IF($A270="","",Deals!$Z222)</f>
        <v/>
      </c>
      <c r="H270" s="23">
        <f>IF(OR($A270="",$G270=""),"",INT((Settings!$B$19-$G270)/7))</f>
        <v/>
      </c>
      <c r="I270" s="24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MissingLevel","")&amp;IF(AND($C270="Proposal",Deals!$H222=0.5)," DefaultProbability","")&amp;IF($F270="No"," NoDates","")&amp;IF(AND(ISNUMBER($H270),$H270&gt;=Settings!$B$20)," Stale","")))</f>
        <v/>
      </c>
    </row>
    <row r="271">
      <c r="A271" s="16">
        <f>IF(Deals!$A223="","",Deals!$A223)</f>
        <v/>
      </c>
      <c r="B271" s="16">
        <f>IF($A271="","",Deals!$C223)</f>
        <v/>
      </c>
      <c r="C271" s="16">
        <f>IF($A271="","",Deals!$F223)</f>
        <v/>
      </c>
      <c r="D271" s="21">
        <f>IF($A271="","",Deals!$H223)</f>
        <v/>
      </c>
      <c r="E271" s="17">
        <f>IF($A271="","",Deals!$Q223)</f>
        <v/>
      </c>
      <c r="F271" s="16">
        <f>IF($A271="","",IF(AND(Deals!$I223&lt;&gt;"",Deals!$J223&lt;&gt;""),"Yes","No"))</f>
        <v/>
      </c>
      <c r="G271" s="22">
        <f>IF($A271="","",Deals!$Z223)</f>
        <v/>
      </c>
      <c r="H271" s="23">
        <f>IF(OR($A271="",$G271=""),"",INT((Settings!$B$19-$G271)/7))</f>
        <v/>
      </c>
      <c r="I271" s="24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MissingLevel","")&amp;IF(AND($C271="Proposal",Deals!$H223=0.5)," DefaultProbability","")&amp;IF($F271="No"," NoDates","")&amp;IF(AND(ISNUMBER($H271),$H271&gt;=Settings!$B$20)," Stale","")))</f>
        <v/>
      </c>
    </row>
    <row r="272">
      <c r="A272" s="16">
        <f>IF(Deals!$A224="","",Deals!$A224)</f>
        <v/>
      </c>
      <c r="B272" s="16">
        <f>IF($A272="","",Deals!$C224)</f>
        <v/>
      </c>
      <c r="C272" s="16">
        <f>IF($A272="","",Deals!$F224)</f>
        <v/>
      </c>
      <c r="D272" s="21">
        <f>IF($A272="","",Deals!$H224)</f>
        <v/>
      </c>
      <c r="E272" s="17">
        <f>IF($A272="","",Deals!$Q224)</f>
        <v/>
      </c>
      <c r="F272" s="16">
        <f>IF($A272="","",IF(AND(Deals!$I224&lt;&gt;"",Deals!$J224&lt;&gt;""),"Yes","No"))</f>
        <v/>
      </c>
      <c r="G272" s="22">
        <f>IF($A272="","",Deals!$Z224)</f>
        <v/>
      </c>
      <c r="H272" s="23">
        <f>IF(OR($A272="",$G272=""),"",INT((Settings!$B$19-$G272)/7))</f>
        <v/>
      </c>
      <c r="I272" s="24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MissingLevel","")&amp;IF(AND($C272="Proposal",Deals!$H224=0.5)," DefaultProbability","")&amp;IF($F272="No"," NoDates","")&amp;IF(AND(ISNUMBER($H272),$H272&gt;=Settings!$B$20)," Stale","")))</f>
        <v/>
      </c>
    </row>
    <row r="273">
      <c r="A273" s="16">
        <f>IF(Deals!$A225="","",Deals!$A225)</f>
        <v/>
      </c>
      <c r="B273" s="16">
        <f>IF($A273="","",Deals!$C225)</f>
        <v/>
      </c>
      <c r="C273" s="16">
        <f>IF($A273="","",Deals!$F225)</f>
        <v/>
      </c>
      <c r="D273" s="21">
        <f>IF($A273="","",Deals!$H225)</f>
        <v/>
      </c>
      <c r="E273" s="17">
        <f>IF($A273="","",Deals!$Q225)</f>
        <v/>
      </c>
      <c r="F273" s="16">
        <f>IF($A273="","",IF(AND(Deals!$I225&lt;&gt;"",Deals!$J225&lt;&gt;""),"Yes","No"))</f>
        <v/>
      </c>
      <c r="G273" s="22">
        <f>IF($A273="","",Deals!$Z225)</f>
        <v/>
      </c>
      <c r="H273" s="23">
        <f>IF(OR($A273="",$G273=""),"",INT((Settings!$B$19-$G273)/7))</f>
        <v/>
      </c>
      <c r="I273" s="24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MissingLevel","")&amp;IF(AND($C273="Proposal",Deals!$H225=0.5)," DefaultProbability","")&amp;IF($F273="No"," NoDates","")&amp;IF(AND(ISNUMBER($H273),$H273&gt;=Settings!$B$20)," Stale","")))</f>
        <v/>
      </c>
    </row>
    <row r="274">
      <c r="A274" s="16">
        <f>IF(Deals!$A226="","",Deals!$A226)</f>
        <v/>
      </c>
      <c r="B274" s="16">
        <f>IF($A274="","",Deals!$C226)</f>
        <v/>
      </c>
      <c r="C274" s="16">
        <f>IF($A274="","",Deals!$F226)</f>
        <v/>
      </c>
      <c r="D274" s="21">
        <f>IF($A274="","",Deals!$H226)</f>
        <v/>
      </c>
      <c r="E274" s="17">
        <f>IF($A274="","",Deals!$Q226)</f>
        <v/>
      </c>
      <c r="F274" s="16">
        <f>IF($A274="","",IF(AND(Deals!$I226&lt;&gt;"",Deals!$J226&lt;&gt;""),"Yes","No"))</f>
        <v/>
      </c>
      <c r="G274" s="22">
        <f>IF($A274="","",Deals!$Z226)</f>
        <v/>
      </c>
      <c r="H274" s="23">
        <f>IF(OR($A274="",$G274=""),"",INT((Settings!$B$19-$G274)/7))</f>
        <v/>
      </c>
      <c r="I274" s="24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MissingLevel","")&amp;IF(AND($C274="Proposal",Deals!$H226=0.5)," DefaultProbability","")&amp;IF($F274="No"," NoDates","")&amp;IF(AND(ISNUMBER($H274),$H274&gt;=Settings!$B$20)," Stale","")))</f>
        <v/>
      </c>
    </row>
    <row r="275">
      <c r="A275" s="16">
        <f>IF(Deals!$A227="","",Deals!$A227)</f>
        <v/>
      </c>
      <c r="B275" s="16">
        <f>IF($A275="","",Deals!$C227)</f>
        <v/>
      </c>
      <c r="C275" s="16">
        <f>IF($A275="","",Deals!$F227)</f>
        <v/>
      </c>
      <c r="D275" s="21">
        <f>IF($A275="","",Deals!$H227)</f>
        <v/>
      </c>
      <c r="E275" s="17">
        <f>IF($A275="","",Deals!$Q227)</f>
        <v/>
      </c>
      <c r="F275" s="16">
        <f>IF($A275="","",IF(AND(Deals!$I227&lt;&gt;"",Deals!$J227&lt;&gt;""),"Yes","No"))</f>
        <v/>
      </c>
      <c r="G275" s="22">
        <f>IF($A275="","",Deals!$Z227)</f>
        <v/>
      </c>
      <c r="H275" s="23">
        <f>IF(OR($A275="",$G275=""),"",INT((Settings!$B$19-$G275)/7))</f>
        <v/>
      </c>
      <c r="I275" s="24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MissingLevel","")&amp;IF(AND($C275="Proposal",Deals!$H227=0.5)," DefaultProbability","")&amp;IF($F275="No"," NoDates","")&amp;IF(AND(ISNUMBER($H275),$H275&gt;=Settings!$B$20)," Stale","")))</f>
        <v/>
      </c>
    </row>
    <row r="276">
      <c r="A276" s="16">
        <f>IF(Deals!$A228="","",Deals!$A228)</f>
        <v/>
      </c>
      <c r="B276" s="16">
        <f>IF($A276="","",Deals!$C228)</f>
        <v/>
      </c>
      <c r="C276" s="16">
        <f>IF($A276="","",Deals!$F228)</f>
        <v/>
      </c>
      <c r="D276" s="21">
        <f>IF($A276="","",Deals!$H228)</f>
        <v/>
      </c>
      <c r="E276" s="17">
        <f>IF($A276="","",Deals!$Q228)</f>
        <v/>
      </c>
      <c r="F276" s="16">
        <f>IF($A276="","",IF(AND(Deals!$I228&lt;&gt;"",Deals!$J228&lt;&gt;""),"Yes","No"))</f>
        <v/>
      </c>
      <c r="G276" s="22">
        <f>IF($A276="","",Deals!$Z228)</f>
        <v/>
      </c>
      <c r="H276" s="23">
        <f>IF(OR($A276="",$G276=""),"",INT((Settings!$B$19-$G276)/7))</f>
        <v/>
      </c>
      <c r="I276" s="24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MissingLevel","")&amp;IF(AND($C276="Proposal",Deals!$H228=0.5)," DefaultProbability","")&amp;IF($F276="No"," NoDates","")&amp;IF(AND(ISNUMBER($H276),$H276&gt;=Settings!$B$20)," Stale","")))</f>
        <v/>
      </c>
    </row>
    <row r="277">
      <c r="A277" s="16">
        <f>IF(Deals!$A229="","",Deals!$A229)</f>
        <v/>
      </c>
      <c r="B277" s="16">
        <f>IF($A277="","",Deals!$C229)</f>
        <v/>
      </c>
      <c r="C277" s="16">
        <f>IF($A277="","",Deals!$F229)</f>
        <v/>
      </c>
      <c r="D277" s="21">
        <f>IF($A277="","",Deals!$H229)</f>
        <v/>
      </c>
      <c r="E277" s="17">
        <f>IF($A277="","",Deals!$Q229)</f>
        <v/>
      </c>
      <c r="F277" s="16">
        <f>IF($A277="","",IF(AND(Deals!$I229&lt;&gt;"",Deals!$J229&lt;&gt;""),"Yes","No"))</f>
        <v/>
      </c>
      <c r="G277" s="22">
        <f>IF($A277="","",Deals!$Z229)</f>
        <v/>
      </c>
      <c r="H277" s="23">
        <f>IF(OR($A277="",$G277=""),"",INT((Settings!$B$19-$G277)/7))</f>
        <v/>
      </c>
      <c r="I277" s="24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MissingLevel","")&amp;IF(AND($C277="Proposal",Deals!$H229=0.5)," DefaultProbability","")&amp;IF($F277="No"," NoDates","")&amp;IF(AND(ISNUMBER($H277),$H277&gt;=Settings!$B$20)," Stale","")))</f>
        <v/>
      </c>
    </row>
    <row r="278">
      <c r="A278" s="16">
        <f>IF(Deals!$A230="","",Deals!$A230)</f>
        <v/>
      </c>
      <c r="B278" s="16">
        <f>IF($A278="","",Deals!$C230)</f>
        <v/>
      </c>
      <c r="C278" s="16">
        <f>IF($A278="","",Deals!$F230)</f>
        <v/>
      </c>
      <c r="D278" s="21">
        <f>IF($A278="","",Deals!$H230)</f>
        <v/>
      </c>
      <c r="E278" s="17">
        <f>IF($A278="","",Deals!$Q230)</f>
        <v/>
      </c>
      <c r="F278" s="16">
        <f>IF($A278="","",IF(AND(Deals!$I230&lt;&gt;"",Deals!$J230&lt;&gt;""),"Yes","No"))</f>
        <v/>
      </c>
      <c r="G278" s="22">
        <f>IF($A278="","",Deals!$Z230)</f>
        <v/>
      </c>
      <c r="H278" s="23">
        <f>IF(OR($A278="",$G278=""),"",INT((Settings!$B$19-$G278)/7))</f>
        <v/>
      </c>
      <c r="I278" s="24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MissingLevel","")&amp;IF(AND($C278="Proposal",Deals!$H230=0.5)," DefaultProbability","")&amp;IF($F278="No"," NoDates","")&amp;IF(AND(ISNUMBER($H278),$H278&gt;=Settings!$B$20)," Stale","")))</f>
        <v/>
      </c>
    </row>
    <row r="279">
      <c r="A279" s="16">
        <f>IF(Deals!$A231="","",Deals!$A231)</f>
        <v/>
      </c>
      <c r="B279" s="16">
        <f>IF($A279="","",Deals!$C231)</f>
        <v/>
      </c>
      <c r="C279" s="16">
        <f>IF($A279="","",Deals!$F231)</f>
        <v/>
      </c>
      <c r="D279" s="21">
        <f>IF($A279="","",Deals!$H231)</f>
        <v/>
      </c>
      <c r="E279" s="17">
        <f>IF($A279="","",Deals!$Q231)</f>
        <v/>
      </c>
      <c r="F279" s="16">
        <f>IF($A279="","",IF(AND(Deals!$I231&lt;&gt;"",Deals!$J231&lt;&gt;""),"Yes","No"))</f>
        <v/>
      </c>
      <c r="G279" s="22">
        <f>IF($A279="","",Deals!$Z231)</f>
        <v/>
      </c>
      <c r="H279" s="23">
        <f>IF(OR($A279="",$G279=""),"",INT((Settings!$B$19-$G279)/7))</f>
        <v/>
      </c>
      <c r="I279" s="24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MissingLevel","")&amp;IF(AND($C279="Proposal",Deals!$H231=0.5)," DefaultProbability","")&amp;IF($F279="No"," NoDates","")&amp;IF(AND(ISNUMBER($H279),$H279&gt;=Settings!$B$20)," Stale","")))</f>
        <v/>
      </c>
    </row>
    <row r="280">
      <c r="A280" s="16">
        <f>IF(Deals!$A232="","",Deals!$A232)</f>
        <v/>
      </c>
      <c r="B280" s="16">
        <f>IF($A280="","",Deals!$C232)</f>
        <v/>
      </c>
      <c r="C280" s="16">
        <f>IF($A280="","",Deals!$F232)</f>
        <v/>
      </c>
      <c r="D280" s="21">
        <f>IF($A280="","",Deals!$H232)</f>
        <v/>
      </c>
      <c r="E280" s="17">
        <f>IF($A280="","",Deals!$Q232)</f>
        <v/>
      </c>
      <c r="F280" s="16">
        <f>IF($A280="","",IF(AND(Deals!$I232&lt;&gt;"",Deals!$J232&lt;&gt;""),"Yes","No"))</f>
        <v/>
      </c>
      <c r="G280" s="22">
        <f>IF($A280="","",Deals!$Z232)</f>
        <v/>
      </c>
      <c r="H280" s="23">
        <f>IF(OR($A280="",$G280=""),"",INT((Settings!$B$19-$G280)/7))</f>
        <v/>
      </c>
      <c r="I280" s="24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MissingLevel","")&amp;IF(AND($C280="Proposal",Deals!$H232=0.5)," DefaultProbability","")&amp;IF($F280="No"," NoDates","")&amp;IF(AND(ISNUMBER($H280),$H280&gt;=Settings!$B$20)," Stale","")))</f>
        <v/>
      </c>
    </row>
    <row r="281">
      <c r="A281" s="16">
        <f>IF(Deals!$A233="","",Deals!$A233)</f>
        <v/>
      </c>
      <c r="B281" s="16">
        <f>IF($A281="","",Deals!$C233)</f>
        <v/>
      </c>
      <c r="C281" s="16">
        <f>IF($A281="","",Deals!$F233)</f>
        <v/>
      </c>
      <c r="D281" s="21">
        <f>IF($A281="","",Deals!$H233)</f>
        <v/>
      </c>
      <c r="E281" s="17">
        <f>IF($A281="","",Deals!$Q233)</f>
        <v/>
      </c>
      <c r="F281" s="16">
        <f>IF($A281="","",IF(AND(Deals!$I233&lt;&gt;"",Deals!$J233&lt;&gt;""),"Yes","No"))</f>
        <v/>
      </c>
      <c r="G281" s="22">
        <f>IF($A281="","",Deals!$Z233)</f>
        <v/>
      </c>
      <c r="H281" s="23">
        <f>IF(OR($A281="",$G281=""),"",INT((Settings!$B$19-$G281)/7))</f>
        <v/>
      </c>
      <c r="I281" s="24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MissingLevel","")&amp;IF(AND($C281="Proposal",Deals!$H233=0.5)," DefaultProbability","")&amp;IF($F281="No"," NoDates","")&amp;IF(AND(ISNUMBER($H281),$H281&gt;=Settings!$B$20)," Stale","")))</f>
        <v/>
      </c>
    </row>
    <row r="282">
      <c r="A282" s="16">
        <f>IF(Deals!$A234="","",Deals!$A234)</f>
        <v/>
      </c>
      <c r="B282" s="16">
        <f>IF($A282="","",Deals!$C234)</f>
        <v/>
      </c>
      <c r="C282" s="16">
        <f>IF($A282="","",Deals!$F234)</f>
        <v/>
      </c>
      <c r="D282" s="21">
        <f>IF($A282="","",Deals!$H234)</f>
        <v/>
      </c>
      <c r="E282" s="17">
        <f>IF($A282="","",Deals!$Q234)</f>
        <v/>
      </c>
      <c r="F282" s="16">
        <f>IF($A282="","",IF(AND(Deals!$I234&lt;&gt;"",Deals!$J234&lt;&gt;""),"Yes","No"))</f>
        <v/>
      </c>
      <c r="G282" s="22">
        <f>IF($A282="","",Deals!$Z234)</f>
        <v/>
      </c>
      <c r="H282" s="23">
        <f>IF(OR($A282="",$G282=""),"",INT((Settings!$B$19-$G282)/7))</f>
        <v/>
      </c>
      <c r="I282" s="24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MissingLevel","")&amp;IF(AND($C282="Proposal",Deals!$H234=0.5)," DefaultProbability","")&amp;IF($F282="No"," NoDates","")&amp;IF(AND(ISNUMBER($H282),$H282&gt;=Settings!$B$20)," Stale","")))</f>
        <v/>
      </c>
    </row>
    <row r="283">
      <c r="A283" s="16">
        <f>IF(Deals!$A235="","",Deals!$A235)</f>
        <v/>
      </c>
      <c r="B283" s="16">
        <f>IF($A283="","",Deals!$C235)</f>
        <v/>
      </c>
      <c r="C283" s="16">
        <f>IF($A283="","",Deals!$F235)</f>
        <v/>
      </c>
      <c r="D283" s="21">
        <f>IF($A283="","",Deals!$H235)</f>
        <v/>
      </c>
      <c r="E283" s="17">
        <f>IF($A283="","",Deals!$Q235)</f>
        <v/>
      </c>
      <c r="F283" s="16">
        <f>IF($A283="","",IF(AND(Deals!$I235&lt;&gt;"",Deals!$J235&lt;&gt;""),"Yes","No"))</f>
        <v/>
      </c>
      <c r="G283" s="22">
        <f>IF($A283="","",Deals!$Z235)</f>
        <v/>
      </c>
      <c r="H283" s="23">
        <f>IF(OR($A283="",$G283=""),"",INT((Settings!$B$19-$G283)/7))</f>
        <v/>
      </c>
      <c r="I283" s="24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MissingLevel","")&amp;IF(AND($C283="Proposal",Deals!$H235=0.5)," DefaultProbability","")&amp;IF($F283="No"," NoDates","")&amp;IF(AND(ISNUMBER($H283),$H283&gt;=Settings!$B$20)," Stale","")))</f>
        <v/>
      </c>
    </row>
    <row r="284">
      <c r="A284" s="16">
        <f>IF(Deals!$A236="","",Deals!$A236)</f>
        <v/>
      </c>
      <c r="B284" s="16">
        <f>IF($A284="","",Deals!$C236)</f>
        <v/>
      </c>
      <c r="C284" s="16">
        <f>IF($A284="","",Deals!$F236)</f>
        <v/>
      </c>
      <c r="D284" s="21">
        <f>IF($A284="","",Deals!$H236)</f>
        <v/>
      </c>
      <c r="E284" s="17">
        <f>IF($A284="","",Deals!$Q236)</f>
        <v/>
      </c>
      <c r="F284" s="16">
        <f>IF($A284="","",IF(AND(Deals!$I236&lt;&gt;"",Deals!$J236&lt;&gt;""),"Yes","No"))</f>
        <v/>
      </c>
      <c r="G284" s="22">
        <f>IF($A284="","",Deals!$Z236)</f>
        <v/>
      </c>
      <c r="H284" s="23">
        <f>IF(OR($A284="",$G284=""),"",INT((Settings!$B$19-$G284)/7))</f>
        <v/>
      </c>
      <c r="I284" s="24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MissingLevel","")&amp;IF(AND($C284="Proposal",Deals!$H236=0.5)," DefaultProbability","")&amp;IF($F284="No"," NoDates","")&amp;IF(AND(ISNUMBER($H284),$H284&gt;=Settings!$B$20)," Stale","")))</f>
        <v/>
      </c>
    </row>
    <row r="285">
      <c r="A285" s="16">
        <f>IF(Deals!$A237="","",Deals!$A237)</f>
        <v/>
      </c>
      <c r="B285" s="16">
        <f>IF($A285="","",Deals!$C237)</f>
        <v/>
      </c>
      <c r="C285" s="16">
        <f>IF($A285="","",Deals!$F237)</f>
        <v/>
      </c>
      <c r="D285" s="21">
        <f>IF($A285="","",Deals!$H237)</f>
        <v/>
      </c>
      <c r="E285" s="17">
        <f>IF($A285="","",Deals!$Q237)</f>
        <v/>
      </c>
      <c r="F285" s="16">
        <f>IF($A285="","",IF(AND(Deals!$I237&lt;&gt;"",Deals!$J237&lt;&gt;""),"Yes","No"))</f>
        <v/>
      </c>
      <c r="G285" s="22">
        <f>IF($A285="","",Deals!$Z237)</f>
        <v/>
      </c>
      <c r="H285" s="23">
        <f>IF(OR($A285="",$G285=""),"",INT((Settings!$B$19-$G285)/7))</f>
        <v/>
      </c>
      <c r="I285" s="24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MissingLevel","")&amp;IF(AND($C285="Proposal",Deals!$H237=0.5)," DefaultProbability","")&amp;IF($F285="No"," NoDates","")&amp;IF(AND(ISNUMBER($H285),$H285&gt;=Settings!$B$20)," Stale","")))</f>
        <v/>
      </c>
    </row>
    <row r="286">
      <c r="A286" s="16">
        <f>IF(Deals!$A238="","",Deals!$A238)</f>
        <v/>
      </c>
      <c r="B286" s="16">
        <f>IF($A286="","",Deals!$C238)</f>
        <v/>
      </c>
      <c r="C286" s="16">
        <f>IF($A286="","",Deals!$F238)</f>
        <v/>
      </c>
      <c r="D286" s="21">
        <f>IF($A286="","",Deals!$H238)</f>
        <v/>
      </c>
      <c r="E286" s="17">
        <f>IF($A286="","",Deals!$Q238)</f>
        <v/>
      </c>
      <c r="F286" s="16">
        <f>IF($A286="","",IF(AND(Deals!$I238&lt;&gt;"",Deals!$J238&lt;&gt;""),"Yes","No"))</f>
        <v/>
      </c>
      <c r="G286" s="22">
        <f>IF($A286="","",Deals!$Z238)</f>
        <v/>
      </c>
      <c r="H286" s="23">
        <f>IF(OR($A286="",$G286=""),"",INT((Settings!$B$19-$G286)/7))</f>
        <v/>
      </c>
      <c r="I286" s="24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MissingLevel","")&amp;IF(AND($C286="Proposal",Deals!$H238=0.5)," DefaultProbability","")&amp;IF($F286="No"," NoDates","")&amp;IF(AND(ISNUMBER($H286),$H286&gt;=Settings!$B$20)," Stale","")))</f>
        <v/>
      </c>
    </row>
    <row r="287">
      <c r="A287" s="16">
        <f>IF(Deals!$A239="","",Deals!$A239)</f>
        <v/>
      </c>
      <c r="B287" s="16">
        <f>IF($A287="","",Deals!$C239)</f>
        <v/>
      </c>
      <c r="C287" s="16">
        <f>IF($A287="","",Deals!$F239)</f>
        <v/>
      </c>
      <c r="D287" s="21">
        <f>IF($A287="","",Deals!$H239)</f>
        <v/>
      </c>
      <c r="E287" s="17">
        <f>IF($A287="","",Deals!$Q239)</f>
        <v/>
      </c>
      <c r="F287" s="16">
        <f>IF($A287="","",IF(AND(Deals!$I239&lt;&gt;"",Deals!$J239&lt;&gt;""),"Yes","No"))</f>
        <v/>
      </c>
      <c r="G287" s="22">
        <f>IF($A287="","",Deals!$Z239)</f>
        <v/>
      </c>
      <c r="H287" s="23">
        <f>IF(OR($A287="",$G287=""),"",INT((Settings!$B$19-$G287)/7))</f>
        <v/>
      </c>
      <c r="I287" s="24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MissingLevel","")&amp;IF(AND($C287="Proposal",Deals!$H239=0.5)," DefaultProbability","")&amp;IF($F287="No"," NoDates","")&amp;IF(AND(ISNUMBER($H287),$H287&gt;=Settings!$B$20)," Stale","")))</f>
        <v/>
      </c>
    </row>
    <row r="288">
      <c r="A288" s="16">
        <f>IF(Deals!$A240="","",Deals!$A240)</f>
        <v/>
      </c>
      <c r="B288" s="16">
        <f>IF($A288="","",Deals!$C240)</f>
        <v/>
      </c>
      <c r="C288" s="16">
        <f>IF($A288="","",Deals!$F240)</f>
        <v/>
      </c>
      <c r="D288" s="21">
        <f>IF($A288="","",Deals!$H240)</f>
        <v/>
      </c>
      <c r="E288" s="17">
        <f>IF($A288="","",Deals!$Q240)</f>
        <v/>
      </c>
      <c r="F288" s="16">
        <f>IF($A288="","",IF(AND(Deals!$I240&lt;&gt;"",Deals!$J240&lt;&gt;""),"Yes","No"))</f>
        <v/>
      </c>
      <c r="G288" s="22">
        <f>IF($A288="","",Deals!$Z240)</f>
        <v/>
      </c>
      <c r="H288" s="23">
        <f>IF(OR($A288="",$G288=""),"",INT((Settings!$B$19-$G288)/7))</f>
        <v/>
      </c>
      <c r="I288" s="24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MissingLevel","")&amp;IF(AND($C288="Proposal",Deals!$H240=0.5)," DefaultProbability","")&amp;IF($F288="No"," NoDates","")&amp;IF(AND(ISNUMBER($H288),$H288&gt;=Settings!$B$20)," Stale","")))</f>
        <v/>
      </c>
    </row>
    <row r="289">
      <c r="A289" s="16">
        <f>IF(Deals!$A241="","",Deals!$A241)</f>
        <v/>
      </c>
      <c r="B289" s="16">
        <f>IF($A289="","",Deals!$C241)</f>
        <v/>
      </c>
      <c r="C289" s="16">
        <f>IF($A289="","",Deals!$F241)</f>
        <v/>
      </c>
      <c r="D289" s="21">
        <f>IF($A289="","",Deals!$H241)</f>
        <v/>
      </c>
      <c r="E289" s="17">
        <f>IF($A289="","",Deals!$Q241)</f>
        <v/>
      </c>
      <c r="F289" s="16">
        <f>IF($A289="","",IF(AND(Deals!$I241&lt;&gt;"",Deals!$J241&lt;&gt;""),"Yes","No"))</f>
        <v/>
      </c>
      <c r="G289" s="22">
        <f>IF($A289="","",Deals!$Z241)</f>
        <v/>
      </c>
      <c r="H289" s="23">
        <f>IF(OR($A289="",$G289=""),"",INT((Settings!$B$19-$G289)/7))</f>
        <v/>
      </c>
      <c r="I289" s="24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MissingLevel","")&amp;IF(AND($C289="Proposal",Deals!$H241=0.5)," DefaultProbability","")&amp;IF($F289="No"," NoDates","")&amp;IF(AND(ISNUMBER($H289),$H289&gt;=Settings!$B$20)," Stale","")))</f>
        <v/>
      </c>
    </row>
    <row r="290">
      <c r="A290" s="16">
        <f>IF(Deals!$A242="","",Deals!$A242)</f>
        <v/>
      </c>
      <c r="B290" s="16">
        <f>IF($A290="","",Deals!$C242)</f>
        <v/>
      </c>
      <c r="C290" s="16">
        <f>IF($A290="","",Deals!$F242)</f>
        <v/>
      </c>
      <c r="D290" s="21">
        <f>IF($A290="","",Deals!$H242)</f>
        <v/>
      </c>
      <c r="E290" s="17">
        <f>IF($A290="","",Deals!$Q242)</f>
        <v/>
      </c>
      <c r="F290" s="16">
        <f>IF($A290="","",IF(AND(Deals!$I242&lt;&gt;"",Deals!$J242&lt;&gt;""),"Yes","No"))</f>
        <v/>
      </c>
      <c r="G290" s="22">
        <f>IF($A290="","",Deals!$Z242)</f>
        <v/>
      </c>
      <c r="H290" s="23">
        <f>IF(OR($A290="",$G290=""),"",INT((Settings!$B$19-$G290)/7))</f>
        <v/>
      </c>
      <c r="I290" s="24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MissingLevel","")&amp;IF(AND($C290="Proposal",Deals!$H242=0.5)," DefaultProbability","")&amp;IF($F290="No"," NoDates","")&amp;IF(AND(ISNUMBER($H290),$H290&gt;=Settings!$B$20)," Stale","")))</f>
        <v/>
      </c>
    </row>
    <row r="291">
      <c r="A291" s="16">
        <f>IF(Deals!$A243="","",Deals!$A243)</f>
        <v/>
      </c>
      <c r="B291" s="16">
        <f>IF($A291="","",Deals!$C243)</f>
        <v/>
      </c>
      <c r="C291" s="16">
        <f>IF($A291="","",Deals!$F243)</f>
        <v/>
      </c>
      <c r="D291" s="21">
        <f>IF($A291="","",Deals!$H243)</f>
        <v/>
      </c>
      <c r="E291" s="17">
        <f>IF($A291="","",Deals!$Q243)</f>
        <v/>
      </c>
      <c r="F291" s="16">
        <f>IF($A291="","",IF(AND(Deals!$I243&lt;&gt;"",Deals!$J243&lt;&gt;""),"Yes","No"))</f>
        <v/>
      </c>
      <c r="G291" s="22">
        <f>IF($A291="","",Deals!$Z243)</f>
        <v/>
      </c>
      <c r="H291" s="23">
        <f>IF(OR($A291="",$G291=""),"",INT((Settings!$B$19-$G291)/7))</f>
        <v/>
      </c>
      <c r="I291" s="24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MissingLevel","")&amp;IF(AND($C291="Proposal",Deals!$H243=0.5)," DefaultProbability","")&amp;IF($F291="No"," NoDates","")&amp;IF(AND(ISNUMBER($H291),$H291&gt;=Settings!$B$20)," Stale","")))</f>
        <v/>
      </c>
    </row>
    <row r="292">
      <c r="A292" s="16">
        <f>IF(Deals!$A244="","",Deals!$A244)</f>
        <v/>
      </c>
      <c r="B292" s="16">
        <f>IF($A292="","",Deals!$C244)</f>
        <v/>
      </c>
      <c r="C292" s="16">
        <f>IF($A292="","",Deals!$F244)</f>
        <v/>
      </c>
      <c r="D292" s="21">
        <f>IF($A292="","",Deals!$H244)</f>
        <v/>
      </c>
      <c r="E292" s="17">
        <f>IF($A292="","",Deals!$Q244)</f>
        <v/>
      </c>
      <c r="F292" s="16">
        <f>IF($A292="","",IF(AND(Deals!$I244&lt;&gt;"",Deals!$J244&lt;&gt;""),"Yes","No"))</f>
        <v/>
      </c>
      <c r="G292" s="22">
        <f>IF($A292="","",Deals!$Z244)</f>
        <v/>
      </c>
      <c r="H292" s="23">
        <f>IF(OR($A292="",$G292=""),"",INT((Settings!$B$19-$G292)/7))</f>
        <v/>
      </c>
      <c r="I292" s="24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MissingLevel","")&amp;IF(AND($C292="Proposal",Deals!$H244=0.5)," DefaultProbability","")&amp;IF($F292="No"," NoDates","")&amp;IF(AND(ISNUMBER($H292),$H292&gt;=Settings!$B$20)," Stale","")))</f>
        <v/>
      </c>
    </row>
    <row r="293">
      <c r="A293" s="16">
        <f>IF(Deals!$A245="","",Deals!$A245)</f>
        <v/>
      </c>
      <c r="B293" s="16">
        <f>IF($A293="","",Deals!$C245)</f>
        <v/>
      </c>
      <c r="C293" s="16">
        <f>IF($A293="","",Deals!$F245)</f>
        <v/>
      </c>
      <c r="D293" s="21">
        <f>IF($A293="","",Deals!$H245)</f>
        <v/>
      </c>
      <c r="E293" s="17">
        <f>IF($A293="","",Deals!$Q245)</f>
        <v/>
      </c>
      <c r="F293" s="16">
        <f>IF($A293="","",IF(AND(Deals!$I245&lt;&gt;"",Deals!$J245&lt;&gt;""),"Yes","No"))</f>
        <v/>
      </c>
      <c r="G293" s="22">
        <f>IF($A293="","",Deals!$Z245)</f>
        <v/>
      </c>
      <c r="H293" s="23">
        <f>IF(OR($A293="",$G293=""),"",INT((Settings!$B$19-$G293)/7))</f>
        <v/>
      </c>
      <c r="I293" s="24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MissingLevel","")&amp;IF(AND($C293="Proposal",Deals!$H245=0.5)," DefaultProbability","")&amp;IF($F293="No"," NoDates","")&amp;IF(AND(ISNUMBER($H293),$H293&gt;=Settings!$B$20)," Stale","")))</f>
        <v/>
      </c>
    </row>
    <row r="294">
      <c r="A294" s="16">
        <f>IF(Deals!$A246="","",Deals!$A246)</f>
        <v/>
      </c>
      <c r="B294" s="16">
        <f>IF($A294="","",Deals!$C246)</f>
        <v/>
      </c>
      <c r="C294" s="16">
        <f>IF($A294="","",Deals!$F246)</f>
        <v/>
      </c>
      <c r="D294" s="21">
        <f>IF($A294="","",Deals!$H246)</f>
        <v/>
      </c>
      <c r="E294" s="17">
        <f>IF($A294="","",Deals!$Q246)</f>
        <v/>
      </c>
      <c r="F294" s="16">
        <f>IF($A294="","",IF(AND(Deals!$I246&lt;&gt;"",Deals!$J246&lt;&gt;""),"Yes","No"))</f>
        <v/>
      </c>
      <c r="G294" s="22">
        <f>IF($A294="","",Deals!$Z246)</f>
        <v/>
      </c>
      <c r="H294" s="23">
        <f>IF(OR($A294="",$G294=""),"",INT((Settings!$B$19-$G294)/7))</f>
        <v/>
      </c>
      <c r="I294" s="24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MissingLevel","")&amp;IF(AND($C294="Proposal",Deals!$H246=0.5)," DefaultProbability","")&amp;IF($F294="No"," NoDates","")&amp;IF(AND(ISNUMBER($H294),$H294&gt;=Settings!$B$20)," Stale","")))</f>
        <v/>
      </c>
    </row>
    <row r="295">
      <c r="A295" s="16">
        <f>IF(Deals!$A247="","",Deals!$A247)</f>
        <v/>
      </c>
      <c r="B295" s="16">
        <f>IF($A295="","",Deals!$C247)</f>
        <v/>
      </c>
      <c r="C295" s="16">
        <f>IF($A295="","",Deals!$F247)</f>
        <v/>
      </c>
      <c r="D295" s="21">
        <f>IF($A295="","",Deals!$H247)</f>
        <v/>
      </c>
      <c r="E295" s="17">
        <f>IF($A295="","",Deals!$Q247)</f>
        <v/>
      </c>
      <c r="F295" s="16">
        <f>IF($A295="","",IF(AND(Deals!$I247&lt;&gt;"",Deals!$J247&lt;&gt;""),"Yes","No"))</f>
        <v/>
      </c>
      <c r="G295" s="22">
        <f>IF($A295="","",Deals!$Z247)</f>
        <v/>
      </c>
      <c r="H295" s="23">
        <f>IF(OR($A295="",$G295=""),"",INT((Settings!$B$19-$G295)/7))</f>
        <v/>
      </c>
      <c r="I295" s="24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MissingLevel","")&amp;IF(AND($C295="Proposal",Deals!$H247=0.5)," DefaultProbability","")&amp;IF($F295="No"," NoDates","")&amp;IF(AND(ISNUMBER($H295),$H295&gt;=Settings!$B$20)," Stale","")))</f>
        <v/>
      </c>
    </row>
    <row r="296">
      <c r="A296" s="16">
        <f>IF(Deals!$A248="","",Deals!$A248)</f>
        <v/>
      </c>
      <c r="B296" s="16">
        <f>IF($A296="","",Deals!$C248)</f>
        <v/>
      </c>
      <c r="C296" s="16">
        <f>IF($A296="","",Deals!$F248)</f>
        <v/>
      </c>
      <c r="D296" s="21">
        <f>IF($A296="","",Deals!$H248)</f>
        <v/>
      </c>
      <c r="E296" s="17">
        <f>IF($A296="","",Deals!$Q248)</f>
        <v/>
      </c>
      <c r="F296" s="16">
        <f>IF($A296="","",IF(AND(Deals!$I248&lt;&gt;"",Deals!$J248&lt;&gt;""),"Yes","No"))</f>
        <v/>
      </c>
      <c r="G296" s="22">
        <f>IF($A296="","",Deals!$Z248)</f>
        <v/>
      </c>
      <c r="H296" s="23">
        <f>IF(OR($A296="",$G296=""),"",INT((Settings!$B$19-$G296)/7))</f>
        <v/>
      </c>
      <c r="I296" s="24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MissingLevel","")&amp;IF(AND($C296="Proposal",Deals!$H248=0.5)," DefaultProbability","")&amp;IF($F296="No"," NoDates","")&amp;IF(AND(ISNUMBER($H296),$H296&gt;=Settings!$B$20)," Stale","")))</f>
        <v/>
      </c>
    </row>
    <row r="297">
      <c r="A297" s="16">
        <f>IF(Deals!$A249="","",Deals!$A249)</f>
        <v/>
      </c>
      <c r="B297" s="16">
        <f>IF($A297="","",Deals!$C249)</f>
        <v/>
      </c>
      <c r="C297" s="16">
        <f>IF($A297="","",Deals!$F249)</f>
        <v/>
      </c>
      <c r="D297" s="21">
        <f>IF($A297="","",Deals!$H249)</f>
        <v/>
      </c>
      <c r="E297" s="17">
        <f>IF($A297="","",Deals!$Q249)</f>
        <v/>
      </c>
      <c r="F297" s="16">
        <f>IF($A297="","",IF(AND(Deals!$I249&lt;&gt;"",Deals!$J249&lt;&gt;""),"Yes","No"))</f>
        <v/>
      </c>
      <c r="G297" s="22">
        <f>IF($A297="","",Deals!$Z249)</f>
        <v/>
      </c>
      <c r="H297" s="23">
        <f>IF(OR($A297="",$G297=""),"",INT((Settings!$B$19-$G297)/7))</f>
        <v/>
      </c>
      <c r="I297" s="24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MissingLevel","")&amp;IF(AND($C297="Proposal",Deals!$H249=0.5)," DefaultProbability","")&amp;IF($F297="No"," NoDates","")&amp;IF(AND(ISNUMBER($H297),$H297&gt;=Settings!$B$20)," Stale","")))</f>
        <v/>
      </c>
    </row>
    <row r="298">
      <c r="A298" s="16">
        <f>IF(Deals!$A250="","",Deals!$A250)</f>
        <v/>
      </c>
      <c r="B298" s="16">
        <f>IF($A298="","",Deals!$C250)</f>
        <v/>
      </c>
      <c r="C298" s="16">
        <f>IF($A298="","",Deals!$F250)</f>
        <v/>
      </c>
      <c r="D298" s="21">
        <f>IF($A298="","",Deals!$H250)</f>
        <v/>
      </c>
      <c r="E298" s="17">
        <f>IF($A298="","",Deals!$Q250)</f>
        <v/>
      </c>
      <c r="F298" s="16">
        <f>IF($A298="","",IF(AND(Deals!$I250&lt;&gt;"",Deals!$J250&lt;&gt;""),"Yes","No"))</f>
        <v/>
      </c>
      <c r="G298" s="22">
        <f>IF($A298="","",Deals!$Z250)</f>
        <v/>
      </c>
      <c r="H298" s="23">
        <f>IF(OR($A298="",$G298=""),"",INT((Settings!$B$19-$G298)/7))</f>
        <v/>
      </c>
      <c r="I298" s="24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MissingLevel","")&amp;IF(AND($C298="Proposal",Deals!$H250=0.5)," DefaultProbability","")&amp;IF($F298="No"," NoDates","")&amp;IF(AND(ISNUMBER($H298),$H298&gt;=Settings!$B$20)," Stale","")))</f>
        <v/>
      </c>
    </row>
    <row r="299">
      <c r="A299" s="16">
        <f>IF(Deals!$A251="","",Deals!$A251)</f>
        <v/>
      </c>
      <c r="B299" s="16">
        <f>IF($A299="","",Deals!$C251)</f>
        <v/>
      </c>
      <c r="C299" s="16">
        <f>IF($A299="","",Deals!$F251)</f>
        <v/>
      </c>
      <c r="D299" s="21">
        <f>IF($A299="","",Deals!$H251)</f>
        <v/>
      </c>
      <c r="E299" s="17">
        <f>IF($A299="","",Deals!$Q251)</f>
        <v/>
      </c>
      <c r="F299" s="16">
        <f>IF($A299="","",IF(AND(Deals!$I251&lt;&gt;"",Deals!$J251&lt;&gt;""),"Yes","No"))</f>
        <v/>
      </c>
      <c r="G299" s="22">
        <f>IF($A299="","",Deals!$Z251)</f>
        <v/>
      </c>
      <c r="H299" s="23">
        <f>IF(OR($A299="",$G299=""),"",INT((Settings!$B$19-$G299)/7))</f>
        <v/>
      </c>
      <c r="I299" s="24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MissingLevel","")&amp;IF(AND($C299="Proposal",Deals!$H251=0.5)," DefaultProbability","")&amp;IF($F299="No"," NoDates","")&amp;IF(AND(ISNUMBER($H299),$H299&gt;=Settings!$B$20)," Stale","")))</f>
        <v/>
      </c>
    </row>
    <row r="300">
      <c r="A300" s="16">
        <f>IF(Deals!$A252="","",Deals!$A252)</f>
        <v/>
      </c>
      <c r="B300" s="16">
        <f>IF($A300="","",Deals!$C252)</f>
        <v/>
      </c>
      <c r="C300" s="16">
        <f>IF($A300="","",Deals!$F252)</f>
        <v/>
      </c>
      <c r="D300" s="21">
        <f>IF($A300="","",Deals!$H252)</f>
        <v/>
      </c>
      <c r="E300" s="17">
        <f>IF($A300="","",Deals!$Q252)</f>
        <v/>
      </c>
      <c r="F300" s="16">
        <f>IF($A300="","",IF(AND(Deals!$I252&lt;&gt;"",Deals!$J252&lt;&gt;""),"Yes","No"))</f>
        <v/>
      </c>
      <c r="G300" s="22">
        <f>IF($A300="","",Deals!$Z252)</f>
        <v/>
      </c>
      <c r="H300" s="23">
        <f>IF(OR($A300="",$G300=""),"",INT((Settings!$B$19-$G300)/7))</f>
        <v/>
      </c>
      <c r="I300" s="24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MissingLevel","")&amp;IF(AND($C300="Proposal",Deals!$H252=0.5)," DefaultProbability","")&amp;IF($F300="No"," NoDates","")&amp;IF(AND(ISNUMBER($H300),$H300&gt;=Settings!$B$20)," Stale","")))</f>
        <v/>
      </c>
    </row>
    <row r="301">
      <c r="A301" s="16">
        <f>IF(Deals!$A253="","",Deals!$A253)</f>
        <v/>
      </c>
      <c r="B301" s="16">
        <f>IF($A301="","",Deals!$C253)</f>
        <v/>
      </c>
      <c r="C301" s="16">
        <f>IF($A301="","",Deals!$F253)</f>
        <v/>
      </c>
      <c r="D301" s="21">
        <f>IF($A301="","",Deals!$H253)</f>
        <v/>
      </c>
      <c r="E301" s="17">
        <f>IF($A301="","",Deals!$Q253)</f>
        <v/>
      </c>
      <c r="F301" s="16">
        <f>IF($A301="","",IF(AND(Deals!$I253&lt;&gt;"",Deals!$J253&lt;&gt;""),"Yes","No"))</f>
        <v/>
      </c>
      <c r="G301" s="22">
        <f>IF($A301="","",Deals!$Z253)</f>
        <v/>
      </c>
      <c r="H301" s="23">
        <f>IF(OR($A301="",$G301=""),"",INT((Settings!$B$19-$G301)/7))</f>
        <v/>
      </c>
      <c r="I301" s="24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MissingLevel","")&amp;IF(AND($C301="Proposal",Deals!$H253=0.5)," DefaultProbability","")&amp;IF($F301="No"," NoDates","")&amp;IF(AND(ISNUMBER($H301),$H301&gt;=Settings!$B$20)," Stale","")))</f>
        <v/>
      </c>
    </row>
    <row r="302">
      <c r="A302" s="16">
        <f>IF(Deals!$A254="","",Deals!$A254)</f>
        <v/>
      </c>
      <c r="B302" s="16">
        <f>IF($A302="","",Deals!$C254)</f>
        <v/>
      </c>
      <c r="C302" s="16">
        <f>IF($A302="","",Deals!$F254)</f>
        <v/>
      </c>
      <c r="D302" s="21">
        <f>IF($A302="","",Deals!$H254)</f>
        <v/>
      </c>
      <c r="E302" s="17">
        <f>IF($A302="","",Deals!$Q254)</f>
        <v/>
      </c>
      <c r="F302" s="16">
        <f>IF($A302="","",IF(AND(Deals!$I254&lt;&gt;"",Deals!$J254&lt;&gt;""),"Yes","No"))</f>
        <v/>
      </c>
      <c r="G302" s="22">
        <f>IF($A302="","",Deals!$Z254)</f>
        <v/>
      </c>
      <c r="H302" s="23">
        <f>IF(OR($A302="",$G302=""),"",INT((Settings!$B$19-$G302)/7))</f>
        <v/>
      </c>
      <c r="I302" s="24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MissingLevel","")&amp;IF(AND($C302="Proposal",Deals!$H254=0.5)," DefaultProbability","")&amp;IF($F302="No"," NoDates","")&amp;IF(AND(ISNUMBER($H302),$H302&gt;=Settings!$B$20)," Stale","")))</f>
        <v/>
      </c>
    </row>
    <row r="303">
      <c r="A303" s="16">
        <f>IF(Deals!$A255="","",Deals!$A255)</f>
        <v/>
      </c>
      <c r="B303" s="16">
        <f>IF($A303="","",Deals!$C255)</f>
        <v/>
      </c>
      <c r="C303" s="16">
        <f>IF($A303="","",Deals!$F255)</f>
        <v/>
      </c>
      <c r="D303" s="21">
        <f>IF($A303="","",Deals!$H255)</f>
        <v/>
      </c>
      <c r="E303" s="17">
        <f>IF($A303="","",Deals!$Q255)</f>
        <v/>
      </c>
      <c r="F303" s="16">
        <f>IF($A303="","",IF(AND(Deals!$I255&lt;&gt;"",Deals!$J255&lt;&gt;""),"Yes","No"))</f>
        <v/>
      </c>
      <c r="G303" s="22">
        <f>IF($A303="","",Deals!$Z255)</f>
        <v/>
      </c>
      <c r="H303" s="23">
        <f>IF(OR($A303="",$G303=""),"",INT((Settings!$B$19-$G303)/7))</f>
        <v/>
      </c>
      <c r="I303" s="24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MissingLevel","")&amp;IF(AND($C303="Proposal",Deals!$H255=0.5)," DefaultProbability","")&amp;IF($F303="No"," NoDates","")&amp;IF(AND(ISNUMBER($H303),$H303&gt;=Settings!$B$20)," Stale","")))</f>
        <v/>
      </c>
    </row>
    <row r="304">
      <c r="A304" s="16">
        <f>IF(Deals!$A256="","",Deals!$A256)</f>
        <v/>
      </c>
      <c r="B304" s="16">
        <f>IF($A304="","",Deals!$C256)</f>
        <v/>
      </c>
      <c r="C304" s="16">
        <f>IF($A304="","",Deals!$F256)</f>
        <v/>
      </c>
      <c r="D304" s="21">
        <f>IF($A304="","",Deals!$H256)</f>
        <v/>
      </c>
      <c r="E304" s="17">
        <f>IF($A304="","",Deals!$Q256)</f>
        <v/>
      </c>
      <c r="F304" s="16">
        <f>IF($A304="","",IF(AND(Deals!$I256&lt;&gt;"",Deals!$J256&lt;&gt;""),"Yes","No"))</f>
        <v/>
      </c>
      <c r="G304" s="22">
        <f>IF($A304="","",Deals!$Z256)</f>
        <v/>
      </c>
      <c r="H304" s="23">
        <f>IF(OR($A304="",$G304=""),"",INT((Settings!$B$19-$G304)/7))</f>
        <v/>
      </c>
      <c r="I304" s="24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MissingLevel","")&amp;IF(AND($C304="Proposal",Deals!$H256=0.5)," DefaultProbability","")&amp;IF($F304="No"," NoDates","")&amp;IF(AND(ISNUMBER($H304),$H304&gt;=Settings!$B$20)," Stale","")))</f>
        <v/>
      </c>
    </row>
    <row r="305">
      <c r="A305" s="16">
        <f>IF(Deals!$A257="","",Deals!$A257)</f>
        <v/>
      </c>
      <c r="B305" s="16">
        <f>IF($A305="","",Deals!$C257)</f>
        <v/>
      </c>
      <c r="C305" s="16">
        <f>IF($A305="","",Deals!$F257)</f>
        <v/>
      </c>
      <c r="D305" s="21">
        <f>IF($A305="","",Deals!$H257)</f>
        <v/>
      </c>
      <c r="E305" s="17">
        <f>IF($A305="","",Deals!$Q257)</f>
        <v/>
      </c>
      <c r="F305" s="16">
        <f>IF($A305="","",IF(AND(Deals!$I257&lt;&gt;"",Deals!$J257&lt;&gt;""),"Yes","No"))</f>
        <v/>
      </c>
      <c r="G305" s="22">
        <f>IF($A305="","",Deals!$Z257)</f>
        <v/>
      </c>
      <c r="H305" s="23">
        <f>IF(OR($A305="",$G305=""),"",INT((Settings!$B$19-$G305)/7))</f>
        <v/>
      </c>
      <c r="I305" s="24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MissingLevel","")&amp;IF(AND($C305="Proposal",Deals!$H257=0.5)," DefaultProbability","")&amp;IF($F305="No"," NoDates","")&amp;IF(AND(ISNUMBER($H305),$H305&gt;=Settings!$B$20)," Stale","")))</f>
        <v/>
      </c>
    </row>
    <row r="306">
      <c r="A306" s="16">
        <f>IF(Deals!$A258="","",Deals!$A258)</f>
        <v/>
      </c>
      <c r="B306" s="16">
        <f>IF($A306="","",Deals!$C258)</f>
        <v/>
      </c>
      <c r="C306" s="16">
        <f>IF($A306="","",Deals!$F258)</f>
        <v/>
      </c>
      <c r="D306" s="21">
        <f>IF($A306="","",Deals!$H258)</f>
        <v/>
      </c>
      <c r="E306" s="17">
        <f>IF($A306="","",Deals!$Q258)</f>
        <v/>
      </c>
      <c r="F306" s="16">
        <f>IF($A306="","",IF(AND(Deals!$I258&lt;&gt;"",Deals!$J258&lt;&gt;""),"Yes","No"))</f>
        <v/>
      </c>
      <c r="G306" s="22">
        <f>IF($A306="","",Deals!$Z258)</f>
        <v/>
      </c>
      <c r="H306" s="23">
        <f>IF(OR($A306="",$G306=""),"",INT((Settings!$B$19-$G306)/7))</f>
        <v/>
      </c>
      <c r="I306" s="24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MissingLevel","")&amp;IF(AND($C306="Proposal",Deals!$H258=0.5)," DefaultProbability","")&amp;IF($F306="No"," NoDates","")&amp;IF(AND(ISNUMBER($H306),$H306&gt;=Settings!$B$20)," Stale","")))</f>
        <v/>
      </c>
    </row>
    <row r="307">
      <c r="A307" s="16">
        <f>IF(Deals!$A259="","",Deals!$A259)</f>
        <v/>
      </c>
      <c r="B307" s="16">
        <f>IF($A307="","",Deals!$C259)</f>
        <v/>
      </c>
      <c r="C307" s="16">
        <f>IF($A307="","",Deals!$F259)</f>
        <v/>
      </c>
      <c r="D307" s="21">
        <f>IF($A307="","",Deals!$H259)</f>
        <v/>
      </c>
      <c r="E307" s="17">
        <f>IF($A307="","",Deals!$Q259)</f>
        <v/>
      </c>
      <c r="F307" s="16">
        <f>IF($A307="","",IF(AND(Deals!$I259&lt;&gt;"",Deals!$J259&lt;&gt;""),"Yes","No"))</f>
        <v/>
      </c>
      <c r="G307" s="22">
        <f>IF($A307="","",Deals!$Z259)</f>
        <v/>
      </c>
      <c r="H307" s="23">
        <f>IF(OR($A307="",$G307=""),"",INT((Settings!$B$19-$G307)/7))</f>
        <v/>
      </c>
      <c r="I307" s="24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MissingLevel","")&amp;IF(AND($C307="Proposal",Deals!$H259=0.5)," DefaultProbability","")&amp;IF($F307="No"," NoDates","")&amp;IF(AND(ISNUMBER($H307),$H307&gt;=Settings!$B$20)," Stale","")))</f>
        <v/>
      </c>
    </row>
    <row r="308">
      <c r="A308" s="16">
        <f>IF(Deals!$A260="","",Deals!$A260)</f>
        <v/>
      </c>
      <c r="B308" s="16">
        <f>IF($A308="","",Deals!$C260)</f>
        <v/>
      </c>
      <c r="C308" s="16">
        <f>IF($A308="","",Deals!$F260)</f>
        <v/>
      </c>
      <c r="D308" s="21">
        <f>IF($A308="","",Deals!$H260)</f>
        <v/>
      </c>
      <c r="E308" s="17">
        <f>IF($A308="","",Deals!$Q260)</f>
        <v/>
      </c>
      <c r="F308" s="16">
        <f>IF($A308="","",IF(AND(Deals!$I260&lt;&gt;"",Deals!$J260&lt;&gt;""),"Yes","No"))</f>
        <v/>
      </c>
      <c r="G308" s="22">
        <f>IF($A308="","",Deals!$Z260)</f>
        <v/>
      </c>
      <c r="H308" s="23">
        <f>IF(OR($A308="",$G308=""),"",INT((Settings!$B$19-$G308)/7))</f>
        <v/>
      </c>
      <c r="I308" s="24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MissingLevel","")&amp;IF(AND($C308="Proposal",Deals!$H260=0.5)," DefaultProbability","")&amp;IF($F308="No"," NoDates","")&amp;IF(AND(ISNUMBER($H308),$H308&gt;=Settings!$B$20)," Stale","")))</f>
        <v/>
      </c>
    </row>
    <row r="309">
      <c r="A309" s="16">
        <f>IF(Deals!$A261="","",Deals!$A261)</f>
        <v/>
      </c>
      <c r="B309" s="16">
        <f>IF($A309="","",Deals!$C261)</f>
        <v/>
      </c>
      <c r="C309" s="16">
        <f>IF($A309="","",Deals!$F261)</f>
        <v/>
      </c>
      <c r="D309" s="21">
        <f>IF($A309="","",Deals!$H261)</f>
        <v/>
      </c>
      <c r="E309" s="17">
        <f>IF($A309="","",Deals!$Q261)</f>
        <v/>
      </c>
      <c r="F309" s="16">
        <f>IF($A309="","",IF(AND(Deals!$I261&lt;&gt;"",Deals!$J261&lt;&gt;""),"Yes","No"))</f>
        <v/>
      </c>
      <c r="G309" s="22">
        <f>IF($A309="","",Deals!$Z261)</f>
        <v/>
      </c>
      <c r="H309" s="23">
        <f>IF(OR($A309="",$G309=""),"",INT((Settings!$B$19-$G309)/7))</f>
        <v/>
      </c>
      <c r="I309" s="24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MissingLevel","")&amp;IF(AND($C309="Proposal",Deals!$H261=0.5)," DefaultProbability","")&amp;IF($F309="No"," NoDates","")&amp;IF(AND(ISNUMBER($H309),$H309&gt;=Settings!$B$20)," Stale","")))</f>
        <v/>
      </c>
    </row>
    <row r="310">
      <c r="A310" s="16">
        <f>IF(Deals!$A262="","",Deals!$A262)</f>
        <v/>
      </c>
      <c r="B310" s="16">
        <f>IF($A310="","",Deals!$C262)</f>
        <v/>
      </c>
      <c r="C310" s="16">
        <f>IF($A310="","",Deals!$F262)</f>
        <v/>
      </c>
      <c r="D310" s="21">
        <f>IF($A310="","",Deals!$H262)</f>
        <v/>
      </c>
      <c r="E310" s="17">
        <f>IF($A310="","",Deals!$Q262)</f>
        <v/>
      </c>
      <c r="F310" s="16">
        <f>IF($A310="","",IF(AND(Deals!$I262&lt;&gt;"",Deals!$J262&lt;&gt;""),"Yes","No"))</f>
        <v/>
      </c>
      <c r="G310" s="22">
        <f>IF($A310="","",Deals!$Z262)</f>
        <v/>
      </c>
      <c r="H310" s="23">
        <f>IF(OR($A310="",$G310=""),"",INT((Settings!$B$19-$G310)/7))</f>
        <v/>
      </c>
      <c r="I310" s="24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MissingLevel","")&amp;IF(AND($C310="Proposal",Deals!$H262=0.5)," DefaultProbability","")&amp;IF($F310="No"," NoDates","")&amp;IF(AND(ISNUMBER($H310),$H310&gt;=Settings!$B$20)," Stale","")))</f>
        <v/>
      </c>
    </row>
    <row r="311">
      <c r="A311" s="16">
        <f>IF(Deals!$A263="","",Deals!$A263)</f>
        <v/>
      </c>
      <c r="B311" s="16">
        <f>IF($A311="","",Deals!$C263)</f>
        <v/>
      </c>
      <c r="C311" s="16">
        <f>IF($A311="","",Deals!$F263)</f>
        <v/>
      </c>
      <c r="D311" s="21">
        <f>IF($A311="","",Deals!$H263)</f>
        <v/>
      </c>
      <c r="E311" s="17">
        <f>IF($A311="","",Deals!$Q263)</f>
        <v/>
      </c>
      <c r="F311" s="16">
        <f>IF($A311="","",IF(AND(Deals!$I263&lt;&gt;"",Deals!$J263&lt;&gt;""),"Yes","No"))</f>
        <v/>
      </c>
      <c r="G311" s="22">
        <f>IF($A311="","",Deals!$Z263)</f>
        <v/>
      </c>
      <c r="H311" s="23">
        <f>IF(OR($A311="",$G311=""),"",INT((Settings!$B$19-$G311)/7))</f>
        <v/>
      </c>
      <c r="I311" s="24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MissingLevel","")&amp;IF(AND($C311="Proposal",Deals!$H263=0.5)," DefaultProbability","")&amp;IF($F311="No"," NoDates","")&amp;IF(AND(ISNUMBER($H311),$H311&gt;=Settings!$B$20)," Stale","")))</f>
        <v/>
      </c>
    </row>
    <row r="312">
      <c r="A312" s="16">
        <f>IF(Deals!$A264="","",Deals!$A264)</f>
        <v/>
      </c>
      <c r="B312" s="16">
        <f>IF($A312="","",Deals!$C264)</f>
        <v/>
      </c>
      <c r="C312" s="16">
        <f>IF($A312="","",Deals!$F264)</f>
        <v/>
      </c>
      <c r="D312" s="21">
        <f>IF($A312="","",Deals!$H264)</f>
        <v/>
      </c>
      <c r="E312" s="17">
        <f>IF($A312="","",Deals!$Q264)</f>
        <v/>
      </c>
      <c r="F312" s="16">
        <f>IF($A312="","",IF(AND(Deals!$I264&lt;&gt;"",Deals!$J264&lt;&gt;""),"Yes","No"))</f>
        <v/>
      </c>
      <c r="G312" s="22">
        <f>IF($A312="","",Deals!$Z264)</f>
        <v/>
      </c>
      <c r="H312" s="23">
        <f>IF(OR($A312="",$G312=""),"",INT((Settings!$B$19-$G312)/7))</f>
        <v/>
      </c>
      <c r="I312" s="24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MissingLevel","")&amp;IF(AND($C312="Proposal",Deals!$H264=0.5)," DefaultProbability","")&amp;IF($F312="No"," NoDates","")&amp;IF(AND(ISNUMBER($H312),$H312&gt;=Settings!$B$20)," Stale","")))</f>
        <v/>
      </c>
    </row>
    <row r="313">
      <c r="A313" s="16">
        <f>IF(Deals!$A265="","",Deals!$A265)</f>
        <v/>
      </c>
      <c r="B313" s="16">
        <f>IF($A313="","",Deals!$C265)</f>
        <v/>
      </c>
      <c r="C313" s="16">
        <f>IF($A313="","",Deals!$F265)</f>
        <v/>
      </c>
      <c r="D313" s="21">
        <f>IF($A313="","",Deals!$H265)</f>
        <v/>
      </c>
      <c r="E313" s="17">
        <f>IF($A313="","",Deals!$Q265)</f>
        <v/>
      </c>
      <c r="F313" s="16">
        <f>IF($A313="","",IF(AND(Deals!$I265&lt;&gt;"",Deals!$J265&lt;&gt;""),"Yes","No"))</f>
        <v/>
      </c>
      <c r="G313" s="22">
        <f>IF($A313="","",Deals!$Z265)</f>
        <v/>
      </c>
      <c r="H313" s="23">
        <f>IF(OR($A313="",$G313=""),"",INT((Settings!$B$19-$G313)/7))</f>
        <v/>
      </c>
      <c r="I313" s="24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MissingLevel","")&amp;IF(AND($C313="Proposal",Deals!$H265=0.5)," DefaultProbability","")&amp;IF($F313="No"," NoDates","")&amp;IF(AND(ISNUMBER($H313),$H313&gt;=Settings!$B$20)," Stale","")))</f>
        <v/>
      </c>
    </row>
    <row r="314">
      <c r="A314" s="16">
        <f>IF(Deals!$A266="","",Deals!$A266)</f>
        <v/>
      </c>
      <c r="B314" s="16">
        <f>IF($A314="","",Deals!$C266)</f>
        <v/>
      </c>
      <c r="C314" s="16">
        <f>IF($A314="","",Deals!$F266)</f>
        <v/>
      </c>
      <c r="D314" s="21">
        <f>IF($A314="","",Deals!$H266)</f>
        <v/>
      </c>
      <c r="E314" s="17">
        <f>IF($A314="","",Deals!$Q266)</f>
        <v/>
      </c>
      <c r="F314" s="16">
        <f>IF($A314="","",IF(AND(Deals!$I266&lt;&gt;"",Deals!$J266&lt;&gt;""),"Yes","No"))</f>
        <v/>
      </c>
      <c r="G314" s="22">
        <f>IF($A314="","",Deals!$Z266)</f>
        <v/>
      </c>
      <c r="H314" s="23">
        <f>IF(OR($A314="",$G314=""),"",INT((Settings!$B$19-$G314)/7))</f>
        <v/>
      </c>
      <c r="I314" s="24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MissingLevel","")&amp;IF(AND($C314="Proposal",Deals!$H266=0.5)," DefaultProbability","")&amp;IF($F314="No"," NoDates","")&amp;IF(AND(ISNUMBER($H314),$H314&gt;=Settings!$B$20)," Stale","")))</f>
        <v/>
      </c>
    </row>
    <row r="315">
      <c r="A315" s="16">
        <f>IF(Deals!$A267="","",Deals!$A267)</f>
        <v/>
      </c>
      <c r="B315" s="16">
        <f>IF($A315="","",Deals!$C267)</f>
        <v/>
      </c>
      <c r="C315" s="16">
        <f>IF($A315="","",Deals!$F267)</f>
        <v/>
      </c>
      <c r="D315" s="21">
        <f>IF($A315="","",Deals!$H267)</f>
        <v/>
      </c>
      <c r="E315" s="17">
        <f>IF($A315="","",Deals!$Q267)</f>
        <v/>
      </c>
      <c r="F315" s="16">
        <f>IF($A315="","",IF(AND(Deals!$I267&lt;&gt;"",Deals!$J267&lt;&gt;""),"Yes","No"))</f>
        <v/>
      </c>
      <c r="G315" s="22">
        <f>IF($A315="","",Deals!$Z267)</f>
        <v/>
      </c>
      <c r="H315" s="23">
        <f>IF(OR($A315="",$G315=""),"",INT((Settings!$B$19-$G315)/7))</f>
        <v/>
      </c>
      <c r="I315" s="24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MissingLevel","")&amp;IF(AND($C315="Proposal",Deals!$H267=0.5)," DefaultProbability","")&amp;IF($F315="No"," NoDates","")&amp;IF(AND(ISNUMBER($H315),$H315&gt;=Settings!$B$20)," Stale","")))</f>
        <v/>
      </c>
    </row>
    <row r="316">
      <c r="A316" s="16">
        <f>IF(Deals!$A268="","",Deals!$A268)</f>
        <v/>
      </c>
      <c r="B316" s="16">
        <f>IF($A316="","",Deals!$C268)</f>
        <v/>
      </c>
      <c r="C316" s="16">
        <f>IF($A316="","",Deals!$F268)</f>
        <v/>
      </c>
      <c r="D316" s="21">
        <f>IF($A316="","",Deals!$H268)</f>
        <v/>
      </c>
      <c r="E316" s="17">
        <f>IF($A316="","",Deals!$Q268)</f>
        <v/>
      </c>
      <c r="F316" s="16">
        <f>IF($A316="","",IF(AND(Deals!$I268&lt;&gt;"",Deals!$J268&lt;&gt;""),"Yes","No"))</f>
        <v/>
      </c>
      <c r="G316" s="22">
        <f>IF($A316="","",Deals!$Z268)</f>
        <v/>
      </c>
      <c r="H316" s="23">
        <f>IF(OR($A316="",$G316=""),"",INT((Settings!$B$19-$G316)/7))</f>
        <v/>
      </c>
      <c r="I316" s="24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MissingLevel","")&amp;IF(AND($C316="Proposal",Deals!$H268=0.5)," DefaultProbability","")&amp;IF($F316="No"," NoDates","")&amp;IF(AND(ISNUMBER($H316),$H316&gt;=Settings!$B$20)," Stale","")))</f>
        <v/>
      </c>
    </row>
    <row r="317">
      <c r="A317" s="16">
        <f>IF(Deals!$A269="","",Deals!$A269)</f>
        <v/>
      </c>
      <c r="B317" s="16">
        <f>IF($A317="","",Deals!$C269)</f>
        <v/>
      </c>
      <c r="C317" s="16">
        <f>IF($A317="","",Deals!$F269)</f>
        <v/>
      </c>
      <c r="D317" s="21">
        <f>IF($A317="","",Deals!$H269)</f>
        <v/>
      </c>
      <c r="E317" s="17">
        <f>IF($A317="","",Deals!$Q269)</f>
        <v/>
      </c>
      <c r="F317" s="16">
        <f>IF($A317="","",IF(AND(Deals!$I269&lt;&gt;"",Deals!$J269&lt;&gt;""),"Yes","No"))</f>
        <v/>
      </c>
      <c r="G317" s="22">
        <f>IF($A317="","",Deals!$Z269)</f>
        <v/>
      </c>
      <c r="H317" s="23">
        <f>IF(OR($A317="",$G317=""),"",INT((Settings!$B$19-$G317)/7))</f>
        <v/>
      </c>
      <c r="I317" s="24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MissingLevel","")&amp;IF(AND($C317="Proposal",Deals!$H269=0.5)," DefaultProbability","")&amp;IF($F317="No"," NoDates","")&amp;IF(AND(ISNUMBER($H317),$H317&gt;=Settings!$B$20)," Stale","")))</f>
        <v/>
      </c>
    </row>
    <row r="318">
      <c r="A318" s="16">
        <f>IF(Deals!$A270="","",Deals!$A270)</f>
        <v/>
      </c>
      <c r="B318" s="16">
        <f>IF($A318="","",Deals!$C270)</f>
        <v/>
      </c>
      <c r="C318" s="16">
        <f>IF($A318="","",Deals!$F270)</f>
        <v/>
      </c>
      <c r="D318" s="21">
        <f>IF($A318="","",Deals!$H270)</f>
        <v/>
      </c>
      <c r="E318" s="17">
        <f>IF($A318="","",Deals!$Q270)</f>
        <v/>
      </c>
      <c r="F318" s="16">
        <f>IF($A318="","",IF(AND(Deals!$I270&lt;&gt;"",Deals!$J270&lt;&gt;""),"Yes","No"))</f>
        <v/>
      </c>
      <c r="G318" s="22">
        <f>IF($A318="","",Deals!$Z270)</f>
        <v/>
      </c>
      <c r="H318" s="23">
        <f>IF(OR($A318="",$G318=""),"",INT((Settings!$B$19-$G318)/7))</f>
        <v/>
      </c>
      <c r="I318" s="24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MissingLevel","")&amp;IF(AND($C318="Proposal",Deals!$H270=0.5)," DefaultProbability","")&amp;IF($F318="No"," NoDates","")&amp;IF(AND(ISNUMBER($H318),$H318&gt;=Settings!$B$20)," Stale","")))</f>
        <v/>
      </c>
    </row>
    <row r="319">
      <c r="A319" s="16">
        <f>IF(Deals!$A271="","",Deals!$A271)</f>
        <v/>
      </c>
      <c r="B319" s="16">
        <f>IF($A319="","",Deals!$C271)</f>
        <v/>
      </c>
      <c r="C319" s="16">
        <f>IF($A319="","",Deals!$F271)</f>
        <v/>
      </c>
      <c r="D319" s="21">
        <f>IF($A319="","",Deals!$H271)</f>
        <v/>
      </c>
      <c r="E319" s="17">
        <f>IF($A319="","",Deals!$Q271)</f>
        <v/>
      </c>
      <c r="F319" s="16">
        <f>IF($A319="","",IF(AND(Deals!$I271&lt;&gt;"",Deals!$J271&lt;&gt;""),"Yes","No"))</f>
        <v/>
      </c>
      <c r="G319" s="22">
        <f>IF($A319="","",Deals!$Z271)</f>
        <v/>
      </c>
      <c r="H319" s="23">
        <f>IF(OR($A319="",$G319=""),"",INT((Settings!$B$19-$G319)/7))</f>
        <v/>
      </c>
      <c r="I319" s="24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MissingLevel","")&amp;IF(AND($C319="Proposal",Deals!$H271=0.5)," DefaultProbability","")&amp;IF($F319="No"," NoDates","")&amp;IF(AND(ISNUMBER($H319),$H319&gt;=Settings!$B$20)," Stale","")))</f>
        <v/>
      </c>
    </row>
    <row r="320">
      <c r="A320" s="16">
        <f>IF(Deals!$A272="","",Deals!$A272)</f>
        <v/>
      </c>
      <c r="B320" s="16">
        <f>IF($A320="","",Deals!$C272)</f>
        <v/>
      </c>
      <c r="C320" s="16">
        <f>IF($A320="","",Deals!$F272)</f>
        <v/>
      </c>
      <c r="D320" s="21">
        <f>IF($A320="","",Deals!$H272)</f>
        <v/>
      </c>
      <c r="E320" s="17">
        <f>IF($A320="","",Deals!$Q272)</f>
        <v/>
      </c>
      <c r="F320" s="16">
        <f>IF($A320="","",IF(AND(Deals!$I272&lt;&gt;"",Deals!$J272&lt;&gt;""),"Yes","No"))</f>
        <v/>
      </c>
      <c r="G320" s="22">
        <f>IF($A320="","",Deals!$Z272)</f>
        <v/>
      </c>
      <c r="H320" s="23">
        <f>IF(OR($A320="",$G320=""),"",INT((Settings!$B$19-$G320)/7))</f>
        <v/>
      </c>
      <c r="I320" s="24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MissingLevel","")&amp;IF(AND($C320="Proposal",Deals!$H272=0.5)," DefaultProbability","")&amp;IF($F320="No"," NoDates","")&amp;IF(AND(ISNUMBER($H320),$H320&gt;=Settings!$B$20)," Stale","")))</f>
        <v/>
      </c>
    </row>
    <row r="321">
      <c r="A321" s="16">
        <f>IF(Deals!$A273="","",Deals!$A273)</f>
        <v/>
      </c>
      <c r="B321" s="16">
        <f>IF($A321="","",Deals!$C273)</f>
        <v/>
      </c>
      <c r="C321" s="16">
        <f>IF($A321="","",Deals!$F273)</f>
        <v/>
      </c>
      <c r="D321" s="21">
        <f>IF($A321="","",Deals!$H273)</f>
        <v/>
      </c>
      <c r="E321" s="17">
        <f>IF($A321="","",Deals!$Q273)</f>
        <v/>
      </c>
      <c r="F321" s="16">
        <f>IF($A321="","",IF(AND(Deals!$I273&lt;&gt;"",Deals!$J273&lt;&gt;""),"Yes","No"))</f>
        <v/>
      </c>
      <c r="G321" s="22">
        <f>IF($A321="","",Deals!$Z273)</f>
        <v/>
      </c>
      <c r="H321" s="23">
        <f>IF(OR($A321="",$G321=""),"",INT((Settings!$B$19-$G321)/7))</f>
        <v/>
      </c>
      <c r="I321" s="24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MissingLevel","")&amp;IF(AND($C321="Proposal",Deals!$H273=0.5)," DefaultProbability","")&amp;IF($F321="No"," NoDates","")&amp;IF(AND(ISNUMBER($H321),$H321&gt;=Settings!$B$20)," Stale","")))</f>
        <v/>
      </c>
    </row>
    <row r="322">
      <c r="A322" s="16">
        <f>IF(Deals!$A274="","",Deals!$A274)</f>
        <v/>
      </c>
      <c r="B322" s="16">
        <f>IF($A322="","",Deals!$C274)</f>
        <v/>
      </c>
      <c r="C322" s="16">
        <f>IF($A322="","",Deals!$F274)</f>
        <v/>
      </c>
      <c r="D322" s="21">
        <f>IF($A322="","",Deals!$H274)</f>
        <v/>
      </c>
      <c r="E322" s="17">
        <f>IF($A322="","",Deals!$Q274)</f>
        <v/>
      </c>
      <c r="F322" s="16">
        <f>IF($A322="","",IF(AND(Deals!$I274&lt;&gt;"",Deals!$J274&lt;&gt;""),"Yes","No"))</f>
        <v/>
      </c>
      <c r="G322" s="22">
        <f>IF($A322="","",Deals!$Z274)</f>
        <v/>
      </c>
      <c r="H322" s="23">
        <f>IF(OR($A322="",$G322=""),"",INT((Settings!$B$19-$G322)/7))</f>
        <v/>
      </c>
      <c r="I322" s="24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MissingLevel","")&amp;IF(AND($C322="Proposal",Deals!$H274=0.5)," DefaultProbability","")&amp;IF($F322="No"," NoDates","")&amp;IF(AND(ISNUMBER($H322),$H322&gt;=Settings!$B$20)," Stale","")))</f>
        <v/>
      </c>
    </row>
    <row r="323">
      <c r="A323" s="16">
        <f>IF(Deals!$A275="","",Deals!$A275)</f>
        <v/>
      </c>
      <c r="B323" s="16">
        <f>IF($A323="","",Deals!$C275)</f>
        <v/>
      </c>
      <c r="C323" s="16">
        <f>IF($A323="","",Deals!$F275)</f>
        <v/>
      </c>
      <c r="D323" s="21">
        <f>IF($A323="","",Deals!$H275)</f>
        <v/>
      </c>
      <c r="E323" s="17">
        <f>IF($A323="","",Deals!$Q275)</f>
        <v/>
      </c>
      <c r="F323" s="16">
        <f>IF($A323="","",IF(AND(Deals!$I275&lt;&gt;"",Deals!$J275&lt;&gt;""),"Yes","No"))</f>
        <v/>
      </c>
      <c r="G323" s="22">
        <f>IF($A323="","",Deals!$Z275)</f>
        <v/>
      </c>
      <c r="H323" s="23">
        <f>IF(OR($A323="",$G323=""),"",INT((Settings!$B$19-$G323)/7))</f>
        <v/>
      </c>
      <c r="I323" s="24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MissingLevel","")&amp;IF(AND($C323="Proposal",Deals!$H275=0.5)," DefaultProbability","")&amp;IF($F323="No"," NoDates","")&amp;IF(AND(ISNUMBER($H323),$H323&gt;=Settings!$B$20)," Stale","")))</f>
        <v/>
      </c>
    </row>
    <row r="324">
      <c r="A324" s="16">
        <f>IF(Deals!$A276="","",Deals!$A276)</f>
        <v/>
      </c>
      <c r="B324" s="16">
        <f>IF($A324="","",Deals!$C276)</f>
        <v/>
      </c>
      <c r="C324" s="16">
        <f>IF($A324="","",Deals!$F276)</f>
        <v/>
      </c>
      <c r="D324" s="21">
        <f>IF($A324="","",Deals!$H276)</f>
        <v/>
      </c>
      <c r="E324" s="17">
        <f>IF($A324="","",Deals!$Q276)</f>
        <v/>
      </c>
      <c r="F324" s="16">
        <f>IF($A324="","",IF(AND(Deals!$I276&lt;&gt;"",Deals!$J276&lt;&gt;""),"Yes","No"))</f>
        <v/>
      </c>
      <c r="G324" s="22">
        <f>IF($A324="","",Deals!$Z276)</f>
        <v/>
      </c>
      <c r="H324" s="23">
        <f>IF(OR($A324="",$G324=""),"",INT((Settings!$B$19-$G324)/7))</f>
        <v/>
      </c>
      <c r="I324" s="24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MissingLevel","")&amp;IF(AND($C324="Proposal",Deals!$H276=0.5)," DefaultProbability","")&amp;IF($F324="No"," NoDates","")&amp;IF(AND(ISNUMBER($H324),$H324&gt;=Settings!$B$20)," Stale","")))</f>
        <v/>
      </c>
    </row>
    <row r="325">
      <c r="A325" s="16">
        <f>IF(Deals!$A277="","",Deals!$A277)</f>
        <v/>
      </c>
      <c r="B325" s="16">
        <f>IF($A325="","",Deals!$C277)</f>
        <v/>
      </c>
      <c r="C325" s="16">
        <f>IF($A325="","",Deals!$F277)</f>
        <v/>
      </c>
      <c r="D325" s="21">
        <f>IF($A325="","",Deals!$H277)</f>
        <v/>
      </c>
      <c r="E325" s="17">
        <f>IF($A325="","",Deals!$Q277)</f>
        <v/>
      </c>
      <c r="F325" s="16">
        <f>IF($A325="","",IF(AND(Deals!$I277&lt;&gt;"",Deals!$J277&lt;&gt;""),"Yes","No"))</f>
        <v/>
      </c>
      <c r="G325" s="22">
        <f>IF($A325="","",Deals!$Z277)</f>
        <v/>
      </c>
      <c r="H325" s="23">
        <f>IF(OR($A325="",$G325=""),"",INT((Settings!$B$19-$G325)/7))</f>
        <v/>
      </c>
      <c r="I325" s="24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MissingLevel","")&amp;IF(AND($C325="Proposal",Deals!$H277=0.5)," DefaultProbability","")&amp;IF($F325="No"," NoDates","")&amp;IF(AND(ISNUMBER($H325),$H325&gt;=Settings!$B$20)," Stale","")))</f>
        <v/>
      </c>
    </row>
    <row r="326">
      <c r="A326" s="16">
        <f>IF(Deals!$A278="","",Deals!$A278)</f>
        <v/>
      </c>
      <c r="B326" s="16">
        <f>IF($A326="","",Deals!$C278)</f>
        <v/>
      </c>
      <c r="C326" s="16">
        <f>IF($A326="","",Deals!$F278)</f>
        <v/>
      </c>
      <c r="D326" s="21">
        <f>IF($A326="","",Deals!$H278)</f>
        <v/>
      </c>
      <c r="E326" s="17">
        <f>IF($A326="","",Deals!$Q278)</f>
        <v/>
      </c>
      <c r="F326" s="16">
        <f>IF($A326="","",IF(AND(Deals!$I278&lt;&gt;"",Deals!$J278&lt;&gt;""),"Yes","No"))</f>
        <v/>
      </c>
      <c r="G326" s="22">
        <f>IF($A326="","",Deals!$Z278)</f>
        <v/>
      </c>
      <c r="H326" s="23">
        <f>IF(OR($A326="",$G326=""),"",INT((Settings!$B$19-$G326)/7))</f>
        <v/>
      </c>
      <c r="I326" s="24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MissingLevel","")&amp;IF(AND($C326="Proposal",Deals!$H278=0.5)," DefaultProbability","")&amp;IF($F326="No"," NoDates","")&amp;IF(AND(ISNUMBER($H326),$H326&gt;=Settings!$B$20)," Stale","")))</f>
        <v/>
      </c>
    </row>
    <row r="327">
      <c r="A327" s="16">
        <f>IF(Deals!$A279="","",Deals!$A279)</f>
        <v/>
      </c>
      <c r="B327" s="16">
        <f>IF($A327="","",Deals!$C279)</f>
        <v/>
      </c>
      <c r="C327" s="16">
        <f>IF($A327="","",Deals!$F279)</f>
        <v/>
      </c>
      <c r="D327" s="21">
        <f>IF($A327="","",Deals!$H279)</f>
        <v/>
      </c>
      <c r="E327" s="17">
        <f>IF($A327="","",Deals!$Q279)</f>
        <v/>
      </c>
      <c r="F327" s="16">
        <f>IF($A327="","",IF(AND(Deals!$I279&lt;&gt;"",Deals!$J279&lt;&gt;""),"Yes","No"))</f>
        <v/>
      </c>
      <c r="G327" s="22">
        <f>IF($A327="","",Deals!$Z279)</f>
        <v/>
      </c>
      <c r="H327" s="23">
        <f>IF(OR($A327="",$G327=""),"",INT((Settings!$B$19-$G327)/7))</f>
        <v/>
      </c>
      <c r="I327" s="24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MissingLevel","")&amp;IF(AND($C327="Proposal",Deals!$H279=0.5)," DefaultProbability","")&amp;IF($F327="No"," NoDates","")&amp;IF(AND(ISNUMBER($H327),$H327&gt;=Settings!$B$20)," Stale","")))</f>
        <v/>
      </c>
    </row>
    <row r="328">
      <c r="A328" s="16">
        <f>IF(Deals!$A280="","",Deals!$A280)</f>
        <v/>
      </c>
      <c r="B328" s="16">
        <f>IF($A328="","",Deals!$C280)</f>
        <v/>
      </c>
      <c r="C328" s="16">
        <f>IF($A328="","",Deals!$F280)</f>
        <v/>
      </c>
      <c r="D328" s="21">
        <f>IF($A328="","",Deals!$H280)</f>
        <v/>
      </c>
      <c r="E328" s="17">
        <f>IF($A328="","",Deals!$Q280)</f>
        <v/>
      </c>
      <c r="F328" s="16">
        <f>IF($A328="","",IF(AND(Deals!$I280&lt;&gt;"",Deals!$J280&lt;&gt;""),"Yes","No"))</f>
        <v/>
      </c>
      <c r="G328" s="22">
        <f>IF($A328="","",Deals!$Z280)</f>
        <v/>
      </c>
      <c r="H328" s="23">
        <f>IF(OR($A328="",$G328=""),"",INT((Settings!$B$19-$G328)/7))</f>
        <v/>
      </c>
      <c r="I328" s="24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MissingLevel","")&amp;IF(AND($C328="Proposal",Deals!$H280=0.5)," DefaultProbability","")&amp;IF($F328="No"," NoDates","")&amp;IF(AND(ISNUMBER($H328),$H328&gt;=Settings!$B$20)," Stale","")))</f>
        <v/>
      </c>
    </row>
    <row r="329">
      <c r="A329" s="16">
        <f>IF(Deals!$A281="","",Deals!$A281)</f>
        <v/>
      </c>
      <c r="B329" s="16">
        <f>IF($A329="","",Deals!$C281)</f>
        <v/>
      </c>
      <c r="C329" s="16">
        <f>IF($A329="","",Deals!$F281)</f>
        <v/>
      </c>
      <c r="D329" s="21">
        <f>IF($A329="","",Deals!$H281)</f>
        <v/>
      </c>
      <c r="E329" s="17">
        <f>IF($A329="","",Deals!$Q281)</f>
        <v/>
      </c>
      <c r="F329" s="16">
        <f>IF($A329="","",IF(AND(Deals!$I281&lt;&gt;"",Deals!$J281&lt;&gt;""),"Yes","No"))</f>
        <v/>
      </c>
      <c r="G329" s="22">
        <f>IF($A329="","",Deals!$Z281)</f>
        <v/>
      </c>
      <c r="H329" s="23">
        <f>IF(OR($A329="",$G329=""),"",INT((Settings!$B$19-$G329)/7))</f>
        <v/>
      </c>
      <c r="I329" s="24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MissingLevel","")&amp;IF(AND($C329="Proposal",Deals!$H281=0.5)," DefaultProbability","")&amp;IF($F329="No"," NoDates","")&amp;IF(AND(ISNUMBER($H329),$H329&gt;=Settings!$B$20)," Stale","")))</f>
        <v/>
      </c>
    </row>
    <row r="330">
      <c r="A330" s="16">
        <f>IF(Deals!$A282="","",Deals!$A282)</f>
        <v/>
      </c>
      <c r="B330" s="16">
        <f>IF($A330="","",Deals!$C282)</f>
        <v/>
      </c>
      <c r="C330" s="16">
        <f>IF($A330="","",Deals!$F282)</f>
        <v/>
      </c>
      <c r="D330" s="21">
        <f>IF($A330="","",Deals!$H282)</f>
        <v/>
      </c>
      <c r="E330" s="17">
        <f>IF($A330="","",Deals!$Q282)</f>
        <v/>
      </c>
      <c r="F330" s="16">
        <f>IF($A330="","",IF(AND(Deals!$I282&lt;&gt;"",Deals!$J282&lt;&gt;""),"Yes","No"))</f>
        <v/>
      </c>
      <c r="G330" s="22">
        <f>IF($A330="","",Deals!$Z282)</f>
        <v/>
      </c>
      <c r="H330" s="23">
        <f>IF(OR($A330="",$G330=""),"",INT((Settings!$B$19-$G330)/7))</f>
        <v/>
      </c>
      <c r="I330" s="24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MissingLevel","")&amp;IF(AND($C330="Proposal",Deals!$H282=0.5)," DefaultProbability","")&amp;IF($F330="No"," NoDates","")&amp;IF(AND(ISNUMBER($H330),$H330&gt;=Settings!$B$20)," Stale","")))</f>
        <v/>
      </c>
    </row>
    <row r="331">
      <c r="A331" s="16">
        <f>IF(Deals!$A283="","",Deals!$A283)</f>
        <v/>
      </c>
      <c r="B331" s="16">
        <f>IF($A331="","",Deals!$C283)</f>
        <v/>
      </c>
      <c r="C331" s="16">
        <f>IF($A331="","",Deals!$F283)</f>
        <v/>
      </c>
      <c r="D331" s="21">
        <f>IF($A331="","",Deals!$H283)</f>
        <v/>
      </c>
      <c r="E331" s="17">
        <f>IF($A331="","",Deals!$Q283)</f>
        <v/>
      </c>
      <c r="F331" s="16">
        <f>IF($A331="","",IF(AND(Deals!$I283&lt;&gt;"",Deals!$J283&lt;&gt;""),"Yes","No"))</f>
        <v/>
      </c>
      <c r="G331" s="22">
        <f>IF($A331="","",Deals!$Z283)</f>
        <v/>
      </c>
      <c r="H331" s="23">
        <f>IF(OR($A331="",$G331=""),"",INT((Settings!$B$19-$G331)/7))</f>
        <v/>
      </c>
      <c r="I331" s="24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MissingLevel","")&amp;IF(AND($C331="Proposal",Deals!$H283=0.5)," DefaultProbability","")&amp;IF($F331="No"," NoDates","")&amp;IF(AND(ISNUMBER($H331),$H331&gt;=Settings!$B$20)," Stale","")))</f>
        <v/>
      </c>
    </row>
    <row r="332">
      <c r="A332" s="16">
        <f>IF(Deals!$A284="","",Deals!$A284)</f>
        <v/>
      </c>
      <c r="B332" s="16">
        <f>IF($A332="","",Deals!$C284)</f>
        <v/>
      </c>
      <c r="C332" s="16">
        <f>IF($A332="","",Deals!$F284)</f>
        <v/>
      </c>
      <c r="D332" s="21">
        <f>IF($A332="","",Deals!$H284)</f>
        <v/>
      </c>
      <c r="E332" s="17">
        <f>IF($A332="","",Deals!$Q284)</f>
        <v/>
      </c>
      <c r="F332" s="16">
        <f>IF($A332="","",IF(AND(Deals!$I284&lt;&gt;"",Deals!$J284&lt;&gt;""),"Yes","No"))</f>
        <v/>
      </c>
      <c r="G332" s="22">
        <f>IF($A332="","",Deals!$Z284)</f>
        <v/>
      </c>
      <c r="H332" s="23">
        <f>IF(OR($A332="",$G332=""),"",INT((Settings!$B$19-$G332)/7))</f>
        <v/>
      </c>
      <c r="I332" s="24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MissingLevel","")&amp;IF(AND($C332="Proposal",Deals!$H284=0.5)," DefaultProbability","")&amp;IF($F332="No"," NoDates","")&amp;IF(AND(ISNUMBER($H332),$H332&gt;=Settings!$B$20)," Stale","")))</f>
        <v/>
      </c>
    </row>
    <row r="333">
      <c r="A333" s="16">
        <f>IF(Deals!$A285="","",Deals!$A285)</f>
        <v/>
      </c>
      <c r="B333" s="16">
        <f>IF($A333="","",Deals!$C285)</f>
        <v/>
      </c>
      <c r="C333" s="16">
        <f>IF($A333="","",Deals!$F285)</f>
        <v/>
      </c>
      <c r="D333" s="21">
        <f>IF($A333="","",Deals!$H285)</f>
        <v/>
      </c>
      <c r="E333" s="17">
        <f>IF($A333="","",Deals!$Q285)</f>
        <v/>
      </c>
      <c r="F333" s="16">
        <f>IF($A333="","",IF(AND(Deals!$I285&lt;&gt;"",Deals!$J285&lt;&gt;""),"Yes","No"))</f>
        <v/>
      </c>
      <c r="G333" s="22">
        <f>IF($A333="","",Deals!$Z285)</f>
        <v/>
      </c>
      <c r="H333" s="23">
        <f>IF(OR($A333="",$G333=""),"",INT((Settings!$B$19-$G333)/7))</f>
        <v/>
      </c>
      <c r="I333" s="24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MissingLevel","")&amp;IF(AND($C333="Proposal",Deals!$H285=0.5)," DefaultProbability","")&amp;IF($F333="No"," NoDates","")&amp;IF(AND(ISNUMBER($H333),$H333&gt;=Settings!$B$20)," Stale","")))</f>
        <v/>
      </c>
    </row>
    <row r="334">
      <c r="A334" s="16">
        <f>IF(Deals!$A286="","",Deals!$A286)</f>
        <v/>
      </c>
      <c r="B334" s="16">
        <f>IF($A334="","",Deals!$C286)</f>
        <v/>
      </c>
      <c r="C334" s="16">
        <f>IF($A334="","",Deals!$F286)</f>
        <v/>
      </c>
      <c r="D334" s="21">
        <f>IF($A334="","",Deals!$H286)</f>
        <v/>
      </c>
      <c r="E334" s="17">
        <f>IF($A334="","",Deals!$Q286)</f>
        <v/>
      </c>
      <c r="F334" s="16">
        <f>IF($A334="","",IF(AND(Deals!$I286&lt;&gt;"",Deals!$J286&lt;&gt;""),"Yes","No"))</f>
        <v/>
      </c>
      <c r="G334" s="22">
        <f>IF($A334="","",Deals!$Z286)</f>
        <v/>
      </c>
      <c r="H334" s="23">
        <f>IF(OR($A334="",$G334=""),"",INT((Settings!$B$19-$G334)/7))</f>
        <v/>
      </c>
      <c r="I334" s="24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MissingLevel","")&amp;IF(AND($C334="Proposal",Deals!$H286=0.5)," DefaultProbability","")&amp;IF($F334="No"," NoDates","")&amp;IF(AND(ISNUMBER($H334),$H334&gt;=Settings!$B$20)," Stale","")))</f>
        <v/>
      </c>
    </row>
    <row r="335">
      <c r="A335" s="16">
        <f>IF(Deals!$A287="","",Deals!$A287)</f>
        <v/>
      </c>
      <c r="B335" s="16">
        <f>IF($A335="","",Deals!$C287)</f>
        <v/>
      </c>
      <c r="C335" s="16">
        <f>IF($A335="","",Deals!$F287)</f>
        <v/>
      </c>
      <c r="D335" s="21">
        <f>IF($A335="","",Deals!$H287)</f>
        <v/>
      </c>
      <c r="E335" s="17">
        <f>IF($A335="","",Deals!$Q287)</f>
        <v/>
      </c>
      <c r="F335" s="16">
        <f>IF($A335="","",IF(AND(Deals!$I287&lt;&gt;"",Deals!$J287&lt;&gt;""),"Yes","No"))</f>
        <v/>
      </c>
      <c r="G335" s="22">
        <f>IF($A335="","",Deals!$Z287)</f>
        <v/>
      </c>
      <c r="H335" s="23">
        <f>IF(OR($A335="",$G335=""),"",INT((Settings!$B$19-$G335)/7))</f>
        <v/>
      </c>
      <c r="I335" s="24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MissingLevel","")&amp;IF(AND($C335="Proposal",Deals!$H287=0.5)," DefaultProbability","")&amp;IF($F335="No"," NoDates","")&amp;IF(AND(ISNUMBER($H335),$H335&gt;=Settings!$B$20)," Stale","")))</f>
        <v/>
      </c>
    </row>
    <row r="336">
      <c r="A336" s="16">
        <f>IF(Deals!$A288="","",Deals!$A288)</f>
        <v/>
      </c>
      <c r="B336" s="16">
        <f>IF($A336="","",Deals!$C288)</f>
        <v/>
      </c>
      <c r="C336" s="16">
        <f>IF($A336="","",Deals!$F288)</f>
        <v/>
      </c>
      <c r="D336" s="21">
        <f>IF($A336="","",Deals!$H288)</f>
        <v/>
      </c>
      <c r="E336" s="17">
        <f>IF($A336="","",Deals!$Q288)</f>
        <v/>
      </c>
      <c r="F336" s="16">
        <f>IF($A336="","",IF(AND(Deals!$I288&lt;&gt;"",Deals!$J288&lt;&gt;""),"Yes","No"))</f>
        <v/>
      </c>
      <c r="G336" s="22">
        <f>IF($A336="","",Deals!$Z288)</f>
        <v/>
      </c>
      <c r="H336" s="23">
        <f>IF(OR($A336="",$G336=""),"",INT((Settings!$B$19-$G336)/7))</f>
        <v/>
      </c>
      <c r="I336" s="24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MissingLevel","")&amp;IF(AND($C336="Proposal",Deals!$H288=0.5)," DefaultProbability","")&amp;IF($F336="No"," NoDates","")&amp;IF(AND(ISNUMBER($H336),$H336&gt;=Settings!$B$20)," Stale","")))</f>
        <v/>
      </c>
    </row>
    <row r="337">
      <c r="A337" s="16">
        <f>IF(Deals!$A289="","",Deals!$A289)</f>
        <v/>
      </c>
      <c r="B337" s="16">
        <f>IF($A337="","",Deals!$C289)</f>
        <v/>
      </c>
      <c r="C337" s="16">
        <f>IF($A337="","",Deals!$F289)</f>
        <v/>
      </c>
      <c r="D337" s="21">
        <f>IF($A337="","",Deals!$H289)</f>
        <v/>
      </c>
      <c r="E337" s="17">
        <f>IF($A337="","",Deals!$Q289)</f>
        <v/>
      </c>
      <c r="F337" s="16">
        <f>IF($A337="","",IF(AND(Deals!$I289&lt;&gt;"",Deals!$J289&lt;&gt;""),"Yes","No"))</f>
        <v/>
      </c>
      <c r="G337" s="22">
        <f>IF($A337="","",Deals!$Z289)</f>
        <v/>
      </c>
      <c r="H337" s="23">
        <f>IF(OR($A337="",$G337=""),"",INT((Settings!$B$19-$G337)/7))</f>
        <v/>
      </c>
      <c r="I337" s="24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MissingLevel","")&amp;IF(AND($C337="Proposal",Deals!$H289=0.5)," DefaultProbability","")&amp;IF($F337="No"," NoDates","")&amp;IF(AND(ISNUMBER($H337),$H337&gt;=Settings!$B$20)," Stale","")))</f>
        <v/>
      </c>
    </row>
    <row r="338">
      <c r="A338" s="16">
        <f>IF(Deals!$A290="","",Deals!$A290)</f>
        <v/>
      </c>
      <c r="B338" s="16">
        <f>IF($A338="","",Deals!$C290)</f>
        <v/>
      </c>
      <c r="C338" s="16">
        <f>IF($A338="","",Deals!$F290)</f>
        <v/>
      </c>
      <c r="D338" s="21">
        <f>IF($A338="","",Deals!$H290)</f>
        <v/>
      </c>
      <c r="E338" s="17">
        <f>IF($A338="","",Deals!$Q290)</f>
        <v/>
      </c>
      <c r="F338" s="16">
        <f>IF($A338="","",IF(AND(Deals!$I290&lt;&gt;"",Deals!$J290&lt;&gt;""),"Yes","No"))</f>
        <v/>
      </c>
      <c r="G338" s="22">
        <f>IF($A338="","",Deals!$Z290)</f>
        <v/>
      </c>
      <c r="H338" s="23">
        <f>IF(OR($A338="",$G338=""),"",INT((Settings!$B$19-$G338)/7))</f>
        <v/>
      </c>
      <c r="I338" s="24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MissingLevel","")&amp;IF(AND($C338="Proposal",Deals!$H290=0.5)," DefaultProbability","")&amp;IF($F338="No"," NoDates","")&amp;IF(AND(ISNUMBER($H338),$H338&gt;=Settings!$B$20)," Stale","")))</f>
        <v/>
      </c>
    </row>
    <row r="339">
      <c r="A339" s="16">
        <f>IF(Deals!$A291="","",Deals!$A291)</f>
        <v/>
      </c>
      <c r="B339" s="16">
        <f>IF($A339="","",Deals!$C291)</f>
        <v/>
      </c>
      <c r="C339" s="16">
        <f>IF($A339="","",Deals!$F291)</f>
        <v/>
      </c>
      <c r="D339" s="21">
        <f>IF($A339="","",Deals!$H291)</f>
        <v/>
      </c>
      <c r="E339" s="17">
        <f>IF($A339="","",Deals!$Q291)</f>
        <v/>
      </c>
      <c r="F339" s="16">
        <f>IF($A339="","",IF(AND(Deals!$I291&lt;&gt;"",Deals!$J291&lt;&gt;""),"Yes","No"))</f>
        <v/>
      </c>
      <c r="G339" s="22">
        <f>IF($A339="","",Deals!$Z291)</f>
        <v/>
      </c>
      <c r="H339" s="23">
        <f>IF(OR($A339="",$G339=""),"",INT((Settings!$B$19-$G339)/7))</f>
        <v/>
      </c>
      <c r="I339" s="24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MissingLevel","")&amp;IF(AND($C339="Proposal",Deals!$H291=0.5)," DefaultProbability","")&amp;IF($F339="No"," NoDates","")&amp;IF(AND(ISNUMBER($H339),$H339&gt;=Settings!$B$20)," Stale","")))</f>
        <v/>
      </c>
    </row>
    <row r="340">
      <c r="A340" s="16">
        <f>IF(Deals!$A292="","",Deals!$A292)</f>
        <v/>
      </c>
      <c r="B340" s="16">
        <f>IF($A340="","",Deals!$C292)</f>
        <v/>
      </c>
      <c r="C340" s="16">
        <f>IF($A340="","",Deals!$F292)</f>
        <v/>
      </c>
      <c r="D340" s="21">
        <f>IF($A340="","",Deals!$H292)</f>
        <v/>
      </c>
      <c r="E340" s="17">
        <f>IF($A340="","",Deals!$Q292)</f>
        <v/>
      </c>
      <c r="F340" s="16">
        <f>IF($A340="","",IF(AND(Deals!$I292&lt;&gt;"",Deals!$J292&lt;&gt;""),"Yes","No"))</f>
        <v/>
      </c>
      <c r="G340" s="22">
        <f>IF($A340="","",Deals!$Z292)</f>
        <v/>
      </c>
      <c r="H340" s="23">
        <f>IF(OR($A340="",$G340=""),"",INT((Settings!$B$19-$G340)/7))</f>
        <v/>
      </c>
      <c r="I340" s="24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MissingLevel","")&amp;IF(AND($C340="Proposal",Deals!$H292=0.5)," DefaultProbability","")&amp;IF($F340="No"," NoDates","")&amp;IF(AND(ISNUMBER($H340),$H340&gt;=Settings!$B$20)," Stale","")))</f>
        <v/>
      </c>
    </row>
    <row r="341">
      <c r="A341" s="16">
        <f>IF(Deals!$A293="","",Deals!$A293)</f>
        <v/>
      </c>
      <c r="B341" s="16">
        <f>IF($A341="","",Deals!$C293)</f>
        <v/>
      </c>
      <c r="C341" s="16">
        <f>IF($A341="","",Deals!$F293)</f>
        <v/>
      </c>
      <c r="D341" s="21">
        <f>IF($A341="","",Deals!$H293)</f>
        <v/>
      </c>
      <c r="E341" s="17">
        <f>IF($A341="","",Deals!$Q293)</f>
        <v/>
      </c>
      <c r="F341" s="16">
        <f>IF($A341="","",IF(AND(Deals!$I293&lt;&gt;"",Deals!$J293&lt;&gt;""),"Yes","No"))</f>
        <v/>
      </c>
      <c r="G341" s="22">
        <f>IF($A341="","",Deals!$Z293)</f>
        <v/>
      </c>
      <c r="H341" s="23">
        <f>IF(OR($A341="",$G341=""),"",INT((Settings!$B$19-$G341)/7))</f>
        <v/>
      </c>
      <c r="I341" s="24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MissingLevel","")&amp;IF(AND($C341="Proposal",Deals!$H293=0.5)," DefaultProbability","")&amp;IF($F341="No"," NoDates","")&amp;IF(AND(ISNUMBER($H341),$H341&gt;=Settings!$B$20)," Stale","")))</f>
        <v/>
      </c>
    </row>
    <row r="342">
      <c r="A342" s="16">
        <f>IF(Deals!$A294="","",Deals!$A294)</f>
        <v/>
      </c>
      <c r="B342" s="16">
        <f>IF($A342="","",Deals!$C294)</f>
        <v/>
      </c>
      <c r="C342" s="16">
        <f>IF($A342="","",Deals!$F294)</f>
        <v/>
      </c>
      <c r="D342" s="21">
        <f>IF($A342="","",Deals!$H294)</f>
        <v/>
      </c>
      <c r="E342" s="17">
        <f>IF($A342="","",Deals!$Q294)</f>
        <v/>
      </c>
      <c r="F342" s="16">
        <f>IF($A342="","",IF(AND(Deals!$I294&lt;&gt;"",Deals!$J294&lt;&gt;""),"Yes","No"))</f>
        <v/>
      </c>
      <c r="G342" s="22">
        <f>IF($A342="","",Deals!$Z294)</f>
        <v/>
      </c>
      <c r="H342" s="23">
        <f>IF(OR($A342="",$G342=""),"",INT((Settings!$B$19-$G342)/7))</f>
        <v/>
      </c>
      <c r="I342" s="24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MissingLevel","")&amp;IF(AND($C342="Proposal",Deals!$H294=0.5)," DefaultProbability","")&amp;IF($F342="No"," NoDates","")&amp;IF(AND(ISNUMBER($H342),$H342&gt;=Settings!$B$20)," Stale","")))</f>
        <v/>
      </c>
    </row>
    <row r="343">
      <c r="A343" s="16">
        <f>IF(Deals!$A295="","",Deals!$A295)</f>
        <v/>
      </c>
      <c r="B343" s="16">
        <f>IF($A343="","",Deals!$C295)</f>
        <v/>
      </c>
      <c r="C343" s="16">
        <f>IF($A343="","",Deals!$F295)</f>
        <v/>
      </c>
      <c r="D343" s="21">
        <f>IF($A343="","",Deals!$H295)</f>
        <v/>
      </c>
      <c r="E343" s="17">
        <f>IF($A343="","",Deals!$Q295)</f>
        <v/>
      </c>
      <c r="F343" s="16">
        <f>IF($A343="","",IF(AND(Deals!$I295&lt;&gt;"",Deals!$J295&lt;&gt;""),"Yes","No"))</f>
        <v/>
      </c>
      <c r="G343" s="22">
        <f>IF($A343="","",Deals!$Z295)</f>
        <v/>
      </c>
      <c r="H343" s="23">
        <f>IF(OR($A343="",$G343=""),"",INT((Settings!$B$19-$G343)/7))</f>
        <v/>
      </c>
      <c r="I343" s="24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MissingLevel","")&amp;IF(AND($C343="Proposal",Deals!$H295=0.5)," DefaultProbability","")&amp;IF($F343="No"," NoDates","")&amp;IF(AND(ISNUMBER($H343),$H343&gt;=Settings!$B$20)," Stale","")))</f>
        <v/>
      </c>
    </row>
    <row r="344">
      <c r="A344" s="16">
        <f>IF(Deals!$A296="","",Deals!$A296)</f>
        <v/>
      </c>
      <c r="B344" s="16">
        <f>IF($A344="","",Deals!$C296)</f>
        <v/>
      </c>
      <c r="C344" s="16">
        <f>IF($A344="","",Deals!$F296)</f>
        <v/>
      </c>
      <c r="D344" s="21">
        <f>IF($A344="","",Deals!$H296)</f>
        <v/>
      </c>
      <c r="E344" s="17">
        <f>IF($A344="","",Deals!$Q296)</f>
        <v/>
      </c>
      <c r="F344" s="16">
        <f>IF($A344="","",IF(AND(Deals!$I296&lt;&gt;"",Deals!$J296&lt;&gt;""),"Yes","No"))</f>
        <v/>
      </c>
      <c r="G344" s="22">
        <f>IF($A344="","",Deals!$Z296)</f>
        <v/>
      </c>
      <c r="H344" s="23">
        <f>IF(OR($A344="",$G344=""),"",INT((Settings!$B$19-$G344)/7))</f>
        <v/>
      </c>
      <c r="I344" s="24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MissingLevel","")&amp;IF(AND($C344="Proposal",Deals!$H296=0.5)," DefaultProbability","")&amp;IF($F344="No"," NoDates","")&amp;IF(AND(ISNUMBER($H344),$H344&gt;=Settings!$B$20)," Stale","")))</f>
        <v/>
      </c>
    </row>
    <row r="345">
      <c r="A345" s="16">
        <f>IF(Deals!$A297="","",Deals!$A297)</f>
        <v/>
      </c>
      <c r="B345" s="16">
        <f>IF($A345="","",Deals!$C297)</f>
        <v/>
      </c>
      <c r="C345" s="16">
        <f>IF($A345="","",Deals!$F297)</f>
        <v/>
      </c>
      <c r="D345" s="21">
        <f>IF($A345="","",Deals!$H297)</f>
        <v/>
      </c>
      <c r="E345" s="17">
        <f>IF($A345="","",Deals!$Q297)</f>
        <v/>
      </c>
      <c r="F345" s="16">
        <f>IF($A345="","",IF(AND(Deals!$I297&lt;&gt;"",Deals!$J297&lt;&gt;""),"Yes","No"))</f>
        <v/>
      </c>
      <c r="G345" s="22">
        <f>IF($A345="","",Deals!$Z297)</f>
        <v/>
      </c>
      <c r="H345" s="23">
        <f>IF(OR($A345="",$G345=""),"",INT((Settings!$B$19-$G345)/7))</f>
        <v/>
      </c>
      <c r="I345" s="24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MissingLevel","")&amp;IF(AND($C345="Proposal",Deals!$H297=0.5)," DefaultProbability","")&amp;IF($F345="No"," NoDates","")&amp;IF(AND(ISNUMBER($H345),$H345&gt;=Settings!$B$20)," Stale","")))</f>
        <v/>
      </c>
    </row>
    <row r="346">
      <c r="A346" s="16">
        <f>IF(Deals!$A298="","",Deals!$A298)</f>
        <v/>
      </c>
      <c r="B346" s="16">
        <f>IF($A346="","",Deals!$C298)</f>
        <v/>
      </c>
      <c r="C346" s="16">
        <f>IF($A346="","",Deals!$F298)</f>
        <v/>
      </c>
      <c r="D346" s="21">
        <f>IF($A346="","",Deals!$H298)</f>
        <v/>
      </c>
      <c r="E346" s="17">
        <f>IF($A346="","",Deals!$Q298)</f>
        <v/>
      </c>
      <c r="F346" s="16">
        <f>IF($A346="","",IF(AND(Deals!$I298&lt;&gt;"",Deals!$J298&lt;&gt;""),"Yes","No"))</f>
        <v/>
      </c>
      <c r="G346" s="22">
        <f>IF($A346="","",Deals!$Z298)</f>
        <v/>
      </c>
      <c r="H346" s="23">
        <f>IF(OR($A346="",$G346=""),"",INT((Settings!$B$19-$G346)/7))</f>
        <v/>
      </c>
      <c r="I346" s="24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MissingLevel","")&amp;IF(AND($C346="Proposal",Deals!$H298=0.5)," DefaultProbability","")&amp;IF($F346="No"," NoDates","")&amp;IF(AND(ISNUMBER($H346),$H346&gt;=Settings!$B$20)," Stale","")))</f>
        <v/>
      </c>
    </row>
    <row r="347">
      <c r="A347" s="16">
        <f>IF(Deals!$A299="","",Deals!$A299)</f>
        <v/>
      </c>
      <c r="B347" s="16">
        <f>IF($A347="","",Deals!$C299)</f>
        <v/>
      </c>
      <c r="C347" s="16">
        <f>IF($A347="","",Deals!$F299)</f>
        <v/>
      </c>
      <c r="D347" s="21">
        <f>IF($A347="","",Deals!$H299)</f>
        <v/>
      </c>
      <c r="E347" s="17">
        <f>IF($A347="","",Deals!$Q299)</f>
        <v/>
      </c>
      <c r="F347" s="16">
        <f>IF($A347="","",IF(AND(Deals!$I299&lt;&gt;"",Deals!$J299&lt;&gt;""),"Yes","No"))</f>
        <v/>
      </c>
      <c r="G347" s="22">
        <f>IF($A347="","",Deals!$Z299)</f>
        <v/>
      </c>
      <c r="H347" s="23">
        <f>IF(OR($A347="",$G347=""),"",INT((Settings!$B$19-$G347)/7))</f>
        <v/>
      </c>
      <c r="I347" s="24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MissingLevel","")&amp;IF(AND($C347="Proposal",Deals!$H299=0.5)," DefaultProbability","")&amp;IF($F347="No"," NoDates","")&amp;IF(AND(ISNUMBER($H347),$H347&gt;=Settings!$B$20)," Stale","")))</f>
        <v/>
      </c>
    </row>
    <row r="348">
      <c r="A348" s="16">
        <f>IF(Deals!$A300="","",Deals!$A300)</f>
        <v/>
      </c>
      <c r="B348" s="16">
        <f>IF($A348="","",Deals!$C300)</f>
        <v/>
      </c>
      <c r="C348" s="16">
        <f>IF($A348="","",Deals!$F300)</f>
        <v/>
      </c>
      <c r="D348" s="21">
        <f>IF($A348="","",Deals!$H300)</f>
        <v/>
      </c>
      <c r="E348" s="17">
        <f>IF($A348="","",Deals!$Q300)</f>
        <v/>
      </c>
      <c r="F348" s="16">
        <f>IF($A348="","",IF(AND(Deals!$I300&lt;&gt;"",Deals!$J300&lt;&gt;""),"Yes","No"))</f>
        <v/>
      </c>
      <c r="G348" s="22">
        <f>IF($A348="","",Deals!$Z300)</f>
        <v/>
      </c>
      <c r="H348" s="23">
        <f>IF(OR($A348="",$G348=""),"",INT((Settings!$B$19-$G348)/7))</f>
        <v/>
      </c>
      <c r="I348" s="24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MissingLevel","")&amp;IF(AND($C348="Proposal",Deals!$H300=0.5)," DefaultProbability","")&amp;IF($F348="No"," NoDates","")&amp;IF(AND(ISNUMBER($H348),$H348&gt;=Settings!$B$20)," Stale","")))</f>
        <v/>
      </c>
    </row>
    <row r="349">
      <c r="A349" s="16">
        <f>IF(Deals!$A301="","",Deals!$A301)</f>
        <v/>
      </c>
      <c r="B349" s="16">
        <f>IF($A349="","",Deals!$C301)</f>
        <v/>
      </c>
      <c r="C349" s="16">
        <f>IF($A349="","",Deals!$F301)</f>
        <v/>
      </c>
      <c r="D349" s="21">
        <f>IF($A349="","",Deals!$H301)</f>
        <v/>
      </c>
      <c r="E349" s="17">
        <f>IF($A349="","",Deals!$Q301)</f>
        <v/>
      </c>
      <c r="F349" s="16">
        <f>IF($A349="","",IF(AND(Deals!$I301&lt;&gt;"",Deals!$J301&lt;&gt;""),"Yes","No"))</f>
        <v/>
      </c>
      <c r="G349" s="22">
        <f>IF($A349="","",Deals!$Z301)</f>
        <v/>
      </c>
      <c r="H349" s="23">
        <f>IF(OR($A349="",$G349=""),"",INT((Settings!$B$19-$G349)/7))</f>
        <v/>
      </c>
      <c r="I349" s="24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MissingLevel","")&amp;IF(AND($C349="Proposal",Deals!$H301=0.5)," DefaultProbability","")&amp;IF($F349="No"," NoDates","")&amp;IF(AND(ISNUMBER($H349),$H349&gt;=Settings!$B$20)," Stale","")))</f>
        <v/>
      </c>
    </row>
    <row r="350">
      <c r="A350" s="16">
        <f>IF(Deals!$A302="","",Deals!$A302)</f>
        <v/>
      </c>
      <c r="B350" s="16">
        <f>IF($A350="","",Deals!$C302)</f>
        <v/>
      </c>
      <c r="C350" s="16">
        <f>IF($A350="","",Deals!$F302)</f>
        <v/>
      </c>
      <c r="D350" s="21">
        <f>IF($A350="","",Deals!$H302)</f>
        <v/>
      </c>
      <c r="E350" s="17">
        <f>IF($A350="","",Deals!$Q302)</f>
        <v/>
      </c>
      <c r="F350" s="16">
        <f>IF($A350="","",IF(AND(Deals!$I302&lt;&gt;"",Deals!$J302&lt;&gt;""),"Yes","No"))</f>
        <v/>
      </c>
      <c r="G350" s="22">
        <f>IF($A350="","",Deals!$Z302)</f>
        <v/>
      </c>
      <c r="H350" s="23">
        <f>IF(OR($A350="",$G350=""),"",INT((Settings!$B$19-$G350)/7))</f>
        <v/>
      </c>
      <c r="I350" s="24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MissingLevel","")&amp;IF(AND($C350="Proposal",Deals!$H302=0.5)," DefaultProbability","")&amp;IF($F350="No"," NoDates","")&amp;IF(AND(ISNUMBER($H350),$H350&gt;=Settings!$B$20)," Stale","")))</f>
        <v/>
      </c>
    </row>
    <row r="351">
      <c r="A351" s="16">
        <f>IF(Deals!$A303="","",Deals!$A303)</f>
        <v/>
      </c>
      <c r="B351" s="16">
        <f>IF($A351="","",Deals!$C303)</f>
        <v/>
      </c>
      <c r="C351" s="16">
        <f>IF($A351="","",Deals!$F303)</f>
        <v/>
      </c>
      <c r="D351" s="21">
        <f>IF($A351="","",Deals!$H303)</f>
        <v/>
      </c>
      <c r="E351" s="17">
        <f>IF($A351="","",Deals!$Q303)</f>
        <v/>
      </c>
      <c r="F351" s="16">
        <f>IF($A351="","",IF(AND(Deals!$I303&lt;&gt;"",Deals!$J303&lt;&gt;""),"Yes","No"))</f>
        <v/>
      </c>
      <c r="G351" s="22">
        <f>IF($A351="","",Deals!$Z303)</f>
        <v/>
      </c>
      <c r="H351" s="23">
        <f>IF(OR($A351="",$G351=""),"",INT((Settings!$B$19-$G351)/7))</f>
        <v/>
      </c>
      <c r="I351" s="24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MissingLevel","")&amp;IF(AND($C351="Proposal",Deals!$H303=0.5)," DefaultProbability","")&amp;IF($F351="No"," NoDates","")&amp;IF(AND(ISNUMBER($H351),$H351&gt;=Settings!$B$20)," Stale","")))</f>
        <v/>
      </c>
    </row>
    <row r="352">
      <c r="A352" s="16">
        <f>IF(Deals!$A304="","",Deals!$A304)</f>
        <v/>
      </c>
      <c r="B352" s="16">
        <f>IF($A352="","",Deals!$C304)</f>
        <v/>
      </c>
      <c r="C352" s="16">
        <f>IF($A352="","",Deals!$F304)</f>
        <v/>
      </c>
      <c r="D352" s="21">
        <f>IF($A352="","",Deals!$H304)</f>
        <v/>
      </c>
      <c r="E352" s="17">
        <f>IF($A352="","",Deals!$Q304)</f>
        <v/>
      </c>
      <c r="F352" s="16">
        <f>IF($A352="","",IF(AND(Deals!$I304&lt;&gt;"",Deals!$J304&lt;&gt;""),"Yes","No"))</f>
        <v/>
      </c>
      <c r="G352" s="22">
        <f>IF($A352="","",Deals!$Z304)</f>
        <v/>
      </c>
      <c r="H352" s="23">
        <f>IF(OR($A352="",$G352=""),"",INT((Settings!$B$19-$G352)/7))</f>
        <v/>
      </c>
      <c r="I352" s="24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MissingLevel","")&amp;IF(AND($C352="Proposal",Deals!$H304=0.5)," DefaultProbability","")&amp;IF($F352="No"," NoDates","")&amp;IF(AND(ISNUMBER($H352),$H352&gt;=Settings!$B$20)," Stale","")))</f>
        <v/>
      </c>
    </row>
    <row r="353">
      <c r="A353" s="16">
        <f>IF(Deals!$A305="","",Deals!$A305)</f>
        <v/>
      </c>
      <c r="B353" s="16">
        <f>IF($A353="","",Deals!$C305)</f>
        <v/>
      </c>
      <c r="C353" s="16">
        <f>IF($A353="","",Deals!$F305)</f>
        <v/>
      </c>
      <c r="D353" s="21">
        <f>IF($A353="","",Deals!$H305)</f>
        <v/>
      </c>
      <c r="E353" s="17">
        <f>IF($A353="","",Deals!$Q305)</f>
        <v/>
      </c>
      <c r="F353" s="16">
        <f>IF($A353="","",IF(AND(Deals!$I305&lt;&gt;"",Deals!$J305&lt;&gt;""),"Yes","No"))</f>
        <v/>
      </c>
      <c r="G353" s="22">
        <f>IF($A353="","",Deals!$Z305)</f>
        <v/>
      </c>
      <c r="H353" s="23">
        <f>IF(OR($A353="",$G353=""),"",INT((Settings!$B$19-$G353)/7))</f>
        <v/>
      </c>
      <c r="I353" s="24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MissingLevel","")&amp;IF(AND($C353="Proposal",Deals!$H305=0.5)," DefaultProbability","")&amp;IF($F353="No"," NoDates","")&amp;IF(AND(ISNUMBER($H353),$H353&gt;=Settings!$B$20)," Stale","")))</f>
        <v/>
      </c>
    </row>
    <row r="354">
      <c r="A354" s="16">
        <f>IF(Deals!$A306="","",Deals!$A306)</f>
        <v/>
      </c>
      <c r="B354" s="16">
        <f>IF($A354="","",Deals!$C306)</f>
        <v/>
      </c>
      <c r="C354" s="16">
        <f>IF($A354="","",Deals!$F306)</f>
        <v/>
      </c>
      <c r="D354" s="21">
        <f>IF($A354="","",Deals!$H306)</f>
        <v/>
      </c>
      <c r="E354" s="17">
        <f>IF($A354="","",Deals!$Q306)</f>
        <v/>
      </c>
      <c r="F354" s="16">
        <f>IF($A354="","",IF(AND(Deals!$I306&lt;&gt;"",Deals!$J306&lt;&gt;""),"Yes","No"))</f>
        <v/>
      </c>
      <c r="G354" s="22">
        <f>IF($A354="","",Deals!$Z306)</f>
        <v/>
      </c>
      <c r="H354" s="23">
        <f>IF(OR($A354="",$G354=""),"",INT((Settings!$B$19-$G354)/7))</f>
        <v/>
      </c>
      <c r="I354" s="24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MissingLevel","")&amp;IF(AND($C354="Proposal",Deals!$H306=0.5)," DefaultProbability","")&amp;IF($F354="No"," NoDates","")&amp;IF(AND(ISNUMBER($H354),$H354&gt;=Settings!$B$20)," Stale","")))</f>
        <v/>
      </c>
    </row>
    <row r="355">
      <c r="A355" s="16">
        <f>IF(Deals!$A307="","",Deals!$A307)</f>
        <v/>
      </c>
      <c r="B355" s="16">
        <f>IF($A355="","",Deals!$C307)</f>
        <v/>
      </c>
      <c r="C355" s="16">
        <f>IF($A355="","",Deals!$F307)</f>
        <v/>
      </c>
      <c r="D355" s="21">
        <f>IF($A355="","",Deals!$H307)</f>
        <v/>
      </c>
      <c r="E355" s="17">
        <f>IF($A355="","",Deals!$Q307)</f>
        <v/>
      </c>
      <c r="F355" s="16">
        <f>IF($A355="","",IF(AND(Deals!$I307&lt;&gt;"",Deals!$J307&lt;&gt;""),"Yes","No"))</f>
        <v/>
      </c>
      <c r="G355" s="22">
        <f>IF($A355="","",Deals!$Z307)</f>
        <v/>
      </c>
      <c r="H355" s="23">
        <f>IF(OR($A355="",$G355=""),"",INT((Settings!$B$19-$G355)/7))</f>
        <v/>
      </c>
      <c r="I355" s="24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MissingLevel","")&amp;IF(AND($C355="Proposal",Deals!$H307=0.5)," DefaultProbability","")&amp;IF($F355="No"," NoDates","")&amp;IF(AND(ISNUMBER($H355),$H355&gt;=Settings!$B$20)," Stale","")))</f>
        <v/>
      </c>
    </row>
    <row r="356">
      <c r="A356" s="16">
        <f>IF(Deals!$A308="","",Deals!$A308)</f>
        <v/>
      </c>
      <c r="B356" s="16">
        <f>IF($A356="","",Deals!$C308)</f>
        <v/>
      </c>
      <c r="C356" s="16">
        <f>IF($A356="","",Deals!$F308)</f>
        <v/>
      </c>
      <c r="D356" s="21">
        <f>IF($A356="","",Deals!$H308)</f>
        <v/>
      </c>
      <c r="E356" s="17">
        <f>IF($A356="","",Deals!$Q308)</f>
        <v/>
      </c>
      <c r="F356" s="16">
        <f>IF($A356="","",IF(AND(Deals!$I308&lt;&gt;"",Deals!$J308&lt;&gt;""),"Yes","No"))</f>
        <v/>
      </c>
      <c r="G356" s="22">
        <f>IF($A356="","",Deals!$Z308)</f>
        <v/>
      </c>
      <c r="H356" s="23">
        <f>IF(OR($A356="",$G356=""),"",INT((Settings!$B$19-$G356)/7))</f>
        <v/>
      </c>
      <c r="I356" s="24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MissingLevel","")&amp;IF(AND($C356="Proposal",Deals!$H308=0.5)," DefaultProbability","")&amp;IF($F356="No"," NoDates","")&amp;IF(AND(ISNUMBER($H356),$H356&gt;=Settings!$B$20)," Stale","")))</f>
        <v/>
      </c>
    </row>
    <row r="357">
      <c r="A357" s="16">
        <f>IF(Deals!$A309="","",Deals!$A309)</f>
        <v/>
      </c>
      <c r="B357" s="16">
        <f>IF($A357="","",Deals!$C309)</f>
        <v/>
      </c>
      <c r="C357" s="16">
        <f>IF($A357="","",Deals!$F309)</f>
        <v/>
      </c>
      <c r="D357" s="21">
        <f>IF($A357="","",Deals!$H309)</f>
        <v/>
      </c>
      <c r="E357" s="17">
        <f>IF($A357="","",Deals!$Q309)</f>
        <v/>
      </c>
      <c r="F357" s="16">
        <f>IF($A357="","",IF(AND(Deals!$I309&lt;&gt;"",Deals!$J309&lt;&gt;""),"Yes","No"))</f>
        <v/>
      </c>
      <c r="G357" s="22">
        <f>IF($A357="","",Deals!$Z309)</f>
        <v/>
      </c>
      <c r="H357" s="23">
        <f>IF(OR($A357="",$G357=""),"",INT((Settings!$B$19-$G357)/7))</f>
        <v/>
      </c>
      <c r="I357" s="24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MissingLevel","")&amp;IF(AND($C357="Proposal",Deals!$H309=0.5)," DefaultProbability","")&amp;IF($F357="No"," NoDates","")&amp;IF(AND(ISNUMBER($H357),$H357&gt;=Settings!$B$20)," Stale","")))</f>
        <v/>
      </c>
    </row>
    <row r="358">
      <c r="A358" s="16">
        <f>IF(Deals!$A310="","",Deals!$A310)</f>
        <v/>
      </c>
      <c r="B358" s="16">
        <f>IF($A358="","",Deals!$C310)</f>
        <v/>
      </c>
      <c r="C358" s="16">
        <f>IF($A358="","",Deals!$F310)</f>
        <v/>
      </c>
      <c r="D358" s="21">
        <f>IF($A358="","",Deals!$H310)</f>
        <v/>
      </c>
      <c r="E358" s="17">
        <f>IF($A358="","",Deals!$Q310)</f>
        <v/>
      </c>
      <c r="F358" s="16">
        <f>IF($A358="","",IF(AND(Deals!$I310&lt;&gt;"",Deals!$J310&lt;&gt;""),"Yes","No"))</f>
        <v/>
      </c>
      <c r="G358" s="22">
        <f>IF($A358="","",Deals!$Z310)</f>
        <v/>
      </c>
      <c r="H358" s="23">
        <f>IF(OR($A358="",$G358=""),"",INT((Settings!$B$19-$G358)/7))</f>
        <v/>
      </c>
      <c r="I358" s="24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MissingLevel","")&amp;IF(AND($C358="Proposal",Deals!$H310=0.5)," DefaultProbability","")&amp;IF($F358="No"," NoDates","")&amp;IF(AND(ISNUMBER($H358),$H358&gt;=Settings!$B$20)," Stale","")))</f>
        <v/>
      </c>
    </row>
    <row r="359">
      <c r="A359" s="16">
        <f>IF(Deals!$A311="","",Deals!$A311)</f>
        <v/>
      </c>
      <c r="B359" s="16">
        <f>IF($A359="","",Deals!$C311)</f>
        <v/>
      </c>
      <c r="C359" s="16">
        <f>IF($A359="","",Deals!$F311)</f>
        <v/>
      </c>
      <c r="D359" s="21">
        <f>IF($A359="","",Deals!$H311)</f>
        <v/>
      </c>
      <c r="E359" s="17">
        <f>IF($A359="","",Deals!$Q311)</f>
        <v/>
      </c>
      <c r="F359" s="16">
        <f>IF($A359="","",IF(AND(Deals!$I311&lt;&gt;"",Deals!$J311&lt;&gt;""),"Yes","No"))</f>
        <v/>
      </c>
      <c r="G359" s="22">
        <f>IF($A359="","",Deals!$Z311)</f>
        <v/>
      </c>
      <c r="H359" s="23">
        <f>IF(OR($A359="",$G359=""),"",INT((Settings!$B$19-$G359)/7))</f>
        <v/>
      </c>
      <c r="I359" s="24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MissingLevel","")&amp;IF(AND($C359="Proposal",Deals!$H311=0.5)," DefaultProbability","")&amp;IF($F359="No"," NoDates","")&amp;IF(AND(ISNUMBER($H359),$H359&gt;=Settings!$B$20)," Stale","")))</f>
        <v/>
      </c>
    </row>
    <row r="360">
      <c r="A360" s="16">
        <f>IF(Deals!$A312="","",Deals!$A312)</f>
        <v/>
      </c>
      <c r="B360" s="16">
        <f>IF($A360="","",Deals!$C312)</f>
        <v/>
      </c>
      <c r="C360" s="16">
        <f>IF($A360="","",Deals!$F312)</f>
        <v/>
      </c>
      <c r="D360" s="21">
        <f>IF($A360="","",Deals!$H312)</f>
        <v/>
      </c>
      <c r="E360" s="17">
        <f>IF($A360="","",Deals!$Q312)</f>
        <v/>
      </c>
      <c r="F360" s="16">
        <f>IF($A360="","",IF(AND(Deals!$I312&lt;&gt;"",Deals!$J312&lt;&gt;""),"Yes","No"))</f>
        <v/>
      </c>
      <c r="G360" s="22">
        <f>IF($A360="","",Deals!$Z312)</f>
        <v/>
      </c>
      <c r="H360" s="23">
        <f>IF(OR($A360="",$G360=""),"",INT((Settings!$B$19-$G360)/7))</f>
        <v/>
      </c>
      <c r="I360" s="24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MissingLevel","")&amp;IF(AND($C360="Proposal",Deals!$H312=0.5)," DefaultProbability","")&amp;IF($F360="No"," NoDates","")&amp;IF(AND(ISNUMBER($H360),$H360&gt;=Settings!$B$20)," Stale","")))</f>
        <v/>
      </c>
    </row>
    <row r="361">
      <c r="A361" s="16">
        <f>IF(Deals!$A313="","",Deals!$A313)</f>
        <v/>
      </c>
      <c r="B361" s="16">
        <f>IF($A361="","",Deals!$C313)</f>
        <v/>
      </c>
      <c r="C361" s="16">
        <f>IF($A361="","",Deals!$F313)</f>
        <v/>
      </c>
      <c r="D361" s="21">
        <f>IF($A361="","",Deals!$H313)</f>
        <v/>
      </c>
      <c r="E361" s="17">
        <f>IF($A361="","",Deals!$Q313)</f>
        <v/>
      </c>
      <c r="F361" s="16">
        <f>IF($A361="","",IF(AND(Deals!$I313&lt;&gt;"",Deals!$J313&lt;&gt;""),"Yes","No"))</f>
        <v/>
      </c>
      <c r="G361" s="22">
        <f>IF($A361="","",Deals!$Z313)</f>
        <v/>
      </c>
      <c r="H361" s="23">
        <f>IF(OR($A361="",$G361=""),"",INT((Settings!$B$19-$G361)/7))</f>
        <v/>
      </c>
      <c r="I361" s="24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MissingLevel","")&amp;IF(AND($C361="Proposal",Deals!$H313=0.5)," DefaultProbability","")&amp;IF($F361="No"," NoDates","")&amp;IF(AND(ISNUMBER($H361),$H361&gt;=Settings!$B$20)," Stale","")))</f>
        <v/>
      </c>
    </row>
    <row r="362">
      <c r="A362" s="16">
        <f>IF(Deals!$A314="","",Deals!$A314)</f>
        <v/>
      </c>
      <c r="B362" s="16">
        <f>IF($A362="","",Deals!$C314)</f>
        <v/>
      </c>
      <c r="C362" s="16">
        <f>IF($A362="","",Deals!$F314)</f>
        <v/>
      </c>
      <c r="D362" s="21">
        <f>IF($A362="","",Deals!$H314)</f>
        <v/>
      </c>
      <c r="E362" s="17">
        <f>IF($A362="","",Deals!$Q314)</f>
        <v/>
      </c>
      <c r="F362" s="16">
        <f>IF($A362="","",IF(AND(Deals!$I314&lt;&gt;"",Deals!$J314&lt;&gt;""),"Yes","No"))</f>
        <v/>
      </c>
      <c r="G362" s="22">
        <f>IF($A362="","",Deals!$Z314)</f>
        <v/>
      </c>
      <c r="H362" s="23">
        <f>IF(OR($A362="",$G362=""),"",INT((Settings!$B$19-$G362)/7))</f>
        <v/>
      </c>
      <c r="I362" s="24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MissingLevel","")&amp;IF(AND($C362="Proposal",Deals!$H314=0.5)," DefaultProbability","")&amp;IF($F362="No"," NoDates","")&amp;IF(AND(ISNUMBER($H362),$H362&gt;=Settings!$B$20)," Stale","")))</f>
        <v/>
      </c>
    </row>
    <row r="363">
      <c r="A363" s="16">
        <f>IF(Deals!$A315="","",Deals!$A315)</f>
        <v/>
      </c>
      <c r="B363" s="16">
        <f>IF($A363="","",Deals!$C315)</f>
        <v/>
      </c>
      <c r="C363" s="16">
        <f>IF($A363="","",Deals!$F315)</f>
        <v/>
      </c>
      <c r="D363" s="21">
        <f>IF($A363="","",Deals!$H315)</f>
        <v/>
      </c>
      <c r="E363" s="17">
        <f>IF($A363="","",Deals!$Q315)</f>
        <v/>
      </c>
      <c r="F363" s="16">
        <f>IF($A363="","",IF(AND(Deals!$I315&lt;&gt;"",Deals!$J315&lt;&gt;""),"Yes","No"))</f>
        <v/>
      </c>
      <c r="G363" s="22">
        <f>IF($A363="","",Deals!$Z315)</f>
        <v/>
      </c>
      <c r="H363" s="23">
        <f>IF(OR($A363="",$G363=""),"",INT((Settings!$B$19-$G363)/7))</f>
        <v/>
      </c>
      <c r="I363" s="24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MissingLevel","")&amp;IF(AND($C363="Proposal",Deals!$H315=0.5)," DefaultProbability","")&amp;IF($F363="No"," NoDates","")&amp;IF(AND(ISNUMBER($H363),$H363&gt;=Settings!$B$20)," Stale","")))</f>
        <v/>
      </c>
    </row>
    <row r="364">
      <c r="A364" s="16">
        <f>IF(Deals!$A316="","",Deals!$A316)</f>
        <v/>
      </c>
      <c r="B364" s="16">
        <f>IF($A364="","",Deals!$C316)</f>
        <v/>
      </c>
      <c r="C364" s="16">
        <f>IF($A364="","",Deals!$F316)</f>
        <v/>
      </c>
      <c r="D364" s="21">
        <f>IF($A364="","",Deals!$H316)</f>
        <v/>
      </c>
      <c r="E364" s="17">
        <f>IF($A364="","",Deals!$Q316)</f>
        <v/>
      </c>
      <c r="F364" s="16">
        <f>IF($A364="","",IF(AND(Deals!$I316&lt;&gt;"",Deals!$J316&lt;&gt;""),"Yes","No"))</f>
        <v/>
      </c>
      <c r="G364" s="22">
        <f>IF($A364="","",Deals!$Z316)</f>
        <v/>
      </c>
      <c r="H364" s="23">
        <f>IF(OR($A364="",$G364=""),"",INT((Settings!$B$19-$G364)/7))</f>
        <v/>
      </c>
      <c r="I364" s="24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MissingLevel","")&amp;IF(AND($C364="Proposal",Deals!$H316=0.5)," DefaultProbability","")&amp;IF($F364="No"," NoDates","")&amp;IF(AND(ISNUMBER($H364),$H364&gt;=Settings!$B$20)," Stale","")))</f>
        <v/>
      </c>
    </row>
    <row r="365">
      <c r="A365" s="16">
        <f>IF(Deals!$A317="","",Deals!$A317)</f>
        <v/>
      </c>
      <c r="B365" s="16">
        <f>IF($A365="","",Deals!$C317)</f>
        <v/>
      </c>
      <c r="C365" s="16">
        <f>IF($A365="","",Deals!$F317)</f>
        <v/>
      </c>
      <c r="D365" s="21">
        <f>IF($A365="","",Deals!$H317)</f>
        <v/>
      </c>
      <c r="E365" s="17">
        <f>IF($A365="","",Deals!$Q317)</f>
        <v/>
      </c>
      <c r="F365" s="16">
        <f>IF($A365="","",IF(AND(Deals!$I317&lt;&gt;"",Deals!$J317&lt;&gt;""),"Yes","No"))</f>
        <v/>
      </c>
      <c r="G365" s="22">
        <f>IF($A365="","",Deals!$Z317)</f>
        <v/>
      </c>
      <c r="H365" s="23">
        <f>IF(OR($A365="",$G365=""),"",INT((Settings!$B$19-$G365)/7))</f>
        <v/>
      </c>
      <c r="I365" s="24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MissingLevel","")&amp;IF(AND($C365="Proposal",Deals!$H317=0.5)," DefaultProbability","")&amp;IF($F365="No"," NoDates","")&amp;IF(AND(ISNUMBER($H365),$H365&gt;=Settings!$B$20)," Stale","")))</f>
        <v/>
      </c>
    </row>
    <row r="366">
      <c r="A366" s="16">
        <f>IF(Deals!$A318="","",Deals!$A318)</f>
        <v/>
      </c>
      <c r="B366" s="16">
        <f>IF($A366="","",Deals!$C318)</f>
        <v/>
      </c>
      <c r="C366" s="16">
        <f>IF($A366="","",Deals!$F318)</f>
        <v/>
      </c>
      <c r="D366" s="21">
        <f>IF($A366="","",Deals!$H318)</f>
        <v/>
      </c>
      <c r="E366" s="17">
        <f>IF($A366="","",Deals!$Q318)</f>
        <v/>
      </c>
      <c r="F366" s="16">
        <f>IF($A366="","",IF(AND(Deals!$I318&lt;&gt;"",Deals!$J318&lt;&gt;""),"Yes","No"))</f>
        <v/>
      </c>
      <c r="G366" s="22">
        <f>IF($A366="","",Deals!$Z318)</f>
        <v/>
      </c>
      <c r="H366" s="23">
        <f>IF(OR($A366="",$G366=""),"",INT((Settings!$B$19-$G366)/7))</f>
        <v/>
      </c>
      <c r="I366" s="24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MissingLevel","")&amp;IF(AND($C366="Proposal",Deals!$H318=0.5)," DefaultProbability","")&amp;IF($F366="No"," NoDates","")&amp;IF(AND(ISNUMBER($H366),$H366&gt;=Settings!$B$20)," Stale","")))</f>
        <v/>
      </c>
    </row>
    <row r="367">
      <c r="A367" s="16">
        <f>IF(Deals!$A319="","",Deals!$A319)</f>
        <v/>
      </c>
      <c r="B367" s="16">
        <f>IF($A367="","",Deals!$C319)</f>
        <v/>
      </c>
      <c r="C367" s="16">
        <f>IF($A367="","",Deals!$F319)</f>
        <v/>
      </c>
      <c r="D367" s="21">
        <f>IF($A367="","",Deals!$H319)</f>
        <v/>
      </c>
      <c r="E367" s="17">
        <f>IF($A367="","",Deals!$Q319)</f>
        <v/>
      </c>
      <c r="F367" s="16">
        <f>IF($A367="","",IF(AND(Deals!$I319&lt;&gt;"",Deals!$J319&lt;&gt;""),"Yes","No"))</f>
        <v/>
      </c>
      <c r="G367" s="22">
        <f>IF($A367="","",Deals!$Z319)</f>
        <v/>
      </c>
      <c r="H367" s="23">
        <f>IF(OR($A367="",$G367=""),"",INT((Settings!$B$19-$G367)/7))</f>
        <v/>
      </c>
      <c r="I367" s="24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MissingLevel","")&amp;IF(AND($C367="Proposal",Deals!$H319=0.5)," DefaultProbability","")&amp;IF($F367="No"," NoDates","")&amp;IF(AND(ISNUMBER($H367),$H367&gt;=Settings!$B$20)," Stale","")))</f>
        <v/>
      </c>
    </row>
    <row r="368">
      <c r="A368" s="16">
        <f>IF(Deals!$A320="","",Deals!$A320)</f>
        <v/>
      </c>
      <c r="B368" s="16">
        <f>IF($A368="","",Deals!$C320)</f>
        <v/>
      </c>
      <c r="C368" s="16">
        <f>IF($A368="","",Deals!$F320)</f>
        <v/>
      </c>
      <c r="D368" s="21">
        <f>IF($A368="","",Deals!$H320)</f>
        <v/>
      </c>
      <c r="E368" s="17">
        <f>IF($A368="","",Deals!$Q320)</f>
        <v/>
      </c>
      <c r="F368" s="16">
        <f>IF($A368="","",IF(AND(Deals!$I320&lt;&gt;"",Deals!$J320&lt;&gt;""),"Yes","No"))</f>
        <v/>
      </c>
      <c r="G368" s="22">
        <f>IF($A368="","",Deals!$Z320)</f>
        <v/>
      </c>
      <c r="H368" s="23">
        <f>IF(OR($A368="",$G368=""),"",INT((Settings!$B$19-$G368)/7))</f>
        <v/>
      </c>
      <c r="I368" s="24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MissingLevel","")&amp;IF(AND($C368="Proposal",Deals!$H320=0.5)," DefaultProbability","")&amp;IF($F368="No"," NoDates","")&amp;IF(AND(ISNUMBER($H368),$H368&gt;=Settings!$B$20)," Stale","")))</f>
        <v/>
      </c>
    </row>
    <row r="369">
      <c r="A369" s="16">
        <f>IF(Deals!$A321="","",Deals!$A321)</f>
        <v/>
      </c>
      <c r="B369" s="16">
        <f>IF($A369="","",Deals!$C321)</f>
        <v/>
      </c>
      <c r="C369" s="16">
        <f>IF($A369="","",Deals!$F321)</f>
        <v/>
      </c>
      <c r="D369" s="21">
        <f>IF($A369="","",Deals!$H321)</f>
        <v/>
      </c>
      <c r="E369" s="17">
        <f>IF($A369="","",Deals!$Q321)</f>
        <v/>
      </c>
      <c r="F369" s="16">
        <f>IF($A369="","",IF(AND(Deals!$I321&lt;&gt;"",Deals!$J321&lt;&gt;""),"Yes","No"))</f>
        <v/>
      </c>
      <c r="G369" s="22">
        <f>IF($A369="","",Deals!$Z321)</f>
        <v/>
      </c>
      <c r="H369" s="23">
        <f>IF(OR($A369="",$G369=""),"",INT((Settings!$B$19-$G369)/7))</f>
        <v/>
      </c>
      <c r="I369" s="24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MissingLevel","")&amp;IF(AND($C369="Proposal",Deals!$H321=0.5)," DefaultProbability","")&amp;IF($F369="No"," NoDates","")&amp;IF(AND(ISNUMBER($H369),$H369&gt;=Settings!$B$20)," Stale","")))</f>
        <v/>
      </c>
    </row>
    <row r="370">
      <c r="A370" s="16">
        <f>IF(Deals!$A322="","",Deals!$A322)</f>
        <v/>
      </c>
      <c r="B370" s="16">
        <f>IF($A370="","",Deals!$C322)</f>
        <v/>
      </c>
      <c r="C370" s="16">
        <f>IF($A370="","",Deals!$F322)</f>
        <v/>
      </c>
      <c r="D370" s="21">
        <f>IF($A370="","",Deals!$H322)</f>
        <v/>
      </c>
      <c r="E370" s="17">
        <f>IF($A370="","",Deals!$Q322)</f>
        <v/>
      </c>
      <c r="F370" s="16">
        <f>IF($A370="","",IF(AND(Deals!$I322&lt;&gt;"",Deals!$J322&lt;&gt;""),"Yes","No"))</f>
        <v/>
      </c>
      <c r="G370" s="22">
        <f>IF($A370="","",Deals!$Z322)</f>
        <v/>
      </c>
      <c r="H370" s="23">
        <f>IF(OR($A370="",$G370=""),"",INT((Settings!$B$19-$G370)/7))</f>
        <v/>
      </c>
      <c r="I370" s="24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MissingLevel","")&amp;IF(AND($C370="Proposal",Deals!$H322=0.5)," DefaultProbability","")&amp;IF($F370="No"," NoDates","")&amp;IF(AND(ISNUMBER($H370),$H370&gt;=Settings!$B$20)," Stale","")))</f>
        <v/>
      </c>
    </row>
    <row r="371">
      <c r="A371" s="16">
        <f>IF(Deals!$A323="","",Deals!$A323)</f>
        <v/>
      </c>
      <c r="B371" s="16">
        <f>IF($A371="","",Deals!$C323)</f>
        <v/>
      </c>
      <c r="C371" s="16">
        <f>IF($A371="","",Deals!$F323)</f>
        <v/>
      </c>
      <c r="D371" s="21">
        <f>IF($A371="","",Deals!$H323)</f>
        <v/>
      </c>
      <c r="E371" s="17">
        <f>IF($A371="","",Deals!$Q323)</f>
        <v/>
      </c>
      <c r="F371" s="16">
        <f>IF($A371="","",IF(AND(Deals!$I323&lt;&gt;"",Deals!$J323&lt;&gt;""),"Yes","No"))</f>
        <v/>
      </c>
      <c r="G371" s="22">
        <f>IF($A371="","",Deals!$Z323)</f>
        <v/>
      </c>
      <c r="H371" s="23">
        <f>IF(OR($A371="",$G371=""),"",INT((Settings!$B$19-$G371)/7))</f>
        <v/>
      </c>
      <c r="I371" s="24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MissingLevel","")&amp;IF(AND($C371="Proposal",Deals!$H323=0.5)," DefaultProbability","")&amp;IF($F371="No"," NoDates","")&amp;IF(AND(ISNUMBER($H371),$H371&gt;=Settings!$B$20)," Stale","")))</f>
        <v/>
      </c>
    </row>
    <row r="372">
      <c r="A372" s="16">
        <f>IF(Deals!$A324="","",Deals!$A324)</f>
        <v/>
      </c>
      <c r="B372" s="16">
        <f>IF($A372="","",Deals!$C324)</f>
        <v/>
      </c>
      <c r="C372" s="16">
        <f>IF($A372="","",Deals!$F324)</f>
        <v/>
      </c>
      <c r="D372" s="21">
        <f>IF($A372="","",Deals!$H324)</f>
        <v/>
      </c>
      <c r="E372" s="17">
        <f>IF($A372="","",Deals!$Q324)</f>
        <v/>
      </c>
      <c r="F372" s="16">
        <f>IF($A372="","",IF(AND(Deals!$I324&lt;&gt;"",Deals!$J324&lt;&gt;""),"Yes","No"))</f>
        <v/>
      </c>
      <c r="G372" s="22">
        <f>IF($A372="","",Deals!$Z324)</f>
        <v/>
      </c>
      <c r="H372" s="23">
        <f>IF(OR($A372="",$G372=""),"",INT((Settings!$B$19-$G372)/7))</f>
        <v/>
      </c>
      <c r="I372" s="24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MissingLevel","")&amp;IF(AND($C372="Proposal",Deals!$H324=0.5)," DefaultProbability","")&amp;IF($F372="No"," NoDates","")&amp;IF(AND(ISNUMBER($H372),$H372&gt;=Settings!$B$20)," Stale","")))</f>
        <v/>
      </c>
    </row>
    <row r="373">
      <c r="A373" s="16">
        <f>IF(Deals!$A325="","",Deals!$A325)</f>
        <v/>
      </c>
      <c r="B373" s="16">
        <f>IF($A373="","",Deals!$C325)</f>
        <v/>
      </c>
      <c r="C373" s="16">
        <f>IF($A373="","",Deals!$F325)</f>
        <v/>
      </c>
      <c r="D373" s="21">
        <f>IF($A373="","",Deals!$H325)</f>
        <v/>
      </c>
      <c r="E373" s="17">
        <f>IF($A373="","",Deals!$Q325)</f>
        <v/>
      </c>
      <c r="F373" s="16">
        <f>IF($A373="","",IF(AND(Deals!$I325&lt;&gt;"",Deals!$J325&lt;&gt;""),"Yes","No"))</f>
        <v/>
      </c>
      <c r="G373" s="22">
        <f>IF($A373="","",Deals!$Z325)</f>
        <v/>
      </c>
      <c r="H373" s="23">
        <f>IF(OR($A373="",$G373=""),"",INT((Settings!$B$19-$G373)/7))</f>
        <v/>
      </c>
      <c r="I373" s="24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MissingLevel","")&amp;IF(AND($C373="Proposal",Deals!$H325=0.5)," DefaultProbability","")&amp;IF($F373="No"," NoDates","")&amp;IF(AND(ISNUMBER($H373),$H373&gt;=Settings!$B$20)," Stale","")))</f>
        <v/>
      </c>
    </row>
    <row r="374">
      <c r="A374" s="16">
        <f>IF(Deals!$A326="","",Deals!$A326)</f>
        <v/>
      </c>
      <c r="B374" s="16">
        <f>IF($A374="","",Deals!$C326)</f>
        <v/>
      </c>
      <c r="C374" s="16">
        <f>IF($A374="","",Deals!$F326)</f>
        <v/>
      </c>
      <c r="D374" s="21">
        <f>IF($A374="","",Deals!$H326)</f>
        <v/>
      </c>
      <c r="E374" s="17">
        <f>IF($A374="","",Deals!$Q326)</f>
        <v/>
      </c>
      <c r="F374" s="16">
        <f>IF($A374="","",IF(AND(Deals!$I326&lt;&gt;"",Deals!$J326&lt;&gt;""),"Yes","No"))</f>
        <v/>
      </c>
      <c r="G374" s="22">
        <f>IF($A374="","",Deals!$Z326)</f>
        <v/>
      </c>
      <c r="H374" s="23">
        <f>IF(OR($A374="",$G374=""),"",INT((Settings!$B$19-$G374)/7))</f>
        <v/>
      </c>
      <c r="I374" s="24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MissingLevel","")&amp;IF(AND($C374="Proposal",Deals!$H326=0.5)," DefaultProbability","")&amp;IF($F374="No"," NoDates","")&amp;IF(AND(ISNUMBER($H374),$H374&gt;=Settings!$B$20)," Stale","")))</f>
        <v/>
      </c>
    </row>
    <row r="375">
      <c r="A375" s="16">
        <f>IF(Deals!$A327="","",Deals!$A327)</f>
        <v/>
      </c>
      <c r="B375" s="16">
        <f>IF($A375="","",Deals!$C327)</f>
        <v/>
      </c>
      <c r="C375" s="16">
        <f>IF($A375="","",Deals!$F327)</f>
        <v/>
      </c>
      <c r="D375" s="21">
        <f>IF($A375="","",Deals!$H327)</f>
        <v/>
      </c>
      <c r="E375" s="17">
        <f>IF($A375="","",Deals!$Q327)</f>
        <v/>
      </c>
      <c r="F375" s="16">
        <f>IF($A375="","",IF(AND(Deals!$I327&lt;&gt;"",Deals!$J327&lt;&gt;""),"Yes","No"))</f>
        <v/>
      </c>
      <c r="G375" s="22">
        <f>IF($A375="","",Deals!$Z327)</f>
        <v/>
      </c>
      <c r="H375" s="23">
        <f>IF(OR($A375="",$G375=""),"",INT((Settings!$B$19-$G375)/7))</f>
        <v/>
      </c>
      <c r="I375" s="24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MissingLevel","")&amp;IF(AND($C375="Proposal",Deals!$H327=0.5)," DefaultProbability","")&amp;IF($F375="No"," NoDates","")&amp;IF(AND(ISNUMBER($H375),$H375&gt;=Settings!$B$20)," Stale","")))</f>
        <v/>
      </c>
    </row>
    <row r="376">
      <c r="A376" s="16">
        <f>IF(Deals!$A328="","",Deals!$A328)</f>
        <v/>
      </c>
      <c r="B376" s="16">
        <f>IF($A376="","",Deals!$C328)</f>
        <v/>
      </c>
      <c r="C376" s="16">
        <f>IF($A376="","",Deals!$F328)</f>
        <v/>
      </c>
      <c r="D376" s="21">
        <f>IF($A376="","",Deals!$H328)</f>
        <v/>
      </c>
      <c r="E376" s="17">
        <f>IF($A376="","",Deals!$Q328)</f>
        <v/>
      </c>
      <c r="F376" s="16">
        <f>IF($A376="","",IF(AND(Deals!$I328&lt;&gt;"",Deals!$J328&lt;&gt;""),"Yes","No"))</f>
        <v/>
      </c>
      <c r="G376" s="22">
        <f>IF($A376="","",Deals!$Z328)</f>
        <v/>
      </c>
      <c r="H376" s="23">
        <f>IF(OR($A376="",$G376=""),"",INT((Settings!$B$19-$G376)/7))</f>
        <v/>
      </c>
      <c r="I376" s="24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MissingLevel","")&amp;IF(AND($C376="Proposal",Deals!$H328=0.5)," DefaultProbability","")&amp;IF($F376="No"," NoDates","")&amp;IF(AND(ISNUMBER($H376),$H376&gt;=Settings!$B$20)," Stale","")))</f>
        <v/>
      </c>
    </row>
    <row r="377">
      <c r="A377" s="16">
        <f>IF(Deals!$A329="","",Deals!$A329)</f>
        <v/>
      </c>
      <c r="B377" s="16">
        <f>IF($A377="","",Deals!$C329)</f>
        <v/>
      </c>
      <c r="C377" s="16">
        <f>IF($A377="","",Deals!$F329)</f>
        <v/>
      </c>
      <c r="D377" s="21">
        <f>IF($A377="","",Deals!$H329)</f>
        <v/>
      </c>
      <c r="E377" s="17">
        <f>IF($A377="","",Deals!$Q329)</f>
        <v/>
      </c>
      <c r="F377" s="16">
        <f>IF($A377="","",IF(AND(Deals!$I329&lt;&gt;"",Deals!$J329&lt;&gt;""),"Yes","No"))</f>
        <v/>
      </c>
      <c r="G377" s="22">
        <f>IF($A377="","",Deals!$Z329)</f>
        <v/>
      </c>
      <c r="H377" s="23">
        <f>IF(OR($A377="",$G377=""),"",INT((Settings!$B$19-$G377)/7))</f>
        <v/>
      </c>
      <c r="I377" s="24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MissingLevel","")&amp;IF(AND($C377="Proposal",Deals!$H329=0.5)," DefaultProbability","")&amp;IF($F377="No"," NoDates","")&amp;IF(AND(ISNUMBER($H377),$H377&gt;=Settings!$B$20)," Stale","")))</f>
        <v/>
      </c>
    </row>
    <row r="378">
      <c r="A378" s="16">
        <f>IF(Deals!$A330="","",Deals!$A330)</f>
        <v/>
      </c>
      <c r="B378" s="16">
        <f>IF($A378="","",Deals!$C330)</f>
        <v/>
      </c>
      <c r="C378" s="16">
        <f>IF($A378="","",Deals!$F330)</f>
        <v/>
      </c>
      <c r="D378" s="21">
        <f>IF($A378="","",Deals!$H330)</f>
        <v/>
      </c>
      <c r="E378" s="17">
        <f>IF($A378="","",Deals!$Q330)</f>
        <v/>
      </c>
      <c r="F378" s="16">
        <f>IF($A378="","",IF(AND(Deals!$I330&lt;&gt;"",Deals!$J330&lt;&gt;""),"Yes","No"))</f>
        <v/>
      </c>
      <c r="G378" s="22">
        <f>IF($A378="","",Deals!$Z330)</f>
        <v/>
      </c>
      <c r="H378" s="23">
        <f>IF(OR($A378="",$G378=""),"",INT((Settings!$B$19-$G378)/7))</f>
        <v/>
      </c>
      <c r="I378" s="24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MissingLevel","")&amp;IF(AND($C378="Proposal",Deals!$H330=0.5)," DefaultProbability","")&amp;IF($F378="No"," NoDates","")&amp;IF(AND(ISNUMBER($H378),$H378&gt;=Settings!$B$20)," Stale","")))</f>
        <v/>
      </c>
    </row>
    <row r="379">
      <c r="A379" s="16">
        <f>IF(Deals!$A331="","",Deals!$A331)</f>
        <v/>
      </c>
      <c r="B379" s="16">
        <f>IF($A379="","",Deals!$C331)</f>
        <v/>
      </c>
      <c r="C379" s="16">
        <f>IF($A379="","",Deals!$F331)</f>
        <v/>
      </c>
      <c r="D379" s="21">
        <f>IF($A379="","",Deals!$H331)</f>
        <v/>
      </c>
      <c r="E379" s="17">
        <f>IF($A379="","",Deals!$Q331)</f>
        <v/>
      </c>
      <c r="F379" s="16">
        <f>IF($A379="","",IF(AND(Deals!$I331&lt;&gt;"",Deals!$J331&lt;&gt;""),"Yes","No"))</f>
        <v/>
      </c>
      <c r="G379" s="22">
        <f>IF($A379="","",Deals!$Z331)</f>
        <v/>
      </c>
      <c r="H379" s="23">
        <f>IF(OR($A379="",$G379=""),"",INT((Settings!$B$19-$G379)/7))</f>
        <v/>
      </c>
      <c r="I379" s="24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MissingLevel","")&amp;IF(AND($C379="Proposal",Deals!$H331=0.5)," DefaultProbability","")&amp;IF($F379="No"," NoDates","")&amp;IF(AND(ISNUMBER($H379),$H379&gt;=Settings!$B$20)," Stale","")))</f>
        <v/>
      </c>
    </row>
    <row r="380">
      <c r="A380" s="16">
        <f>IF(Deals!$A332="","",Deals!$A332)</f>
        <v/>
      </c>
      <c r="B380" s="16">
        <f>IF($A380="","",Deals!$C332)</f>
        <v/>
      </c>
      <c r="C380" s="16">
        <f>IF($A380="","",Deals!$F332)</f>
        <v/>
      </c>
      <c r="D380" s="21">
        <f>IF($A380="","",Deals!$H332)</f>
        <v/>
      </c>
      <c r="E380" s="17">
        <f>IF($A380="","",Deals!$Q332)</f>
        <v/>
      </c>
      <c r="F380" s="16">
        <f>IF($A380="","",IF(AND(Deals!$I332&lt;&gt;"",Deals!$J332&lt;&gt;""),"Yes","No"))</f>
        <v/>
      </c>
      <c r="G380" s="22">
        <f>IF($A380="","",Deals!$Z332)</f>
        <v/>
      </c>
      <c r="H380" s="23">
        <f>IF(OR($A380="",$G380=""),"",INT((Settings!$B$19-$G380)/7))</f>
        <v/>
      </c>
      <c r="I380" s="24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MissingLevel","")&amp;IF(AND($C380="Proposal",Deals!$H332=0.5)," DefaultProbability","")&amp;IF($F380="No"," NoDates","")&amp;IF(AND(ISNUMBER($H380),$H380&gt;=Settings!$B$20)," Stale","")))</f>
        <v/>
      </c>
    </row>
    <row r="381">
      <c r="A381" s="16">
        <f>IF(Deals!$A333="","",Deals!$A333)</f>
        <v/>
      </c>
      <c r="B381" s="16">
        <f>IF($A381="","",Deals!$C333)</f>
        <v/>
      </c>
      <c r="C381" s="16">
        <f>IF($A381="","",Deals!$F333)</f>
        <v/>
      </c>
      <c r="D381" s="21">
        <f>IF($A381="","",Deals!$H333)</f>
        <v/>
      </c>
      <c r="E381" s="17">
        <f>IF($A381="","",Deals!$Q333)</f>
        <v/>
      </c>
      <c r="F381" s="16">
        <f>IF($A381="","",IF(AND(Deals!$I333&lt;&gt;"",Deals!$J333&lt;&gt;""),"Yes","No"))</f>
        <v/>
      </c>
      <c r="G381" s="22">
        <f>IF($A381="","",Deals!$Z333)</f>
        <v/>
      </c>
      <c r="H381" s="23">
        <f>IF(OR($A381="",$G381=""),"",INT((Settings!$B$19-$G381)/7))</f>
        <v/>
      </c>
      <c r="I381" s="24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MissingLevel","")&amp;IF(AND($C381="Proposal",Deals!$H333=0.5)," DefaultProbability","")&amp;IF($F381="No"," NoDates","")&amp;IF(AND(ISNUMBER($H381),$H381&gt;=Settings!$B$20)," Stale","")))</f>
        <v/>
      </c>
    </row>
    <row r="382">
      <c r="A382" s="16">
        <f>IF(Deals!$A334="","",Deals!$A334)</f>
        <v/>
      </c>
      <c r="B382" s="16">
        <f>IF($A382="","",Deals!$C334)</f>
        <v/>
      </c>
      <c r="C382" s="16">
        <f>IF($A382="","",Deals!$F334)</f>
        <v/>
      </c>
      <c r="D382" s="21">
        <f>IF($A382="","",Deals!$H334)</f>
        <v/>
      </c>
      <c r="E382" s="17">
        <f>IF($A382="","",Deals!$Q334)</f>
        <v/>
      </c>
      <c r="F382" s="16">
        <f>IF($A382="","",IF(AND(Deals!$I334&lt;&gt;"",Deals!$J334&lt;&gt;""),"Yes","No"))</f>
        <v/>
      </c>
      <c r="G382" s="22">
        <f>IF($A382="","",Deals!$Z334)</f>
        <v/>
      </c>
      <c r="H382" s="23">
        <f>IF(OR($A382="",$G382=""),"",INT((Settings!$B$19-$G382)/7))</f>
        <v/>
      </c>
      <c r="I382" s="24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MissingLevel","")&amp;IF(AND($C382="Proposal",Deals!$H334=0.5)," DefaultProbability","")&amp;IF($F382="No"," NoDates","")&amp;IF(AND(ISNUMBER($H382),$H382&gt;=Settings!$B$20)," Stale","")))</f>
        <v/>
      </c>
    </row>
    <row r="383">
      <c r="A383" s="16">
        <f>IF(Deals!$A335="","",Deals!$A335)</f>
        <v/>
      </c>
      <c r="B383" s="16">
        <f>IF($A383="","",Deals!$C335)</f>
        <v/>
      </c>
      <c r="C383" s="16">
        <f>IF($A383="","",Deals!$F335)</f>
        <v/>
      </c>
      <c r="D383" s="21">
        <f>IF($A383="","",Deals!$H335)</f>
        <v/>
      </c>
      <c r="E383" s="17">
        <f>IF($A383="","",Deals!$Q335)</f>
        <v/>
      </c>
      <c r="F383" s="16">
        <f>IF($A383="","",IF(AND(Deals!$I335&lt;&gt;"",Deals!$J335&lt;&gt;""),"Yes","No"))</f>
        <v/>
      </c>
      <c r="G383" s="22">
        <f>IF($A383="","",Deals!$Z335)</f>
        <v/>
      </c>
      <c r="H383" s="23">
        <f>IF(OR($A383="",$G383=""),"",INT((Settings!$B$19-$G383)/7))</f>
        <v/>
      </c>
      <c r="I383" s="24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MissingLevel","")&amp;IF(AND($C383="Proposal",Deals!$H335=0.5)," DefaultProbability","")&amp;IF($F383="No"," NoDates","")&amp;IF(AND(ISNUMBER($H383),$H383&gt;=Settings!$B$20)," Stale","")))</f>
        <v/>
      </c>
    </row>
    <row r="384">
      <c r="A384" s="16">
        <f>IF(Deals!$A336="","",Deals!$A336)</f>
        <v/>
      </c>
      <c r="B384" s="16">
        <f>IF($A384="","",Deals!$C336)</f>
        <v/>
      </c>
      <c r="C384" s="16">
        <f>IF($A384="","",Deals!$F336)</f>
        <v/>
      </c>
      <c r="D384" s="21">
        <f>IF($A384="","",Deals!$H336)</f>
        <v/>
      </c>
      <c r="E384" s="17">
        <f>IF($A384="","",Deals!$Q336)</f>
        <v/>
      </c>
      <c r="F384" s="16">
        <f>IF($A384="","",IF(AND(Deals!$I336&lt;&gt;"",Deals!$J336&lt;&gt;""),"Yes","No"))</f>
        <v/>
      </c>
      <c r="G384" s="22">
        <f>IF($A384="","",Deals!$Z336)</f>
        <v/>
      </c>
      <c r="H384" s="23">
        <f>IF(OR($A384="",$G384=""),"",INT((Settings!$B$19-$G384)/7))</f>
        <v/>
      </c>
      <c r="I384" s="24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MissingLevel","")&amp;IF(AND($C384="Proposal",Deals!$H336=0.5)," DefaultProbability","")&amp;IF($F384="No"," NoDates","")&amp;IF(AND(ISNUMBER($H384),$H384&gt;=Settings!$B$20)," Stale","")))</f>
        <v/>
      </c>
    </row>
    <row r="385">
      <c r="A385" s="16">
        <f>IF(Deals!$A337="","",Deals!$A337)</f>
        <v/>
      </c>
      <c r="B385" s="16">
        <f>IF($A385="","",Deals!$C337)</f>
        <v/>
      </c>
      <c r="C385" s="16">
        <f>IF($A385="","",Deals!$F337)</f>
        <v/>
      </c>
      <c r="D385" s="21">
        <f>IF($A385="","",Deals!$H337)</f>
        <v/>
      </c>
      <c r="E385" s="17">
        <f>IF($A385="","",Deals!$Q337)</f>
        <v/>
      </c>
      <c r="F385" s="16">
        <f>IF($A385="","",IF(AND(Deals!$I337&lt;&gt;"",Deals!$J337&lt;&gt;""),"Yes","No"))</f>
        <v/>
      </c>
      <c r="G385" s="22">
        <f>IF($A385="","",Deals!$Z337)</f>
        <v/>
      </c>
      <c r="H385" s="23">
        <f>IF(OR($A385="",$G385=""),"",INT((Settings!$B$19-$G385)/7))</f>
        <v/>
      </c>
      <c r="I385" s="24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MissingLevel","")&amp;IF(AND($C385="Proposal",Deals!$H337=0.5)," DefaultProbability","")&amp;IF($F385="No"," NoDates","")&amp;IF(AND(ISNUMBER($H385),$H385&gt;=Settings!$B$20)," Stale","")))</f>
        <v/>
      </c>
    </row>
    <row r="386">
      <c r="A386" s="16">
        <f>IF(Deals!$A338="","",Deals!$A338)</f>
        <v/>
      </c>
      <c r="B386" s="16">
        <f>IF($A386="","",Deals!$C338)</f>
        <v/>
      </c>
      <c r="C386" s="16">
        <f>IF($A386="","",Deals!$F338)</f>
        <v/>
      </c>
      <c r="D386" s="21">
        <f>IF($A386="","",Deals!$H338)</f>
        <v/>
      </c>
      <c r="E386" s="17">
        <f>IF($A386="","",Deals!$Q338)</f>
        <v/>
      </c>
      <c r="F386" s="16">
        <f>IF($A386="","",IF(AND(Deals!$I338&lt;&gt;"",Deals!$J338&lt;&gt;""),"Yes","No"))</f>
        <v/>
      </c>
      <c r="G386" s="22">
        <f>IF($A386="","",Deals!$Z338)</f>
        <v/>
      </c>
      <c r="H386" s="23">
        <f>IF(OR($A386="",$G386=""),"",INT((Settings!$B$19-$G386)/7))</f>
        <v/>
      </c>
      <c r="I386" s="24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MissingLevel","")&amp;IF(AND($C386="Proposal",Deals!$H338=0.5)," DefaultProbability","")&amp;IF($F386="No"," NoDates","")&amp;IF(AND(ISNUMBER($H386),$H386&gt;=Settings!$B$20)," Stale","")))</f>
        <v/>
      </c>
    </row>
    <row r="387">
      <c r="A387" s="16">
        <f>IF(Deals!$A339="","",Deals!$A339)</f>
        <v/>
      </c>
      <c r="B387" s="16">
        <f>IF($A387="","",Deals!$C339)</f>
        <v/>
      </c>
      <c r="C387" s="16">
        <f>IF($A387="","",Deals!$F339)</f>
        <v/>
      </c>
      <c r="D387" s="21">
        <f>IF($A387="","",Deals!$H339)</f>
        <v/>
      </c>
      <c r="E387" s="17">
        <f>IF($A387="","",Deals!$Q339)</f>
        <v/>
      </c>
      <c r="F387" s="16">
        <f>IF($A387="","",IF(AND(Deals!$I339&lt;&gt;"",Deals!$J339&lt;&gt;""),"Yes","No"))</f>
        <v/>
      </c>
      <c r="G387" s="22">
        <f>IF($A387="","",Deals!$Z339)</f>
        <v/>
      </c>
      <c r="H387" s="23">
        <f>IF(OR($A387="",$G387=""),"",INT((Settings!$B$19-$G387)/7))</f>
        <v/>
      </c>
      <c r="I387" s="24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MissingLevel","")&amp;IF(AND($C387="Proposal",Deals!$H339=0.5)," DefaultProbability","")&amp;IF($F387="No"," NoDates","")&amp;IF(AND(ISNUMBER($H387),$H387&gt;=Settings!$B$20)," Stale","")))</f>
        <v/>
      </c>
    </row>
    <row r="388">
      <c r="A388" s="16">
        <f>IF(Deals!$A340="","",Deals!$A340)</f>
        <v/>
      </c>
      <c r="B388" s="16">
        <f>IF($A388="","",Deals!$C340)</f>
        <v/>
      </c>
      <c r="C388" s="16">
        <f>IF($A388="","",Deals!$F340)</f>
        <v/>
      </c>
      <c r="D388" s="21">
        <f>IF($A388="","",Deals!$H340)</f>
        <v/>
      </c>
      <c r="E388" s="17">
        <f>IF($A388="","",Deals!$Q340)</f>
        <v/>
      </c>
      <c r="F388" s="16">
        <f>IF($A388="","",IF(AND(Deals!$I340&lt;&gt;"",Deals!$J340&lt;&gt;""),"Yes","No"))</f>
        <v/>
      </c>
      <c r="G388" s="22">
        <f>IF($A388="","",Deals!$Z340)</f>
        <v/>
      </c>
      <c r="H388" s="23">
        <f>IF(OR($A388="",$G388=""),"",INT((Settings!$B$19-$G388)/7))</f>
        <v/>
      </c>
      <c r="I388" s="24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MissingLevel","")&amp;IF(AND($C388="Proposal",Deals!$H340=0.5)," DefaultProbability","")&amp;IF($F388="No"," NoDates","")&amp;IF(AND(ISNUMBER($H388),$H388&gt;=Settings!$B$20)," Stale","")))</f>
        <v/>
      </c>
    </row>
    <row r="389">
      <c r="A389" s="16">
        <f>IF(Deals!$A341="","",Deals!$A341)</f>
        <v/>
      </c>
      <c r="B389" s="16">
        <f>IF($A389="","",Deals!$C341)</f>
        <v/>
      </c>
      <c r="C389" s="16">
        <f>IF($A389="","",Deals!$F341)</f>
        <v/>
      </c>
      <c r="D389" s="21">
        <f>IF($A389="","",Deals!$H341)</f>
        <v/>
      </c>
      <c r="E389" s="17">
        <f>IF($A389="","",Deals!$Q341)</f>
        <v/>
      </c>
      <c r="F389" s="16">
        <f>IF($A389="","",IF(AND(Deals!$I341&lt;&gt;"",Deals!$J341&lt;&gt;""),"Yes","No"))</f>
        <v/>
      </c>
      <c r="G389" s="22">
        <f>IF($A389="","",Deals!$Z341)</f>
        <v/>
      </c>
      <c r="H389" s="23">
        <f>IF(OR($A389="",$G389=""),"",INT((Settings!$B$19-$G389)/7))</f>
        <v/>
      </c>
      <c r="I389" s="24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MissingLevel","")&amp;IF(AND($C389="Proposal",Deals!$H341=0.5)," DefaultProbability","")&amp;IF($F389="No"," NoDates","")&amp;IF(AND(ISNUMBER($H389),$H389&gt;=Settings!$B$20)," Stale","")))</f>
        <v/>
      </c>
    </row>
    <row r="390">
      <c r="A390" s="16">
        <f>IF(Deals!$A342="","",Deals!$A342)</f>
        <v/>
      </c>
      <c r="B390" s="16">
        <f>IF($A390="","",Deals!$C342)</f>
        <v/>
      </c>
      <c r="C390" s="16">
        <f>IF($A390="","",Deals!$F342)</f>
        <v/>
      </c>
      <c r="D390" s="21">
        <f>IF($A390="","",Deals!$H342)</f>
        <v/>
      </c>
      <c r="E390" s="17">
        <f>IF($A390="","",Deals!$Q342)</f>
        <v/>
      </c>
      <c r="F390" s="16">
        <f>IF($A390="","",IF(AND(Deals!$I342&lt;&gt;"",Deals!$J342&lt;&gt;""),"Yes","No"))</f>
        <v/>
      </c>
      <c r="G390" s="22">
        <f>IF($A390="","",Deals!$Z342)</f>
        <v/>
      </c>
      <c r="H390" s="23">
        <f>IF(OR($A390="",$G390=""),"",INT((Settings!$B$19-$G390)/7))</f>
        <v/>
      </c>
      <c r="I390" s="24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MissingLevel","")&amp;IF(AND($C390="Proposal",Deals!$H342=0.5)," DefaultProbability","")&amp;IF($F390="No"," NoDates","")&amp;IF(AND(ISNUMBER($H390),$H390&gt;=Settings!$B$20)," Stale","")))</f>
        <v/>
      </c>
    </row>
    <row r="391">
      <c r="A391" s="16">
        <f>IF(Deals!$A343="","",Deals!$A343)</f>
        <v/>
      </c>
      <c r="B391" s="16">
        <f>IF($A391="","",Deals!$C343)</f>
        <v/>
      </c>
      <c r="C391" s="16">
        <f>IF($A391="","",Deals!$F343)</f>
        <v/>
      </c>
      <c r="D391" s="21">
        <f>IF($A391="","",Deals!$H343)</f>
        <v/>
      </c>
      <c r="E391" s="17">
        <f>IF($A391="","",Deals!$Q343)</f>
        <v/>
      </c>
      <c r="F391" s="16">
        <f>IF($A391="","",IF(AND(Deals!$I343&lt;&gt;"",Deals!$J343&lt;&gt;""),"Yes","No"))</f>
        <v/>
      </c>
      <c r="G391" s="22">
        <f>IF($A391="","",Deals!$Z343)</f>
        <v/>
      </c>
      <c r="H391" s="23">
        <f>IF(OR($A391="",$G391=""),"",INT((Settings!$B$19-$G391)/7))</f>
        <v/>
      </c>
      <c r="I391" s="24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MissingLevel","")&amp;IF(AND($C391="Proposal",Deals!$H343=0.5)," DefaultProbability","")&amp;IF($F391="No"," NoDates","")&amp;IF(AND(ISNUMBER($H391),$H391&gt;=Settings!$B$20)," Stale","")))</f>
        <v/>
      </c>
    </row>
    <row r="392">
      <c r="A392" s="16">
        <f>IF(Deals!$A344="","",Deals!$A344)</f>
        <v/>
      </c>
      <c r="B392" s="16">
        <f>IF($A392="","",Deals!$C344)</f>
        <v/>
      </c>
      <c r="C392" s="16">
        <f>IF($A392="","",Deals!$F344)</f>
        <v/>
      </c>
      <c r="D392" s="21">
        <f>IF($A392="","",Deals!$H344)</f>
        <v/>
      </c>
      <c r="E392" s="17">
        <f>IF($A392="","",Deals!$Q344)</f>
        <v/>
      </c>
      <c r="F392" s="16">
        <f>IF($A392="","",IF(AND(Deals!$I344&lt;&gt;"",Deals!$J344&lt;&gt;""),"Yes","No"))</f>
        <v/>
      </c>
      <c r="G392" s="22">
        <f>IF($A392="","",Deals!$Z344)</f>
        <v/>
      </c>
      <c r="H392" s="23">
        <f>IF(OR($A392="",$G392=""),"",INT((Settings!$B$19-$G392)/7))</f>
        <v/>
      </c>
      <c r="I392" s="24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MissingLevel","")&amp;IF(AND($C392="Proposal",Deals!$H344=0.5)," DefaultProbability","")&amp;IF($F392="No"," NoDates","")&amp;IF(AND(ISNUMBER($H392),$H392&gt;=Settings!$B$20)," Stale","")))</f>
        <v/>
      </c>
    </row>
    <row r="393">
      <c r="A393" s="16">
        <f>IF(Deals!$A345="","",Deals!$A345)</f>
        <v/>
      </c>
      <c r="B393" s="16">
        <f>IF($A393="","",Deals!$C345)</f>
        <v/>
      </c>
      <c r="C393" s="16">
        <f>IF($A393="","",Deals!$F345)</f>
        <v/>
      </c>
      <c r="D393" s="21">
        <f>IF($A393="","",Deals!$H345)</f>
        <v/>
      </c>
      <c r="E393" s="17">
        <f>IF($A393="","",Deals!$Q345)</f>
        <v/>
      </c>
      <c r="F393" s="16">
        <f>IF($A393="","",IF(AND(Deals!$I345&lt;&gt;"",Deals!$J345&lt;&gt;""),"Yes","No"))</f>
        <v/>
      </c>
      <c r="G393" s="22">
        <f>IF($A393="","",Deals!$Z345)</f>
        <v/>
      </c>
      <c r="H393" s="23">
        <f>IF(OR($A393="",$G393=""),"",INT((Settings!$B$19-$G393)/7))</f>
        <v/>
      </c>
      <c r="I393" s="24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MissingLevel","")&amp;IF(AND($C393="Proposal",Deals!$H345=0.5)," DefaultProbability","")&amp;IF($F393="No"," NoDates","")&amp;IF(AND(ISNUMBER($H393),$H393&gt;=Settings!$B$20)," Stale","")))</f>
        <v/>
      </c>
    </row>
    <row r="394">
      <c r="A394" s="16">
        <f>IF(Deals!$A346="","",Deals!$A346)</f>
        <v/>
      </c>
      <c r="B394" s="16">
        <f>IF($A394="","",Deals!$C346)</f>
        <v/>
      </c>
      <c r="C394" s="16">
        <f>IF($A394="","",Deals!$F346)</f>
        <v/>
      </c>
      <c r="D394" s="21">
        <f>IF($A394="","",Deals!$H346)</f>
        <v/>
      </c>
      <c r="E394" s="17">
        <f>IF($A394="","",Deals!$Q346)</f>
        <v/>
      </c>
      <c r="F394" s="16">
        <f>IF($A394="","",IF(AND(Deals!$I346&lt;&gt;"",Deals!$J346&lt;&gt;""),"Yes","No"))</f>
        <v/>
      </c>
      <c r="G394" s="22">
        <f>IF($A394="","",Deals!$Z346)</f>
        <v/>
      </c>
      <c r="H394" s="23">
        <f>IF(OR($A394="",$G394=""),"",INT((Settings!$B$19-$G394)/7))</f>
        <v/>
      </c>
      <c r="I394" s="24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MissingLevel","")&amp;IF(AND($C394="Proposal",Deals!$H346=0.5)," DefaultProbability","")&amp;IF($F394="No"," NoDates","")&amp;IF(AND(ISNUMBER($H394),$H394&gt;=Settings!$B$20)," Stale","")))</f>
        <v/>
      </c>
    </row>
    <row r="395">
      <c r="A395" s="16">
        <f>IF(Deals!$A347="","",Deals!$A347)</f>
        <v/>
      </c>
      <c r="B395" s="16">
        <f>IF($A395="","",Deals!$C347)</f>
        <v/>
      </c>
      <c r="C395" s="16">
        <f>IF($A395="","",Deals!$F347)</f>
        <v/>
      </c>
      <c r="D395" s="21">
        <f>IF($A395="","",Deals!$H347)</f>
        <v/>
      </c>
      <c r="E395" s="17">
        <f>IF($A395="","",Deals!$Q347)</f>
        <v/>
      </c>
      <c r="F395" s="16">
        <f>IF($A395="","",IF(AND(Deals!$I347&lt;&gt;"",Deals!$J347&lt;&gt;""),"Yes","No"))</f>
        <v/>
      </c>
      <c r="G395" s="22">
        <f>IF($A395="","",Deals!$Z347)</f>
        <v/>
      </c>
      <c r="H395" s="23">
        <f>IF(OR($A395="",$G395=""),"",INT((Settings!$B$19-$G395)/7))</f>
        <v/>
      </c>
      <c r="I395" s="24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MissingLevel","")&amp;IF(AND($C395="Proposal",Deals!$H347=0.5)," DefaultProbability","")&amp;IF($F395="No"," NoDates","")&amp;IF(AND(ISNUMBER($H395),$H395&gt;=Settings!$B$20)," Stale","")))</f>
        <v/>
      </c>
    </row>
    <row r="396">
      <c r="A396" s="16">
        <f>IF(Deals!$A348="","",Deals!$A348)</f>
        <v/>
      </c>
      <c r="B396" s="16">
        <f>IF($A396="","",Deals!$C348)</f>
        <v/>
      </c>
      <c r="C396" s="16">
        <f>IF($A396="","",Deals!$F348)</f>
        <v/>
      </c>
      <c r="D396" s="21">
        <f>IF($A396="","",Deals!$H348)</f>
        <v/>
      </c>
      <c r="E396" s="17">
        <f>IF($A396="","",Deals!$Q348)</f>
        <v/>
      </c>
      <c r="F396" s="16">
        <f>IF($A396="","",IF(AND(Deals!$I348&lt;&gt;"",Deals!$J348&lt;&gt;""),"Yes","No"))</f>
        <v/>
      </c>
      <c r="G396" s="22">
        <f>IF($A396="","",Deals!$Z348)</f>
        <v/>
      </c>
      <c r="H396" s="23">
        <f>IF(OR($A396="",$G396=""),"",INT((Settings!$B$19-$G396)/7))</f>
        <v/>
      </c>
      <c r="I396" s="24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MissingLevel","")&amp;IF(AND($C396="Proposal",Deals!$H348=0.5)," DefaultProbability","")&amp;IF($F396="No"," NoDates","")&amp;IF(AND(ISNUMBER($H396),$H396&gt;=Settings!$B$20)," Stale","")))</f>
        <v/>
      </c>
    </row>
    <row r="397">
      <c r="A397" s="16">
        <f>IF(Deals!$A349="","",Deals!$A349)</f>
        <v/>
      </c>
      <c r="B397" s="16">
        <f>IF($A397="","",Deals!$C349)</f>
        <v/>
      </c>
      <c r="C397" s="16">
        <f>IF($A397="","",Deals!$F349)</f>
        <v/>
      </c>
      <c r="D397" s="21">
        <f>IF($A397="","",Deals!$H349)</f>
        <v/>
      </c>
      <c r="E397" s="17">
        <f>IF($A397="","",Deals!$Q349)</f>
        <v/>
      </c>
      <c r="F397" s="16">
        <f>IF($A397="","",IF(AND(Deals!$I349&lt;&gt;"",Deals!$J349&lt;&gt;""),"Yes","No"))</f>
        <v/>
      </c>
      <c r="G397" s="22">
        <f>IF($A397="","",Deals!$Z349)</f>
        <v/>
      </c>
      <c r="H397" s="23">
        <f>IF(OR($A397="",$G397=""),"",INT((Settings!$B$19-$G397)/7))</f>
        <v/>
      </c>
      <c r="I397" s="24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MissingLevel","")&amp;IF(AND($C397="Proposal",Deals!$H349=0.5)," DefaultProbability","")&amp;IF($F397="No"," NoDates","")&amp;IF(AND(ISNUMBER($H397),$H397&gt;=Settings!$B$20)," Stale","")))</f>
        <v/>
      </c>
    </row>
    <row r="398">
      <c r="A398" s="16">
        <f>IF(Deals!$A350="","",Deals!$A350)</f>
        <v/>
      </c>
      <c r="B398" s="16">
        <f>IF($A398="","",Deals!$C350)</f>
        <v/>
      </c>
      <c r="C398" s="16">
        <f>IF($A398="","",Deals!$F350)</f>
        <v/>
      </c>
      <c r="D398" s="21">
        <f>IF($A398="","",Deals!$H350)</f>
        <v/>
      </c>
      <c r="E398" s="17">
        <f>IF($A398="","",Deals!$Q350)</f>
        <v/>
      </c>
      <c r="F398" s="16">
        <f>IF($A398="","",IF(AND(Deals!$I350&lt;&gt;"",Deals!$J350&lt;&gt;""),"Yes","No"))</f>
        <v/>
      </c>
      <c r="G398" s="22">
        <f>IF($A398="","",Deals!$Z350)</f>
        <v/>
      </c>
      <c r="H398" s="23">
        <f>IF(OR($A398="",$G398=""),"",INT((Settings!$B$19-$G398)/7))</f>
        <v/>
      </c>
      <c r="I398" s="24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MissingLevel","")&amp;IF(AND($C398="Proposal",Deals!$H350=0.5)," DefaultProbability","")&amp;IF($F398="No"," NoDates","")&amp;IF(AND(ISNUMBER($H398),$H398&gt;=Settings!$B$20)," Stale","")))</f>
        <v/>
      </c>
    </row>
    <row r="399">
      <c r="A399" s="16">
        <f>IF(Deals!$A351="","",Deals!$A351)</f>
        <v/>
      </c>
      <c r="B399" s="16">
        <f>IF($A399="","",Deals!$C351)</f>
        <v/>
      </c>
      <c r="C399" s="16">
        <f>IF($A399="","",Deals!$F351)</f>
        <v/>
      </c>
      <c r="D399" s="21">
        <f>IF($A399="","",Deals!$H351)</f>
        <v/>
      </c>
      <c r="E399" s="17">
        <f>IF($A399="","",Deals!$Q351)</f>
        <v/>
      </c>
      <c r="F399" s="16">
        <f>IF($A399="","",IF(AND(Deals!$I351&lt;&gt;"",Deals!$J351&lt;&gt;""),"Yes","No"))</f>
        <v/>
      </c>
      <c r="G399" s="22">
        <f>IF($A399="","",Deals!$Z351)</f>
        <v/>
      </c>
      <c r="H399" s="23">
        <f>IF(OR($A399="",$G399=""),"",INT((Settings!$B$19-$G399)/7))</f>
        <v/>
      </c>
      <c r="I399" s="24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MissingLevel","")&amp;IF(AND($C399="Proposal",Deals!$H351=0.5)," DefaultProbability","")&amp;IF($F399="No"," NoDates","")&amp;IF(AND(ISNUMBER($H399),$H399&gt;=Settings!$B$20)," Stale","")))</f>
        <v/>
      </c>
    </row>
    <row r="400">
      <c r="A400" s="16">
        <f>IF(Deals!$A352="","",Deals!$A352)</f>
        <v/>
      </c>
      <c r="B400" s="16">
        <f>IF($A400="","",Deals!$C352)</f>
        <v/>
      </c>
      <c r="C400" s="16">
        <f>IF($A400="","",Deals!$F352)</f>
        <v/>
      </c>
      <c r="D400" s="21">
        <f>IF($A400="","",Deals!$H352)</f>
        <v/>
      </c>
      <c r="E400" s="17">
        <f>IF($A400="","",Deals!$Q352)</f>
        <v/>
      </c>
      <c r="F400" s="16">
        <f>IF($A400="","",IF(AND(Deals!$I352&lt;&gt;"",Deals!$J352&lt;&gt;""),"Yes","No"))</f>
        <v/>
      </c>
      <c r="G400" s="22">
        <f>IF($A400="","",Deals!$Z352)</f>
        <v/>
      </c>
      <c r="H400" s="23">
        <f>IF(OR($A400="",$G400=""),"",INT((Settings!$B$19-$G400)/7))</f>
        <v/>
      </c>
      <c r="I400" s="24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MissingLevel","")&amp;IF(AND($C400="Proposal",Deals!$H352=0.5)," DefaultProbability","")&amp;IF($F400="No"," NoDates","")&amp;IF(AND(ISNUMBER($H400),$H400&gt;=Settings!$B$20)," Stale","")))</f>
        <v/>
      </c>
    </row>
    <row r="401">
      <c r="A401" s="16">
        <f>IF(Deals!$A353="","",Deals!$A353)</f>
        <v/>
      </c>
      <c r="B401" s="16">
        <f>IF($A401="","",Deals!$C353)</f>
        <v/>
      </c>
      <c r="C401" s="16">
        <f>IF($A401="","",Deals!$F353)</f>
        <v/>
      </c>
      <c r="D401" s="21">
        <f>IF($A401="","",Deals!$H353)</f>
        <v/>
      </c>
      <c r="E401" s="17">
        <f>IF($A401="","",Deals!$Q353)</f>
        <v/>
      </c>
      <c r="F401" s="16">
        <f>IF($A401="","",IF(AND(Deals!$I353&lt;&gt;"",Deals!$J353&lt;&gt;""),"Yes","No"))</f>
        <v/>
      </c>
      <c r="G401" s="22">
        <f>IF($A401="","",Deals!$Z353)</f>
        <v/>
      </c>
      <c r="H401" s="23">
        <f>IF(OR($A401="",$G401=""),"",INT((Settings!$B$19-$G401)/7))</f>
        <v/>
      </c>
      <c r="I401" s="24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MissingLevel","")&amp;IF(AND($C401="Proposal",Deals!$H353=0.5)," DefaultProbability","")&amp;IF($F401="No"," NoDates","")&amp;IF(AND(ISNUMBER($H401),$H401&gt;=Settings!$B$20)," Stale","")))</f>
        <v/>
      </c>
    </row>
    <row r="402">
      <c r="A402" s="16">
        <f>IF(Deals!$A354="","",Deals!$A354)</f>
        <v/>
      </c>
      <c r="B402" s="16">
        <f>IF($A402="","",Deals!$C354)</f>
        <v/>
      </c>
      <c r="C402" s="16">
        <f>IF($A402="","",Deals!$F354)</f>
        <v/>
      </c>
      <c r="D402" s="21">
        <f>IF($A402="","",Deals!$H354)</f>
        <v/>
      </c>
      <c r="E402" s="17">
        <f>IF($A402="","",Deals!$Q354)</f>
        <v/>
      </c>
      <c r="F402" s="16">
        <f>IF($A402="","",IF(AND(Deals!$I354&lt;&gt;"",Deals!$J354&lt;&gt;""),"Yes","No"))</f>
        <v/>
      </c>
      <c r="G402" s="22">
        <f>IF($A402="","",Deals!$Z354)</f>
        <v/>
      </c>
      <c r="H402" s="23">
        <f>IF(OR($A402="",$G402=""),"",INT((Settings!$B$19-$G402)/7))</f>
        <v/>
      </c>
      <c r="I402" s="24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MissingLevel","")&amp;IF(AND($C402="Proposal",Deals!$H354=0.5)," DefaultProbability","")&amp;IF($F402="No"," NoDates","")&amp;IF(AND(ISNUMBER($H402),$H402&gt;=Settings!$B$20)," Stale","")))</f>
        <v/>
      </c>
    </row>
    <row r="403">
      <c r="A403" s="16">
        <f>IF(Deals!$A355="","",Deals!$A355)</f>
        <v/>
      </c>
      <c r="B403" s="16">
        <f>IF($A403="","",Deals!$C355)</f>
        <v/>
      </c>
      <c r="C403" s="16">
        <f>IF($A403="","",Deals!$F355)</f>
        <v/>
      </c>
      <c r="D403" s="21">
        <f>IF($A403="","",Deals!$H355)</f>
        <v/>
      </c>
      <c r="E403" s="17">
        <f>IF($A403="","",Deals!$Q355)</f>
        <v/>
      </c>
      <c r="F403" s="16">
        <f>IF($A403="","",IF(AND(Deals!$I355&lt;&gt;"",Deals!$J355&lt;&gt;""),"Yes","No"))</f>
        <v/>
      </c>
      <c r="G403" s="22">
        <f>IF($A403="","",Deals!$Z355)</f>
        <v/>
      </c>
      <c r="H403" s="23">
        <f>IF(OR($A403="",$G403=""),"",INT((Settings!$B$19-$G403)/7))</f>
        <v/>
      </c>
      <c r="I403" s="24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MissingLevel","")&amp;IF(AND($C403="Proposal",Deals!$H355=0.5)," DefaultProbability","")&amp;IF($F403="No"," NoDates","")&amp;IF(AND(ISNUMBER($H403),$H403&gt;=Settings!$B$20)," Stale","")))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I403">
    <cfRule type="expression" priority="3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Scenario analysis - what-if, without touching the live plan</t>
        </is>
      </c>
    </row>
    <row r="2">
      <c r="A2" s="6" t="inlineStr">
        <is>
          <t>This mirrors Capacity but applies the SCENARIO overrides you set on the Deals tab (the violet columns: Scenario probability / start / end). Leave them blank and this equals Live exactly (every Change below is 0). Fill an override - e.g. bump three proposals to 100% - to see who would blow up. The live Capacity and Check-in tabs are never affected.</t>
        </is>
      </c>
    </row>
    <row r="3"/>
    <row r="4">
      <c r="A4" s="25" t="inlineStr">
        <is>
          <t>1) Impact summary - who changes under the scenario (peak over the next 4 weeks)</t>
        </is>
      </c>
    </row>
    <row r="5" ht="28" customHeight="1">
      <c r="A5" s="15" t="inlineStr">
        <is>
          <t>Person</t>
        </is>
      </c>
      <c r="B5" s="15" t="inlineStr">
        <is>
          <t>Cap hrs/wk</t>
        </is>
      </c>
      <c r="C5" s="15" t="inlineStr">
        <is>
          <t>Live peak</t>
        </is>
      </c>
      <c r="D5" s="15" t="inlineStr">
        <is>
          <t>Scenario peak</t>
        </is>
      </c>
      <c r="E5" s="15" t="inlineStr">
        <is>
          <t>Change</t>
        </is>
      </c>
      <c r="F5" s="15" t="inlineStr">
        <is>
          <t>Scenario util</t>
        </is>
      </c>
      <c r="G5" s="15" t="inlineStr">
        <is>
          <t>Flag</t>
        </is>
      </c>
    </row>
    <row r="6">
      <c r="A6" s="16">
        <f>IF(Roster!$A2="","",Roster!$A2)</f>
        <v/>
      </c>
      <c r="B6" s="17">
        <f>IF($A6="","",Roster!$D2)</f>
        <v/>
      </c>
      <c r="C6" s="18">
        <f>IF($A6="","",MAX(Capacity!$C5:$F5))</f>
        <v/>
      </c>
      <c r="D6" s="18">
        <f>IF($A6="","",MAX($C48:$F48))</f>
        <v/>
      </c>
      <c r="E6" s="26">
        <f>IF($A6="","",$D6-$C6)</f>
        <v/>
      </c>
      <c r="F6" s="19">
        <f>IF(OR($A6="",$B6=0),"",$D6/$B6)</f>
        <v/>
      </c>
      <c r="G6" s="20">
        <f>IF($B6=0,"",IF(AND($D6&gt;$B6,$C6&lt;=$B6),"NEWLY OVER",IF($D6&gt;$B6,"over",IF(AND($C6&gt;$B6,$D6&lt;=$B6),"eased",""))))</f>
        <v/>
      </c>
    </row>
    <row r="7">
      <c r="A7" s="16">
        <f>IF(Roster!$A3="","",Roster!$A3)</f>
        <v/>
      </c>
      <c r="B7" s="17">
        <f>IF($A7="","",Roster!$D3)</f>
        <v/>
      </c>
      <c r="C7" s="18">
        <f>IF($A7="","",MAX(Capacity!$C6:$F6))</f>
        <v/>
      </c>
      <c r="D7" s="18">
        <f>IF($A7="","",MAX($C49:$F49))</f>
        <v/>
      </c>
      <c r="E7" s="26">
        <f>IF($A7="","",$D7-$C7)</f>
        <v/>
      </c>
      <c r="F7" s="19">
        <f>IF(OR($A7="",$B7=0),"",$D7/$B7)</f>
        <v/>
      </c>
      <c r="G7" s="20">
        <f>IF($B7=0,"",IF(AND($D7&gt;$B7,$C7&lt;=$B7),"NEWLY OVER",IF($D7&gt;$B7,"over",IF(AND($C7&gt;$B7,$D7&lt;=$B7),"eased",""))))</f>
        <v/>
      </c>
    </row>
    <row r="8">
      <c r="A8" s="16">
        <f>IF(Roster!$A4="","",Roster!$A4)</f>
        <v/>
      </c>
      <c r="B8" s="17">
        <f>IF($A8="","",Roster!$D4)</f>
        <v/>
      </c>
      <c r="C8" s="18">
        <f>IF($A8="","",MAX(Capacity!$C7:$F7))</f>
        <v/>
      </c>
      <c r="D8" s="18">
        <f>IF($A8="","",MAX($C50:$F50))</f>
        <v/>
      </c>
      <c r="E8" s="26">
        <f>IF($A8="","",$D8-$C8)</f>
        <v/>
      </c>
      <c r="F8" s="19">
        <f>IF(OR($A8="",$B8=0),"",$D8/$B8)</f>
        <v/>
      </c>
      <c r="G8" s="20">
        <f>IF($B8=0,"",IF(AND($D8&gt;$B8,$C8&lt;=$B8),"NEWLY OVER",IF($D8&gt;$B8,"over",IF(AND($C8&gt;$B8,$D8&lt;=$B8),"eased",""))))</f>
        <v/>
      </c>
    </row>
    <row r="9">
      <c r="A9" s="16">
        <f>IF(Roster!$A5="","",Roster!$A5)</f>
        <v/>
      </c>
      <c r="B9" s="17">
        <f>IF($A9="","",Roster!$D5)</f>
        <v/>
      </c>
      <c r="C9" s="18">
        <f>IF($A9="","",MAX(Capacity!$C8:$F8))</f>
        <v/>
      </c>
      <c r="D9" s="18">
        <f>IF($A9="","",MAX($C51:$F51))</f>
        <v/>
      </c>
      <c r="E9" s="26">
        <f>IF($A9="","",$D9-$C9)</f>
        <v/>
      </c>
      <c r="F9" s="19">
        <f>IF(OR($A9="",$B9=0),"",$D9/$B9)</f>
        <v/>
      </c>
      <c r="G9" s="20">
        <f>IF($B9=0,"",IF(AND($D9&gt;$B9,$C9&lt;=$B9),"NEWLY OVER",IF($D9&gt;$B9,"over",IF(AND($C9&gt;$B9,$D9&lt;=$B9),"eased",""))))</f>
        <v/>
      </c>
    </row>
    <row r="10">
      <c r="A10" s="16">
        <f>IF(Roster!$A6="","",Roster!$A6)</f>
        <v/>
      </c>
      <c r="B10" s="17">
        <f>IF($A10="","",Roster!$D6)</f>
        <v/>
      </c>
      <c r="C10" s="18">
        <f>IF($A10="","",MAX(Capacity!$C9:$F9))</f>
        <v/>
      </c>
      <c r="D10" s="18">
        <f>IF($A10="","",MAX($C52:$F52))</f>
        <v/>
      </c>
      <c r="E10" s="26">
        <f>IF($A10="","",$D10-$C10)</f>
        <v/>
      </c>
      <c r="F10" s="19">
        <f>IF(OR($A10="",$B10=0),"",$D10/$B10)</f>
        <v/>
      </c>
      <c r="G10" s="20">
        <f>IF($B10=0,"",IF(AND($D10&gt;$B10,$C10&lt;=$B10),"NEWLY OVER",IF($D10&gt;$B10,"over",IF(AND($C10&gt;$B10,$D10&lt;=$B10),"eased",""))))</f>
        <v/>
      </c>
    </row>
    <row r="11">
      <c r="A11" s="16">
        <f>IF(Roster!$A7="","",Roster!$A7)</f>
        <v/>
      </c>
      <c r="B11" s="17">
        <f>IF($A11="","",Roster!$D7)</f>
        <v/>
      </c>
      <c r="C11" s="18">
        <f>IF($A11="","",MAX(Capacity!$C10:$F10))</f>
        <v/>
      </c>
      <c r="D11" s="18">
        <f>IF($A11="","",MAX($C53:$F53))</f>
        <v/>
      </c>
      <c r="E11" s="26">
        <f>IF($A11="","",$D11-$C11)</f>
        <v/>
      </c>
      <c r="F11" s="19">
        <f>IF(OR($A11="",$B11=0),"",$D11/$B11)</f>
        <v/>
      </c>
      <c r="G11" s="20">
        <f>IF($B11=0,"",IF(AND($D11&gt;$B11,$C11&lt;=$B11),"NEWLY OVER",IF($D11&gt;$B11,"over",IF(AND($C11&gt;$B11,$D11&lt;=$B11),"eased",""))))</f>
        <v/>
      </c>
    </row>
    <row r="12">
      <c r="A12" s="16">
        <f>IF(Roster!$A8="","",Roster!$A8)</f>
        <v/>
      </c>
      <c r="B12" s="17">
        <f>IF($A12="","",Roster!$D8)</f>
        <v/>
      </c>
      <c r="C12" s="18">
        <f>IF($A12="","",MAX(Capacity!$C11:$F11))</f>
        <v/>
      </c>
      <c r="D12" s="18">
        <f>IF($A12="","",MAX($C54:$F54))</f>
        <v/>
      </c>
      <c r="E12" s="26">
        <f>IF($A12="","",$D12-$C12)</f>
        <v/>
      </c>
      <c r="F12" s="19">
        <f>IF(OR($A12="",$B12=0),"",$D12/$B12)</f>
        <v/>
      </c>
      <c r="G12" s="20">
        <f>IF($B12=0,"",IF(AND($D12&gt;$B12,$C12&lt;=$B12),"NEWLY OVER",IF($D12&gt;$B12,"over",IF(AND($C12&gt;$B12,$D12&lt;=$B12),"eased",""))))</f>
        <v/>
      </c>
    </row>
    <row r="13">
      <c r="A13" s="16">
        <f>IF(Roster!$A9="","",Roster!$A9)</f>
        <v/>
      </c>
      <c r="B13" s="17">
        <f>IF($A13="","",Roster!$D9)</f>
        <v/>
      </c>
      <c r="C13" s="18">
        <f>IF($A13="","",MAX(Capacity!$C12:$F12))</f>
        <v/>
      </c>
      <c r="D13" s="18">
        <f>IF($A13="","",MAX($C55:$F55))</f>
        <v/>
      </c>
      <c r="E13" s="26">
        <f>IF($A13="","",$D13-$C13)</f>
        <v/>
      </c>
      <c r="F13" s="19">
        <f>IF(OR($A13="",$B13=0),"",$D13/$B13)</f>
        <v/>
      </c>
      <c r="G13" s="20">
        <f>IF($B13=0,"",IF(AND($D13&gt;$B13,$C13&lt;=$B13),"NEWLY OVER",IF($D13&gt;$B13,"over",IF(AND($C13&gt;$B13,$D13&lt;=$B13),"eased",""))))</f>
        <v/>
      </c>
    </row>
    <row r="14">
      <c r="A14" s="16">
        <f>IF(Roster!$A10="","",Roster!$A10)</f>
        <v/>
      </c>
      <c r="B14" s="17">
        <f>IF($A14="","",Roster!$D10)</f>
        <v/>
      </c>
      <c r="C14" s="18">
        <f>IF($A14="","",MAX(Capacity!$C13:$F13))</f>
        <v/>
      </c>
      <c r="D14" s="18">
        <f>IF($A14="","",MAX($C56:$F56))</f>
        <v/>
      </c>
      <c r="E14" s="26">
        <f>IF($A14="","",$D14-$C14)</f>
        <v/>
      </c>
      <c r="F14" s="19">
        <f>IF(OR($A14="",$B14=0),"",$D14/$B14)</f>
        <v/>
      </c>
      <c r="G14" s="20">
        <f>IF($B14=0,"",IF(AND($D14&gt;$B14,$C14&lt;=$B14),"NEWLY OVER",IF($D14&gt;$B14,"over",IF(AND($C14&gt;$B14,$D14&lt;=$B14),"eased",""))))</f>
        <v/>
      </c>
    </row>
    <row r="15">
      <c r="A15" s="16">
        <f>IF(Roster!$A11="","",Roster!$A11)</f>
        <v/>
      </c>
      <c r="B15" s="17">
        <f>IF($A15="","",Roster!$D11)</f>
        <v/>
      </c>
      <c r="C15" s="18">
        <f>IF($A15="","",MAX(Capacity!$C14:$F14))</f>
        <v/>
      </c>
      <c r="D15" s="18">
        <f>IF($A15="","",MAX($C57:$F57))</f>
        <v/>
      </c>
      <c r="E15" s="26">
        <f>IF($A15="","",$D15-$C15)</f>
        <v/>
      </c>
      <c r="F15" s="19">
        <f>IF(OR($A15="",$B15=0),"",$D15/$B15)</f>
        <v/>
      </c>
      <c r="G15" s="20">
        <f>IF($B15=0,"",IF(AND($D15&gt;$B15,$C15&lt;=$B15),"NEWLY OVER",IF($D15&gt;$B15,"over",IF(AND($C15&gt;$B15,$D15&lt;=$B15),"eased",""))))</f>
        <v/>
      </c>
    </row>
    <row r="16">
      <c r="A16" s="16">
        <f>IF(Roster!$A12="","",Roster!$A12)</f>
        <v/>
      </c>
      <c r="B16" s="17">
        <f>IF($A16="","",Roster!$D12)</f>
        <v/>
      </c>
      <c r="C16" s="18">
        <f>IF($A16="","",MAX(Capacity!$C15:$F15))</f>
        <v/>
      </c>
      <c r="D16" s="18">
        <f>IF($A16="","",MAX($C58:$F58))</f>
        <v/>
      </c>
      <c r="E16" s="26">
        <f>IF($A16="","",$D16-$C16)</f>
        <v/>
      </c>
      <c r="F16" s="19">
        <f>IF(OR($A16="",$B16=0),"",$D16/$B16)</f>
        <v/>
      </c>
      <c r="G16" s="20">
        <f>IF($B16=0,"",IF(AND($D16&gt;$B16,$C16&lt;=$B16),"NEWLY OVER",IF($D16&gt;$B16,"over",IF(AND($C16&gt;$B16,$D16&lt;=$B16),"eased",""))))</f>
        <v/>
      </c>
    </row>
    <row r="17">
      <c r="A17" s="16">
        <f>IF(Roster!$A13="","",Roster!$A13)</f>
        <v/>
      </c>
      <c r="B17" s="17">
        <f>IF($A17="","",Roster!$D13)</f>
        <v/>
      </c>
      <c r="C17" s="18">
        <f>IF($A17="","",MAX(Capacity!$C16:$F16))</f>
        <v/>
      </c>
      <c r="D17" s="18">
        <f>IF($A17="","",MAX($C59:$F59))</f>
        <v/>
      </c>
      <c r="E17" s="26">
        <f>IF($A17="","",$D17-$C17)</f>
        <v/>
      </c>
      <c r="F17" s="19">
        <f>IF(OR($A17="",$B17=0),"",$D17/$B17)</f>
        <v/>
      </c>
      <c r="G17" s="20">
        <f>IF($B17=0,"",IF(AND($D17&gt;$B17,$C17&lt;=$B17),"NEWLY OVER",IF($D17&gt;$B17,"over",IF(AND($C17&gt;$B17,$D17&lt;=$B17),"eased",""))))</f>
        <v/>
      </c>
    </row>
    <row r="18">
      <c r="A18" s="16">
        <f>IF(Roster!$A14="","",Roster!$A14)</f>
        <v/>
      </c>
      <c r="B18" s="17">
        <f>IF($A18="","",Roster!$D14)</f>
        <v/>
      </c>
      <c r="C18" s="18">
        <f>IF($A18="","",MAX(Capacity!$C17:$F17))</f>
        <v/>
      </c>
      <c r="D18" s="18">
        <f>IF($A18="","",MAX($C60:$F60))</f>
        <v/>
      </c>
      <c r="E18" s="26">
        <f>IF($A18="","",$D18-$C18)</f>
        <v/>
      </c>
      <c r="F18" s="19">
        <f>IF(OR($A18="",$B18=0),"",$D18/$B18)</f>
        <v/>
      </c>
      <c r="G18" s="20">
        <f>IF($B18=0,"",IF(AND($D18&gt;$B18,$C18&lt;=$B18),"NEWLY OVER",IF($D18&gt;$B18,"over",IF(AND($C18&gt;$B18,$D18&lt;=$B18),"eased",""))))</f>
        <v/>
      </c>
    </row>
    <row r="19">
      <c r="A19" s="16">
        <f>IF(Roster!$A15="","",Roster!$A15)</f>
        <v/>
      </c>
      <c r="B19" s="17">
        <f>IF($A19="","",Roster!$D15)</f>
        <v/>
      </c>
      <c r="C19" s="18">
        <f>IF($A19="","",MAX(Capacity!$C18:$F18))</f>
        <v/>
      </c>
      <c r="D19" s="18">
        <f>IF($A19="","",MAX($C61:$F61))</f>
        <v/>
      </c>
      <c r="E19" s="26">
        <f>IF($A19="","",$D19-$C19)</f>
        <v/>
      </c>
      <c r="F19" s="19">
        <f>IF(OR($A19="",$B19=0),"",$D19/$B19)</f>
        <v/>
      </c>
      <c r="G19" s="20">
        <f>IF($B19=0,"",IF(AND($D19&gt;$B19,$C19&lt;=$B19),"NEWLY OVER",IF($D19&gt;$B19,"over",IF(AND($C19&gt;$B19,$D19&lt;=$B19),"eased",""))))</f>
        <v/>
      </c>
    </row>
    <row r="20">
      <c r="A20" s="16">
        <f>IF(Roster!$A16="","",Roster!$A16)</f>
        <v/>
      </c>
      <c r="B20" s="17">
        <f>IF($A20="","",Roster!$D16)</f>
        <v/>
      </c>
      <c r="C20" s="18">
        <f>IF($A20="","",MAX(Capacity!$C19:$F19))</f>
        <v/>
      </c>
      <c r="D20" s="18">
        <f>IF($A20="","",MAX($C62:$F62))</f>
        <v/>
      </c>
      <c r="E20" s="26">
        <f>IF($A20="","",$D20-$C20)</f>
        <v/>
      </c>
      <c r="F20" s="19">
        <f>IF(OR($A20="",$B20=0),"",$D20/$B20)</f>
        <v/>
      </c>
      <c r="G20" s="20">
        <f>IF($B20=0,"",IF(AND($D20&gt;$B20,$C20&lt;=$B20),"NEWLY OVER",IF($D20&gt;$B20,"over",IF(AND($C20&gt;$B20,$D20&lt;=$B20),"eased",""))))</f>
        <v/>
      </c>
    </row>
    <row r="21">
      <c r="A21" s="16">
        <f>IF(Roster!$A17="","",Roster!$A17)</f>
        <v/>
      </c>
      <c r="B21" s="17">
        <f>IF($A21="","",Roster!$D17)</f>
        <v/>
      </c>
      <c r="C21" s="18">
        <f>IF($A21="","",MAX(Capacity!$C20:$F20))</f>
        <v/>
      </c>
      <c r="D21" s="18">
        <f>IF($A21="","",MAX($C63:$F63))</f>
        <v/>
      </c>
      <c r="E21" s="26">
        <f>IF($A21="","",$D21-$C21)</f>
        <v/>
      </c>
      <c r="F21" s="19">
        <f>IF(OR($A21="",$B21=0),"",$D21/$B21)</f>
        <v/>
      </c>
      <c r="G21" s="20">
        <f>IF($B21=0,"",IF(AND($D21&gt;$B21,$C21&lt;=$B21),"NEWLY OVER",IF($D21&gt;$B21,"over",IF(AND($C21&gt;$B21,$D21&lt;=$B21),"eased",""))))</f>
        <v/>
      </c>
    </row>
    <row r="22">
      <c r="A22" s="16">
        <f>IF(Roster!$A18="","",Roster!$A18)</f>
        <v/>
      </c>
      <c r="B22" s="17">
        <f>IF($A22="","",Roster!$D18)</f>
        <v/>
      </c>
      <c r="C22" s="18">
        <f>IF($A22="","",MAX(Capacity!$C21:$F21))</f>
        <v/>
      </c>
      <c r="D22" s="18">
        <f>IF($A22="","",MAX($C64:$F64))</f>
        <v/>
      </c>
      <c r="E22" s="26">
        <f>IF($A22="","",$D22-$C22)</f>
        <v/>
      </c>
      <c r="F22" s="19">
        <f>IF(OR($A22="",$B22=0),"",$D22/$B22)</f>
        <v/>
      </c>
      <c r="G22" s="20">
        <f>IF($B22=0,"",IF(AND($D22&gt;$B22,$C22&lt;=$B22),"NEWLY OVER",IF($D22&gt;$B22,"over",IF(AND($C22&gt;$B22,$D22&lt;=$B22),"eased",""))))</f>
        <v/>
      </c>
    </row>
    <row r="23">
      <c r="A23" s="16">
        <f>IF(Roster!$A19="","",Roster!$A19)</f>
        <v/>
      </c>
      <c r="B23" s="17">
        <f>IF($A23="","",Roster!$D19)</f>
        <v/>
      </c>
      <c r="C23" s="18">
        <f>IF($A23="","",MAX(Capacity!$C22:$F22))</f>
        <v/>
      </c>
      <c r="D23" s="18">
        <f>IF($A23="","",MAX($C65:$F65))</f>
        <v/>
      </c>
      <c r="E23" s="26">
        <f>IF($A23="","",$D23-$C23)</f>
        <v/>
      </c>
      <c r="F23" s="19">
        <f>IF(OR($A23="",$B23=0),"",$D23/$B23)</f>
        <v/>
      </c>
      <c r="G23" s="20">
        <f>IF($B23=0,"",IF(AND($D23&gt;$B23,$C23&lt;=$B23),"NEWLY OVER",IF($D23&gt;$B23,"over",IF(AND($C23&gt;$B23,$D23&lt;=$B23),"eased",""))))</f>
        <v/>
      </c>
    </row>
    <row r="24">
      <c r="A24" s="16">
        <f>IF(Roster!$A20="","",Roster!$A20)</f>
        <v/>
      </c>
      <c r="B24" s="17">
        <f>IF($A24="","",Roster!$D20)</f>
        <v/>
      </c>
      <c r="C24" s="18">
        <f>IF($A24="","",MAX(Capacity!$C23:$F23))</f>
        <v/>
      </c>
      <c r="D24" s="18">
        <f>IF($A24="","",MAX($C66:$F66))</f>
        <v/>
      </c>
      <c r="E24" s="26">
        <f>IF($A24="","",$D24-$C24)</f>
        <v/>
      </c>
      <c r="F24" s="19">
        <f>IF(OR($A24="",$B24=0),"",$D24/$B24)</f>
        <v/>
      </c>
      <c r="G24" s="20">
        <f>IF($B24=0,"",IF(AND($D24&gt;$B24,$C24&lt;=$B24),"NEWLY OVER",IF($D24&gt;$B24,"over",IF(AND($C24&gt;$B24,$D24&lt;=$B24),"eased",""))))</f>
        <v/>
      </c>
    </row>
    <row r="25">
      <c r="A25" s="16">
        <f>IF(Roster!$A21="","",Roster!$A21)</f>
        <v/>
      </c>
      <c r="B25" s="17">
        <f>IF($A25="","",Roster!$D21)</f>
        <v/>
      </c>
      <c r="C25" s="18">
        <f>IF($A25="","",MAX(Capacity!$C24:$F24))</f>
        <v/>
      </c>
      <c r="D25" s="18">
        <f>IF($A25="","",MAX($C67:$F67))</f>
        <v/>
      </c>
      <c r="E25" s="26">
        <f>IF($A25="","",$D25-$C25)</f>
        <v/>
      </c>
      <c r="F25" s="19">
        <f>IF(OR($A25="",$B25=0),"",$D25/$B25)</f>
        <v/>
      </c>
      <c r="G25" s="20">
        <f>IF($B25=0,"",IF(AND($D25&gt;$B25,$C25&lt;=$B25),"NEWLY OVER",IF($D25&gt;$B25,"over",IF(AND($C25&gt;$B25,$D25&lt;=$B25),"eased",""))))</f>
        <v/>
      </c>
    </row>
    <row r="26">
      <c r="A26" s="16">
        <f>IF(Roster!$A22="","",Roster!$A22)</f>
        <v/>
      </c>
      <c r="B26" s="17">
        <f>IF($A26="","",Roster!$D22)</f>
        <v/>
      </c>
      <c r="C26" s="18">
        <f>IF($A26="","",MAX(Capacity!$C25:$F25))</f>
        <v/>
      </c>
      <c r="D26" s="18">
        <f>IF($A26="","",MAX($C68:$F68))</f>
        <v/>
      </c>
      <c r="E26" s="26">
        <f>IF($A26="","",$D26-$C26)</f>
        <v/>
      </c>
      <c r="F26" s="19">
        <f>IF(OR($A26="",$B26=0),"",$D26/$B26)</f>
        <v/>
      </c>
      <c r="G26" s="20">
        <f>IF($B26=0,"",IF(AND($D26&gt;$B26,$C26&lt;=$B26),"NEWLY OVER",IF($D26&gt;$B26,"over",IF(AND($C26&gt;$B26,$D26&lt;=$B26),"eased",""))))</f>
        <v/>
      </c>
    </row>
    <row r="27">
      <c r="A27" s="16">
        <f>IF(Roster!$A23="","",Roster!$A23)</f>
        <v/>
      </c>
      <c r="B27" s="17">
        <f>IF($A27="","",Roster!$D23)</f>
        <v/>
      </c>
      <c r="C27" s="18">
        <f>IF($A27="","",MAX(Capacity!$C26:$F26))</f>
        <v/>
      </c>
      <c r="D27" s="18">
        <f>IF($A27="","",MAX($C69:$F69))</f>
        <v/>
      </c>
      <c r="E27" s="26">
        <f>IF($A27="","",$D27-$C27)</f>
        <v/>
      </c>
      <c r="F27" s="19">
        <f>IF(OR($A27="",$B27=0),"",$D27/$B27)</f>
        <v/>
      </c>
      <c r="G27" s="20">
        <f>IF($B27=0,"",IF(AND($D27&gt;$B27,$C27&lt;=$B27),"NEWLY OVER",IF($D27&gt;$B27,"over",IF(AND($C27&gt;$B27,$D27&lt;=$B27),"eased",""))))</f>
        <v/>
      </c>
    </row>
    <row r="28">
      <c r="A28" s="16">
        <f>IF(Roster!$A24="","",Roster!$A24)</f>
        <v/>
      </c>
      <c r="B28" s="17">
        <f>IF($A28="","",Roster!$D24)</f>
        <v/>
      </c>
      <c r="C28" s="18">
        <f>IF($A28="","",MAX(Capacity!$C27:$F27))</f>
        <v/>
      </c>
      <c r="D28" s="18">
        <f>IF($A28="","",MAX($C70:$F70))</f>
        <v/>
      </c>
      <c r="E28" s="26">
        <f>IF($A28="","",$D28-$C28)</f>
        <v/>
      </c>
      <c r="F28" s="19">
        <f>IF(OR($A28="",$B28=0),"",$D28/$B28)</f>
        <v/>
      </c>
      <c r="G28" s="20">
        <f>IF($B28=0,"",IF(AND($D28&gt;$B28,$C28&lt;=$B28),"NEWLY OVER",IF($D28&gt;$B28,"over",IF(AND($C28&gt;$B28,$D28&lt;=$B28),"eased",""))))</f>
        <v/>
      </c>
    </row>
    <row r="29">
      <c r="A29" s="16">
        <f>IF(Roster!$A25="","",Roster!$A25)</f>
        <v/>
      </c>
      <c r="B29" s="17">
        <f>IF($A29="","",Roster!$D25)</f>
        <v/>
      </c>
      <c r="C29" s="18">
        <f>IF($A29="","",MAX(Capacity!$C28:$F28))</f>
        <v/>
      </c>
      <c r="D29" s="18">
        <f>IF($A29="","",MAX($C71:$F71))</f>
        <v/>
      </c>
      <c r="E29" s="26">
        <f>IF($A29="","",$D29-$C29)</f>
        <v/>
      </c>
      <c r="F29" s="19">
        <f>IF(OR($A29="",$B29=0),"",$D29/$B29)</f>
        <v/>
      </c>
      <c r="G29" s="20">
        <f>IF($B29=0,"",IF(AND($D29&gt;$B29,$C29&lt;=$B29),"NEWLY OVER",IF($D29&gt;$B29,"over",IF(AND($C29&gt;$B29,$D29&lt;=$B29),"eased",""))))</f>
        <v/>
      </c>
    </row>
    <row r="30">
      <c r="A30" s="16">
        <f>IF(Roster!$A26="","",Roster!$A26)</f>
        <v/>
      </c>
      <c r="B30" s="17">
        <f>IF($A30="","",Roster!$D26)</f>
        <v/>
      </c>
      <c r="C30" s="18">
        <f>IF($A30="","",MAX(Capacity!$C29:$F29))</f>
        <v/>
      </c>
      <c r="D30" s="18">
        <f>IF($A30="","",MAX($C72:$F72))</f>
        <v/>
      </c>
      <c r="E30" s="26">
        <f>IF($A30="","",$D30-$C30)</f>
        <v/>
      </c>
      <c r="F30" s="19">
        <f>IF(OR($A30="",$B30=0),"",$D30/$B30)</f>
        <v/>
      </c>
      <c r="G30" s="20">
        <f>IF($B30=0,"",IF(AND($D30&gt;$B30,$C30&lt;=$B30),"NEWLY OVER",IF($D30&gt;$B30,"over",IF(AND($C30&gt;$B30,$D30&lt;=$B30),"eased",""))))</f>
        <v/>
      </c>
    </row>
    <row r="31">
      <c r="A31" s="16">
        <f>IF(Roster!$A27="","",Roster!$A27)</f>
        <v/>
      </c>
      <c r="B31" s="17">
        <f>IF($A31="","",Roster!$D27)</f>
        <v/>
      </c>
      <c r="C31" s="18">
        <f>IF($A31="","",MAX(Capacity!$C30:$F30))</f>
        <v/>
      </c>
      <c r="D31" s="18">
        <f>IF($A31="","",MAX($C73:$F73))</f>
        <v/>
      </c>
      <c r="E31" s="26">
        <f>IF($A31="","",$D31-$C31)</f>
        <v/>
      </c>
      <c r="F31" s="19">
        <f>IF(OR($A31="",$B31=0),"",$D31/$B31)</f>
        <v/>
      </c>
      <c r="G31" s="20">
        <f>IF($B31=0,"",IF(AND($D31&gt;$B31,$C31&lt;=$B31),"NEWLY OVER",IF($D31&gt;$B31,"over",IF(AND($C31&gt;$B31,$D31&lt;=$B31),"eased",""))))</f>
        <v/>
      </c>
    </row>
    <row r="32">
      <c r="A32" s="16">
        <f>IF(Roster!$A28="","",Roster!$A28)</f>
        <v/>
      </c>
      <c r="B32" s="17">
        <f>IF($A32="","",Roster!$D28)</f>
        <v/>
      </c>
      <c r="C32" s="18">
        <f>IF($A32="","",MAX(Capacity!$C31:$F31))</f>
        <v/>
      </c>
      <c r="D32" s="18">
        <f>IF($A32="","",MAX($C74:$F74))</f>
        <v/>
      </c>
      <c r="E32" s="26">
        <f>IF($A32="","",$D32-$C32)</f>
        <v/>
      </c>
      <c r="F32" s="19">
        <f>IF(OR($A32="",$B32=0),"",$D32/$B32)</f>
        <v/>
      </c>
      <c r="G32" s="20">
        <f>IF($B32=0,"",IF(AND($D32&gt;$B32,$C32&lt;=$B32),"NEWLY OVER",IF($D32&gt;$B32,"over",IF(AND($C32&gt;$B32,$D32&lt;=$B32),"eased",""))))</f>
        <v/>
      </c>
    </row>
    <row r="33">
      <c r="A33" s="16">
        <f>IF(Roster!$A29="","",Roster!$A29)</f>
        <v/>
      </c>
      <c r="B33" s="17">
        <f>IF($A33="","",Roster!$D29)</f>
        <v/>
      </c>
      <c r="C33" s="18">
        <f>IF($A33="","",MAX(Capacity!$C32:$F32))</f>
        <v/>
      </c>
      <c r="D33" s="18">
        <f>IF($A33="","",MAX($C75:$F75))</f>
        <v/>
      </c>
      <c r="E33" s="26">
        <f>IF($A33="","",$D33-$C33)</f>
        <v/>
      </c>
      <c r="F33" s="19">
        <f>IF(OR($A33="",$B33=0),"",$D33/$B33)</f>
        <v/>
      </c>
      <c r="G33" s="20">
        <f>IF($B33=0,"",IF(AND($D33&gt;$B33,$C33&lt;=$B33),"NEWLY OVER",IF($D33&gt;$B33,"over",IF(AND($C33&gt;$B33,$D33&lt;=$B33),"eased",""))))</f>
        <v/>
      </c>
    </row>
    <row r="34">
      <c r="A34" s="16">
        <f>IF(Roster!$A30="","",Roster!$A30)</f>
        <v/>
      </c>
      <c r="B34" s="17">
        <f>IF($A34="","",Roster!$D30)</f>
        <v/>
      </c>
      <c r="C34" s="18">
        <f>IF($A34="","",MAX(Capacity!$C33:$F33))</f>
        <v/>
      </c>
      <c r="D34" s="18">
        <f>IF($A34="","",MAX($C76:$F76))</f>
        <v/>
      </c>
      <c r="E34" s="26">
        <f>IF($A34="","",$D34-$C34)</f>
        <v/>
      </c>
      <c r="F34" s="19">
        <f>IF(OR($A34="",$B34=0),"",$D34/$B34)</f>
        <v/>
      </c>
      <c r="G34" s="20">
        <f>IF($B34=0,"",IF(AND($D34&gt;$B34,$C34&lt;=$B34),"NEWLY OVER",IF($D34&gt;$B34,"over",IF(AND($C34&gt;$B34,$D34&lt;=$B34),"eased",""))))</f>
        <v/>
      </c>
    </row>
    <row r="35">
      <c r="A35" s="16">
        <f>IF(Roster!$A31="","",Roster!$A31)</f>
        <v/>
      </c>
      <c r="B35" s="17">
        <f>IF($A35="","",Roster!$D31)</f>
        <v/>
      </c>
      <c r="C35" s="18">
        <f>IF($A35="","",MAX(Capacity!$C34:$F34))</f>
        <v/>
      </c>
      <c r="D35" s="18">
        <f>IF($A35="","",MAX($C77:$F77))</f>
        <v/>
      </c>
      <c r="E35" s="26">
        <f>IF($A35="","",$D35-$C35)</f>
        <v/>
      </c>
      <c r="F35" s="19">
        <f>IF(OR($A35="",$B35=0),"",$D35/$B35)</f>
        <v/>
      </c>
      <c r="G35" s="20">
        <f>IF($B35=0,"",IF(AND($D35&gt;$B35,$C35&lt;=$B35),"NEWLY OVER",IF($D35&gt;$B35,"over",IF(AND($C35&gt;$B35,$D35&lt;=$B35),"eased",""))))</f>
        <v/>
      </c>
    </row>
    <row r="36">
      <c r="A36" s="16">
        <f>IF(Roster!$A32="","",Roster!$A32)</f>
        <v/>
      </c>
      <c r="B36" s="17">
        <f>IF($A36="","",Roster!$D32)</f>
        <v/>
      </c>
      <c r="C36" s="18">
        <f>IF($A36="","",MAX(Capacity!$C35:$F35))</f>
        <v/>
      </c>
      <c r="D36" s="18">
        <f>IF($A36="","",MAX($C78:$F78))</f>
        <v/>
      </c>
      <c r="E36" s="26">
        <f>IF($A36="","",$D36-$C36)</f>
        <v/>
      </c>
      <c r="F36" s="19">
        <f>IF(OR($A36="",$B36=0),"",$D36/$B36)</f>
        <v/>
      </c>
      <c r="G36" s="20">
        <f>IF($B36=0,"",IF(AND($D36&gt;$B36,$C36&lt;=$B36),"NEWLY OVER",IF($D36&gt;$B36,"over",IF(AND($C36&gt;$B36,$D36&lt;=$B36),"eased",""))))</f>
        <v/>
      </c>
    </row>
    <row r="37">
      <c r="A37" s="16">
        <f>IF(Roster!$A33="","",Roster!$A33)</f>
        <v/>
      </c>
      <c r="B37" s="17">
        <f>IF($A37="","",Roster!$D33)</f>
        <v/>
      </c>
      <c r="C37" s="18">
        <f>IF($A37="","",MAX(Capacity!$C36:$F36))</f>
        <v/>
      </c>
      <c r="D37" s="18">
        <f>IF($A37="","",MAX($C79:$F79))</f>
        <v/>
      </c>
      <c r="E37" s="26">
        <f>IF($A37="","",$D37-$C37)</f>
        <v/>
      </c>
      <c r="F37" s="19">
        <f>IF(OR($A37="",$B37=0),"",$D37/$B37)</f>
        <v/>
      </c>
      <c r="G37" s="20">
        <f>IF($B37=0,"",IF(AND($D37&gt;$B37,$C37&lt;=$B37),"NEWLY OVER",IF($D37&gt;$B37,"over",IF(AND($C37&gt;$B37,$D37&lt;=$B37),"eased",""))))</f>
        <v/>
      </c>
    </row>
    <row r="38">
      <c r="A38" s="16">
        <f>IF(Roster!$A34="","",Roster!$A34)</f>
        <v/>
      </c>
      <c r="B38" s="17">
        <f>IF($A38="","",Roster!$D34)</f>
        <v/>
      </c>
      <c r="C38" s="18">
        <f>IF($A38="","",MAX(Capacity!$C37:$F37))</f>
        <v/>
      </c>
      <c r="D38" s="18">
        <f>IF($A38="","",MAX($C80:$F80))</f>
        <v/>
      </c>
      <c r="E38" s="26">
        <f>IF($A38="","",$D38-$C38)</f>
        <v/>
      </c>
      <c r="F38" s="19">
        <f>IF(OR($A38="",$B38=0),"",$D38/$B38)</f>
        <v/>
      </c>
      <c r="G38" s="20">
        <f>IF($B38=0,"",IF(AND($D38&gt;$B38,$C38&lt;=$B38),"NEWLY OVER",IF($D38&gt;$B38,"over",IF(AND($C38&gt;$B38,$D38&lt;=$B38),"eased",""))))</f>
        <v/>
      </c>
    </row>
    <row r="39">
      <c r="A39" s="16">
        <f>IF(Roster!$A35="","",Roster!$A35)</f>
        <v/>
      </c>
      <c r="B39" s="17">
        <f>IF($A39="","",Roster!$D35)</f>
        <v/>
      </c>
      <c r="C39" s="18">
        <f>IF($A39="","",MAX(Capacity!$C38:$F38))</f>
        <v/>
      </c>
      <c r="D39" s="18">
        <f>IF($A39="","",MAX($C81:$F81))</f>
        <v/>
      </c>
      <c r="E39" s="26">
        <f>IF($A39="","",$D39-$C39)</f>
        <v/>
      </c>
      <c r="F39" s="19">
        <f>IF(OR($A39="",$B39=0),"",$D39/$B39)</f>
        <v/>
      </c>
      <c r="G39" s="20">
        <f>IF($B39=0,"",IF(AND($D39&gt;$B39,$C39&lt;=$B39),"NEWLY OVER",IF($D39&gt;$B39,"over",IF(AND($C39&gt;$B39,$D39&lt;=$B39),"eased",""))))</f>
        <v/>
      </c>
    </row>
    <row r="40">
      <c r="A40" s="16">
        <f>IF(Roster!$A36="","",Roster!$A36)</f>
        <v/>
      </c>
      <c r="B40" s="17">
        <f>IF($A40="","",Roster!$D36)</f>
        <v/>
      </c>
      <c r="C40" s="18">
        <f>IF($A40="","",MAX(Capacity!$C39:$F39))</f>
        <v/>
      </c>
      <c r="D40" s="18">
        <f>IF($A40="","",MAX($C82:$F82))</f>
        <v/>
      </c>
      <c r="E40" s="26">
        <f>IF($A40="","",$D40-$C40)</f>
        <v/>
      </c>
      <c r="F40" s="19">
        <f>IF(OR($A40="",$B40=0),"",$D40/$B40)</f>
        <v/>
      </c>
      <c r="G40" s="20">
        <f>IF($B40=0,"",IF(AND($D40&gt;$B40,$C40&lt;=$B40),"NEWLY OVER",IF($D40&gt;$B40,"over",IF(AND($C40&gt;$B40,$D40&lt;=$B40),"eased",""))))</f>
        <v/>
      </c>
    </row>
    <row r="41">
      <c r="A41" s="16">
        <f>IF(Roster!$A37="","",Roster!$A37)</f>
        <v/>
      </c>
      <c r="B41" s="17">
        <f>IF($A41="","",Roster!$D37)</f>
        <v/>
      </c>
      <c r="C41" s="18">
        <f>IF($A41="","",MAX(Capacity!$C40:$F40))</f>
        <v/>
      </c>
      <c r="D41" s="18">
        <f>IF($A41="","",MAX($C83:$F83))</f>
        <v/>
      </c>
      <c r="E41" s="26">
        <f>IF($A41="","",$D41-$C41)</f>
        <v/>
      </c>
      <c r="F41" s="19">
        <f>IF(OR($A41="",$B41=0),"",$D41/$B41)</f>
        <v/>
      </c>
      <c r="G41" s="20">
        <f>IF($B41=0,"",IF(AND($D41&gt;$B41,$C41&lt;=$B41),"NEWLY OVER",IF($D41&gt;$B41,"over",IF(AND($C41&gt;$B41,$D41&lt;=$B41),"eased",""))))</f>
        <v/>
      </c>
    </row>
    <row r="42">
      <c r="A42" s="16">
        <f>IF(Roster!$A38="","",Roster!$A38)</f>
        <v/>
      </c>
      <c r="B42" s="17">
        <f>IF($A42="","",Roster!$D38)</f>
        <v/>
      </c>
      <c r="C42" s="18">
        <f>IF($A42="","",MAX(Capacity!$C41:$F41))</f>
        <v/>
      </c>
      <c r="D42" s="18">
        <f>IF($A42="","",MAX($C84:$F84))</f>
        <v/>
      </c>
      <c r="E42" s="26">
        <f>IF($A42="","",$D42-$C42)</f>
        <v/>
      </c>
      <c r="F42" s="19">
        <f>IF(OR($A42="",$B42=0),"",$D42/$B42)</f>
        <v/>
      </c>
      <c r="G42" s="20">
        <f>IF($B42=0,"",IF(AND($D42&gt;$B42,$C42&lt;=$B42),"NEWLY OVER",IF($D42&gt;$B42,"over",IF(AND($C42&gt;$B42,$D42&lt;=$B42),"eased",""))))</f>
        <v/>
      </c>
    </row>
    <row r="43">
      <c r="A43" s="16">
        <f>IF(Roster!$A39="","",Roster!$A39)</f>
        <v/>
      </c>
      <c r="B43" s="17">
        <f>IF($A43="","",Roster!$D39)</f>
        <v/>
      </c>
      <c r="C43" s="18">
        <f>IF($A43="","",MAX(Capacity!$C42:$F42))</f>
        <v/>
      </c>
      <c r="D43" s="18">
        <f>IF($A43="","",MAX($C85:$F85))</f>
        <v/>
      </c>
      <c r="E43" s="26">
        <f>IF($A43="","",$D43-$C43)</f>
        <v/>
      </c>
      <c r="F43" s="19">
        <f>IF(OR($A43="",$B43=0),"",$D43/$B43)</f>
        <v/>
      </c>
      <c r="G43" s="20">
        <f>IF($B43=0,"",IF(AND($D43&gt;$B43,$C43&lt;=$B43),"NEWLY OVER",IF($D43&gt;$B43,"over",IF(AND($C43&gt;$B43,$D43&lt;=$B43),"eased",""))))</f>
        <v/>
      </c>
    </row>
    <row r="44">
      <c r="A44" s="16">
        <f>IF(Roster!$A40="","",Roster!$A40)</f>
        <v/>
      </c>
      <c r="B44" s="17">
        <f>IF($A44="","",Roster!$D40)</f>
        <v/>
      </c>
      <c r="C44" s="18">
        <f>IF($A44="","",MAX(Capacity!$C43:$F43))</f>
        <v/>
      </c>
      <c r="D44" s="18">
        <f>IF($A44="","",MAX($C86:$F86))</f>
        <v/>
      </c>
      <c r="E44" s="26">
        <f>IF($A44="","",$D44-$C44)</f>
        <v/>
      </c>
      <c r="F44" s="19">
        <f>IF(OR($A44="",$B44=0),"",$D44/$B44)</f>
        <v/>
      </c>
      <c r="G44" s="20">
        <f>IF($B44=0,"",IF(AND($D44&gt;$B44,$C44&lt;=$B44),"NEWLY OVER",IF($D44&gt;$B44,"over",IF(AND($C44&gt;$B44,$D44&lt;=$B44),"eased",""))))</f>
        <v/>
      </c>
    </row>
    <row r="45"/>
    <row r="46">
      <c r="A46" s="25" t="inlineStr">
        <is>
          <t>2) Scenario capacity heatmap (person x week, with overrides applied)</t>
        </is>
      </c>
    </row>
    <row r="47">
      <c r="A47" s="7" t="inlineStr">
        <is>
          <t>Person</t>
        </is>
      </c>
      <c r="B47" s="7" t="inlineStr">
        <is>
          <t>Cap</t>
        </is>
      </c>
      <c r="C47" s="8">
        <f>Settings!$B$3</f>
        <v/>
      </c>
      <c r="D47" s="8">
        <f>C47+7</f>
        <v/>
      </c>
      <c r="E47" s="8">
        <f>D47+7</f>
        <v/>
      </c>
      <c r="F47" s="8">
        <f>E47+7</f>
        <v/>
      </c>
      <c r="G47" s="8">
        <f>F47+7</f>
        <v/>
      </c>
      <c r="H47" s="8">
        <f>G47+7</f>
        <v/>
      </c>
      <c r="I47" s="8">
        <f>H47+7</f>
        <v/>
      </c>
      <c r="J47" s="8">
        <f>I47+7</f>
        <v/>
      </c>
      <c r="K47" s="8">
        <f>J47+7</f>
        <v/>
      </c>
      <c r="L47" s="8">
        <f>K47+7</f>
        <v/>
      </c>
      <c r="M47" s="8">
        <f>L47+7</f>
        <v/>
      </c>
      <c r="N47" s="8">
        <f>M47+7</f>
        <v/>
      </c>
      <c r="O47" s="8">
        <f>N47+7</f>
        <v/>
      </c>
      <c r="P47" s="8">
        <f>O47+7</f>
        <v/>
      </c>
      <c r="Q47" s="8">
        <f>P47+7</f>
        <v/>
      </c>
      <c r="R47" s="8">
        <f>Q47+7</f>
        <v/>
      </c>
      <c r="S47" s="8">
        <f>R47+7</f>
        <v/>
      </c>
      <c r="T47" s="8">
        <f>S47+7</f>
        <v/>
      </c>
      <c r="U47" s="8">
        <f>T47+7</f>
        <v/>
      </c>
      <c r="V47" s="8">
        <f>U47+7</f>
        <v/>
      </c>
      <c r="W47" s="8">
        <f>V47+7</f>
        <v/>
      </c>
      <c r="X47" s="8">
        <f>W47+7</f>
        <v/>
      </c>
      <c r="Y47" s="8">
        <f>X47+7</f>
        <v/>
      </c>
      <c r="Z47" s="8">
        <f>Y47+7</f>
        <v/>
      </c>
      <c r="AA47" s="8">
        <f>Z47+7</f>
        <v/>
      </c>
      <c r="AB47" s="8">
        <f>AA47+7</f>
        <v/>
      </c>
    </row>
    <row r="48">
      <c r="A48" s="9">
        <f>IF(Roster!$A2="","",Roster!$A2)</f>
        <v/>
      </c>
      <c r="B48" s="10">
        <f>IF($A48="","",IFERROR(INDEX(Roster!$D$2:$D$40,MATCH($A48,Roster!$A$2:$A$40,0)),""))</f>
        <v/>
      </c>
      <c r="C48" s="11">
        <f>IF($A48="","",SUMIFS(Assignments!$AK$2:$AK$769,Assignments!$A$2:$A$769,$A48,Assignments!$G$2:$G$769,"Active",Assignments!$AI$2:$AI$769,"&lt;="&amp;C$47,Assignments!$AJ$2:$AJ$769,"&gt;="&amp;C$47)+SUMIFS(Assignments!$AN$2:$AN$769,Assignments!$A$2:$A$769,$A48,Assignments!$G$2:$G$769,"Active",Assignments!$AL$2:$AL$769,"&lt;="&amp;C$47,Assignments!$AM$2:$AM$769,"&gt;="&amp;C$47))</f>
        <v/>
      </c>
      <c r="D48" s="11">
        <f>IF($A48="","",SUMIFS(Assignments!$AK$2:$AK$769,Assignments!$A$2:$A$769,$A48,Assignments!$G$2:$G$769,"Active",Assignments!$AI$2:$AI$769,"&lt;="&amp;D$47,Assignments!$AJ$2:$AJ$769,"&gt;="&amp;D$47)+SUMIFS(Assignments!$AN$2:$AN$769,Assignments!$A$2:$A$769,$A48,Assignments!$G$2:$G$769,"Active",Assignments!$AL$2:$AL$769,"&lt;="&amp;D$47,Assignments!$AM$2:$AM$769,"&gt;="&amp;D$47))</f>
        <v/>
      </c>
      <c r="E48" s="11">
        <f>IF($A48="","",SUMIFS(Assignments!$AK$2:$AK$769,Assignments!$A$2:$A$769,$A48,Assignments!$G$2:$G$769,"Active",Assignments!$AI$2:$AI$769,"&lt;="&amp;E$47,Assignments!$AJ$2:$AJ$769,"&gt;="&amp;E$47)+SUMIFS(Assignments!$AN$2:$AN$769,Assignments!$A$2:$A$769,$A48,Assignments!$G$2:$G$769,"Active",Assignments!$AL$2:$AL$769,"&lt;="&amp;E$47,Assignments!$AM$2:$AM$769,"&gt;="&amp;E$47))</f>
        <v/>
      </c>
      <c r="F48" s="11">
        <f>IF($A48="","",SUMIFS(Assignments!$AK$2:$AK$769,Assignments!$A$2:$A$769,$A48,Assignments!$G$2:$G$769,"Active",Assignments!$AI$2:$AI$769,"&lt;="&amp;F$47,Assignments!$AJ$2:$AJ$769,"&gt;="&amp;F$47)+SUMIFS(Assignments!$AN$2:$AN$769,Assignments!$A$2:$A$769,$A48,Assignments!$G$2:$G$769,"Active",Assignments!$AL$2:$AL$769,"&lt;="&amp;F$47,Assignments!$AM$2:$AM$769,"&gt;="&amp;F$47))</f>
        <v/>
      </c>
      <c r="G48" s="11">
        <f>IF($A48="","",SUMIFS(Assignments!$AK$2:$AK$769,Assignments!$A$2:$A$769,$A48,Assignments!$G$2:$G$769,"Active",Assignments!$AI$2:$AI$769,"&lt;="&amp;G$47,Assignments!$AJ$2:$AJ$769,"&gt;="&amp;G$47)+SUMIFS(Assignments!$AN$2:$AN$769,Assignments!$A$2:$A$769,$A48,Assignments!$G$2:$G$769,"Active",Assignments!$AL$2:$AL$769,"&lt;="&amp;G$47,Assignments!$AM$2:$AM$769,"&gt;="&amp;G$47))</f>
        <v/>
      </c>
      <c r="H48" s="11">
        <f>IF($A48="","",SUMIFS(Assignments!$AK$2:$AK$769,Assignments!$A$2:$A$769,$A48,Assignments!$G$2:$G$769,"Active",Assignments!$AI$2:$AI$769,"&lt;="&amp;H$47,Assignments!$AJ$2:$AJ$769,"&gt;="&amp;H$47)+SUMIFS(Assignments!$AN$2:$AN$769,Assignments!$A$2:$A$769,$A48,Assignments!$G$2:$G$769,"Active",Assignments!$AL$2:$AL$769,"&lt;="&amp;H$47,Assignments!$AM$2:$AM$769,"&gt;="&amp;H$47))</f>
        <v/>
      </c>
      <c r="I48" s="11">
        <f>IF($A48="","",SUMIFS(Assignments!$AK$2:$AK$769,Assignments!$A$2:$A$769,$A48,Assignments!$G$2:$G$769,"Active",Assignments!$AI$2:$AI$769,"&lt;="&amp;I$47,Assignments!$AJ$2:$AJ$769,"&gt;="&amp;I$47)+SUMIFS(Assignments!$AN$2:$AN$769,Assignments!$A$2:$A$769,$A48,Assignments!$G$2:$G$769,"Active",Assignments!$AL$2:$AL$769,"&lt;="&amp;I$47,Assignments!$AM$2:$AM$769,"&gt;="&amp;I$47))</f>
        <v/>
      </c>
      <c r="J48" s="11">
        <f>IF($A48="","",SUMIFS(Assignments!$AK$2:$AK$769,Assignments!$A$2:$A$769,$A48,Assignments!$G$2:$G$769,"Active",Assignments!$AI$2:$AI$769,"&lt;="&amp;J$47,Assignments!$AJ$2:$AJ$769,"&gt;="&amp;J$47)+SUMIFS(Assignments!$AN$2:$AN$769,Assignments!$A$2:$A$769,$A48,Assignments!$G$2:$G$769,"Active",Assignments!$AL$2:$AL$769,"&lt;="&amp;J$47,Assignments!$AM$2:$AM$769,"&gt;="&amp;J$47))</f>
        <v/>
      </c>
      <c r="K48" s="11">
        <f>IF($A48="","",SUMIFS(Assignments!$AK$2:$AK$769,Assignments!$A$2:$A$769,$A48,Assignments!$G$2:$G$769,"Active",Assignments!$AI$2:$AI$769,"&lt;="&amp;K$47,Assignments!$AJ$2:$AJ$769,"&gt;="&amp;K$47)+SUMIFS(Assignments!$AN$2:$AN$769,Assignments!$A$2:$A$769,$A48,Assignments!$G$2:$G$769,"Active",Assignments!$AL$2:$AL$769,"&lt;="&amp;K$47,Assignments!$AM$2:$AM$769,"&gt;="&amp;K$47))</f>
        <v/>
      </c>
      <c r="L48" s="11">
        <f>IF($A48="","",SUMIFS(Assignments!$AK$2:$AK$769,Assignments!$A$2:$A$769,$A48,Assignments!$G$2:$G$769,"Active",Assignments!$AI$2:$AI$769,"&lt;="&amp;L$47,Assignments!$AJ$2:$AJ$769,"&gt;="&amp;L$47)+SUMIFS(Assignments!$AN$2:$AN$769,Assignments!$A$2:$A$769,$A48,Assignments!$G$2:$G$769,"Active",Assignments!$AL$2:$AL$769,"&lt;="&amp;L$47,Assignments!$AM$2:$AM$769,"&gt;="&amp;L$47))</f>
        <v/>
      </c>
      <c r="M48" s="11">
        <f>IF($A48="","",SUMIFS(Assignments!$AK$2:$AK$769,Assignments!$A$2:$A$769,$A48,Assignments!$G$2:$G$769,"Active",Assignments!$AI$2:$AI$769,"&lt;="&amp;M$47,Assignments!$AJ$2:$AJ$769,"&gt;="&amp;M$47)+SUMIFS(Assignments!$AN$2:$AN$769,Assignments!$A$2:$A$769,$A48,Assignments!$G$2:$G$769,"Active",Assignments!$AL$2:$AL$769,"&lt;="&amp;M$47,Assignments!$AM$2:$AM$769,"&gt;="&amp;M$47))</f>
        <v/>
      </c>
      <c r="N48" s="11">
        <f>IF($A48="","",SUMIFS(Assignments!$AK$2:$AK$769,Assignments!$A$2:$A$769,$A48,Assignments!$G$2:$G$769,"Active",Assignments!$AI$2:$AI$769,"&lt;="&amp;N$47,Assignments!$AJ$2:$AJ$769,"&gt;="&amp;N$47)+SUMIFS(Assignments!$AN$2:$AN$769,Assignments!$A$2:$A$769,$A48,Assignments!$G$2:$G$769,"Active",Assignments!$AL$2:$AL$769,"&lt;="&amp;N$47,Assignments!$AM$2:$AM$769,"&gt;="&amp;N$47))</f>
        <v/>
      </c>
      <c r="O48" s="11">
        <f>IF($A48="","",SUMIFS(Assignments!$AK$2:$AK$769,Assignments!$A$2:$A$769,$A48,Assignments!$G$2:$G$769,"Active",Assignments!$AI$2:$AI$769,"&lt;="&amp;O$47,Assignments!$AJ$2:$AJ$769,"&gt;="&amp;O$47)+SUMIFS(Assignments!$AN$2:$AN$769,Assignments!$A$2:$A$769,$A48,Assignments!$G$2:$G$769,"Active",Assignments!$AL$2:$AL$769,"&lt;="&amp;O$47,Assignments!$AM$2:$AM$769,"&gt;="&amp;O$47))</f>
        <v/>
      </c>
      <c r="P48" s="11">
        <f>IF($A48="","",SUMIFS(Assignments!$AK$2:$AK$769,Assignments!$A$2:$A$769,$A48,Assignments!$G$2:$G$769,"Active",Assignments!$AI$2:$AI$769,"&lt;="&amp;P$47,Assignments!$AJ$2:$AJ$769,"&gt;="&amp;P$47)+SUMIFS(Assignments!$AN$2:$AN$769,Assignments!$A$2:$A$769,$A48,Assignments!$G$2:$G$769,"Active",Assignments!$AL$2:$AL$769,"&lt;="&amp;P$47,Assignments!$AM$2:$AM$769,"&gt;="&amp;P$47))</f>
        <v/>
      </c>
      <c r="Q48" s="11">
        <f>IF($A48="","",SUMIFS(Assignments!$AK$2:$AK$769,Assignments!$A$2:$A$769,$A48,Assignments!$G$2:$G$769,"Active",Assignments!$AI$2:$AI$769,"&lt;="&amp;Q$47,Assignments!$AJ$2:$AJ$769,"&gt;="&amp;Q$47)+SUMIFS(Assignments!$AN$2:$AN$769,Assignments!$A$2:$A$769,$A48,Assignments!$G$2:$G$769,"Active",Assignments!$AL$2:$AL$769,"&lt;="&amp;Q$47,Assignments!$AM$2:$AM$769,"&gt;="&amp;Q$47))</f>
        <v/>
      </c>
      <c r="R48" s="11">
        <f>IF($A48="","",SUMIFS(Assignments!$AK$2:$AK$769,Assignments!$A$2:$A$769,$A48,Assignments!$G$2:$G$769,"Active",Assignments!$AI$2:$AI$769,"&lt;="&amp;R$47,Assignments!$AJ$2:$AJ$769,"&gt;="&amp;R$47)+SUMIFS(Assignments!$AN$2:$AN$769,Assignments!$A$2:$A$769,$A48,Assignments!$G$2:$G$769,"Active",Assignments!$AL$2:$AL$769,"&lt;="&amp;R$47,Assignments!$AM$2:$AM$769,"&gt;="&amp;R$47))</f>
        <v/>
      </c>
      <c r="S48" s="11">
        <f>IF($A48="","",SUMIFS(Assignments!$AK$2:$AK$769,Assignments!$A$2:$A$769,$A48,Assignments!$G$2:$G$769,"Active",Assignments!$AI$2:$AI$769,"&lt;="&amp;S$47,Assignments!$AJ$2:$AJ$769,"&gt;="&amp;S$47)+SUMIFS(Assignments!$AN$2:$AN$769,Assignments!$A$2:$A$769,$A48,Assignments!$G$2:$G$769,"Active",Assignments!$AL$2:$AL$769,"&lt;="&amp;S$47,Assignments!$AM$2:$AM$769,"&gt;="&amp;S$47))</f>
        <v/>
      </c>
      <c r="T48" s="11">
        <f>IF($A48="","",SUMIFS(Assignments!$AK$2:$AK$769,Assignments!$A$2:$A$769,$A48,Assignments!$G$2:$G$769,"Active",Assignments!$AI$2:$AI$769,"&lt;="&amp;T$47,Assignments!$AJ$2:$AJ$769,"&gt;="&amp;T$47)+SUMIFS(Assignments!$AN$2:$AN$769,Assignments!$A$2:$A$769,$A48,Assignments!$G$2:$G$769,"Active",Assignments!$AL$2:$AL$769,"&lt;="&amp;T$47,Assignments!$AM$2:$AM$769,"&gt;="&amp;T$47))</f>
        <v/>
      </c>
      <c r="U48" s="11">
        <f>IF($A48="","",SUMIFS(Assignments!$AK$2:$AK$769,Assignments!$A$2:$A$769,$A48,Assignments!$G$2:$G$769,"Active",Assignments!$AI$2:$AI$769,"&lt;="&amp;U$47,Assignments!$AJ$2:$AJ$769,"&gt;="&amp;U$47)+SUMIFS(Assignments!$AN$2:$AN$769,Assignments!$A$2:$A$769,$A48,Assignments!$G$2:$G$769,"Active",Assignments!$AL$2:$AL$769,"&lt;="&amp;U$47,Assignments!$AM$2:$AM$769,"&gt;="&amp;U$47))</f>
        <v/>
      </c>
      <c r="V48" s="11">
        <f>IF($A48="","",SUMIFS(Assignments!$AK$2:$AK$769,Assignments!$A$2:$A$769,$A48,Assignments!$G$2:$G$769,"Active",Assignments!$AI$2:$AI$769,"&lt;="&amp;V$47,Assignments!$AJ$2:$AJ$769,"&gt;="&amp;V$47)+SUMIFS(Assignments!$AN$2:$AN$769,Assignments!$A$2:$A$769,$A48,Assignments!$G$2:$G$769,"Active",Assignments!$AL$2:$AL$769,"&lt;="&amp;V$47,Assignments!$AM$2:$AM$769,"&gt;="&amp;V$47))</f>
        <v/>
      </c>
      <c r="W48" s="11">
        <f>IF($A48="","",SUMIFS(Assignments!$AK$2:$AK$769,Assignments!$A$2:$A$769,$A48,Assignments!$G$2:$G$769,"Active",Assignments!$AI$2:$AI$769,"&lt;="&amp;W$47,Assignments!$AJ$2:$AJ$769,"&gt;="&amp;W$47)+SUMIFS(Assignments!$AN$2:$AN$769,Assignments!$A$2:$A$769,$A48,Assignments!$G$2:$G$769,"Active",Assignments!$AL$2:$AL$769,"&lt;="&amp;W$47,Assignments!$AM$2:$AM$769,"&gt;="&amp;W$47))</f>
        <v/>
      </c>
      <c r="X48" s="11">
        <f>IF($A48="","",SUMIFS(Assignments!$AK$2:$AK$769,Assignments!$A$2:$A$769,$A48,Assignments!$G$2:$G$769,"Active",Assignments!$AI$2:$AI$769,"&lt;="&amp;X$47,Assignments!$AJ$2:$AJ$769,"&gt;="&amp;X$47)+SUMIFS(Assignments!$AN$2:$AN$769,Assignments!$A$2:$A$769,$A48,Assignments!$G$2:$G$769,"Active",Assignments!$AL$2:$AL$769,"&lt;="&amp;X$47,Assignments!$AM$2:$AM$769,"&gt;="&amp;X$47))</f>
        <v/>
      </c>
      <c r="Y48" s="11">
        <f>IF($A48="","",SUMIFS(Assignments!$AK$2:$AK$769,Assignments!$A$2:$A$769,$A48,Assignments!$G$2:$G$769,"Active",Assignments!$AI$2:$AI$769,"&lt;="&amp;Y$47,Assignments!$AJ$2:$AJ$769,"&gt;="&amp;Y$47)+SUMIFS(Assignments!$AN$2:$AN$769,Assignments!$A$2:$A$769,$A48,Assignments!$G$2:$G$769,"Active",Assignments!$AL$2:$AL$769,"&lt;="&amp;Y$47,Assignments!$AM$2:$AM$769,"&gt;="&amp;Y$47))</f>
        <v/>
      </c>
      <c r="Z48" s="11">
        <f>IF($A48="","",SUMIFS(Assignments!$AK$2:$AK$769,Assignments!$A$2:$A$769,$A48,Assignments!$G$2:$G$769,"Active",Assignments!$AI$2:$AI$769,"&lt;="&amp;Z$47,Assignments!$AJ$2:$AJ$769,"&gt;="&amp;Z$47)+SUMIFS(Assignments!$AN$2:$AN$769,Assignments!$A$2:$A$769,$A48,Assignments!$G$2:$G$769,"Active",Assignments!$AL$2:$AL$769,"&lt;="&amp;Z$47,Assignments!$AM$2:$AM$769,"&gt;="&amp;Z$47))</f>
        <v/>
      </c>
      <c r="AA48" s="11">
        <f>IF($A48="","",SUMIFS(Assignments!$AK$2:$AK$769,Assignments!$A$2:$A$769,$A48,Assignments!$G$2:$G$769,"Active",Assignments!$AI$2:$AI$769,"&lt;="&amp;AA$47,Assignments!$AJ$2:$AJ$769,"&gt;="&amp;AA$47)+SUMIFS(Assignments!$AN$2:$AN$769,Assignments!$A$2:$A$769,$A48,Assignments!$G$2:$G$769,"Active",Assignments!$AL$2:$AL$769,"&lt;="&amp;AA$47,Assignments!$AM$2:$AM$769,"&gt;="&amp;AA$47))</f>
        <v/>
      </c>
      <c r="AB48" s="11">
        <f>IF($A48="","",SUMIFS(Assignments!$AK$2:$AK$769,Assignments!$A$2:$A$769,$A48,Assignments!$G$2:$G$769,"Active",Assignments!$AI$2:$AI$769,"&lt;="&amp;AB$47,Assignments!$AJ$2:$AJ$769,"&gt;="&amp;AB$47)+SUMIFS(Assignments!$AN$2:$AN$769,Assignments!$A$2:$A$769,$A48,Assignments!$G$2:$G$769,"Active",Assignments!$AL$2:$AL$769,"&lt;="&amp;AB$47,Assignments!$AM$2:$AM$769,"&gt;="&amp;AB$47))</f>
        <v/>
      </c>
    </row>
    <row r="49">
      <c r="A49" s="9">
        <f>IF(Roster!$A3="","",Roster!$A3)</f>
        <v/>
      </c>
      <c r="B49" s="10">
        <f>IF($A49="","",IFERROR(INDEX(Roster!$D$2:$D$40,MATCH($A49,Roster!$A$2:$A$40,0)),""))</f>
        <v/>
      </c>
      <c r="C49" s="11">
        <f>IF($A49="","",SUMIFS(Assignments!$AK$2:$AK$769,Assignments!$A$2:$A$769,$A49,Assignments!$G$2:$G$769,"Active",Assignments!$AI$2:$AI$769,"&lt;="&amp;C$47,Assignments!$AJ$2:$AJ$769,"&gt;="&amp;C$47)+SUMIFS(Assignments!$AN$2:$AN$769,Assignments!$A$2:$A$769,$A49,Assignments!$G$2:$G$769,"Active",Assignments!$AL$2:$AL$769,"&lt;="&amp;C$47,Assignments!$AM$2:$AM$769,"&gt;="&amp;C$47))</f>
        <v/>
      </c>
      <c r="D49" s="11">
        <f>IF($A49="","",SUMIFS(Assignments!$AK$2:$AK$769,Assignments!$A$2:$A$769,$A49,Assignments!$G$2:$G$769,"Active",Assignments!$AI$2:$AI$769,"&lt;="&amp;D$47,Assignments!$AJ$2:$AJ$769,"&gt;="&amp;D$47)+SUMIFS(Assignments!$AN$2:$AN$769,Assignments!$A$2:$A$769,$A49,Assignments!$G$2:$G$769,"Active",Assignments!$AL$2:$AL$769,"&lt;="&amp;D$47,Assignments!$AM$2:$AM$769,"&gt;="&amp;D$47))</f>
        <v/>
      </c>
      <c r="E49" s="11">
        <f>IF($A49="","",SUMIFS(Assignments!$AK$2:$AK$769,Assignments!$A$2:$A$769,$A49,Assignments!$G$2:$G$769,"Active",Assignments!$AI$2:$AI$769,"&lt;="&amp;E$47,Assignments!$AJ$2:$AJ$769,"&gt;="&amp;E$47)+SUMIFS(Assignments!$AN$2:$AN$769,Assignments!$A$2:$A$769,$A49,Assignments!$G$2:$G$769,"Active",Assignments!$AL$2:$AL$769,"&lt;="&amp;E$47,Assignments!$AM$2:$AM$769,"&gt;="&amp;E$47))</f>
        <v/>
      </c>
      <c r="F49" s="11">
        <f>IF($A49="","",SUMIFS(Assignments!$AK$2:$AK$769,Assignments!$A$2:$A$769,$A49,Assignments!$G$2:$G$769,"Active",Assignments!$AI$2:$AI$769,"&lt;="&amp;F$47,Assignments!$AJ$2:$AJ$769,"&gt;="&amp;F$47)+SUMIFS(Assignments!$AN$2:$AN$769,Assignments!$A$2:$A$769,$A49,Assignments!$G$2:$G$769,"Active",Assignments!$AL$2:$AL$769,"&lt;="&amp;F$47,Assignments!$AM$2:$AM$769,"&gt;="&amp;F$47))</f>
        <v/>
      </c>
      <c r="G49" s="11">
        <f>IF($A49="","",SUMIFS(Assignments!$AK$2:$AK$769,Assignments!$A$2:$A$769,$A49,Assignments!$G$2:$G$769,"Active",Assignments!$AI$2:$AI$769,"&lt;="&amp;G$47,Assignments!$AJ$2:$AJ$769,"&gt;="&amp;G$47)+SUMIFS(Assignments!$AN$2:$AN$769,Assignments!$A$2:$A$769,$A49,Assignments!$G$2:$G$769,"Active",Assignments!$AL$2:$AL$769,"&lt;="&amp;G$47,Assignments!$AM$2:$AM$769,"&gt;="&amp;G$47))</f>
        <v/>
      </c>
      <c r="H49" s="11">
        <f>IF($A49="","",SUMIFS(Assignments!$AK$2:$AK$769,Assignments!$A$2:$A$769,$A49,Assignments!$G$2:$G$769,"Active",Assignments!$AI$2:$AI$769,"&lt;="&amp;H$47,Assignments!$AJ$2:$AJ$769,"&gt;="&amp;H$47)+SUMIFS(Assignments!$AN$2:$AN$769,Assignments!$A$2:$A$769,$A49,Assignments!$G$2:$G$769,"Active",Assignments!$AL$2:$AL$769,"&lt;="&amp;H$47,Assignments!$AM$2:$AM$769,"&gt;="&amp;H$47))</f>
        <v/>
      </c>
      <c r="I49" s="11">
        <f>IF($A49="","",SUMIFS(Assignments!$AK$2:$AK$769,Assignments!$A$2:$A$769,$A49,Assignments!$G$2:$G$769,"Active",Assignments!$AI$2:$AI$769,"&lt;="&amp;I$47,Assignments!$AJ$2:$AJ$769,"&gt;="&amp;I$47)+SUMIFS(Assignments!$AN$2:$AN$769,Assignments!$A$2:$A$769,$A49,Assignments!$G$2:$G$769,"Active",Assignments!$AL$2:$AL$769,"&lt;="&amp;I$47,Assignments!$AM$2:$AM$769,"&gt;="&amp;I$47))</f>
        <v/>
      </c>
      <c r="J49" s="11">
        <f>IF($A49="","",SUMIFS(Assignments!$AK$2:$AK$769,Assignments!$A$2:$A$769,$A49,Assignments!$G$2:$G$769,"Active",Assignments!$AI$2:$AI$769,"&lt;="&amp;J$47,Assignments!$AJ$2:$AJ$769,"&gt;="&amp;J$47)+SUMIFS(Assignments!$AN$2:$AN$769,Assignments!$A$2:$A$769,$A49,Assignments!$G$2:$G$769,"Active",Assignments!$AL$2:$AL$769,"&lt;="&amp;J$47,Assignments!$AM$2:$AM$769,"&gt;="&amp;J$47))</f>
        <v/>
      </c>
      <c r="K49" s="11">
        <f>IF($A49="","",SUMIFS(Assignments!$AK$2:$AK$769,Assignments!$A$2:$A$769,$A49,Assignments!$G$2:$G$769,"Active",Assignments!$AI$2:$AI$769,"&lt;="&amp;K$47,Assignments!$AJ$2:$AJ$769,"&gt;="&amp;K$47)+SUMIFS(Assignments!$AN$2:$AN$769,Assignments!$A$2:$A$769,$A49,Assignments!$G$2:$G$769,"Active",Assignments!$AL$2:$AL$769,"&lt;="&amp;K$47,Assignments!$AM$2:$AM$769,"&gt;="&amp;K$47))</f>
        <v/>
      </c>
      <c r="L49" s="11">
        <f>IF($A49="","",SUMIFS(Assignments!$AK$2:$AK$769,Assignments!$A$2:$A$769,$A49,Assignments!$G$2:$G$769,"Active",Assignments!$AI$2:$AI$769,"&lt;="&amp;L$47,Assignments!$AJ$2:$AJ$769,"&gt;="&amp;L$47)+SUMIFS(Assignments!$AN$2:$AN$769,Assignments!$A$2:$A$769,$A49,Assignments!$G$2:$G$769,"Active",Assignments!$AL$2:$AL$769,"&lt;="&amp;L$47,Assignments!$AM$2:$AM$769,"&gt;="&amp;L$47))</f>
        <v/>
      </c>
      <c r="M49" s="11">
        <f>IF($A49="","",SUMIFS(Assignments!$AK$2:$AK$769,Assignments!$A$2:$A$769,$A49,Assignments!$G$2:$G$769,"Active",Assignments!$AI$2:$AI$769,"&lt;="&amp;M$47,Assignments!$AJ$2:$AJ$769,"&gt;="&amp;M$47)+SUMIFS(Assignments!$AN$2:$AN$769,Assignments!$A$2:$A$769,$A49,Assignments!$G$2:$G$769,"Active",Assignments!$AL$2:$AL$769,"&lt;="&amp;M$47,Assignments!$AM$2:$AM$769,"&gt;="&amp;M$47))</f>
        <v/>
      </c>
      <c r="N49" s="11">
        <f>IF($A49="","",SUMIFS(Assignments!$AK$2:$AK$769,Assignments!$A$2:$A$769,$A49,Assignments!$G$2:$G$769,"Active",Assignments!$AI$2:$AI$769,"&lt;="&amp;N$47,Assignments!$AJ$2:$AJ$769,"&gt;="&amp;N$47)+SUMIFS(Assignments!$AN$2:$AN$769,Assignments!$A$2:$A$769,$A49,Assignments!$G$2:$G$769,"Active",Assignments!$AL$2:$AL$769,"&lt;="&amp;N$47,Assignments!$AM$2:$AM$769,"&gt;="&amp;N$47))</f>
        <v/>
      </c>
      <c r="O49" s="11">
        <f>IF($A49="","",SUMIFS(Assignments!$AK$2:$AK$769,Assignments!$A$2:$A$769,$A49,Assignments!$G$2:$G$769,"Active",Assignments!$AI$2:$AI$769,"&lt;="&amp;O$47,Assignments!$AJ$2:$AJ$769,"&gt;="&amp;O$47)+SUMIFS(Assignments!$AN$2:$AN$769,Assignments!$A$2:$A$769,$A49,Assignments!$G$2:$G$769,"Active",Assignments!$AL$2:$AL$769,"&lt;="&amp;O$47,Assignments!$AM$2:$AM$769,"&gt;="&amp;O$47))</f>
        <v/>
      </c>
      <c r="P49" s="11">
        <f>IF($A49="","",SUMIFS(Assignments!$AK$2:$AK$769,Assignments!$A$2:$A$769,$A49,Assignments!$G$2:$G$769,"Active",Assignments!$AI$2:$AI$769,"&lt;="&amp;P$47,Assignments!$AJ$2:$AJ$769,"&gt;="&amp;P$47)+SUMIFS(Assignments!$AN$2:$AN$769,Assignments!$A$2:$A$769,$A49,Assignments!$G$2:$G$769,"Active",Assignments!$AL$2:$AL$769,"&lt;="&amp;P$47,Assignments!$AM$2:$AM$769,"&gt;="&amp;P$47))</f>
        <v/>
      </c>
      <c r="Q49" s="11">
        <f>IF($A49="","",SUMIFS(Assignments!$AK$2:$AK$769,Assignments!$A$2:$A$769,$A49,Assignments!$G$2:$G$769,"Active",Assignments!$AI$2:$AI$769,"&lt;="&amp;Q$47,Assignments!$AJ$2:$AJ$769,"&gt;="&amp;Q$47)+SUMIFS(Assignments!$AN$2:$AN$769,Assignments!$A$2:$A$769,$A49,Assignments!$G$2:$G$769,"Active",Assignments!$AL$2:$AL$769,"&lt;="&amp;Q$47,Assignments!$AM$2:$AM$769,"&gt;="&amp;Q$47))</f>
        <v/>
      </c>
      <c r="R49" s="11">
        <f>IF($A49="","",SUMIFS(Assignments!$AK$2:$AK$769,Assignments!$A$2:$A$769,$A49,Assignments!$G$2:$G$769,"Active",Assignments!$AI$2:$AI$769,"&lt;="&amp;R$47,Assignments!$AJ$2:$AJ$769,"&gt;="&amp;R$47)+SUMIFS(Assignments!$AN$2:$AN$769,Assignments!$A$2:$A$769,$A49,Assignments!$G$2:$G$769,"Active",Assignments!$AL$2:$AL$769,"&lt;="&amp;R$47,Assignments!$AM$2:$AM$769,"&gt;="&amp;R$47))</f>
        <v/>
      </c>
      <c r="S49" s="11">
        <f>IF($A49="","",SUMIFS(Assignments!$AK$2:$AK$769,Assignments!$A$2:$A$769,$A49,Assignments!$G$2:$G$769,"Active",Assignments!$AI$2:$AI$769,"&lt;="&amp;S$47,Assignments!$AJ$2:$AJ$769,"&gt;="&amp;S$47)+SUMIFS(Assignments!$AN$2:$AN$769,Assignments!$A$2:$A$769,$A49,Assignments!$G$2:$G$769,"Active",Assignments!$AL$2:$AL$769,"&lt;="&amp;S$47,Assignments!$AM$2:$AM$769,"&gt;="&amp;S$47))</f>
        <v/>
      </c>
      <c r="T49" s="11">
        <f>IF($A49="","",SUMIFS(Assignments!$AK$2:$AK$769,Assignments!$A$2:$A$769,$A49,Assignments!$G$2:$G$769,"Active",Assignments!$AI$2:$AI$769,"&lt;="&amp;T$47,Assignments!$AJ$2:$AJ$769,"&gt;="&amp;T$47)+SUMIFS(Assignments!$AN$2:$AN$769,Assignments!$A$2:$A$769,$A49,Assignments!$G$2:$G$769,"Active",Assignments!$AL$2:$AL$769,"&lt;="&amp;T$47,Assignments!$AM$2:$AM$769,"&gt;="&amp;T$47))</f>
        <v/>
      </c>
      <c r="U49" s="11">
        <f>IF($A49="","",SUMIFS(Assignments!$AK$2:$AK$769,Assignments!$A$2:$A$769,$A49,Assignments!$G$2:$G$769,"Active",Assignments!$AI$2:$AI$769,"&lt;="&amp;U$47,Assignments!$AJ$2:$AJ$769,"&gt;="&amp;U$47)+SUMIFS(Assignments!$AN$2:$AN$769,Assignments!$A$2:$A$769,$A49,Assignments!$G$2:$G$769,"Active",Assignments!$AL$2:$AL$769,"&lt;="&amp;U$47,Assignments!$AM$2:$AM$769,"&gt;="&amp;U$47))</f>
        <v/>
      </c>
      <c r="V49" s="11">
        <f>IF($A49="","",SUMIFS(Assignments!$AK$2:$AK$769,Assignments!$A$2:$A$769,$A49,Assignments!$G$2:$G$769,"Active",Assignments!$AI$2:$AI$769,"&lt;="&amp;V$47,Assignments!$AJ$2:$AJ$769,"&gt;="&amp;V$47)+SUMIFS(Assignments!$AN$2:$AN$769,Assignments!$A$2:$A$769,$A49,Assignments!$G$2:$G$769,"Active",Assignments!$AL$2:$AL$769,"&lt;="&amp;V$47,Assignments!$AM$2:$AM$769,"&gt;="&amp;V$47))</f>
        <v/>
      </c>
      <c r="W49" s="11">
        <f>IF($A49="","",SUMIFS(Assignments!$AK$2:$AK$769,Assignments!$A$2:$A$769,$A49,Assignments!$G$2:$G$769,"Active",Assignments!$AI$2:$AI$769,"&lt;="&amp;W$47,Assignments!$AJ$2:$AJ$769,"&gt;="&amp;W$47)+SUMIFS(Assignments!$AN$2:$AN$769,Assignments!$A$2:$A$769,$A49,Assignments!$G$2:$G$769,"Active",Assignments!$AL$2:$AL$769,"&lt;="&amp;W$47,Assignments!$AM$2:$AM$769,"&gt;="&amp;W$47))</f>
        <v/>
      </c>
      <c r="X49" s="11">
        <f>IF($A49="","",SUMIFS(Assignments!$AK$2:$AK$769,Assignments!$A$2:$A$769,$A49,Assignments!$G$2:$G$769,"Active",Assignments!$AI$2:$AI$769,"&lt;="&amp;X$47,Assignments!$AJ$2:$AJ$769,"&gt;="&amp;X$47)+SUMIFS(Assignments!$AN$2:$AN$769,Assignments!$A$2:$A$769,$A49,Assignments!$G$2:$G$769,"Active",Assignments!$AL$2:$AL$769,"&lt;="&amp;X$47,Assignments!$AM$2:$AM$769,"&gt;="&amp;X$47))</f>
        <v/>
      </c>
      <c r="Y49" s="11">
        <f>IF($A49="","",SUMIFS(Assignments!$AK$2:$AK$769,Assignments!$A$2:$A$769,$A49,Assignments!$G$2:$G$769,"Active",Assignments!$AI$2:$AI$769,"&lt;="&amp;Y$47,Assignments!$AJ$2:$AJ$769,"&gt;="&amp;Y$47)+SUMIFS(Assignments!$AN$2:$AN$769,Assignments!$A$2:$A$769,$A49,Assignments!$G$2:$G$769,"Active",Assignments!$AL$2:$AL$769,"&lt;="&amp;Y$47,Assignments!$AM$2:$AM$769,"&gt;="&amp;Y$47))</f>
        <v/>
      </c>
      <c r="Z49" s="11">
        <f>IF($A49="","",SUMIFS(Assignments!$AK$2:$AK$769,Assignments!$A$2:$A$769,$A49,Assignments!$G$2:$G$769,"Active",Assignments!$AI$2:$AI$769,"&lt;="&amp;Z$47,Assignments!$AJ$2:$AJ$769,"&gt;="&amp;Z$47)+SUMIFS(Assignments!$AN$2:$AN$769,Assignments!$A$2:$A$769,$A49,Assignments!$G$2:$G$769,"Active",Assignments!$AL$2:$AL$769,"&lt;="&amp;Z$47,Assignments!$AM$2:$AM$769,"&gt;="&amp;Z$47))</f>
        <v/>
      </c>
      <c r="AA49" s="11">
        <f>IF($A49="","",SUMIFS(Assignments!$AK$2:$AK$769,Assignments!$A$2:$A$769,$A49,Assignments!$G$2:$G$769,"Active",Assignments!$AI$2:$AI$769,"&lt;="&amp;AA$47,Assignments!$AJ$2:$AJ$769,"&gt;="&amp;AA$47)+SUMIFS(Assignments!$AN$2:$AN$769,Assignments!$A$2:$A$769,$A49,Assignments!$G$2:$G$769,"Active",Assignments!$AL$2:$AL$769,"&lt;="&amp;AA$47,Assignments!$AM$2:$AM$769,"&gt;="&amp;AA$47))</f>
        <v/>
      </c>
      <c r="AB49" s="11">
        <f>IF($A49="","",SUMIFS(Assignments!$AK$2:$AK$769,Assignments!$A$2:$A$769,$A49,Assignments!$G$2:$G$769,"Active",Assignments!$AI$2:$AI$769,"&lt;="&amp;AB$47,Assignments!$AJ$2:$AJ$769,"&gt;="&amp;AB$47)+SUMIFS(Assignments!$AN$2:$AN$769,Assignments!$A$2:$A$769,$A49,Assignments!$G$2:$G$769,"Active",Assignments!$AL$2:$AL$769,"&lt;="&amp;AB$47,Assignments!$AM$2:$AM$769,"&gt;="&amp;AB$47))</f>
        <v/>
      </c>
    </row>
    <row r="50">
      <c r="A50" s="9">
        <f>IF(Roster!$A4="","",Roster!$A4)</f>
        <v/>
      </c>
      <c r="B50" s="10">
        <f>IF($A50="","",IFERROR(INDEX(Roster!$D$2:$D$40,MATCH($A50,Roster!$A$2:$A$40,0)),""))</f>
        <v/>
      </c>
      <c r="C50" s="11">
        <f>IF($A50="","",SUMIFS(Assignments!$AK$2:$AK$769,Assignments!$A$2:$A$769,$A50,Assignments!$G$2:$G$769,"Active",Assignments!$AI$2:$AI$769,"&lt;="&amp;C$47,Assignments!$AJ$2:$AJ$769,"&gt;="&amp;C$47)+SUMIFS(Assignments!$AN$2:$AN$769,Assignments!$A$2:$A$769,$A50,Assignments!$G$2:$G$769,"Active",Assignments!$AL$2:$AL$769,"&lt;="&amp;C$47,Assignments!$AM$2:$AM$769,"&gt;="&amp;C$47))</f>
        <v/>
      </c>
      <c r="D50" s="11">
        <f>IF($A50="","",SUMIFS(Assignments!$AK$2:$AK$769,Assignments!$A$2:$A$769,$A50,Assignments!$G$2:$G$769,"Active",Assignments!$AI$2:$AI$769,"&lt;="&amp;D$47,Assignments!$AJ$2:$AJ$769,"&gt;="&amp;D$47)+SUMIFS(Assignments!$AN$2:$AN$769,Assignments!$A$2:$A$769,$A50,Assignments!$G$2:$G$769,"Active",Assignments!$AL$2:$AL$769,"&lt;="&amp;D$47,Assignments!$AM$2:$AM$769,"&gt;="&amp;D$47))</f>
        <v/>
      </c>
      <c r="E50" s="11">
        <f>IF($A50="","",SUMIFS(Assignments!$AK$2:$AK$769,Assignments!$A$2:$A$769,$A50,Assignments!$G$2:$G$769,"Active",Assignments!$AI$2:$AI$769,"&lt;="&amp;E$47,Assignments!$AJ$2:$AJ$769,"&gt;="&amp;E$47)+SUMIFS(Assignments!$AN$2:$AN$769,Assignments!$A$2:$A$769,$A50,Assignments!$G$2:$G$769,"Active",Assignments!$AL$2:$AL$769,"&lt;="&amp;E$47,Assignments!$AM$2:$AM$769,"&gt;="&amp;E$47))</f>
        <v/>
      </c>
      <c r="F50" s="11">
        <f>IF($A50="","",SUMIFS(Assignments!$AK$2:$AK$769,Assignments!$A$2:$A$769,$A50,Assignments!$G$2:$G$769,"Active",Assignments!$AI$2:$AI$769,"&lt;="&amp;F$47,Assignments!$AJ$2:$AJ$769,"&gt;="&amp;F$47)+SUMIFS(Assignments!$AN$2:$AN$769,Assignments!$A$2:$A$769,$A50,Assignments!$G$2:$G$769,"Active",Assignments!$AL$2:$AL$769,"&lt;="&amp;F$47,Assignments!$AM$2:$AM$769,"&gt;="&amp;F$47))</f>
        <v/>
      </c>
      <c r="G50" s="11">
        <f>IF($A50="","",SUMIFS(Assignments!$AK$2:$AK$769,Assignments!$A$2:$A$769,$A50,Assignments!$G$2:$G$769,"Active",Assignments!$AI$2:$AI$769,"&lt;="&amp;G$47,Assignments!$AJ$2:$AJ$769,"&gt;="&amp;G$47)+SUMIFS(Assignments!$AN$2:$AN$769,Assignments!$A$2:$A$769,$A50,Assignments!$G$2:$G$769,"Active",Assignments!$AL$2:$AL$769,"&lt;="&amp;G$47,Assignments!$AM$2:$AM$769,"&gt;="&amp;G$47))</f>
        <v/>
      </c>
      <c r="H50" s="11">
        <f>IF($A50="","",SUMIFS(Assignments!$AK$2:$AK$769,Assignments!$A$2:$A$769,$A50,Assignments!$G$2:$G$769,"Active",Assignments!$AI$2:$AI$769,"&lt;="&amp;H$47,Assignments!$AJ$2:$AJ$769,"&gt;="&amp;H$47)+SUMIFS(Assignments!$AN$2:$AN$769,Assignments!$A$2:$A$769,$A50,Assignments!$G$2:$G$769,"Active",Assignments!$AL$2:$AL$769,"&lt;="&amp;H$47,Assignments!$AM$2:$AM$769,"&gt;="&amp;H$47))</f>
        <v/>
      </c>
      <c r="I50" s="11">
        <f>IF($A50="","",SUMIFS(Assignments!$AK$2:$AK$769,Assignments!$A$2:$A$769,$A50,Assignments!$G$2:$G$769,"Active",Assignments!$AI$2:$AI$769,"&lt;="&amp;I$47,Assignments!$AJ$2:$AJ$769,"&gt;="&amp;I$47)+SUMIFS(Assignments!$AN$2:$AN$769,Assignments!$A$2:$A$769,$A50,Assignments!$G$2:$G$769,"Active",Assignments!$AL$2:$AL$769,"&lt;="&amp;I$47,Assignments!$AM$2:$AM$769,"&gt;="&amp;I$47))</f>
        <v/>
      </c>
      <c r="J50" s="11">
        <f>IF($A50="","",SUMIFS(Assignments!$AK$2:$AK$769,Assignments!$A$2:$A$769,$A50,Assignments!$G$2:$G$769,"Active",Assignments!$AI$2:$AI$769,"&lt;="&amp;J$47,Assignments!$AJ$2:$AJ$769,"&gt;="&amp;J$47)+SUMIFS(Assignments!$AN$2:$AN$769,Assignments!$A$2:$A$769,$A50,Assignments!$G$2:$G$769,"Active",Assignments!$AL$2:$AL$769,"&lt;="&amp;J$47,Assignments!$AM$2:$AM$769,"&gt;="&amp;J$47))</f>
        <v/>
      </c>
      <c r="K50" s="11">
        <f>IF($A50="","",SUMIFS(Assignments!$AK$2:$AK$769,Assignments!$A$2:$A$769,$A50,Assignments!$G$2:$G$769,"Active",Assignments!$AI$2:$AI$769,"&lt;="&amp;K$47,Assignments!$AJ$2:$AJ$769,"&gt;="&amp;K$47)+SUMIFS(Assignments!$AN$2:$AN$769,Assignments!$A$2:$A$769,$A50,Assignments!$G$2:$G$769,"Active",Assignments!$AL$2:$AL$769,"&lt;="&amp;K$47,Assignments!$AM$2:$AM$769,"&gt;="&amp;K$47))</f>
        <v/>
      </c>
      <c r="L50" s="11">
        <f>IF($A50="","",SUMIFS(Assignments!$AK$2:$AK$769,Assignments!$A$2:$A$769,$A50,Assignments!$G$2:$G$769,"Active",Assignments!$AI$2:$AI$769,"&lt;="&amp;L$47,Assignments!$AJ$2:$AJ$769,"&gt;="&amp;L$47)+SUMIFS(Assignments!$AN$2:$AN$769,Assignments!$A$2:$A$769,$A50,Assignments!$G$2:$G$769,"Active",Assignments!$AL$2:$AL$769,"&lt;="&amp;L$47,Assignments!$AM$2:$AM$769,"&gt;="&amp;L$47))</f>
        <v/>
      </c>
      <c r="M50" s="11">
        <f>IF($A50="","",SUMIFS(Assignments!$AK$2:$AK$769,Assignments!$A$2:$A$769,$A50,Assignments!$G$2:$G$769,"Active",Assignments!$AI$2:$AI$769,"&lt;="&amp;M$47,Assignments!$AJ$2:$AJ$769,"&gt;="&amp;M$47)+SUMIFS(Assignments!$AN$2:$AN$769,Assignments!$A$2:$A$769,$A50,Assignments!$G$2:$G$769,"Active",Assignments!$AL$2:$AL$769,"&lt;="&amp;M$47,Assignments!$AM$2:$AM$769,"&gt;="&amp;M$47))</f>
        <v/>
      </c>
      <c r="N50" s="11">
        <f>IF($A50="","",SUMIFS(Assignments!$AK$2:$AK$769,Assignments!$A$2:$A$769,$A50,Assignments!$G$2:$G$769,"Active",Assignments!$AI$2:$AI$769,"&lt;="&amp;N$47,Assignments!$AJ$2:$AJ$769,"&gt;="&amp;N$47)+SUMIFS(Assignments!$AN$2:$AN$769,Assignments!$A$2:$A$769,$A50,Assignments!$G$2:$G$769,"Active",Assignments!$AL$2:$AL$769,"&lt;="&amp;N$47,Assignments!$AM$2:$AM$769,"&gt;="&amp;N$47))</f>
        <v/>
      </c>
      <c r="O50" s="11">
        <f>IF($A50="","",SUMIFS(Assignments!$AK$2:$AK$769,Assignments!$A$2:$A$769,$A50,Assignments!$G$2:$G$769,"Active",Assignments!$AI$2:$AI$769,"&lt;="&amp;O$47,Assignments!$AJ$2:$AJ$769,"&gt;="&amp;O$47)+SUMIFS(Assignments!$AN$2:$AN$769,Assignments!$A$2:$A$769,$A50,Assignments!$G$2:$G$769,"Active",Assignments!$AL$2:$AL$769,"&lt;="&amp;O$47,Assignments!$AM$2:$AM$769,"&gt;="&amp;O$47))</f>
        <v/>
      </c>
      <c r="P50" s="11">
        <f>IF($A50="","",SUMIFS(Assignments!$AK$2:$AK$769,Assignments!$A$2:$A$769,$A50,Assignments!$G$2:$G$769,"Active",Assignments!$AI$2:$AI$769,"&lt;="&amp;P$47,Assignments!$AJ$2:$AJ$769,"&gt;="&amp;P$47)+SUMIFS(Assignments!$AN$2:$AN$769,Assignments!$A$2:$A$769,$A50,Assignments!$G$2:$G$769,"Active",Assignments!$AL$2:$AL$769,"&lt;="&amp;P$47,Assignments!$AM$2:$AM$769,"&gt;="&amp;P$47))</f>
        <v/>
      </c>
      <c r="Q50" s="11">
        <f>IF($A50="","",SUMIFS(Assignments!$AK$2:$AK$769,Assignments!$A$2:$A$769,$A50,Assignments!$G$2:$G$769,"Active",Assignments!$AI$2:$AI$769,"&lt;="&amp;Q$47,Assignments!$AJ$2:$AJ$769,"&gt;="&amp;Q$47)+SUMIFS(Assignments!$AN$2:$AN$769,Assignments!$A$2:$A$769,$A50,Assignments!$G$2:$G$769,"Active",Assignments!$AL$2:$AL$769,"&lt;="&amp;Q$47,Assignments!$AM$2:$AM$769,"&gt;="&amp;Q$47))</f>
        <v/>
      </c>
      <c r="R50" s="11">
        <f>IF($A50="","",SUMIFS(Assignments!$AK$2:$AK$769,Assignments!$A$2:$A$769,$A50,Assignments!$G$2:$G$769,"Active",Assignments!$AI$2:$AI$769,"&lt;="&amp;R$47,Assignments!$AJ$2:$AJ$769,"&gt;="&amp;R$47)+SUMIFS(Assignments!$AN$2:$AN$769,Assignments!$A$2:$A$769,$A50,Assignments!$G$2:$G$769,"Active",Assignments!$AL$2:$AL$769,"&lt;="&amp;R$47,Assignments!$AM$2:$AM$769,"&gt;="&amp;R$47))</f>
        <v/>
      </c>
      <c r="S50" s="11">
        <f>IF($A50="","",SUMIFS(Assignments!$AK$2:$AK$769,Assignments!$A$2:$A$769,$A50,Assignments!$G$2:$G$769,"Active",Assignments!$AI$2:$AI$769,"&lt;="&amp;S$47,Assignments!$AJ$2:$AJ$769,"&gt;="&amp;S$47)+SUMIFS(Assignments!$AN$2:$AN$769,Assignments!$A$2:$A$769,$A50,Assignments!$G$2:$G$769,"Active",Assignments!$AL$2:$AL$769,"&lt;="&amp;S$47,Assignments!$AM$2:$AM$769,"&gt;="&amp;S$47))</f>
        <v/>
      </c>
      <c r="T50" s="11">
        <f>IF($A50="","",SUMIFS(Assignments!$AK$2:$AK$769,Assignments!$A$2:$A$769,$A50,Assignments!$G$2:$G$769,"Active",Assignments!$AI$2:$AI$769,"&lt;="&amp;T$47,Assignments!$AJ$2:$AJ$769,"&gt;="&amp;T$47)+SUMIFS(Assignments!$AN$2:$AN$769,Assignments!$A$2:$A$769,$A50,Assignments!$G$2:$G$769,"Active",Assignments!$AL$2:$AL$769,"&lt;="&amp;T$47,Assignments!$AM$2:$AM$769,"&gt;="&amp;T$47))</f>
        <v/>
      </c>
      <c r="U50" s="11">
        <f>IF($A50="","",SUMIFS(Assignments!$AK$2:$AK$769,Assignments!$A$2:$A$769,$A50,Assignments!$G$2:$G$769,"Active",Assignments!$AI$2:$AI$769,"&lt;="&amp;U$47,Assignments!$AJ$2:$AJ$769,"&gt;="&amp;U$47)+SUMIFS(Assignments!$AN$2:$AN$769,Assignments!$A$2:$A$769,$A50,Assignments!$G$2:$G$769,"Active",Assignments!$AL$2:$AL$769,"&lt;="&amp;U$47,Assignments!$AM$2:$AM$769,"&gt;="&amp;U$47))</f>
        <v/>
      </c>
      <c r="V50" s="11">
        <f>IF($A50="","",SUMIFS(Assignments!$AK$2:$AK$769,Assignments!$A$2:$A$769,$A50,Assignments!$G$2:$G$769,"Active",Assignments!$AI$2:$AI$769,"&lt;="&amp;V$47,Assignments!$AJ$2:$AJ$769,"&gt;="&amp;V$47)+SUMIFS(Assignments!$AN$2:$AN$769,Assignments!$A$2:$A$769,$A50,Assignments!$G$2:$G$769,"Active",Assignments!$AL$2:$AL$769,"&lt;="&amp;V$47,Assignments!$AM$2:$AM$769,"&gt;="&amp;V$47))</f>
        <v/>
      </c>
      <c r="W50" s="11">
        <f>IF($A50="","",SUMIFS(Assignments!$AK$2:$AK$769,Assignments!$A$2:$A$769,$A50,Assignments!$G$2:$G$769,"Active",Assignments!$AI$2:$AI$769,"&lt;="&amp;W$47,Assignments!$AJ$2:$AJ$769,"&gt;="&amp;W$47)+SUMIFS(Assignments!$AN$2:$AN$769,Assignments!$A$2:$A$769,$A50,Assignments!$G$2:$G$769,"Active",Assignments!$AL$2:$AL$769,"&lt;="&amp;W$47,Assignments!$AM$2:$AM$769,"&gt;="&amp;W$47))</f>
        <v/>
      </c>
      <c r="X50" s="11">
        <f>IF($A50="","",SUMIFS(Assignments!$AK$2:$AK$769,Assignments!$A$2:$A$769,$A50,Assignments!$G$2:$G$769,"Active",Assignments!$AI$2:$AI$769,"&lt;="&amp;X$47,Assignments!$AJ$2:$AJ$769,"&gt;="&amp;X$47)+SUMIFS(Assignments!$AN$2:$AN$769,Assignments!$A$2:$A$769,$A50,Assignments!$G$2:$G$769,"Active",Assignments!$AL$2:$AL$769,"&lt;="&amp;X$47,Assignments!$AM$2:$AM$769,"&gt;="&amp;X$47))</f>
        <v/>
      </c>
      <c r="Y50" s="11">
        <f>IF($A50="","",SUMIFS(Assignments!$AK$2:$AK$769,Assignments!$A$2:$A$769,$A50,Assignments!$G$2:$G$769,"Active",Assignments!$AI$2:$AI$769,"&lt;="&amp;Y$47,Assignments!$AJ$2:$AJ$769,"&gt;="&amp;Y$47)+SUMIFS(Assignments!$AN$2:$AN$769,Assignments!$A$2:$A$769,$A50,Assignments!$G$2:$G$769,"Active",Assignments!$AL$2:$AL$769,"&lt;="&amp;Y$47,Assignments!$AM$2:$AM$769,"&gt;="&amp;Y$47))</f>
        <v/>
      </c>
      <c r="Z50" s="11">
        <f>IF($A50="","",SUMIFS(Assignments!$AK$2:$AK$769,Assignments!$A$2:$A$769,$A50,Assignments!$G$2:$G$769,"Active",Assignments!$AI$2:$AI$769,"&lt;="&amp;Z$47,Assignments!$AJ$2:$AJ$769,"&gt;="&amp;Z$47)+SUMIFS(Assignments!$AN$2:$AN$769,Assignments!$A$2:$A$769,$A50,Assignments!$G$2:$G$769,"Active",Assignments!$AL$2:$AL$769,"&lt;="&amp;Z$47,Assignments!$AM$2:$AM$769,"&gt;="&amp;Z$47))</f>
        <v/>
      </c>
      <c r="AA50" s="11">
        <f>IF($A50="","",SUMIFS(Assignments!$AK$2:$AK$769,Assignments!$A$2:$A$769,$A50,Assignments!$G$2:$G$769,"Active",Assignments!$AI$2:$AI$769,"&lt;="&amp;AA$47,Assignments!$AJ$2:$AJ$769,"&gt;="&amp;AA$47)+SUMIFS(Assignments!$AN$2:$AN$769,Assignments!$A$2:$A$769,$A50,Assignments!$G$2:$G$769,"Active",Assignments!$AL$2:$AL$769,"&lt;="&amp;AA$47,Assignments!$AM$2:$AM$769,"&gt;="&amp;AA$47))</f>
        <v/>
      </c>
      <c r="AB50" s="11">
        <f>IF($A50="","",SUMIFS(Assignments!$AK$2:$AK$769,Assignments!$A$2:$A$769,$A50,Assignments!$G$2:$G$769,"Active",Assignments!$AI$2:$AI$769,"&lt;="&amp;AB$47,Assignments!$AJ$2:$AJ$769,"&gt;="&amp;AB$47)+SUMIFS(Assignments!$AN$2:$AN$769,Assignments!$A$2:$A$769,$A50,Assignments!$G$2:$G$769,"Active",Assignments!$AL$2:$AL$769,"&lt;="&amp;AB$47,Assignments!$AM$2:$AM$769,"&gt;="&amp;AB$47))</f>
        <v/>
      </c>
    </row>
    <row r="51">
      <c r="A51" s="9">
        <f>IF(Roster!$A5="","",Roster!$A5)</f>
        <v/>
      </c>
      <c r="B51" s="10">
        <f>IF($A51="","",IFERROR(INDEX(Roster!$D$2:$D$40,MATCH($A51,Roster!$A$2:$A$40,0)),""))</f>
        <v/>
      </c>
      <c r="C51" s="11">
        <f>IF($A51="","",SUMIFS(Assignments!$AK$2:$AK$769,Assignments!$A$2:$A$769,$A51,Assignments!$G$2:$G$769,"Active",Assignments!$AI$2:$AI$769,"&lt;="&amp;C$47,Assignments!$AJ$2:$AJ$769,"&gt;="&amp;C$47)+SUMIFS(Assignments!$AN$2:$AN$769,Assignments!$A$2:$A$769,$A51,Assignments!$G$2:$G$769,"Active",Assignments!$AL$2:$AL$769,"&lt;="&amp;C$47,Assignments!$AM$2:$AM$769,"&gt;="&amp;C$47))</f>
        <v/>
      </c>
      <c r="D51" s="11">
        <f>IF($A51="","",SUMIFS(Assignments!$AK$2:$AK$769,Assignments!$A$2:$A$769,$A51,Assignments!$G$2:$G$769,"Active",Assignments!$AI$2:$AI$769,"&lt;="&amp;D$47,Assignments!$AJ$2:$AJ$769,"&gt;="&amp;D$47)+SUMIFS(Assignments!$AN$2:$AN$769,Assignments!$A$2:$A$769,$A51,Assignments!$G$2:$G$769,"Active",Assignments!$AL$2:$AL$769,"&lt;="&amp;D$47,Assignments!$AM$2:$AM$769,"&gt;="&amp;D$47))</f>
        <v/>
      </c>
      <c r="E51" s="11">
        <f>IF($A51="","",SUMIFS(Assignments!$AK$2:$AK$769,Assignments!$A$2:$A$769,$A51,Assignments!$G$2:$G$769,"Active",Assignments!$AI$2:$AI$769,"&lt;="&amp;E$47,Assignments!$AJ$2:$AJ$769,"&gt;="&amp;E$47)+SUMIFS(Assignments!$AN$2:$AN$769,Assignments!$A$2:$A$769,$A51,Assignments!$G$2:$G$769,"Active",Assignments!$AL$2:$AL$769,"&lt;="&amp;E$47,Assignments!$AM$2:$AM$769,"&gt;="&amp;E$47))</f>
        <v/>
      </c>
      <c r="F51" s="11">
        <f>IF($A51="","",SUMIFS(Assignments!$AK$2:$AK$769,Assignments!$A$2:$A$769,$A51,Assignments!$G$2:$G$769,"Active",Assignments!$AI$2:$AI$769,"&lt;="&amp;F$47,Assignments!$AJ$2:$AJ$769,"&gt;="&amp;F$47)+SUMIFS(Assignments!$AN$2:$AN$769,Assignments!$A$2:$A$769,$A51,Assignments!$G$2:$G$769,"Active",Assignments!$AL$2:$AL$769,"&lt;="&amp;F$47,Assignments!$AM$2:$AM$769,"&gt;="&amp;F$47))</f>
        <v/>
      </c>
      <c r="G51" s="11">
        <f>IF($A51="","",SUMIFS(Assignments!$AK$2:$AK$769,Assignments!$A$2:$A$769,$A51,Assignments!$G$2:$G$769,"Active",Assignments!$AI$2:$AI$769,"&lt;="&amp;G$47,Assignments!$AJ$2:$AJ$769,"&gt;="&amp;G$47)+SUMIFS(Assignments!$AN$2:$AN$769,Assignments!$A$2:$A$769,$A51,Assignments!$G$2:$G$769,"Active",Assignments!$AL$2:$AL$769,"&lt;="&amp;G$47,Assignments!$AM$2:$AM$769,"&gt;="&amp;G$47))</f>
        <v/>
      </c>
      <c r="H51" s="11">
        <f>IF($A51="","",SUMIFS(Assignments!$AK$2:$AK$769,Assignments!$A$2:$A$769,$A51,Assignments!$G$2:$G$769,"Active",Assignments!$AI$2:$AI$769,"&lt;="&amp;H$47,Assignments!$AJ$2:$AJ$769,"&gt;="&amp;H$47)+SUMIFS(Assignments!$AN$2:$AN$769,Assignments!$A$2:$A$769,$A51,Assignments!$G$2:$G$769,"Active",Assignments!$AL$2:$AL$769,"&lt;="&amp;H$47,Assignments!$AM$2:$AM$769,"&gt;="&amp;H$47))</f>
        <v/>
      </c>
      <c r="I51" s="11">
        <f>IF($A51="","",SUMIFS(Assignments!$AK$2:$AK$769,Assignments!$A$2:$A$769,$A51,Assignments!$G$2:$G$769,"Active",Assignments!$AI$2:$AI$769,"&lt;="&amp;I$47,Assignments!$AJ$2:$AJ$769,"&gt;="&amp;I$47)+SUMIFS(Assignments!$AN$2:$AN$769,Assignments!$A$2:$A$769,$A51,Assignments!$G$2:$G$769,"Active",Assignments!$AL$2:$AL$769,"&lt;="&amp;I$47,Assignments!$AM$2:$AM$769,"&gt;="&amp;I$47))</f>
        <v/>
      </c>
      <c r="J51" s="11">
        <f>IF($A51="","",SUMIFS(Assignments!$AK$2:$AK$769,Assignments!$A$2:$A$769,$A51,Assignments!$G$2:$G$769,"Active",Assignments!$AI$2:$AI$769,"&lt;="&amp;J$47,Assignments!$AJ$2:$AJ$769,"&gt;="&amp;J$47)+SUMIFS(Assignments!$AN$2:$AN$769,Assignments!$A$2:$A$769,$A51,Assignments!$G$2:$G$769,"Active",Assignments!$AL$2:$AL$769,"&lt;="&amp;J$47,Assignments!$AM$2:$AM$769,"&gt;="&amp;J$47))</f>
        <v/>
      </c>
      <c r="K51" s="11">
        <f>IF($A51="","",SUMIFS(Assignments!$AK$2:$AK$769,Assignments!$A$2:$A$769,$A51,Assignments!$G$2:$G$769,"Active",Assignments!$AI$2:$AI$769,"&lt;="&amp;K$47,Assignments!$AJ$2:$AJ$769,"&gt;="&amp;K$47)+SUMIFS(Assignments!$AN$2:$AN$769,Assignments!$A$2:$A$769,$A51,Assignments!$G$2:$G$769,"Active",Assignments!$AL$2:$AL$769,"&lt;="&amp;K$47,Assignments!$AM$2:$AM$769,"&gt;="&amp;K$47))</f>
        <v/>
      </c>
      <c r="L51" s="11">
        <f>IF($A51="","",SUMIFS(Assignments!$AK$2:$AK$769,Assignments!$A$2:$A$769,$A51,Assignments!$G$2:$G$769,"Active",Assignments!$AI$2:$AI$769,"&lt;="&amp;L$47,Assignments!$AJ$2:$AJ$769,"&gt;="&amp;L$47)+SUMIFS(Assignments!$AN$2:$AN$769,Assignments!$A$2:$A$769,$A51,Assignments!$G$2:$G$769,"Active",Assignments!$AL$2:$AL$769,"&lt;="&amp;L$47,Assignments!$AM$2:$AM$769,"&gt;="&amp;L$47))</f>
        <v/>
      </c>
      <c r="M51" s="11">
        <f>IF($A51="","",SUMIFS(Assignments!$AK$2:$AK$769,Assignments!$A$2:$A$769,$A51,Assignments!$G$2:$G$769,"Active",Assignments!$AI$2:$AI$769,"&lt;="&amp;M$47,Assignments!$AJ$2:$AJ$769,"&gt;="&amp;M$47)+SUMIFS(Assignments!$AN$2:$AN$769,Assignments!$A$2:$A$769,$A51,Assignments!$G$2:$G$769,"Active",Assignments!$AL$2:$AL$769,"&lt;="&amp;M$47,Assignments!$AM$2:$AM$769,"&gt;="&amp;M$47))</f>
        <v/>
      </c>
      <c r="N51" s="11">
        <f>IF($A51="","",SUMIFS(Assignments!$AK$2:$AK$769,Assignments!$A$2:$A$769,$A51,Assignments!$G$2:$G$769,"Active",Assignments!$AI$2:$AI$769,"&lt;="&amp;N$47,Assignments!$AJ$2:$AJ$769,"&gt;="&amp;N$47)+SUMIFS(Assignments!$AN$2:$AN$769,Assignments!$A$2:$A$769,$A51,Assignments!$G$2:$G$769,"Active",Assignments!$AL$2:$AL$769,"&lt;="&amp;N$47,Assignments!$AM$2:$AM$769,"&gt;="&amp;N$47))</f>
        <v/>
      </c>
      <c r="O51" s="11">
        <f>IF($A51="","",SUMIFS(Assignments!$AK$2:$AK$769,Assignments!$A$2:$A$769,$A51,Assignments!$G$2:$G$769,"Active",Assignments!$AI$2:$AI$769,"&lt;="&amp;O$47,Assignments!$AJ$2:$AJ$769,"&gt;="&amp;O$47)+SUMIFS(Assignments!$AN$2:$AN$769,Assignments!$A$2:$A$769,$A51,Assignments!$G$2:$G$769,"Active",Assignments!$AL$2:$AL$769,"&lt;="&amp;O$47,Assignments!$AM$2:$AM$769,"&gt;="&amp;O$47))</f>
        <v/>
      </c>
      <c r="P51" s="11">
        <f>IF($A51="","",SUMIFS(Assignments!$AK$2:$AK$769,Assignments!$A$2:$A$769,$A51,Assignments!$G$2:$G$769,"Active",Assignments!$AI$2:$AI$769,"&lt;="&amp;P$47,Assignments!$AJ$2:$AJ$769,"&gt;="&amp;P$47)+SUMIFS(Assignments!$AN$2:$AN$769,Assignments!$A$2:$A$769,$A51,Assignments!$G$2:$G$769,"Active",Assignments!$AL$2:$AL$769,"&lt;="&amp;P$47,Assignments!$AM$2:$AM$769,"&gt;="&amp;P$47))</f>
        <v/>
      </c>
      <c r="Q51" s="11">
        <f>IF($A51="","",SUMIFS(Assignments!$AK$2:$AK$769,Assignments!$A$2:$A$769,$A51,Assignments!$G$2:$G$769,"Active",Assignments!$AI$2:$AI$769,"&lt;="&amp;Q$47,Assignments!$AJ$2:$AJ$769,"&gt;="&amp;Q$47)+SUMIFS(Assignments!$AN$2:$AN$769,Assignments!$A$2:$A$769,$A51,Assignments!$G$2:$G$769,"Active",Assignments!$AL$2:$AL$769,"&lt;="&amp;Q$47,Assignments!$AM$2:$AM$769,"&gt;="&amp;Q$47))</f>
        <v/>
      </c>
      <c r="R51" s="11">
        <f>IF($A51="","",SUMIFS(Assignments!$AK$2:$AK$769,Assignments!$A$2:$A$769,$A51,Assignments!$G$2:$G$769,"Active",Assignments!$AI$2:$AI$769,"&lt;="&amp;R$47,Assignments!$AJ$2:$AJ$769,"&gt;="&amp;R$47)+SUMIFS(Assignments!$AN$2:$AN$769,Assignments!$A$2:$A$769,$A51,Assignments!$G$2:$G$769,"Active",Assignments!$AL$2:$AL$769,"&lt;="&amp;R$47,Assignments!$AM$2:$AM$769,"&gt;="&amp;R$47))</f>
        <v/>
      </c>
      <c r="S51" s="11">
        <f>IF($A51="","",SUMIFS(Assignments!$AK$2:$AK$769,Assignments!$A$2:$A$769,$A51,Assignments!$G$2:$G$769,"Active",Assignments!$AI$2:$AI$769,"&lt;="&amp;S$47,Assignments!$AJ$2:$AJ$769,"&gt;="&amp;S$47)+SUMIFS(Assignments!$AN$2:$AN$769,Assignments!$A$2:$A$769,$A51,Assignments!$G$2:$G$769,"Active",Assignments!$AL$2:$AL$769,"&lt;="&amp;S$47,Assignments!$AM$2:$AM$769,"&gt;="&amp;S$47))</f>
        <v/>
      </c>
      <c r="T51" s="11">
        <f>IF($A51="","",SUMIFS(Assignments!$AK$2:$AK$769,Assignments!$A$2:$A$769,$A51,Assignments!$G$2:$G$769,"Active",Assignments!$AI$2:$AI$769,"&lt;="&amp;T$47,Assignments!$AJ$2:$AJ$769,"&gt;="&amp;T$47)+SUMIFS(Assignments!$AN$2:$AN$769,Assignments!$A$2:$A$769,$A51,Assignments!$G$2:$G$769,"Active",Assignments!$AL$2:$AL$769,"&lt;="&amp;T$47,Assignments!$AM$2:$AM$769,"&gt;="&amp;T$47))</f>
        <v/>
      </c>
      <c r="U51" s="11">
        <f>IF($A51="","",SUMIFS(Assignments!$AK$2:$AK$769,Assignments!$A$2:$A$769,$A51,Assignments!$G$2:$G$769,"Active",Assignments!$AI$2:$AI$769,"&lt;="&amp;U$47,Assignments!$AJ$2:$AJ$769,"&gt;="&amp;U$47)+SUMIFS(Assignments!$AN$2:$AN$769,Assignments!$A$2:$A$769,$A51,Assignments!$G$2:$G$769,"Active",Assignments!$AL$2:$AL$769,"&lt;="&amp;U$47,Assignments!$AM$2:$AM$769,"&gt;="&amp;U$47))</f>
        <v/>
      </c>
      <c r="V51" s="11">
        <f>IF($A51="","",SUMIFS(Assignments!$AK$2:$AK$769,Assignments!$A$2:$A$769,$A51,Assignments!$G$2:$G$769,"Active",Assignments!$AI$2:$AI$769,"&lt;="&amp;V$47,Assignments!$AJ$2:$AJ$769,"&gt;="&amp;V$47)+SUMIFS(Assignments!$AN$2:$AN$769,Assignments!$A$2:$A$769,$A51,Assignments!$G$2:$G$769,"Active",Assignments!$AL$2:$AL$769,"&lt;="&amp;V$47,Assignments!$AM$2:$AM$769,"&gt;="&amp;V$47))</f>
        <v/>
      </c>
      <c r="W51" s="11">
        <f>IF($A51="","",SUMIFS(Assignments!$AK$2:$AK$769,Assignments!$A$2:$A$769,$A51,Assignments!$G$2:$G$769,"Active",Assignments!$AI$2:$AI$769,"&lt;="&amp;W$47,Assignments!$AJ$2:$AJ$769,"&gt;="&amp;W$47)+SUMIFS(Assignments!$AN$2:$AN$769,Assignments!$A$2:$A$769,$A51,Assignments!$G$2:$G$769,"Active",Assignments!$AL$2:$AL$769,"&lt;="&amp;W$47,Assignments!$AM$2:$AM$769,"&gt;="&amp;W$47))</f>
        <v/>
      </c>
      <c r="X51" s="11">
        <f>IF($A51="","",SUMIFS(Assignments!$AK$2:$AK$769,Assignments!$A$2:$A$769,$A51,Assignments!$G$2:$G$769,"Active",Assignments!$AI$2:$AI$769,"&lt;="&amp;X$47,Assignments!$AJ$2:$AJ$769,"&gt;="&amp;X$47)+SUMIFS(Assignments!$AN$2:$AN$769,Assignments!$A$2:$A$769,$A51,Assignments!$G$2:$G$769,"Active",Assignments!$AL$2:$AL$769,"&lt;="&amp;X$47,Assignments!$AM$2:$AM$769,"&gt;="&amp;X$47))</f>
        <v/>
      </c>
      <c r="Y51" s="11">
        <f>IF($A51="","",SUMIFS(Assignments!$AK$2:$AK$769,Assignments!$A$2:$A$769,$A51,Assignments!$G$2:$G$769,"Active",Assignments!$AI$2:$AI$769,"&lt;="&amp;Y$47,Assignments!$AJ$2:$AJ$769,"&gt;="&amp;Y$47)+SUMIFS(Assignments!$AN$2:$AN$769,Assignments!$A$2:$A$769,$A51,Assignments!$G$2:$G$769,"Active",Assignments!$AL$2:$AL$769,"&lt;="&amp;Y$47,Assignments!$AM$2:$AM$769,"&gt;="&amp;Y$47))</f>
        <v/>
      </c>
      <c r="Z51" s="11">
        <f>IF($A51="","",SUMIFS(Assignments!$AK$2:$AK$769,Assignments!$A$2:$A$769,$A51,Assignments!$G$2:$G$769,"Active",Assignments!$AI$2:$AI$769,"&lt;="&amp;Z$47,Assignments!$AJ$2:$AJ$769,"&gt;="&amp;Z$47)+SUMIFS(Assignments!$AN$2:$AN$769,Assignments!$A$2:$A$769,$A51,Assignments!$G$2:$G$769,"Active",Assignments!$AL$2:$AL$769,"&lt;="&amp;Z$47,Assignments!$AM$2:$AM$769,"&gt;="&amp;Z$47))</f>
        <v/>
      </c>
      <c r="AA51" s="11">
        <f>IF($A51="","",SUMIFS(Assignments!$AK$2:$AK$769,Assignments!$A$2:$A$769,$A51,Assignments!$G$2:$G$769,"Active",Assignments!$AI$2:$AI$769,"&lt;="&amp;AA$47,Assignments!$AJ$2:$AJ$769,"&gt;="&amp;AA$47)+SUMIFS(Assignments!$AN$2:$AN$769,Assignments!$A$2:$A$769,$A51,Assignments!$G$2:$G$769,"Active",Assignments!$AL$2:$AL$769,"&lt;="&amp;AA$47,Assignments!$AM$2:$AM$769,"&gt;="&amp;AA$47))</f>
        <v/>
      </c>
      <c r="AB51" s="11">
        <f>IF($A51="","",SUMIFS(Assignments!$AK$2:$AK$769,Assignments!$A$2:$A$769,$A51,Assignments!$G$2:$G$769,"Active",Assignments!$AI$2:$AI$769,"&lt;="&amp;AB$47,Assignments!$AJ$2:$AJ$769,"&gt;="&amp;AB$47)+SUMIFS(Assignments!$AN$2:$AN$769,Assignments!$A$2:$A$769,$A51,Assignments!$G$2:$G$769,"Active",Assignments!$AL$2:$AL$769,"&lt;="&amp;AB$47,Assignments!$AM$2:$AM$769,"&gt;="&amp;AB$47))</f>
        <v/>
      </c>
    </row>
    <row r="52">
      <c r="A52" s="9">
        <f>IF(Roster!$A6="","",Roster!$A6)</f>
        <v/>
      </c>
      <c r="B52" s="10">
        <f>IF($A52="","",IFERROR(INDEX(Roster!$D$2:$D$40,MATCH($A52,Roster!$A$2:$A$40,0)),""))</f>
        <v/>
      </c>
      <c r="C52" s="11">
        <f>IF($A52="","",SUMIFS(Assignments!$AK$2:$AK$769,Assignments!$A$2:$A$769,$A52,Assignments!$G$2:$G$769,"Active",Assignments!$AI$2:$AI$769,"&lt;="&amp;C$47,Assignments!$AJ$2:$AJ$769,"&gt;="&amp;C$47)+SUMIFS(Assignments!$AN$2:$AN$769,Assignments!$A$2:$A$769,$A52,Assignments!$G$2:$G$769,"Active",Assignments!$AL$2:$AL$769,"&lt;="&amp;C$47,Assignments!$AM$2:$AM$769,"&gt;="&amp;C$47))</f>
        <v/>
      </c>
      <c r="D52" s="11">
        <f>IF($A52="","",SUMIFS(Assignments!$AK$2:$AK$769,Assignments!$A$2:$A$769,$A52,Assignments!$G$2:$G$769,"Active",Assignments!$AI$2:$AI$769,"&lt;="&amp;D$47,Assignments!$AJ$2:$AJ$769,"&gt;="&amp;D$47)+SUMIFS(Assignments!$AN$2:$AN$769,Assignments!$A$2:$A$769,$A52,Assignments!$G$2:$G$769,"Active",Assignments!$AL$2:$AL$769,"&lt;="&amp;D$47,Assignments!$AM$2:$AM$769,"&gt;="&amp;D$47))</f>
        <v/>
      </c>
      <c r="E52" s="11">
        <f>IF($A52="","",SUMIFS(Assignments!$AK$2:$AK$769,Assignments!$A$2:$A$769,$A52,Assignments!$G$2:$G$769,"Active",Assignments!$AI$2:$AI$769,"&lt;="&amp;E$47,Assignments!$AJ$2:$AJ$769,"&gt;="&amp;E$47)+SUMIFS(Assignments!$AN$2:$AN$769,Assignments!$A$2:$A$769,$A52,Assignments!$G$2:$G$769,"Active",Assignments!$AL$2:$AL$769,"&lt;="&amp;E$47,Assignments!$AM$2:$AM$769,"&gt;="&amp;E$47))</f>
        <v/>
      </c>
      <c r="F52" s="11">
        <f>IF($A52="","",SUMIFS(Assignments!$AK$2:$AK$769,Assignments!$A$2:$A$769,$A52,Assignments!$G$2:$G$769,"Active",Assignments!$AI$2:$AI$769,"&lt;="&amp;F$47,Assignments!$AJ$2:$AJ$769,"&gt;="&amp;F$47)+SUMIFS(Assignments!$AN$2:$AN$769,Assignments!$A$2:$A$769,$A52,Assignments!$G$2:$G$769,"Active",Assignments!$AL$2:$AL$769,"&lt;="&amp;F$47,Assignments!$AM$2:$AM$769,"&gt;="&amp;F$47))</f>
        <v/>
      </c>
      <c r="G52" s="11">
        <f>IF($A52="","",SUMIFS(Assignments!$AK$2:$AK$769,Assignments!$A$2:$A$769,$A52,Assignments!$G$2:$G$769,"Active",Assignments!$AI$2:$AI$769,"&lt;="&amp;G$47,Assignments!$AJ$2:$AJ$769,"&gt;="&amp;G$47)+SUMIFS(Assignments!$AN$2:$AN$769,Assignments!$A$2:$A$769,$A52,Assignments!$G$2:$G$769,"Active",Assignments!$AL$2:$AL$769,"&lt;="&amp;G$47,Assignments!$AM$2:$AM$769,"&gt;="&amp;G$47))</f>
        <v/>
      </c>
      <c r="H52" s="11">
        <f>IF($A52="","",SUMIFS(Assignments!$AK$2:$AK$769,Assignments!$A$2:$A$769,$A52,Assignments!$G$2:$G$769,"Active",Assignments!$AI$2:$AI$769,"&lt;="&amp;H$47,Assignments!$AJ$2:$AJ$769,"&gt;="&amp;H$47)+SUMIFS(Assignments!$AN$2:$AN$769,Assignments!$A$2:$A$769,$A52,Assignments!$G$2:$G$769,"Active",Assignments!$AL$2:$AL$769,"&lt;="&amp;H$47,Assignments!$AM$2:$AM$769,"&gt;="&amp;H$47))</f>
        <v/>
      </c>
      <c r="I52" s="11">
        <f>IF($A52="","",SUMIFS(Assignments!$AK$2:$AK$769,Assignments!$A$2:$A$769,$A52,Assignments!$G$2:$G$769,"Active",Assignments!$AI$2:$AI$769,"&lt;="&amp;I$47,Assignments!$AJ$2:$AJ$769,"&gt;="&amp;I$47)+SUMIFS(Assignments!$AN$2:$AN$769,Assignments!$A$2:$A$769,$A52,Assignments!$G$2:$G$769,"Active",Assignments!$AL$2:$AL$769,"&lt;="&amp;I$47,Assignments!$AM$2:$AM$769,"&gt;="&amp;I$47))</f>
        <v/>
      </c>
      <c r="J52" s="11">
        <f>IF($A52="","",SUMIFS(Assignments!$AK$2:$AK$769,Assignments!$A$2:$A$769,$A52,Assignments!$G$2:$G$769,"Active",Assignments!$AI$2:$AI$769,"&lt;="&amp;J$47,Assignments!$AJ$2:$AJ$769,"&gt;="&amp;J$47)+SUMIFS(Assignments!$AN$2:$AN$769,Assignments!$A$2:$A$769,$A52,Assignments!$G$2:$G$769,"Active",Assignments!$AL$2:$AL$769,"&lt;="&amp;J$47,Assignments!$AM$2:$AM$769,"&gt;="&amp;J$47))</f>
        <v/>
      </c>
      <c r="K52" s="11">
        <f>IF($A52="","",SUMIFS(Assignments!$AK$2:$AK$769,Assignments!$A$2:$A$769,$A52,Assignments!$G$2:$G$769,"Active",Assignments!$AI$2:$AI$769,"&lt;="&amp;K$47,Assignments!$AJ$2:$AJ$769,"&gt;="&amp;K$47)+SUMIFS(Assignments!$AN$2:$AN$769,Assignments!$A$2:$A$769,$A52,Assignments!$G$2:$G$769,"Active",Assignments!$AL$2:$AL$769,"&lt;="&amp;K$47,Assignments!$AM$2:$AM$769,"&gt;="&amp;K$47))</f>
        <v/>
      </c>
      <c r="L52" s="11">
        <f>IF($A52="","",SUMIFS(Assignments!$AK$2:$AK$769,Assignments!$A$2:$A$769,$A52,Assignments!$G$2:$G$769,"Active",Assignments!$AI$2:$AI$769,"&lt;="&amp;L$47,Assignments!$AJ$2:$AJ$769,"&gt;="&amp;L$47)+SUMIFS(Assignments!$AN$2:$AN$769,Assignments!$A$2:$A$769,$A52,Assignments!$G$2:$G$769,"Active",Assignments!$AL$2:$AL$769,"&lt;="&amp;L$47,Assignments!$AM$2:$AM$769,"&gt;="&amp;L$47))</f>
        <v/>
      </c>
      <c r="M52" s="11">
        <f>IF($A52="","",SUMIFS(Assignments!$AK$2:$AK$769,Assignments!$A$2:$A$769,$A52,Assignments!$G$2:$G$769,"Active",Assignments!$AI$2:$AI$769,"&lt;="&amp;M$47,Assignments!$AJ$2:$AJ$769,"&gt;="&amp;M$47)+SUMIFS(Assignments!$AN$2:$AN$769,Assignments!$A$2:$A$769,$A52,Assignments!$G$2:$G$769,"Active",Assignments!$AL$2:$AL$769,"&lt;="&amp;M$47,Assignments!$AM$2:$AM$769,"&gt;="&amp;M$47))</f>
        <v/>
      </c>
      <c r="N52" s="11">
        <f>IF($A52="","",SUMIFS(Assignments!$AK$2:$AK$769,Assignments!$A$2:$A$769,$A52,Assignments!$G$2:$G$769,"Active",Assignments!$AI$2:$AI$769,"&lt;="&amp;N$47,Assignments!$AJ$2:$AJ$769,"&gt;="&amp;N$47)+SUMIFS(Assignments!$AN$2:$AN$769,Assignments!$A$2:$A$769,$A52,Assignments!$G$2:$G$769,"Active",Assignments!$AL$2:$AL$769,"&lt;="&amp;N$47,Assignments!$AM$2:$AM$769,"&gt;="&amp;N$47))</f>
        <v/>
      </c>
      <c r="O52" s="11">
        <f>IF($A52="","",SUMIFS(Assignments!$AK$2:$AK$769,Assignments!$A$2:$A$769,$A52,Assignments!$G$2:$G$769,"Active",Assignments!$AI$2:$AI$769,"&lt;="&amp;O$47,Assignments!$AJ$2:$AJ$769,"&gt;="&amp;O$47)+SUMIFS(Assignments!$AN$2:$AN$769,Assignments!$A$2:$A$769,$A52,Assignments!$G$2:$G$769,"Active",Assignments!$AL$2:$AL$769,"&lt;="&amp;O$47,Assignments!$AM$2:$AM$769,"&gt;="&amp;O$47))</f>
        <v/>
      </c>
      <c r="P52" s="11">
        <f>IF($A52="","",SUMIFS(Assignments!$AK$2:$AK$769,Assignments!$A$2:$A$769,$A52,Assignments!$G$2:$G$769,"Active",Assignments!$AI$2:$AI$769,"&lt;="&amp;P$47,Assignments!$AJ$2:$AJ$769,"&gt;="&amp;P$47)+SUMIFS(Assignments!$AN$2:$AN$769,Assignments!$A$2:$A$769,$A52,Assignments!$G$2:$G$769,"Active",Assignments!$AL$2:$AL$769,"&lt;="&amp;P$47,Assignments!$AM$2:$AM$769,"&gt;="&amp;P$47))</f>
        <v/>
      </c>
      <c r="Q52" s="11">
        <f>IF($A52="","",SUMIFS(Assignments!$AK$2:$AK$769,Assignments!$A$2:$A$769,$A52,Assignments!$G$2:$G$769,"Active",Assignments!$AI$2:$AI$769,"&lt;="&amp;Q$47,Assignments!$AJ$2:$AJ$769,"&gt;="&amp;Q$47)+SUMIFS(Assignments!$AN$2:$AN$769,Assignments!$A$2:$A$769,$A52,Assignments!$G$2:$G$769,"Active",Assignments!$AL$2:$AL$769,"&lt;="&amp;Q$47,Assignments!$AM$2:$AM$769,"&gt;="&amp;Q$47))</f>
        <v/>
      </c>
      <c r="R52" s="11">
        <f>IF($A52="","",SUMIFS(Assignments!$AK$2:$AK$769,Assignments!$A$2:$A$769,$A52,Assignments!$G$2:$G$769,"Active",Assignments!$AI$2:$AI$769,"&lt;="&amp;R$47,Assignments!$AJ$2:$AJ$769,"&gt;="&amp;R$47)+SUMIFS(Assignments!$AN$2:$AN$769,Assignments!$A$2:$A$769,$A52,Assignments!$G$2:$G$769,"Active",Assignments!$AL$2:$AL$769,"&lt;="&amp;R$47,Assignments!$AM$2:$AM$769,"&gt;="&amp;R$47))</f>
        <v/>
      </c>
      <c r="S52" s="11">
        <f>IF($A52="","",SUMIFS(Assignments!$AK$2:$AK$769,Assignments!$A$2:$A$769,$A52,Assignments!$G$2:$G$769,"Active",Assignments!$AI$2:$AI$769,"&lt;="&amp;S$47,Assignments!$AJ$2:$AJ$769,"&gt;="&amp;S$47)+SUMIFS(Assignments!$AN$2:$AN$769,Assignments!$A$2:$A$769,$A52,Assignments!$G$2:$G$769,"Active",Assignments!$AL$2:$AL$769,"&lt;="&amp;S$47,Assignments!$AM$2:$AM$769,"&gt;="&amp;S$47))</f>
        <v/>
      </c>
      <c r="T52" s="11">
        <f>IF($A52="","",SUMIFS(Assignments!$AK$2:$AK$769,Assignments!$A$2:$A$769,$A52,Assignments!$G$2:$G$769,"Active",Assignments!$AI$2:$AI$769,"&lt;="&amp;T$47,Assignments!$AJ$2:$AJ$769,"&gt;="&amp;T$47)+SUMIFS(Assignments!$AN$2:$AN$769,Assignments!$A$2:$A$769,$A52,Assignments!$G$2:$G$769,"Active",Assignments!$AL$2:$AL$769,"&lt;="&amp;T$47,Assignments!$AM$2:$AM$769,"&gt;="&amp;T$47))</f>
        <v/>
      </c>
      <c r="U52" s="11">
        <f>IF($A52="","",SUMIFS(Assignments!$AK$2:$AK$769,Assignments!$A$2:$A$769,$A52,Assignments!$G$2:$G$769,"Active",Assignments!$AI$2:$AI$769,"&lt;="&amp;U$47,Assignments!$AJ$2:$AJ$769,"&gt;="&amp;U$47)+SUMIFS(Assignments!$AN$2:$AN$769,Assignments!$A$2:$A$769,$A52,Assignments!$G$2:$G$769,"Active",Assignments!$AL$2:$AL$769,"&lt;="&amp;U$47,Assignments!$AM$2:$AM$769,"&gt;="&amp;U$47))</f>
        <v/>
      </c>
      <c r="V52" s="11">
        <f>IF($A52="","",SUMIFS(Assignments!$AK$2:$AK$769,Assignments!$A$2:$A$769,$A52,Assignments!$G$2:$G$769,"Active",Assignments!$AI$2:$AI$769,"&lt;="&amp;V$47,Assignments!$AJ$2:$AJ$769,"&gt;="&amp;V$47)+SUMIFS(Assignments!$AN$2:$AN$769,Assignments!$A$2:$A$769,$A52,Assignments!$G$2:$G$769,"Active",Assignments!$AL$2:$AL$769,"&lt;="&amp;V$47,Assignments!$AM$2:$AM$769,"&gt;="&amp;V$47))</f>
        <v/>
      </c>
      <c r="W52" s="11">
        <f>IF($A52="","",SUMIFS(Assignments!$AK$2:$AK$769,Assignments!$A$2:$A$769,$A52,Assignments!$G$2:$G$769,"Active",Assignments!$AI$2:$AI$769,"&lt;="&amp;W$47,Assignments!$AJ$2:$AJ$769,"&gt;="&amp;W$47)+SUMIFS(Assignments!$AN$2:$AN$769,Assignments!$A$2:$A$769,$A52,Assignments!$G$2:$G$769,"Active",Assignments!$AL$2:$AL$769,"&lt;="&amp;W$47,Assignments!$AM$2:$AM$769,"&gt;="&amp;W$47))</f>
        <v/>
      </c>
      <c r="X52" s="11">
        <f>IF($A52="","",SUMIFS(Assignments!$AK$2:$AK$769,Assignments!$A$2:$A$769,$A52,Assignments!$G$2:$G$769,"Active",Assignments!$AI$2:$AI$769,"&lt;="&amp;X$47,Assignments!$AJ$2:$AJ$769,"&gt;="&amp;X$47)+SUMIFS(Assignments!$AN$2:$AN$769,Assignments!$A$2:$A$769,$A52,Assignments!$G$2:$G$769,"Active",Assignments!$AL$2:$AL$769,"&lt;="&amp;X$47,Assignments!$AM$2:$AM$769,"&gt;="&amp;X$47))</f>
        <v/>
      </c>
      <c r="Y52" s="11">
        <f>IF($A52="","",SUMIFS(Assignments!$AK$2:$AK$769,Assignments!$A$2:$A$769,$A52,Assignments!$G$2:$G$769,"Active",Assignments!$AI$2:$AI$769,"&lt;="&amp;Y$47,Assignments!$AJ$2:$AJ$769,"&gt;="&amp;Y$47)+SUMIFS(Assignments!$AN$2:$AN$769,Assignments!$A$2:$A$769,$A52,Assignments!$G$2:$G$769,"Active",Assignments!$AL$2:$AL$769,"&lt;="&amp;Y$47,Assignments!$AM$2:$AM$769,"&gt;="&amp;Y$47))</f>
        <v/>
      </c>
      <c r="Z52" s="11">
        <f>IF($A52="","",SUMIFS(Assignments!$AK$2:$AK$769,Assignments!$A$2:$A$769,$A52,Assignments!$G$2:$G$769,"Active",Assignments!$AI$2:$AI$769,"&lt;="&amp;Z$47,Assignments!$AJ$2:$AJ$769,"&gt;="&amp;Z$47)+SUMIFS(Assignments!$AN$2:$AN$769,Assignments!$A$2:$A$769,$A52,Assignments!$G$2:$G$769,"Active",Assignments!$AL$2:$AL$769,"&lt;="&amp;Z$47,Assignments!$AM$2:$AM$769,"&gt;="&amp;Z$47))</f>
        <v/>
      </c>
      <c r="AA52" s="11">
        <f>IF($A52="","",SUMIFS(Assignments!$AK$2:$AK$769,Assignments!$A$2:$A$769,$A52,Assignments!$G$2:$G$769,"Active",Assignments!$AI$2:$AI$769,"&lt;="&amp;AA$47,Assignments!$AJ$2:$AJ$769,"&gt;="&amp;AA$47)+SUMIFS(Assignments!$AN$2:$AN$769,Assignments!$A$2:$A$769,$A52,Assignments!$G$2:$G$769,"Active",Assignments!$AL$2:$AL$769,"&lt;="&amp;AA$47,Assignments!$AM$2:$AM$769,"&gt;="&amp;AA$47))</f>
        <v/>
      </c>
      <c r="AB52" s="11">
        <f>IF($A52="","",SUMIFS(Assignments!$AK$2:$AK$769,Assignments!$A$2:$A$769,$A52,Assignments!$G$2:$G$769,"Active",Assignments!$AI$2:$AI$769,"&lt;="&amp;AB$47,Assignments!$AJ$2:$AJ$769,"&gt;="&amp;AB$47)+SUMIFS(Assignments!$AN$2:$AN$769,Assignments!$A$2:$A$769,$A52,Assignments!$G$2:$G$769,"Active",Assignments!$AL$2:$AL$769,"&lt;="&amp;AB$47,Assignments!$AM$2:$AM$769,"&gt;="&amp;AB$47))</f>
        <v/>
      </c>
    </row>
    <row r="53">
      <c r="A53" s="9">
        <f>IF(Roster!$A7="","",Roster!$A7)</f>
        <v/>
      </c>
      <c r="B53" s="10">
        <f>IF($A53="","",IFERROR(INDEX(Roster!$D$2:$D$40,MATCH($A53,Roster!$A$2:$A$40,0)),""))</f>
        <v/>
      </c>
      <c r="C53" s="11">
        <f>IF($A53="","",SUMIFS(Assignments!$AK$2:$AK$769,Assignments!$A$2:$A$769,$A53,Assignments!$G$2:$G$769,"Active",Assignments!$AI$2:$AI$769,"&lt;="&amp;C$47,Assignments!$AJ$2:$AJ$769,"&gt;="&amp;C$47)+SUMIFS(Assignments!$AN$2:$AN$769,Assignments!$A$2:$A$769,$A53,Assignments!$G$2:$G$769,"Active",Assignments!$AL$2:$AL$769,"&lt;="&amp;C$47,Assignments!$AM$2:$AM$769,"&gt;="&amp;C$47))</f>
        <v/>
      </c>
      <c r="D53" s="11">
        <f>IF($A53="","",SUMIFS(Assignments!$AK$2:$AK$769,Assignments!$A$2:$A$769,$A53,Assignments!$G$2:$G$769,"Active",Assignments!$AI$2:$AI$769,"&lt;="&amp;D$47,Assignments!$AJ$2:$AJ$769,"&gt;="&amp;D$47)+SUMIFS(Assignments!$AN$2:$AN$769,Assignments!$A$2:$A$769,$A53,Assignments!$G$2:$G$769,"Active",Assignments!$AL$2:$AL$769,"&lt;="&amp;D$47,Assignments!$AM$2:$AM$769,"&gt;="&amp;D$47))</f>
        <v/>
      </c>
      <c r="E53" s="11">
        <f>IF($A53="","",SUMIFS(Assignments!$AK$2:$AK$769,Assignments!$A$2:$A$769,$A53,Assignments!$G$2:$G$769,"Active",Assignments!$AI$2:$AI$769,"&lt;="&amp;E$47,Assignments!$AJ$2:$AJ$769,"&gt;="&amp;E$47)+SUMIFS(Assignments!$AN$2:$AN$769,Assignments!$A$2:$A$769,$A53,Assignments!$G$2:$G$769,"Active",Assignments!$AL$2:$AL$769,"&lt;="&amp;E$47,Assignments!$AM$2:$AM$769,"&gt;="&amp;E$47))</f>
        <v/>
      </c>
      <c r="F53" s="11">
        <f>IF($A53="","",SUMIFS(Assignments!$AK$2:$AK$769,Assignments!$A$2:$A$769,$A53,Assignments!$G$2:$G$769,"Active",Assignments!$AI$2:$AI$769,"&lt;="&amp;F$47,Assignments!$AJ$2:$AJ$769,"&gt;="&amp;F$47)+SUMIFS(Assignments!$AN$2:$AN$769,Assignments!$A$2:$A$769,$A53,Assignments!$G$2:$G$769,"Active",Assignments!$AL$2:$AL$769,"&lt;="&amp;F$47,Assignments!$AM$2:$AM$769,"&gt;="&amp;F$47))</f>
        <v/>
      </c>
      <c r="G53" s="11">
        <f>IF($A53="","",SUMIFS(Assignments!$AK$2:$AK$769,Assignments!$A$2:$A$769,$A53,Assignments!$G$2:$G$769,"Active",Assignments!$AI$2:$AI$769,"&lt;="&amp;G$47,Assignments!$AJ$2:$AJ$769,"&gt;="&amp;G$47)+SUMIFS(Assignments!$AN$2:$AN$769,Assignments!$A$2:$A$769,$A53,Assignments!$G$2:$G$769,"Active",Assignments!$AL$2:$AL$769,"&lt;="&amp;G$47,Assignments!$AM$2:$AM$769,"&gt;="&amp;G$47))</f>
        <v/>
      </c>
      <c r="H53" s="11">
        <f>IF($A53="","",SUMIFS(Assignments!$AK$2:$AK$769,Assignments!$A$2:$A$769,$A53,Assignments!$G$2:$G$769,"Active",Assignments!$AI$2:$AI$769,"&lt;="&amp;H$47,Assignments!$AJ$2:$AJ$769,"&gt;="&amp;H$47)+SUMIFS(Assignments!$AN$2:$AN$769,Assignments!$A$2:$A$769,$A53,Assignments!$G$2:$G$769,"Active",Assignments!$AL$2:$AL$769,"&lt;="&amp;H$47,Assignments!$AM$2:$AM$769,"&gt;="&amp;H$47))</f>
        <v/>
      </c>
      <c r="I53" s="11">
        <f>IF($A53="","",SUMIFS(Assignments!$AK$2:$AK$769,Assignments!$A$2:$A$769,$A53,Assignments!$G$2:$G$769,"Active",Assignments!$AI$2:$AI$769,"&lt;="&amp;I$47,Assignments!$AJ$2:$AJ$769,"&gt;="&amp;I$47)+SUMIFS(Assignments!$AN$2:$AN$769,Assignments!$A$2:$A$769,$A53,Assignments!$G$2:$G$769,"Active",Assignments!$AL$2:$AL$769,"&lt;="&amp;I$47,Assignments!$AM$2:$AM$769,"&gt;="&amp;I$47))</f>
        <v/>
      </c>
      <c r="J53" s="11">
        <f>IF($A53="","",SUMIFS(Assignments!$AK$2:$AK$769,Assignments!$A$2:$A$769,$A53,Assignments!$G$2:$G$769,"Active",Assignments!$AI$2:$AI$769,"&lt;="&amp;J$47,Assignments!$AJ$2:$AJ$769,"&gt;="&amp;J$47)+SUMIFS(Assignments!$AN$2:$AN$769,Assignments!$A$2:$A$769,$A53,Assignments!$G$2:$G$769,"Active",Assignments!$AL$2:$AL$769,"&lt;="&amp;J$47,Assignments!$AM$2:$AM$769,"&gt;="&amp;J$47))</f>
        <v/>
      </c>
      <c r="K53" s="11">
        <f>IF($A53="","",SUMIFS(Assignments!$AK$2:$AK$769,Assignments!$A$2:$A$769,$A53,Assignments!$G$2:$G$769,"Active",Assignments!$AI$2:$AI$769,"&lt;="&amp;K$47,Assignments!$AJ$2:$AJ$769,"&gt;="&amp;K$47)+SUMIFS(Assignments!$AN$2:$AN$769,Assignments!$A$2:$A$769,$A53,Assignments!$G$2:$G$769,"Active",Assignments!$AL$2:$AL$769,"&lt;="&amp;K$47,Assignments!$AM$2:$AM$769,"&gt;="&amp;K$47))</f>
        <v/>
      </c>
      <c r="L53" s="11">
        <f>IF($A53="","",SUMIFS(Assignments!$AK$2:$AK$769,Assignments!$A$2:$A$769,$A53,Assignments!$G$2:$G$769,"Active",Assignments!$AI$2:$AI$769,"&lt;="&amp;L$47,Assignments!$AJ$2:$AJ$769,"&gt;="&amp;L$47)+SUMIFS(Assignments!$AN$2:$AN$769,Assignments!$A$2:$A$769,$A53,Assignments!$G$2:$G$769,"Active",Assignments!$AL$2:$AL$769,"&lt;="&amp;L$47,Assignments!$AM$2:$AM$769,"&gt;="&amp;L$47))</f>
        <v/>
      </c>
      <c r="M53" s="11">
        <f>IF($A53="","",SUMIFS(Assignments!$AK$2:$AK$769,Assignments!$A$2:$A$769,$A53,Assignments!$G$2:$G$769,"Active",Assignments!$AI$2:$AI$769,"&lt;="&amp;M$47,Assignments!$AJ$2:$AJ$769,"&gt;="&amp;M$47)+SUMIFS(Assignments!$AN$2:$AN$769,Assignments!$A$2:$A$769,$A53,Assignments!$G$2:$G$769,"Active",Assignments!$AL$2:$AL$769,"&lt;="&amp;M$47,Assignments!$AM$2:$AM$769,"&gt;="&amp;M$47))</f>
        <v/>
      </c>
      <c r="N53" s="11">
        <f>IF($A53="","",SUMIFS(Assignments!$AK$2:$AK$769,Assignments!$A$2:$A$769,$A53,Assignments!$G$2:$G$769,"Active",Assignments!$AI$2:$AI$769,"&lt;="&amp;N$47,Assignments!$AJ$2:$AJ$769,"&gt;="&amp;N$47)+SUMIFS(Assignments!$AN$2:$AN$769,Assignments!$A$2:$A$769,$A53,Assignments!$G$2:$G$769,"Active",Assignments!$AL$2:$AL$769,"&lt;="&amp;N$47,Assignments!$AM$2:$AM$769,"&gt;="&amp;N$47))</f>
        <v/>
      </c>
      <c r="O53" s="11">
        <f>IF($A53="","",SUMIFS(Assignments!$AK$2:$AK$769,Assignments!$A$2:$A$769,$A53,Assignments!$G$2:$G$769,"Active",Assignments!$AI$2:$AI$769,"&lt;="&amp;O$47,Assignments!$AJ$2:$AJ$769,"&gt;="&amp;O$47)+SUMIFS(Assignments!$AN$2:$AN$769,Assignments!$A$2:$A$769,$A53,Assignments!$G$2:$G$769,"Active",Assignments!$AL$2:$AL$769,"&lt;="&amp;O$47,Assignments!$AM$2:$AM$769,"&gt;="&amp;O$47))</f>
        <v/>
      </c>
      <c r="P53" s="11">
        <f>IF($A53="","",SUMIFS(Assignments!$AK$2:$AK$769,Assignments!$A$2:$A$769,$A53,Assignments!$G$2:$G$769,"Active",Assignments!$AI$2:$AI$769,"&lt;="&amp;P$47,Assignments!$AJ$2:$AJ$769,"&gt;="&amp;P$47)+SUMIFS(Assignments!$AN$2:$AN$769,Assignments!$A$2:$A$769,$A53,Assignments!$G$2:$G$769,"Active",Assignments!$AL$2:$AL$769,"&lt;="&amp;P$47,Assignments!$AM$2:$AM$769,"&gt;="&amp;P$47))</f>
        <v/>
      </c>
      <c r="Q53" s="11">
        <f>IF($A53="","",SUMIFS(Assignments!$AK$2:$AK$769,Assignments!$A$2:$A$769,$A53,Assignments!$G$2:$G$769,"Active",Assignments!$AI$2:$AI$769,"&lt;="&amp;Q$47,Assignments!$AJ$2:$AJ$769,"&gt;="&amp;Q$47)+SUMIFS(Assignments!$AN$2:$AN$769,Assignments!$A$2:$A$769,$A53,Assignments!$G$2:$G$769,"Active",Assignments!$AL$2:$AL$769,"&lt;="&amp;Q$47,Assignments!$AM$2:$AM$769,"&gt;="&amp;Q$47))</f>
        <v/>
      </c>
      <c r="R53" s="11">
        <f>IF($A53="","",SUMIFS(Assignments!$AK$2:$AK$769,Assignments!$A$2:$A$769,$A53,Assignments!$G$2:$G$769,"Active",Assignments!$AI$2:$AI$769,"&lt;="&amp;R$47,Assignments!$AJ$2:$AJ$769,"&gt;="&amp;R$47)+SUMIFS(Assignments!$AN$2:$AN$769,Assignments!$A$2:$A$769,$A53,Assignments!$G$2:$G$769,"Active",Assignments!$AL$2:$AL$769,"&lt;="&amp;R$47,Assignments!$AM$2:$AM$769,"&gt;="&amp;R$47))</f>
        <v/>
      </c>
      <c r="S53" s="11">
        <f>IF($A53="","",SUMIFS(Assignments!$AK$2:$AK$769,Assignments!$A$2:$A$769,$A53,Assignments!$G$2:$G$769,"Active",Assignments!$AI$2:$AI$769,"&lt;="&amp;S$47,Assignments!$AJ$2:$AJ$769,"&gt;="&amp;S$47)+SUMIFS(Assignments!$AN$2:$AN$769,Assignments!$A$2:$A$769,$A53,Assignments!$G$2:$G$769,"Active",Assignments!$AL$2:$AL$769,"&lt;="&amp;S$47,Assignments!$AM$2:$AM$769,"&gt;="&amp;S$47))</f>
        <v/>
      </c>
      <c r="T53" s="11">
        <f>IF($A53="","",SUMIFS(Assignments!$AK$2:$AK$769,Assignments!$A$2:$A$769,$A53,Assignments!$G$2:$G$769,"Active",Assignments!$AI$2:$AI$769,"&lt;="&amp;T$47,Assignments!$AJ$2:$AJ$769,"&gt;="&amp;T$47)+SUMIFS(Assignments!$AN$2:$AN$769,Assignments!$A$2:$A$769,$A53,Assignments!$G$2:$G$769,"Active",Assignments!$AL$2:$AL$769,"&lt;="&amp;T$47,Assignments!$AM$2:$AM$769,"&gt;="&amp;T$47))</f>
        <v/>
      </c>
      <c r="U53" s="11">
        <f>IF($A53="","",SUMIFS(Assignments!$AK$2:$AK$769,Assignments!$A$2:$A$769,$A53,Assignments!$G$2:$G$769,"Active",Assignments!$AI$2:$AI$769,"&lt;="&amp;U$47,Assignments!$AJ$2:$AJ$769,"&gt;="&amp;U$47)+SUMIFS(Assignments!$AN$2:$AN$769,Assignments!$A$2:$A$769,$A53,Assignments!$G$2:$G$769,"Active",Assignments!$AL$2:$AL$769,"&lt;="&amp;U$47,Assignments!$AM$2:$AM$769,"&gt;="&amp;U$47))</f>
        <v/>
      </c>
      <c r="V53" s="11">
        <f>IF($A53="","",SUMIFS(Assignments!$AK$2:$AK$769,Assignments!$A$2:$A$769,$A53,Assignments!$G$2:$G$769,"Active",Assignments!$AI$2:$AI$769,"&lt;="&amp;V$47,Assignments!$AJ$2:$AJ$769,"&gt;="&amp;V$47)+SUMIFS(Assignments!$AN$2:$AN$769,Assignments!$A$2:$A$769,$A53,Assignments!$G$2:$G$769,"Active",Assignments!$AL$2:$AL$769,"&lt;="&amp;V$47,Assignments!$AM$2:$AM$769,"&gt;="&amp;V$47))</f>
        <v/>
      </c>
      <c r="W53" s="11">
        <f>IF($A53="","",SUMIFS(Assignments!$AK$2:$AK$769,Assignments!$A$2:$A$769,$A53,Assignments!$G$2:$G$769,"Active",Assignments!$AI$2:$AI$769,"&lt;="&amp;W$47,Assignments!$AJ$2:$AJ$769,"&gt;="&amp;W$47)+SUMIFS(Assignments!$AN$2:$AN$769,Assignments!$A$2:$A$769,$A53,Assignments!$G$2:$G$769,"Active",Assignments!$AL$2:$AL$769,"&lt;="&amp;W$47,Assignments!$AM$2:$AM$769,"&gt;="&amp;W$47))</f>
        <v/>
      </c>
      <c r="X53" s="11">
        <f>IF($A53="","",SUMIFS(Assignments!$AK$2:$AK$769,Assignments!$A$2:$A$769,$A53,Assignments!$G$2:$G$769,"Active",Assignments!$AI$2:$AI$769,"&lt;="&amp;X$47,Assignments!$AJ$2:$AJ$769,"&gt;="&amp;X$47)+SUMIFS(Assignments!$AN$2:$AN$769,Assignments!$A$2:$A$769,$A53,Assignments!$G$2:$G$769,"Active",Assignments!$AL$2:$AL$769,"&lt;="&amp;X$47,Assignments!$AM$2:$AM$769,"&gt;="&amp;X$47))</f>
        <v/>
      </c>
      <c r="Y53" s="11">
        <f>IF($A53="","",SUMIFS(Assignments!$AK$2:$AK$769,Assignments!$A$2:$A$769,$A53,Assignments!$G$2:$G$769,"Active",Assignments!$AI$2:$AI$769,"&lt;="&amp;Y$47,Assignments!$AJ$2:$AJ$769,"&gt;="&amp;Y$47)+SUMIFS(Assignments!$AN$2:$AN$769,Assignments!$A$2:$A$769,$A53,Assignments!$G$2:$G$769,"Active",Assignments!$AL$2:$AL$769,"&lt;="&amp;Y$47,Assignments!$AM$2:$AM$769,"&gt;="&amp;Y$47))</f>
        <v/>
      </c>
      <c r="Z53" s="11">
        <f>IF($A53="","",SUMIFS(Assignments!$AK$2:$AK$769,Assignments!$A$2:$A$769,$A53,Assignments!$G$2:$G$769,"Active",Assignments!$AI$2:$AI$769,"&lt;="&amp;Z$47,Assignments!$AJ$2:$AJ$769,"&gt;="&amp;Z$47)+SUMIFS(Assignments!$AN$2:$AN$769,Assignments!$A$2:$A$769,$A53,Assignments!$G$2:$G$769,"Active",Assignments!$AL$2:$AL$769,"&lt;="&amp;Z$47,Assignments!$AM$2:$AM$769,"&gt;="&amp;Z$47))</f>
        <v/>
      </c>
      <c r="AA53" s="11">
        <f>IF($A53="","",SUMIFS(Assignments!$AK$2:$AK$769,Assignments!$A$2:$A$769,$A53,Assignments!$G$2:$G$769,"Active",Assignments!$AI$2:$AI$769,"&lt;="&amp;AA$47,Assignments!$AJ$2:$AJ$769,"&gt;="&amp;AA$47)+SUMIFS(Assignments!$AN$2:$AN$769,Assignments!$A$2:$A$769,$A53,Assignments!$G$2:$G$769,"Active",Assignments!$AL$2:$AL$769,"&lt;="&amp;AA$47,Assignments!$AM$2:$AM$769,"&gt;="&amp;AA$47))</f>
        <v/>
      </c>
      <c r="AB53" s="11">
        <f>IF($A53="","",SUMIFS(Assignments!$AK$2:$AK$769,Assignments!$A$2:$A$769,$A53,Assignments!$G$2:$G$769,"Active",Assignments!$AI$2:$AI$769,"&lt;="&amp;AB$47,Assignments!$AJ$2:$AJ$769,"&gt;="&amp;AB$47)+SUMIFS(Assignments!$AN$2:$AN$769,Assignments!$A$2:$A$769,$A53,Assignments!$G$2:$G$769,"Active",Assignments!$AL$2:$AL$769,"&lt;="&amp;AB$47,Assignments!$AM$2:$AM$769,"&gt;="&amp;AB$47))</f>
        <v/>
      </c>
    </row>
    <row r="54">
      <c r="A54" s="9">
        <f>IF(Roster!$A8="","",Roster!$A8)</f>
        <v/>
      </c>
      <c r="B54" s="10">
        <f>IF($A54="","",IFERROR(INDEX(Roster!$D$2:$D$40,MATCH($A54,Roster!$A$2:$A$40,0)),""))</f>
        <v/>
      </c>
      <c r="C54" s="11">
        <f>IF($A54="","",SUMIFS(Assignments!$AK$2:$AK$769,Assignments!$A$2:$A$769,$A54,Assignments!$G$2:$G$769,"Active",Assignments!$AI$2:$AI$769,"&lt;="&amp;C$47,Assignments!$AJ$2:$AJ$769,"&gt;="&amp;C$47)+SUMIFS(Assignments!$AN$2:$AN$769,Assignments!$A$2:$A$769,$A54,Assignments!$G$2:$G$769,"Active",Assignments!$AL$2:$AL$769,"&lt;="&amp;C$47,Assignments!$AM$2:$AM$769,"&gt;="&amp;C$47))</f>
        <v/>
      </c>
      <c r="D54" s="11">
        <f>IF($A54="","",SUMIFS(Assignments!$AK$2:$AK$769,Assignments!$A$2:$A$769,$A54,Assignments!$G$2:$G$769,"Active",Assignments!$AI$2:$AI$769,"&lt;="&amp;D$47,Assignments!$AJ$2:$AJ$769,"&gt;="&amp;D$47)+SUMIFS(Assignments!$AN$2:$AN$769,Assignments!$A$2:$A$769,$A54,Assignments!$G$2:$G$769,"Active",Assignments!$AL$2:$AL$769,"&lt;="&amp;D$47,Assignments!$AM$2:$AM$769,"&gt;="&amp;D$47))</f>
        <v/>
      </c>
      <c r="E54" s="11">
        <f>IF($A54="","",SUMIFS(Assignments!$AK$2:$AK$769,Assignments!$A$2:$A$769,$A54,Assignments!$G$2:$G$769,"Active",Assignments!$AI$2:$AI$769,"&lt;="&amp;E$47,Assignments!$AJ$2:$AJ$769,"&gt;="&amp;E$47)+SUMIFS(Assignments!$AN$2:$AN$769,Assignments!$A$2:$A$769,$A54,Assignments!$G$2:$G$769,"Active",Assignments!$AL$2:$AL$769,"&lt;="&amp;E$47,Assignments!$AM$2:$AM$769,"&gt;="&amp;E$47))</f>
        <v/>
      </c>
      <c r="F54" s="11">
        <f>IF($A54="","",SUMIFS(Assignments!$AK$2:$AK$769,Assignments!$A$2:$A$769,$A54,Assignments!$G$2:$G$769,"Active",Assignments!$AI$2:$AI$769,"&lt;="&amp;F$47,Assignments!$AJ$2:$AJ$769,"&gt;="&amp;F$47)+SUMIFS(Assignments!$AN$2:$AN$769,Assignments!$A$2:$A$769,$A54,Assignments!$G$2:$G$769,"Active",Assignments!$AL$2:$AL$769,"&lt;="&amp;F$47,Assignments!$AM$2:$AM$769,"&gt;="&amp;F$47))</f>
        <v/>
      </c>
      <c r="G54" s="11">
        <f>IF($A54="","",SUMIFS(Assignments!$AK$2:$AK$769,Assignments!$A$2:$A$769,$A54,Assignments!$G$2:$G$769,"Active",Assignments!$AI$2:$AI$769,"&lt;="&amp;G$47,Assignments!$AJ$2:$AJ$769,"&gt;="&amp;G$47)+SUMIFS(Assignments!$AN$2:$AN$769,Assignments!$A$2:$A$769,$A54,Assignments!$G$2:$G$769,"Active",Assignments!$AL$2:$AL$769,"&lt;="&amp;G$47,Assignments!$AM$2:$AM$769,"&gt;="&amp;G$47))</f>
        <v/>
      </c>
      <c r="H54" s="11">
        <f>IF($A54="","",SUMIFS(Assignments!$AK$2:$AK$769,Assignments!$A$2:$A$769,$A54,Assignments!$G$2:$G$769,"Active",Assignments!$AI$2:$AI$769,"&lt;="&amp;H$47,Assignments!$AJ$2:$AJ$769,"&gt;="&amp;H$47)+SUMIFS(Assignments!$AN$2:$AN$769,Assignments!$A$2:$A$769,$A54,Assignments!$G$2:$G$769,"Active",Assignments!$AL$2:$AL$769,"&lt;="&amp;H$47,Assignments!$AM$2:$AM$769,"&gt;="&amp;H$47))</f>
        <v/>
      </c>
      <c r="I54" s="11">
        <f>IF($A54="","",SUMIFS(Assignments!$AK$2:$AK$769,Assignments!$A$2:$A$769,$A54,Assignments!$G$2:$G$769,"Active",Assignments!$AI$2:$AI$769,"&lt;="&amp;I$47,Assignments!$AJ$2:$AJ$769,"&gt;="&amp;I$47)+SUMIFS(Assignments!$AN$2:$AN$769,Assignments!$A$2:$A$769,$A54,Assignments!$G$2:$G$769,"Active",Assignments!$AL$2:$AL$769,"&lt;="&amp;I$47,Assignments!$AM$2:$AM$769,"&gt;="&amp;I$47))</f>
        <v/>
      </c>
      <c r="J54" s="11">
        <f>IF($A54="","",SUMIFS(Assignments!$AK$2:$AK$769,Assignments!$A$2:$A$769,$A54,Assignments!$G$2:$G$769,"Active",Assignments!$AI$2:$AI$769,"&lt;="&amp;J$47,Assignments!$AJ$2:$AJ$769,"&gt;="&amp;J$47)+SUMIFS(Assignments!$AN$2:$AN$769,Assignments!$A$2:$A$769,$A54,Assignments!$G$2:$G$769,"Active",Assignments!$AL$2:$AL$769,"&lt;="&amp;J$47,Assignments!$AM$2:$AM$769,"&gt;="&amp;J$47))</f>
        <v/>
      </c>
      <c r="K54" s="11">
        <f>IF($A54="","",SUMIFS(Assignments!$AK$2:$AK$769,Assignments!$A$2:$A$769,$A54,Assignments!$G$2:$G$769,"Active",Assignments!$AI$2:$AI$769,"&lt;="&amp;K$47,Assignments!$AJ$2:$AJ$769,"&gt;="&amp;K$47)+SUMIFS(Assignments!$AN$2:$AN$769,Assignments!$A$2:$A$769,$A54,Assignments!$G$2:$G$769,"Active",Assignments!$AL$2:$AL$769,"&lt;="&amp;K$47,Assignments!$AM$2:$AM$769,"&gt;="&amp;K$47))</f>
        <v/>
      </c>
      <c r="L54" s="11">
        <f>IF($A54="","",SUMIFS(Assignments!$AK$2:$AK$769,Assignments!$A$2:$A$769,$A54,Assignments!$G$2:$G$769,"Active",Assignments!$AI$2:$AI$769,"&lt;="&amp;L$47,Assignments!$AJ$2:$AJ$769,"&gt;="&amp;L$47)+SUMIFS(Assignments!$AN$2:$AN$769,Assignments!$A$2:$A$769,$A54,Assignments!$G$2:$G$769,"Active",Assignments!$AL$2:$AL$769,"&lt;="&amp;L$47,Assignments!$AM$2:$AM$769,"&gt;="&amp;L$47))</f>
        <v/>
      </c>
      <c r="M54" s="11">
        <f>IF($A54="","",SUMIFS(Assignments!$AK$2:$AK$769,Assignments!$A$2:$A$769,$A54,Assignments!$G$2:$G$769,"Active",Assignments!$AI$2:$AI$769,"&lt;="&amp;M$47,Assignments!$AJ$2:$AJ$769,"&gt;="&amp;M$47)+SUMIFS(Assignments!$AN$2:$AN$769,Assignments!$A$2:$A$769,$A54,Assignments!$G$2:$G$769,"Active",Assignments!$AL$2:$AL$769,"&lt;="&amp;M$47,Assignments!$AM$2:$AM$769,"&gt;="&amp;M$47))</f>
        <v/>
      </c>
      <c r="N54" s="11">
        <f>IF($A54="","",SUMIFS(Assignments!$AK$2:$AK$769,Assignments!$A$2:$A$769,$A54,Assignments!$G$2:$G$769,"Active",Assignments!$AI$2:$AI$769,"&lt;="&amp;N$47,Assignments!$AJ$2:$AJ$769,"&gt;="&amp;N$47)+SUMIFS(Assignments!$AN$2:$AN$769,Assignments!$A$2:$A$769,$A54,Assignments!$G$2:$G$769,"Active",Assignments!$AL$2:$AL$769,"&lt;="&amp;N$47,Assignments!$AM$2:$AM$769,"&gt;="&amp;N$47))</f>
        <v/>
      </c>
      <c r="O54" s="11">
        <f>IF($A54="","",SUMIFS(Assignments!$AK$2:$AK$769,Assignments!$A$2:$A$769,$A54,Assignments!$G$2:$G$769,"Active",Assignments!$AI$2:$AI$769,"&lt;="&amp;O$47,Assignments!$AJ$2:$AJ$769,"&gt;="&amp;O$47)+SUMIFS(Assignments!$AN$2:$AN$769,Assignments!$A$2:$A$769,$A54,Assignments!$G$2:$G$769,"Active",Assignments!$AL$2:$AL$769,"&lt;="&amp;O$47,Assignments!$AM$2:$AM$769,"&gt;="&amp;O$47))</f>
        <v/>
      </c>
      <c r="P54" s="11">
        <f>IF($A54="","",SUMIFS(Assignments!$AK$2:$AK$769,Assignments!$A$2:$A$769,$A54,Assignments!$G$2:$G$769,"Active",Assignments!$AI$2:$AI$769,"&lt;="&amp;P$47,Assignments!$AJ$2:$AJ$769,"&gt;="&amp;P$47)+SUMIFS(Assignments!$AN$2:$AN$769,Assignments!$A$2:$A$769,$A54,Assignments!$G$2:$G$769,"Active",Assignments!$AL$2:$AL$769,"&lt;="&amp;P$47,Assignments!$AM$2:$AM$769,"&gt;="&amp;P$47))</f>
        <v/>
      </c>
      <c r="Q54" s="11">
        <f>IF($A54="","",SUMIFS(Assignments!$AK$2:$AK$769,Assignments!$A$2:$A$769,$A54,Assignments!$G$2:$G$769,"Active",Assignments!$AI$2:$AI$769,"&lt;="&amp;Q$47,Assignments!$AJ$2:$AJ$769,"&gt;="&amp;Q$47)+SUMIFS(Assignments!$AN$2:$AN$769,Assignments!$A$2:$A$769,$A54,Assignments!$G$2:$G$769,"Active",Assignments!$AL$2:$AL$769,"&lt;="&amp;Q$47,Assignments!$AM$2:$AM$769,"&gt;="&amp;Q$47))</f>
        <v/>
      </c>
      <c r="R54" s="11">
        <f>IF($A54="","",SUMIFS(Assignments!$AK$2:$AK$769,Assignments!$A$2:$A$769,$A54,Assignments!$G$2:$G$769,"Active",Assignments!$AI$2:$AI$769,"&lt;="&amp;R$47,Assignments!$AJ$2:$AJ$769,"&gt;="&amp;R$47)+SUMIFS(Assignments!$AN$2:$AN$769,Assignments!$A$2:$A$769,$A54,Assignments!$G$2:$G$769,"Active",Assignments!$AL$2:$AL$769,"&lt;="&amp;R$47,Assignments!$AM$2:$AM$769,"&gt;="&amp;R$47))</f>
        <v/>
      </c>
      <c r="S54" s="11">
        <f>IF($A54="","",SUMIFS(Assignments!$AK$2:$AK$769,Assignments!$A$2:$A$769,$A54,Assignments!$G$2:$G$769,"Active",Assignments!$AI$2:$AI$769,"&lt;="&amp;S$47,Assignments!$AJ$2:$AJ$769,"&gt;="&amp;S$47)+SUMIFS(Assignments!$AN$2:$AN$769,Assignments!$A$2:$A$769,$A54,Assignments!$G$2:$G$769,"Active",Assignments!$AL$2:$AL$769,"&lt;="&amp;S$47,Assignments!$AM$2:$AM$769,"&gt;="&amp;S$47))</f>
        <v/>
      </c>
      <c r="T54" s="11">
        <f>IF($A54="","",SUMIFS(Assignments!$AK$2:$AK$769,Assignments!$A$2:$A$769,$A54,Assignments!$G$2:$G$769,"Active",Assignments!$AI$2:$AI$769,"&lt;="&amp;T$47,Assignments!$AJ$2:$AJ$769,"&gt;="&amp;T$47)+SUMIFS(Assignments!$AN$2:$AN$769,Assignments!$A$2:$A$769,$A54,Assignments!$G$2:$G$769,"Active",Assignments!$AL$2:$AL$769,"&lt;="&amp;T$47,Assignments!$AM$2:$AM$769,"&gt;="&amp;T$47))</f>
        <v/>
      </c>
      <c r="U54" s="11">
        <f>IF($A54="","",SUMIFS(Assignments!$AK$2:$AK$769,Assignments!$A$2:$A$769,$A54,Assignments!$G$2:$G$769,"Active",Assignments!$AI$2:$AI$769,"&lt;="&amp;U$47,Assignments!$AJ$2:$AJ$769,"&gt;="&amp;U$47)+SUMIFS(Assignments!$AN$2:$AN$769,Assignments!$A$2:$A$769,$A54,Assignments!$G$2:$G$769,"Active",Assignments!$AL$2:$AL$769,"&lt;="&amp;U$47,Assignments!$AM$2:$AM$769,"&gt;="&amp;U$47))</f>
        <v/>
      </c>
      <c r="V54" s="11">
        <f>IF($A54="","",SUMIFS(Assignments!$AK$2:$AK$769,Assignments!$A$2:$A$769,$A54,Assignments!$G$2:$G$769,"Active",Assignments!$AI$2:$AI$769,"&lt;="&amp;V$47,Assignments!$AJ$2:$AJ$769,"&gt;="&amp;V$47)+SUMIFS(Assignments!$AN$2:$AN$769,Assignments!$A$2:$A$769,$A54,Assignments!$G$2:$G$769,"Active",Assignments!$AL$2:$AL$769,"&lt;="&amp;V$47,Assignments!$AM$2:$AM$769,"&gt;="&amp;V$47))</f>
        <v/>
      </c>
      <c r="W54" s="11">
        <f>IF($A54="","",SUMIFS(Assignments!$AK$2:$AK$769,Assignments!$A$2:$A$769,$A54,Assignments!$G$2:$G$769,"Active",Assignments!$AI$2:$AI$769,"&lt;="&amp;W$47,Assignments!$AJ$2:$AJ$769,"&gt;="&amp;W$47)+SUMIFS(Assignments!$AN$2:$AN$769,Assignments!$A$2:$A$769,$A54,Assignments!$G$2:$G$769,"Active",Assignments!$AL$2:$AL$769,"&lt;="&amp;W$47,Assignments!$AM$2:$AM$769,"&gt;="&amp;W$47))</f>
        <v/>
      </c>
      <c r="X54" s="11">
        <f>IF($A54="","",SUMIFS(Assignments!$AK$2:$AK$769,Assignments!$A$2:$A$769,$A54,Assignments!$G$2:$G$769,"Active",Assignments!$AI$2:$AI$769,"&lt;="&amp;X$47,Assignments!$AJ$2:$AJ$769,"&gt;="&amp;X$47)+SUMIFS(Assignments!$AN$2:$AN$769,Assignments!$A$2:$A$769,$A54,Assignments!$G$2:$G$769,"Active",Assignments!$AL$2:$AL$769,"&lt;="&amp;X$47,Assignments!$AM$2:$AM$769,"&gt;="&amp;X$47))</f>
        <v/>
      </c>
      <c r="Y54" s="11">
        <f>IF($A54="","",SUMIFS(Assignments!$AK$2:$AK$769,Assignments!$A$2:$A$769,$A54,Assignments!$G$2:$G$769,"Active",Assignments!$AI$2:$AI$769,"&lt;="&amp;Y$47,Assignments!$AJ$2:$AJ$769,"&gt;="&amp;Y$47)+SUMIFS(Assignments!$AN$2:$AN$769,Assignments!$A$2:$A$769,$A54,Assignments!$G$2:$G$769,"Active",Assignments!$AL$2:$AL$769,"&lt;="&amp;Y$47,Assignments!$AM$2:$AM$769,"&gt;="&amp;Y$47))</f>
        <v/>
      </c>
      <c r="Z54" s="11">
        <f>IF($A54="","",SUMIFS(Assignments!$AK$2:$AK$769,Assignments!$A$2:$A$769,$A54,Assignments!$G$2:$G$769,"Active",Assignments!$AI$2:$AI$769,"&lt;="&amp;Z$47,Assignments!$AJ$2:$AJ$769,"&gt;="&amp;Z$47)+SUMIFS(Assignments!$AN$2:$AN$769,Assignments!$A$2:$A$769,$A54,Assignments!$G$2:$G$769,"Active",Assignments!$AL$2:$AL$769,"&lt;="&amp;Z$47,Assignments!$AM$2:$AM$769,"&gt;="&amp;Z$47))</f>
        <v/>
      </c>
      <c r="AA54" s="11">
        <f>IF($A54="","",SUMIFS(Assignments!$AK$2:$AK$769,Assignments!$A$2:$A$769,$A54,Assignments!$G$2:$G$769,"Active",Assignments!$AI$2:$AI$769,"&lt;="&amp;AA$47,Assignments!$AJ$2:$AJ$769,"&gt;="&amp;AA$47)+SUMIFS(Assignments!$AN$2:$AN$769,Assignments!$A$2:$A$769,$A54,Assignments!$G$2:$G$769,"Active",Assignments!$AL$2:$AL$769,"&lt;="&amp;AA$47,Assignments!$AM$2:$AM$769,"&gt;="&amp;AA$47))</f>
        <v/>
      </c>
      <c r="AB54" s="11">
        <f>IF($A54="","",SUMIFS(Assignments!$AK$2:$AK$769,Assignments!$A$2:$A$769,$A54,Assignments!$G$2:$G$769,"Active",Assignments!$AI$2:$AI$769,"&lt;="&amp;AB$47,Assignments!$AJ$2:$AJ$769,"&gt;="&amp;AB$47)+SUMIFS(Assignments!$AN$2:$AN$769,Assignments!$A$2:$A$769,$A54,Assignments!$G$2:$G$769,"Active",Assignments!$AL$2:$AL$769,"&lt;="&amp;AB$47,Assignments!$AM$2:$AM$769,"&gt;="&amp;AB$47))</f>
        <v/>
      </c>
    </row>
    <row r="55">
      <c r="A55" s="9">
        <f>IF(Roster!$A9="","",Roster!$A9)</f>
        <v/>
      </c>
      <c r="B55" s="10">
        <f>IF($A55="","",IFERROR(INDEX(Roster!$D$2:$D$40,MATCH($A55,Roster!$A$2:$A$40,0)),""))</f>
        <v/>
      </c>
      <c r="C55" s="11">
        <f>IF($A55="","",SUMIFS(Assignments!$AK$2:$AK$769,Assignments!$A$2:$A$769,$A55,Assignments!$G$2:$G$769,"Active",Assignments!$AI$2:$AI$769,"&lt;="&amp;C$47,Assignments!$AJ$2:$AJ$769,"&gt;="&amp;C$47)+SUMIFS(Assignments!$AN$2:$AN$769,Assignments!$A$2:$A$769,$A55,Assignments!$G$2:$G$769,"Active",Assignments!$AL$2:$AL$769,"&lt;="&amp;C$47,Assignments!$AM$2:$AM$769,"&gt;="&amp;C$47))</f>
        <v/>
      </c>
      <c r="D55" s="11">
        <f>IF($A55="","",SUMIFS(Assignments!$AK$2:$AK$769,Assignments!$A$2:$A$769,$A55,Assignments!$G$2:$G$769,"Active",Assignments!$AI$2:$AI$769,"&lt;="&amp;D$47,Assignments!$AJ$2:$AJ$769,"&gt;="&amp;D$47)+SUMIFS(Assignments!$AN$2:$AN$769,Assignments!$A$2:$A$769,$A55,Assignments!$G$2:$G$769,"Active",Assignments!$AL$2:$AL$769,"&lt;="&amp;D$47,Assignments!$AM$2:$AM$769,"&gt;="&amp;D$47))</f>
        <v/>
      </c>
      <c r="E55" s="11">
        <f>IF($A55="","",SUMIFS(Assignments!$AK$2:$AK$769,Assignments!$A$2:$A$769,$A55,Assignments!$G$2:$G$769,"Active",Assignments!$AI$2:$AI$769,"&lt;="&amp;E$47,Assignments!$AJ$2:$AJ$769,"&gt;="&amp;E$47)+SUMIFS(Assignments!$AN$2:$AN$769,Assignments!$A$2:$A$769,$A55,Assignments!$G$2:$G$769,"Active",Assignments!$AL$2:$AL$769,"&lt;="&amp;E$47,Assignments!$AM$2:$AM$769,"&gt;="&amp;E$47))</f>
        <v/>
      </c>
      <c r="F55" s="11">
        <f>IF($A55="","",SUMIFS(Assignments!$AK$2:$AK$769,Assignments!$A$2:$A$769,$A55,Assignments!$G$2:$G$769,"Active",Assignments!$AI$2:$AI$769,"&lt;="&amp;F$47,Assignments!$AJ$2:$AJ$769,"&gt;="&amp;F$47)+SUMIFS(Assignments!$AN$2:$AN$769,Assignments!$A$2:$A$769,$A55,Assignments!$G$2:$G$769,"Active",Assignments!$AL$2:$AL$769,"&lt;="&amp;F$47,Assignments!$AM$2:$AM$769,"&gt;="&amp;F$47))</f>
        <v/>
      </c>
      <c r="G55" s="11">
        <f>IF($A55="","",SUMIFS(Assignments!$AK$2:$AK$769,Assignments!$A$2:$A$769,$A55,Assignments!$G$2:$G$769,"Active",Assignments!$AI$2:$AI$769,"&lt;="&amp;G$47,Assignments!$AJ$2:$AJ$769,"&gt;="&amp;G$47)+SUMIFS(Assignments!$AN$2:$AN$769,Assignments!$A$2:$A$769,$A55,Assignments!$G$2:$G$769,"Active",Assignments!$AL$2:$AL$769,"&lt;="&amp;G$47,Assignments!$AM$2:$AM$769,"&gt;="&amp;G$47))</f>
        <v/>
      </c>
      <c r="H55" s="11">
        <f>IF($A55="","",SUMIFS(Assignments!$AK$2:$AK$769,Assignments!$A$2:$A$769,$A55,Assignments!$G$2:$G$769,"Active",Assignments!$AI$2:$AI$769,"&lt;="&amp;H$47,Assignments!$AJ$2:$AJ$769,"&gt;="&amp;H$47)+SUMIFS(Assignments!$AN$2:$AN$769,Assignments!$A$2:$A$769,$A55,Assignments!$G$2:$G$769,"Active",Assignments!$AL$2:$AL$769,"&lt;="&amp;H$47,Assignments!$AM$2:$AM$769,"&gt;="&amp;H$47))</f>
        <v/>
      </c>
      <c r="I55" s="11">
        <f>IF($A55="","",SUMIFS(Assignments!$AK$2:$AK$769,Assignments!$A$2:$A$769,$A55,Assignments!$G$2:$G$769,"Active",Assignments!$AI$2:$AI$769,"&lt;="&amp;I$47,Assignments!$AJ$2:$AJ$769,"&gt;="&amp;I$47)+SUMIFS(Assignments!$AN$2:$AN$769,Assignments!$A$2:$A$769,$A55,Assignments!$G$2:$G$769,"Active",Assignments!$AL$2:$AL$769,"&lt;="&amp;I$47,Assignments!$AM$2:$AM$769,"&gt;="&amp;I$47))</f>
        <v/>
      </c>
      <c r="J55" s="11">
        <f>IF($A55="","",SUMIFS(Assignments!$AK$2:$AK$769,Assignments!$A$2:$A$769,$A55,Assignments!$G$2:$G$769,"Active",Assignments!$AI$2:$AI$769,"&lt;="&amp;J$47,Assignments!$AJ$2:$AJ$769,"&gt;="&amp;J$47)+SUMIFS(Assignments!$AN$2:$AN$769,Assignments!$A$2:$A$769,$A55,Assignments!$G$2:$G$769,"Active",Assignments!$AL$2:$AL$769,"&lt;="&amp;J$47,Assignments!$AM$2:$AM$769,"&gt;="&amp;J$47))</f>
        <v/>
      </c>
      <c r="K55" s="11">
        <f>IF($A55="","",SUMIFS(Assignments!$AK$2:$AK$769,Assignments!$A$2:$A$769,$A55,Assignments!$G$2:$G$769,"Active",Assignments!$AI$2:$AI$769,"&lt;="&amp;K$47,Assignments!$AJ$2:$AJ$769,"&gt;="&amp;K$47)+SUMIFS(Assignments!$AN$2:$AN$769,Assignments!$A$2:$A$769,$A55,Assignments!$G$2:$G$769,"Active",Assignments!$AL$2:$AL$769,"&lt;="&amp;K$47,Assignments!$AM$2:$AM$769,"&gt;="&amp;K$47))</f>
        <v/>
      </c>
      <c r="L55" s="11">
        <f>IF($A55="","",SUMIFS(Assignments!$AK$2:$AK$769,Assignments!$A$2:$A$769,$A55,Assignments!$G$2:$G$769,"Active",Assignments!$AI$2:$AI$769,"&lt;="&amp;L$47,Assignments!$AJ$2:$AJ$769,"&gt;="&amp;L$47)+SUMIFS(Assignments!$AN$2:$AN$769,Assignments!$A$2:$A$769,$A55,Assignments!$G$2:$G$769,"Active",Assignments!$AL$2:$AL$769,"&lt;="&amp;L$47,Assignments!$AM$2:$AM$769,"&gt;="&amp;L$47))</f>
        <v/>
      </c>
      <c r="M55" s="11">
        <f>IF($A55="","",SUMIFS(Assignments!$AK$2:$AK$769,Assignments!$A$2:$A$769,$A55,Assignments!$G$2:$G$769,"Active",Assignments!$AI$2:$AI$769,"&lt;="&amp;M$47,Assignments!$AJ$2:$AJ$769,"&gt;="&amp;M$47)+SUMIFS(Assignments!$AN$2:$AN$769,Assignments!$A$2:$A$769,$A55,Assignments!$G$2:$G$769,"Active",Assignments!$AL$2:$AL$769,"&lt;="&amp;M$47,Assignments!$AM$2:$AM$769,"&gt;="&amp;M$47))</f>
        <v/>
      </c>
      <c r="N55" s="11">
        <f>IF($A55="","",SUMIFS(Assignments!$AK$2:$AK$769,Assignments!$A$2:$A$769,$A55,Assignments!$G$2:$G$769,"Active",Assignments!$AI$2:$AI$769,"&lt;="&amp;N$47,Assignments!$AJ$2:$AJ$769,"&gt;="&amp;N$47)+SUMIFS(Assignments!$AN$2:$AN$769,Assignments!$A$2:$A$769,$A55,Assignments!$G$2:$G$769,"Active",Assignments!$AL$2:$AL$769,"&lt;="&amp;N$47,Assignments!$AM$2:$AM$769,"&gt;="&amp;N$47))</f>
        <v/>
      </c>
      <c r="O55" s="11">
        <f>IF($A55="","",SUMIFS(Assignments!$AK$2:$AK$769,Assignments!$A$2:$A$769,$A55,Assignments!$G$2:$G$769,"Active",Assignments!$AI$2:$AI$769,"&lt;="&amp;O$47,Assignments!$AJ$2:$AJ$769,"&gt;="&amp;O$47)+SUMIFS(Assignments!$AN$2:$AN$769,Assignments!$A$2:$A$769,$A55,Assignments!$G$2:$G$769,"Active",Assignments!$AL$2:$AL$769,"&lt;="&amp;O$47,Assignments!$AM$2:$AM$769,"&gt;="&amp;O$47))</f>
        <v/>
      </c>
      <c r="P55" s="11">
        <f>IF($A55="","",SUMIFS(Assignments!$AK$2:$AK$769,Assignments!$A$2:$A$769,$A55,Assignments!$G$2:$G$769,"Active",Assignments!$AI$2:$AI$769,"&lt;="&amp;P$47,Assignments!$AJ$2:$AJ$769,"&gt;="&amp;P$47)+SUMIFS(Assignments!$AN$2:$AN$769,Assignments!$A$2:$A$769,$A55,Assignments!$G$2:$G$769,"Active",Assignments!$AL$2:$AL$769,"&lt;="&amp;P$47,Assignments!$AM$2:$AM$769,"&gt;="&amp;P$47))</f>
        <v/>
      </c>
      <c r="Q55" s="11">
        <f>IF($A55="","",SUMIFS(Assignments!$AK$2:$AK$769,Assignments!$A$2:$A$769,$A55,Assignments!$G$2:$G$769,"Active",Assignments!$AI$2:$AI$769,"&lt;="&amp;Q$47,Assignments!$AJ$2:$AJ$769,"&gt;="&amp;Q$47)+SUMIFS(Assignments!$AN$2:$AN$769,Assignments!$A$2:$A$769,$A55,Assignments!$G$2:$G$769,"Active",Assignments!$AL$2:$AL$769,"&lt;="&amp;Q$47,Assignments!$AM$2:$AM$769,"&gt;="&amp;Q$47))</f>
        <v/>
      </c>
      <c r="R55" s="11">
        <f>IF($A55="","",SUMIFS(Assignments!$AK$2:$AK$769,Assignments!$A$2:$A$769,$A55,Assignments!$G$2:$G$769,"Active",Assignments!$AI$2:$AI$769,"&lt;="&amp;R$47,Assignments!$AJ$2:$AJ$769,"&gt;="&amp;R$47)+SUMIFS(Assignments!$AN$2:$AN$769,Assignments!$A$2:$A$769,$A55,Assignments!$G$2:$G$769,"Active",Assignments!$AL$2:$AL$769,"&lt;="&amp;R$47,Assignments!$AM$2:$AM$769,"&gt;="&amp;R$47))</f>
        <v/>
      </c>
      <c r="S55" s="11">
        <f>IF($A55="","",SUMIFS(Assignments!$AK$2:$AK$769,Assignments!$A$2:$A$769,$A55,Assignments!$G$2:$G$769,"Active",Assignments!$AI$2:$AI$769,"&lt;="&amp;S$47,Assignments!$AJ$2:$AJ$769,"&gt;="&amp;S$47)+SUMIFS(Assignments!$AN$2:$AN$769,Assignments!$A$2:$A$769,$A55,Assignments!$G$2:$G$769,"Active",Assignments!$AL$2:$AL$769,"&lt;="&amp;S$47,Assignments!$AM$2:$AM$769,"&gt;="&amp;S$47))</f>
        <v/>
      </c>
      <c r="T55" s="11">
        <f>IF($A55="","",SUMIFS(Assignments!$AK$2:$AK$769,Assignments!$A$2:$A$769,$A55,Assignments!$G$2:$G$769,"Active",Assignments!$AI$2:$AI$769,"&lt;="&amp;T$47,Assignments!$AJ$2:$AJ$769,"&gt;="&amp;T$47)+SUMIFS(Assignments!$AN$2:$AN$769,Assignments!$A$2:$A$769,$A55,Assignments!$G$2:$G$769,"Active",Assignments!$AL$2:$AL$769,"&lt;="&amp;T$47,Assignments!$AM$2:$AM$769,"&gt;="&amp;T$47))</f>
        <v/>
      </c>
      <c r="U55" s="11">
        <f>IF($A55="","",SUMIFS(Assignments!$AK$2:$AK$769,Assignments!$A$2:$A$769,$A55,Assignments!$G$2:$G$769,"Active",Assignments!$AI$2:$AI$769,"&lt;="&amp;U$47,Assignments!$AJ$2:$AJ$769,"&gt;="&amp;U$47)+SUMIFS(Assignments!$AN$2:$AN$769,Assignments!$A$2:$A$769,$A55,Assignments!$G$2:$G$769,"Active",Assignments!$AL$2:$AL$769,"&lt;="&amp;U$47,Assignments!$AM$2:$AM$769,"&gt;="&amp;U$47))</f>
        <v/>
      </c>
      <c r="V55" s="11">
        <f>IF($A55="","",SUMIFS(Assignments!$AK$2:$AK$769,Assignments!$A$2:$A$769,$A55,Assignments!$G$2:$G$769,"Active",Assignments!$AI$2:$AI$769,"&lt;="&amp;V$47,Assignments!$AJ$2:$AJ$769,"&gt;="&amp;V$47)+SUMIFS(Assignments!$AN$2:$AN$769,Assignments!$A$2:$A$769,$A55,Assignments!$G$2:$G$769,"Active",Assignments!$AL$2:$AL$769,"&lt;="&amp;V$47,Assignments!$AM$2:$AM$769,"&gt;="&amp;V$47))</f>
        <v/>
      </c>
      <c r="W55" s="11">
        <f>IF($A55="","",SUMIFS(Assignments!$AK$2:$AK$769,Assignments!$A$2:$A$769,$A55,Assignments!$G$2:$G$769,"Active",Assignments!$AI$2:$AI$769,"&lt;="&amp;W$47,Assignments!$AJ$2:$AJ$769,"&gt;="&amp;W$47)+SUMIFS(Assignments!$AN$2:$AN$769,Assignments!$A$2:$A$769,$A55,Assignments!$G$2:$G$769,"Active",Assignments!$AL$2:$AL$769,"&lt;="&amp;W$47,Assignments!$AM$2:$AM$769,"&gt;="&amp;W$47))</f>
        <v/>
      </c>
      <c r="X55" s="11">
        <f>IF($A55="","",SUMIFS(Assignments!$AK$2:$AK$769,Assignments!$A$2:$A$769,$A55,Assignments!$G$2:$G$769,"Active",Assignments!$AI$2:$AI$769,"&lt;="&amp;X$47,Assignments!$AJ$2:$AJ$769,"&gt;="&amp;X$47)+SUMIFS(Assignments!$AN$2:$AN$769,Assignments!$A$2:$A$769,$A55,Assignments!$G$2:$G$769,"Active",Assignments!$AL$2:$AL$769,"&lt;="&amp;X$47,Assignments!$AM$2:$AM$769,"&gt;="&amp;X$47))</f>
        <v/>
      </c>
      <c r="Y55" s="11">
        <f>IF($A55="","",SUMIFS(Assignments!$AK$2:$AK$769,Assignments!$A$2:$A$769,$A55,Assignments!$G$2:$G$769,"Active",Assignments!$AI$2:$AI$769,"&lt;="&amp;Y$47,Assignments!$AJ$2:$AJ$769,"&gt;="&amp;Y$47)+SUMIFS(Assignments!$AN$2:$AN$769,Assignments!$A$2:$A$769,$A55,Assignments!$G$2:$G$769,"Active",Assignments!$AL$2:$AL$769,"&lt;="&amp;Y$47,Assignments!$AM$2:$AM$769,"&gt;="&amp;Y$47))</f>
        <v/>
      </c>
      <c r="Z55" s="11">
        <f>IF($A55="","",SUMIFS(Assignments!$AK$2:$AK$769,Assignments!$A$2:$A$769,$A55,Assignments!$G$2:$G$769,"Active",Assignments!$AI$2:$AI$769,"&lt;="&amp;Z$47,Assignments!$AJ$2:$AJ$769,"&gt;="&amp;Z$47)+SUMIFS(Assignments!$AN$2:$AN$769,Assignments!$A$2:$A$769,$A55,Assignments!$G$2:$G$769,"Active",Assignments!$AL$2:$AL$769,"&lt;="&amp;Z$47,Assignments!$AM$2:$AM$769,"&gt;="&amp;Z$47))</f>
        <v/>
      </c>
      <c r="AA55" s="11">
        <f>IF($A55="","",SUMIFS(Assignments!$AK$2:$AK$769,Assignments!$A$2:$A$769,$A55,Assignments!$G$2:$G$769,"Active",Assignments!$AI$2:$AI$769,"&lt;="&amp;AA$47,Assignments!$AJ$2:$AJ$769,"&gt;="&amp;AA$47)+SUMIFS(Assignments!$AN$2:$AN$769,Assignments!$A$2:$A$769,$A55,Assignments!$G$2:$G$769,"Active",Assignments!$AL$2:$AL$769,"&lt;="&amp;AA$47,Assignments!$AM$2:$AM$769,"&gt;="&amp;AA$47))</f>
        <v/>
      </c>
      <c r="AB55" s="11">
        <f>IF($A55="","",SUMIFS(Assignments!$AK$2:$AK$769,Assignments!$A$2:$A$769,$A55,Assignments!$G$2:$G$769,"Active",Assignments!$AI$2:$AI$769,"&lt;="&amp;AB$47,Assignments!$AJ$2:$AJ$769,"&gt;="&amp;AB$47)+SUMIFS(Assignments!$AN$2:$AN$769,Assignments!$A$2:$A$769,$A55,Assignments!$G$2:$G$769,"Active",Assignments!$AL$2:$AL$769,"&lt;="&amp;AB$47,Assignments!$AM$2:$AM$769,"&gt;="&amp;AB$47))</f>
        <v/>
      </c>
    </row>
    <row r="56">
      <c r="A56" s="9">
        <f>IF(Roster!$A10="","",Roster!$A10)</f>
        <v/>
      </c>
      <c r="B56" s="10">
        <f>IF($A56="","",IFERROR(INDEX(Roster!$D$2:$D$40,MATCH($A56,Roster!$A$2:$A$40,0)),""))</f>
        <v/>
      </c>
      <c r="C56" s="11">
        <f>IF($A56="","",SUMIFS(Assignments!$AK$2:$AK$769,Assignments!$A$2:$A$769,$A56,Assignments!$G$2:$G$769,"Active",Assignments!$AI$2:$AI$769,"&lt;="&amp;C$47,Assignments!$AJ$2:$AJ$769,"&gt;="&amp;C$47)+SUMIFS(Assignments!$AN$2:$AN$769,Assignments!$A$2:$A$769,$A56,Assignments!$G$2:$G$769,"Active",Assignments!$AL$2:$AL$769,"&lt;="&amp;C$47,Assignments!$AM$2:$AM$769,"&gt;="&amp;C$47))</f>
        <v/>
      </c>
      <c r="D56" s="11">
        <f>IF($A56="","",SUMIFS(Assignments!$AK$2:$AK$769,Assignments!$A$2:$A$769,$A56,Assignments!$G$2:$G$769,"Active",Assignments!$AI$2:$AI$769,"&lt;="&amp;D$47,Assignments!$AJ$2:$AJ$769,"&gt;="&amp;D$47)+SUMIFS(Assignments!$AN$2:$AN$769,Assignments!$A$2:$A$769,$A56,Assignments!$G$2:$G$769,"Active",Assignments!$AL$2:$AL$769,"&lt;="&amp;D$47,Assignments!$AM$2:$AM$769,"&gt;="&amp;D$47))</f>
        <v/>
      </c>
      <c r="E56" s="11">
        <f>IF($A56="","",SUMIFS(Assignments!$AK$2:$AK$769,Assignments!$A$2:$A$769,$A56,Assignments!$G$2:$G$769,"Active",Assignments!$AI$2:$AI$769,"&lt;="&amp;E$47,Assignments!$AJ$2:$AJ$769,"&gt;="&amp;E$47)+SUMIFS(Assignments!$AN$2:$AN$769,Assignments!$A$2:$A$769,$A56,Assignments!$G$2:$G$769,"Active",Assignments!$AL$2:$AL$769,"&lt;="&amp;E$47,Assignments!$AM$2:$AM$769,"&gt;="&amp;E$47))</f>
        <v/>
      </c>
      <c r="F56" s="11">
        <f>IF($A56="","",SUMIFS(Assignments!$AK$2:$AK$769,Assignments!$A$2:$A$769,$A56,Assignments!$G$2:$G$769,"Active",Assignments!$AI$2:$AI$769,"&lt;="&amp;F$47,Assignments!$AJ$2:$AJ$769,"&gt;="&amp;F$47)+SUMIFS(Assignments!$AN$2:$AN$769,Assignments!$A$2:$A$769,$A56,Assignments!$G$2:$G$769,"Active",Assignments!$AL$2:$AL$769,"&lt;="&amp;F$47,Assignments!$AM$2:$AM$769,"&gt;="&amp;F$47))</f>
        <v/>
      </c>
      <c r="G56" s="11">
        <f>IF($A56="","",SUMIFS(Assignments!$AK$2:$AK$769,Assignments!$A$2:$A$769,$A56,Assignments!$G$2:$G$769,"Active",Assignments!$AI$2:$AI$769,"&lt;="&amp;G$47,Assignments!$AJ$2:$AJ$769,"&gt;="&amp;G$47)+SUMIFS(Assignments!$AN$2:$AN$769,Assignments!$A$2:$A$769,$A56,Assignments!$G$2:$G$769,"Active",Assignments!$AL$2:$AL$769,"&lt;="&amp;G$47,Assignments!$AM$2:$AM$769,"&gt;="&amp;G$47))</f>
        <v/>
      </c>
      <c r="H56" s="11">
        <f>IF($A56="","",SUMIFS(Assignments!$AK$2:$AK$769,Assignments!$A$2:$A$769,$A56,Assignments!$G$2:$G$769,"Active",Assignments!$AI$2:$AI$769,"&lt;="&amp;H$47,Assignments!$AJ$2:$AJ$769,"&gt;="&amp;H$47)+SUMIFS(Assignments!$AN$2:$AN$769,Assignments!$A$2:$A$769,$A56,Assignments!$G$2:$G$769,"Active",Assignments!$AL$2:$AL$769,"&lt;="&amp;H$47,Assignments!$AM$2:$AM$769,"&gt;="&amp;H$47))</f>
        <v/>
      </c>
      <c r="I56" s="11">
        <f>IF($A56="","",SUMIFS(Assignments!$AK$2:$AK$769,Assignments!$A$2:$A$769,$A56,Assignments!$G$2:$G$769,"Active",Assignments!$AI$2:$AI$769,"&lt;="&amp;I$47,Assignments!$AJ$2:$AJ$769,"&gt;="&amp;I$47)+SUMIFS(Assignments!$AN$2:$AN$769,Assignments!$A$2:$A$769,$A56,Assignments!$G$2:$G$769,"Active",Assignments!$AL$2:$AL$769,"&lt;="&amp;I$47,Assignments!$AM$2:$AM$769,"&gt;="&amp;I$47))</f>
        <v/>
      </c>
      <c r="J56" s="11">
        <f>IF($A56="","",SUMIFS(Assignments!$AK$2:$AK$769,Assignments!$A$2:$A$769,$A56,Assignments!$G$2:$G$769,"Active",Assignments!$AI$2:$AI$769,"&lt;="&amp;J$47,Assignments!$AJ$2:$AJ$769,"&gt;="&amp;J$47)+SUMIFS(Assignments!$AN$2:$AN$769,Assignments!$A$2:$A$769,$A56,Assignments!$G$2:$G$769,"Active",Assignments!$AL$2:$AL$769,"&lt;="&amp;J$47,Assignments!$AM$2:$AM$769,"&gt;="&amp;J$47))</f>
        <v/>
      </c>
      <c r="K56" s="11">
        <f>IF($A56="","",SUMIFS(Assignments!$AK$2:$AK$769,Assignments!$A$2:$A$769,$A56,Assignments!$G$2:$G$769,"Active",Assignments!$AI$2:$AI$769,"&lt;="&amp;K$47,Assignments!$AJ$2:$AJ$769,"&gt;="&amp;K$47)+SUMIFS(Assignments!$AN$2:$AN$769,Assignments!$A$2:$A$769,$A56,Assignments!$G$2:$G$769,"Active",Assignments!$AL$2:$AL$769,"&lt;="&amp;K$47,Assignments!$AM$2:$AM$769,"&gt;="&amp;K$47))</f>
        <v/>
      </c>
      <c r="L56" s="11">
        <f>IF($A56="","",SUMIFS(Assignments!$AK$2:$AK$769,Assignments!$A$2:$A$769,$A56,Assignments!$G$2:$G$769,"Active",Assignments!$AI$2:$AI$769,"&lt;="&amp;L$47,Assignments!$AJ$2:$AJ$769,"&gt;="&amp;L$47)+SUMIFS(Assignments!$AN$2:$AN$769,Assignments!$A$2:$A$769,$A56,Assignments!$G$2:$G$769,"Active",Assignments!$AL$2:$AL$769,"&lt;="&amp;L$47,Assignments!$AM$2:$AM$769,"&gt;="&amp;L$47))</f>
        <v/>
      </c>
      <c r="M56" s="11">
        <f>IF($A56="","",SUMIFS(Assignments!$AK$2:$AK$769,Assignments!$A$2:$A$769,$A56,Assignments!$G$2:$G$769,"Active",Assignments!$AI$2:$AI$769,"&lt;="&amp;M$47,Assignments!$AJ$2:$AJ$769,"&gt;="&amp;M$47)+SUMIFS(Assignments!$AN$2:$AN$769,Assignments!$A$2:$A$769,$A56,Assignments!$G$2:$G$769,"Active",Assignments!$AL$2:$AL$769,"&lt;="&amp;M$47,Assignments!$AM$2:$AM$769,"&gt;="&amp;M$47))</f>
        <v/>
      </c>
      <c r="N56" s="11">
        <f>IF($A56="","",SUMIFS(Assignments!$AK$2:$AK$769,Assignments!$A$2:$A$769,$A56,Assignments!$G$2:$G$769,"Active",Assignments!$AI$2:$AI$769,"&lt;="&amp;N$47,Assignments!$AJ$2:$AJ$769,"&gt;="&amp;N$47)+SUMIFS(Assignments!$AN$2:$AN$769,Assignments!$A$2:$A$769,$A56,Assignments!$G$2:$G$769,"Active",Assignments!$AL$2:$AL$769,"&lt;="&amp;N$47,Assignments!$AM$2:$AM$769,"&gt;="&amp;N$47))</f>
        <v/>
      </c>
      <c r="O56" s="11">
        <f>IF($A56="","",SUMIFS(Assignments!$AK$2:$AK$769,Assignments!$A$2:$A$769,$A56,Assignments!$G$2:$G$769,"Active",Assignments!$AI$2:$AI$769,"&lt;="&amp;O$47,Assignments!$AJ$2:$AJ$769,"&gt;="&amp;O$47)+SUMIFS(Assignments!$AN$2:$AN$769,Assignments!$A$2:$A$769,$A56,Assignments!$G$2:$G$769,"Active",Assignments!$AL$2:$AL$769,"&lt;="&amp;O$47,Assignments!$AM$2:$AM$769,"&gt;="&amp;O$47))</f>
        <v/>
      </c>
      <c r="P56" s="11">
        <f>IF($A56="","",SUMIFS(Assignments!$AK$2:$AK$769,Assignments!$A$2:$A$769,$A56,Assignments!$G$2:$G$769,"Active",Assignments!$AI$2:$AI$769,"&lt;="&amp;P$47,Assignments!$AJ$2:$AJ$769,"&gt;="&amp;P$47)+SUMIFS(Assignments!$AN$2:$AN$769,Assignments!$A$2:$A$769,$A56,Assignments!$G$2:$G$769,"Active",Assignments!$AL$2:$AL$769,"&lt;="&amp;P$47,Assignments!$AM$2:$AM$769,"&gt;="&amp;P$47))</f>
        <v/>
      </c>
      <c r="Q56" s="11">
        <f>IF($A56="","",SUMIFS(Assignments!$AK$2:$AK$769,Assignments!$A$2:$A$769,$A56,Assignments!$G$2:$G$769,"Active",Assignments!$AI$2:$AI$769,"&lt;="&amp;Q$47,Assignments!$AJ$2:$AJ$769,"&gt;="&amp;Q$47)+SUMIFS(Assignments!$AN$2:$AN$769,Assignments!$A$2:$A$769,$A56,Assignments!$G$2:$G$769,"Active",Assignments!$AL$2:$AL$769,"&lt;="&amp;Q$47,Assignments!$AM$2:$AM$769,"&gt;="&amp;Q$47))</f>
        <v/>
      </c>
      <c r="R56" s="11">
        <f>IF($A56="","",SUMIFS(Assignments!$AK$2:$AK$769,Assignments!$A$2:$A$769,$A56,Assignments!$G$2:$G$769,"Active",Assignments!$AI$2:$AI$769,"&lt;="&amp;R$47,Assignments!$AJ$2:$AJ$769,"&gt;="&amp;R$47)+SUMIFS(Assignments!$AN$2:$AN$769,Assignments!$A$2:$A$769,$A56,Assignments!$G$2:$G$769,"Active",Assignments!$AL$2:$AL$769,"&lt;="&amp;R$47,Assignments!$AM$2:$AM$769,"&gt;="&amp;R$47))</f>
        <v/>
      </c>
      <c r="S56" s="11">
        <f>IF($A56="","",SUMIFS(Assignments!$AK$2:$AK$769,Assignments!$A$2:$A$769,$A56,Assignments!$G$2:$G$769,"Active",Assignments!$AI$2:$AI$769,"&lt;="&amp;S$47,Assignments!$AJ$2:$AJ$769,"&gt;="&amp;S$47)+SUMIFS(Assignments!$AN$2:$AN$769,Assignments!$A$2:$A$769,$A56,Assignments!$G$2:$G$769,"Active",Assignments!$AL$2:$AL$769,"&lt;="&amp;S$47,Assignments!$AM$2:$AM$769,"&gt;="&amp;S$47))</f>
        <v/>
      </c>
      <c r="T56" s="11">
        <f>IF($A56="","",SUMIFS(Assignments!$AK$2:$AK$769,Assignments!$A$2:$A$769,$A56,Assignments!$G$2:$G$769,"Active",Assignments!$AI$2:$AI$769,"&lt;="&amp;T$47,Assignments!$AJ$2:$AJ$769,"&gt;="&amp;T$47)+SUMIFS(Assignments!$AN$2:$AN$769,Assignments!$A$2:$A$769,$A56,Assignments!$G$2:$G$769,"Active",Assignments!$AL$2:$AL$769,"&lt;="&amp;T$47,Assignments!$AM$2:$AM$769,"&gt;="&amp;T$47))</f>
        <v/>
      </c>
      <c r="U56" s="11">
        <f>IF($A56="","",SUMIFS(Assignments!$AK$2:$AK$769,Assignments!$A$2:$A$769,$A56,Assignments!$G$2:$G$769,"Active",Assignments!$AI$2:$AI$769,"&lt;="&amp;U$47,Assignments!$AJ$2:$AJ$769,"&gt;="&amp;U$47)+SUMIFS(Assignments!$AN$2:$AN$769,Assignments!$A$2:$A$769,$A56,Assignments!$G$2:$G$769,"Active",Assignments!$AL$2:$AL$769,"&lt;="&amp;U$47,Assignments!$AM$2:$AM$769,"&gt;="&amp;U$47))</f>
        <v/>
      </c>
      <c r="V56" s="11">
        <f>IF($A56="","",SUMIFS(Assignments!$AK$2:$AK$769,Assignments!$A$2:$A$769,$A56,Assignments!$G$2:$G$769,"Active",Assignments!$AI$2:$AI$769,"&lt;="&amp;V$47,Assignments!$AJ$2:$AJ$769,"&gt;="&amp;V$47)+SUMIFS(Assignments!$AN$2:$AN$769,Assignments!$A$2:$A$769,$A56,Assignments!$G$2:$G$769,"Active",Assignments!$AL$2:$AL$769,"&lt;="&amp;V$47,Assignments!$AM$2:$AM$769,"&gt;="&amp;V$47))</f>
        <v/>
      </c>
      <c r="W56" s="11">
        <f>IF($A56="","",SUMIFS(Assignments!$AK$2:$AK$769,Assignments!$A$2:$A$769,$A56,Assignments!$G$2:$G$769,"Active",Assignments!$AI$2:$AI$769,"&lt;="&amp;W$47,Assignments!$AJ$2:$AJ$769,"&gt;="&amp;W$47)+SUMIFS(Assignments!$AN$2:$AN$769,Assignments!$A$2:$A$769,$A56,Assignments!$G$2:$G$769,"Active",Assignments!$AL$2:$AL$769,"&lt;="&amp;W$47,Assignments!$AM$2:$AM$769,"&gt;="&amp;W$47))</f>
        <v/>
      </c>
      <c r="X56" s="11">
        <f>IF($A56="","",SUMIFS(Assignments!$AK$2:$AK$769,Assignments!$A$2:$A$769,$A56,Assignments!$G$2:$G$769,"Active",Assignments!$AI$2:$AI$769,"&lt;="&amp;X$47,Assignments!$AJ$2:$AJ$769,"&gt;="&amp;X$47)+SUMIFS(Assignments!$AN$2:$AN$769,Assignments!$A$2:$A$769,$A56,Assignments!$G$2:$G$769,"Active",Assignments!$AL$2:$AL$769,"&lt;="&amp;X$47,Assignments!$AM$2:$AM$769,"&gt;="&amp;X$47))</f>
        <v/>
      </c>
      <c r="Y56" s="11">
        <f>IF($A56="","",SUMIFS(Assignments!$AK$2:$AK$769,Assignments!$A$2:$A$769,$A56,Assignments!$G$2:$G$769,"Active",Assignments!$AI$2:$AI$769,"&lt;="&amp;Y$47,Assignments!$AJ$2:$AJ$769,"&gt;="&amp;Y$47)+SUMIFS(Assignments!$AN$2:$AN$769,Assignments!$A$2:$A$769,$A56,Assignments!$G$2:$G$769,"Active",Assignments!$AL$2:$AL$769,"&lt;="&amp;Y$47,Assignments!$AM$2:$AM$769,"&gt;="&amp;Y$47))</f>
        <v/>
      </c>
      <c r="Z56" s="11">
        <f>IF($A56="","",SUMIFS(Assignments!$AK$2:$AK$769,Assignments!$A$2:$A$769,$A56,Assignments!$G$2:$G$769,"Active",Assignments!$AI$2:$AI$769,"&lt;="&amp;Z$47,Assignments!$AJ$2:$AJ$769,"&gt;="&amp;Z$47)+SUMIFS(Assignments!$AN$2:$AN$769,Assignments!$A$2:$A$769,$A56,Assignments!$G$2:$G$769,"Active",Assignments!$AL$2:$AL$769,"&lt;="&amp;Z$47,Assignments!$AM$2:$AM$769,"&gt;="&amp;Z$47))</f>
        <v/>
      </c>
      <c r="AA56" s="11">
        <f>IF($A56="","",SUMIFS(Assignments!$AK$2:$AK$769,Assignments!$A$2:$A$769,$A56,Assignments!$G$2:$G$769,"Active",Assignments!$AI$2:$AI$769,"&lt;="&amp;AA$47,Assignments!$AJ$2:$AJ$769,"&gt;="&amp;AA$47)+SUMIFS(Assignments!$AN$2:$AN$769,Assignments!$A$2:$A$769,$A56,Assignments!$G$2:$G$769,"Active",Assignments!$AL$2:$AL$769,"&lt;="&amp;AA$47,Assignments!$AM$2:$AM$769,"&gt;="&amp;AA$47))</f>
        <v/>
      </c>
      <c r="AB56" s="11">
        <f>IF($A56="","",SUMIFS(Assignments!$AK$2:$AK$769,Assignments!$A$2:$A$769,$A56,Assignments!$G$2:$G$769,"Active",Assignments!$AI$2:$AI$769,"&lt;="&amp;AB$47,Assignments!$AJ$2:$AJ$769,"&gt;="&amp;AB$47)+SUMIFS(Assignments!$AN$2:$AN$769,Assignments!$A$2:$A$769,$A56,Assignments!$G$2:$G$769,"Active",Assignments!$AL$2:$AL$769,"&lt;="&amp;AB$47,Assignments!$AM$2:$AM$769,"&gt;="&amp;AB$47))</f>
        <v/>
      </c>
    </row>
    <row r="57">
      <c r="A57" s="9">
        <f>IF(Roster!$A11="","",Roster!$A11)</f>
        <v/>
      </c>
      <c r="B57" s="10">
        <f>IF($A57="","",IFERROR(INDEX(Roster!$D$2:$D$40,MATCH($A57,Roster!$A$2:$A$40,0)),""))</f>
        <v/>
      </c>
      <c r="C57" s="11">
        <f>IF($A57="","",SUMIFS(Assignments!$AK$2:$AK$769,Assignments!$A$2:$A$769,$A57,Assignments!$G$2:$G$769,"Active",Assignments!$AI$2:$AI$769,"&lt;="&amp;C$47,Assignments!$AJ$2:$AJ$769,"&gt;="&amp;C$47)+SUMIFS(Assignments!$AN$2:$AN$769,Assignments!$A$2:$A$769,$A57,Assignments!$G$2:$G$769,"Active",Assignments!$AL$2:$AL$769,"&lt;="&amp;C$47,Assignments!$AM$2:$AM$769,"&gt;="&amp;C$47))</f>
        <v/>
      </c>
      <c r="D57" s="11">
        <f>IF($A57="","",SUMIFS(Assignments!$AK$2:$AK$769,Assignments!$A$2:$A$769,$A57,Assignments!$G$2:$G$769,"Active",Assignments!$AI$2:$AI$769,"&lt;="&amp;D$47,Assignments!$AJ$2:$AJ$769,"&gt;="&amp;D$47)+SUMIFS(Assignments!$AN$2:$AN$769,Assignments!$A$2:$A$769,$A57,Assignments!$G$2:$G$769,"Active",Assignments!$AL$2:$AL$769,"&lt;="&amp;D$47,Assignments!$AM$2:$AM$769,"&gt;="&amp;D$47))</f>
        <v/>
      </c>
      <c r="E57" s="11">
        <f>IF($A57="","",SUMIFS(Assignments!$AK$2:$AK$769,Assignments!$A$2:$A$769,$A57,Assignments!$G$2:$G$769,"Active",Assignments!$AI$2:$AI$769,"&lt;="&amp;E$47,Assignments!$AJ$2:$AJ$769,"&gt;="&amp;E$47)+SUMIFS(Assignments!$AN$2:$AN$769,Assignments!$A$2:$A$769,$A57,Assignments!$G$2:$G$769,"Active",Assignments!$AL$2:$AL$769,"&lt;="&amp;E$47,Assignments!$AM$2:$AM$769,"&gt;="&amp;E$47))</f>
        <v/>
      </c>
      <c r="F57" s="11">
        <f>IF($A57="","",SUMIFS(Assignments!$AK$2:$AK$769,Assignments!$A$2:$A$769,$A57,Assignments!$G$2:$G$769,"Active",Assignments!$AI$2:$AI$769,"&lt;="&amp;F$47,Assignments!$AJ$2:$AJ$769,"&gt;="&amp;F$47)+SUMIFS(Assignments!$AN$2:$AN$769,Assignments!$A$2:$A$769,$A57,Assignments!$G$2:$G$769,"Active",Assignments!$AL$2:$AL$769,"&lt;="&amp;F$47,Assignments!$AM$2:$AM$769,"&gt;="&amp;F$47))</f>
        <v/>
      </c>
      <c r="G57" s="11">
        <f>IF($A57="","",SUMIFS(Assignments!$AK$2:$AK$769,Assignments!$A$2:$A$769,$A57,Assignments!$G$2:$G$769,"Active",Assignments!$AI$2:$AI$769,"&lt;="&amp;G$47,Assignments!$AJ$2:$AJ$769,"&gt;="&amp;G$47)+SUMIFS(Assignments!$AN$2:$AN$769,Assignments!$A$2:$A$769,$A57,Assignments!$G$2:$G$769,"Active",Assignments!$AL$2:$AL$769,"&lt;="&amp;G$47,Assignments!$AM$2:$AM$769,"&gt;="&amp;G$47))</f>
        <v/>
      </c>
      <c r="H57" s="11">
        <f>IF($A57="","",SUMIFS(Assignments!$AK$2:$AK$769,Assignments!$A$2:$A$769,$A57,Assignments!$G$2:$G$769,"Active",Assignments!$AI$2:$AI$769,"&lt;="&amp;H$47,Assignments!$AJ$2:$AJ$769,"&gt;="&amp;H$47)+SUMIFS(Assignments!$AN$2:$AN$769,Assignments!$A$2:$A$769,$A57,Assignments!$G$2:$G$769,"Active",Assignments!$AL$2:$AL$769,"&lt;="&amp;H$47,Assignments!$AM$2:$AM$769,"&gt;="&amp;H$47))</f>
        <v/>
      </c>
      <c r="I57" s="11">
        <f>IF($A57="","",SUMIFS(Assignments!$AK$2:$AK$769,Assignments!$A$2:$A$769,$A57,Assignments!$G$2:$G$769,"Active",Assignments!$AI$2:$AI$769,"&lt;="&amp;I$47,Assignments!$AJ$2:$AJ$769,"&gt;="&amp;I$47)+SUMIFS(Assignments!$AN$2:$AN$769,Assignments!$A$2:$A$769,$A57,Assignments!$G$2:$G$769,"Active",Assignments!$AL$2:$AL$769,"&lt;="&amp;I$47,Assignments!$AM$2:$AM$769,"&gt;="&amp;I$47))</f>
        <v/>
      </c>
      <c r="J57" s="11">
        <f>IF($A57="","",SUMIFS(Assignments!$AK$2:$AK$769,Assignments!$A$2:$A$769,$A57,Assignments!$G$2:$G$769,"Active",Assignments!$AI$2:$AI$769,"&lt;="&amp;J$47,Assignments!$AJ$2:$AJ$769,"&gt;="&amp;J$47)+SUMIFS(Assignments!$AN$2:$AN$769,Assignments!$A$2:$A$769,$A57,Assignments!$G$2:$G$769,"Active",Assignments!$AL$2:$AL$769,"&lt;="&amp;J$47,Assignments!$AM$2:$AM$769,"&gt;="&amp;J$47))</f>
        <v/>
      </c>
      <c r="K57" s="11">
        <f>IF($A57="","",SUMIFS(Assignments!$AK$2:$AK$769,Assignments!$A$2:$A$769,$A57,Assignments!$G$2:$G$769,"Active",Assignments!$AI$2:$AI$769,"&lt;="&amp;K$47,Assignments!$AJ$2:$AJ$769,"&gt;="&amp;K$47)+SUMIFS(Assignments!$AN$2:$AN$769,Assignments!$A$2:$A$769,$A57,Assignments!$G$2:$G$769,"Active",Assignments!$AL$2:$AL$769,"&lt;="&amp;K$47,Assignments!$AM$2:$AM$769,"&gt;="&amp;K$47))</f>
        <v/>
      </c>
      <c r="L57" s="11">
        <f>IF($A57="","",SUMIFS(Assignments!$AK$2:$AK$769,Assignments!$A$2:$A$769,$A57,Assignments!$G$2:$G$769,"Active",Assignments!$AI$2:$AI$769,"&lt;="&amp;L$47,Assignments!$AJ$2:$AJ$769,"&gt;="&amp;L$47)+SUMIFS(Assignments!$AN$2:$AN$769,Assignments!$A$2:$A$769,$A57,Assignments!$G$2:$G$769,"Active",Assignments!$AL$2:$AL$769,"&lt;="&amp;L$47,Assignments!$AM$2:$AM$769,"&gt;="&amp;L$47))</f>
        <v/>
      </c>
      <c r="M57" s="11">
        <f>IF($A57="","",SUMIFS(Assignments!$AK$2:$AK$769,Assignments!$A$2:$A$769,$A57,Assignments!$G$2:$G$769,"Active",Assignments!$AI$2:$AI$769,"&lt;="&amp;M$47,Assignments!$AJ$2:$AJ$769,"&gt;="&amp;M$47)+SUMIFS(Assignments!$AN$2:$AN$769,Assignments!$A$2:$A$769,$A57,Assignments!$G$2:$G$769,"Active",Assignments!$AL$2:$AL$769,"&lt;="&amp;M$47,Assignments!$AM$2:$AM$769,"&gt;="&amp;M$47))</f>
        <v/>
      </c>
      <c r="N57" s="11">
        <f>IF($A57="","",SUMIFS(Assignments!$AK$2:$AK$769,Assignments!$A$2:$A$769,$A57,Assignments!$G$2:$G$769,"Active",Assignments!$AI$2:$AI$769,"&lt;="&amp;N$47,Assignments!$AJ$2:$AJ$769,"&gt;="&amp;N$47)+SUMIFS(Assignments!$AN$2:$AN$769,Assignments!$A$2:$A$769,$A57,Assignments!$G$2:$G$769,"Active",Assignments!$AL$2:$AL$769,"&lt;="&amp;N$47,Assignments!$AM$2:$AM$769,"&gt;="&amp;N$47))</f>
        <v/>
      </c>
      <c r="O57" s="11">
        <f>IF($A57="","",SUMIFS(Assignments!$AK$2:$AK$769,Assignments!$A$2:$A$769,$A57,Assignments!$G$2:$G$769,"Active",Assignments!$AI$2:$AI$769,"&lt;="&amp;O$47,Assignments!$AJ$2:$AJ$769,"&gt;="&amp;O$47)+SUMIFS(Assignments!$AN$2:$AN$769,Assignments!$A$2:$A$769,$A57,Assignments!$G$2:$G$769,"Active",Assignments!$AL$2:$AL$769,"&lt;="&amp;O$47,Assignments!$AM$2:$AM$769,"&gt;="&amp;O$47))</f>
        <v/>
      </c>
      <c r="P57" s="11">
        <f>IF($A57="","",SUMIFS(Assignments!$AK$2:$AK$769,Assignments!$A$2:$A$769,$A57,Assignments!$G$2:$G$769,"Active",Assignments!$AI$2:$AI$769,"&lt;="&amp;P$47,Assignments!$AJ$2:$AJ$769,"&gt;="&amp;P$47)+SUMIFS(Assignments!$AN$2:$AN$769,Assignments!$A$2:$A$769,$A57,Assignments!$G$2:$G$769,"Active",Assignments!$AL$2:$AL$769,"&lt;="&amp;P$47,Assignments!$AM$2:$AM$769,"&gt;="&amp;P$47))</f>
        <v/>
      </c>
      <c r="Q57" s="11">
        <f>IF($A57="","",SUMIFS(Assignments!$AK$2:$AK$769,Assignments!$A$2:$A$769,$A57,Assignments!$G$2:$G$769,"Active",Assignments!$AI$2:$AI$769,"&lt;="&amp;Q$47,Assignments!$AJ$2:$AJ$769,"&gt;="&amp;Q$47)+SUMIFS(Assignments!$AN$2:$AN$769,Assignments!$A$2:$A$769,$A57,Assignments!$G$2:$G$769,"Active",Assignments!$AL$2:$AL$769,"&lt;="&amp;Q$47,Assignments!$AM$2:$AM$769,"&gt;="&amp;Q$47))</f>
        <v/>
      </c>
      <c r="R57" s="11">
        <f>IF($A57="","",SUMIFS(Assignments!$AK$2:$AK$769,Assignments!$A$2:$A$769,$A57,Assignments!$G$2:$G$769,"Active",Assignments!$AI$2:$AI$769,"&lt;="&amp;R$47,Assignments!$AJ$2:$AJ$769,"&gt;="&amp;R$47)+SUMIFS(Assignments!$AN$2:$AN$769,Assignments!$A$2:$A$769,$A57,Assignments!$G$2:$G$769,"Active",Assignments!$AL$2:$AL$769,"&lt;="&amp;R$47,Assignments!$AM$2:$AM$769,"&gt;="&amp;R$47))</f>
        <v/>
      </c>
      <c r="S57" s="11">
        <f>IF($A57="","",SUMIFS(Assignments!$AK$2:$AK$769,Assignments!$A$2:$A$769,$A57,Assignments!$G$2:$G$769,"Active",Assignments!$AI$2:$AI$769,"&lt;="&amp;S$47,Assignments!$AJ$2:$AJ$769,"&gt;="&amp;S$47)+SUMIFS(Assignments!$AN$2:$AN$769,Assignments!$A$2:$A$769,$A57,Assignments!$G$2:$G$769,"Active",Assignments!$AL$2:$AL$769,"&lt;="&amp;S$47,Assignments!$AM$2:$AM$769,"&gt;="&amp;S$47))</f>
        <v/>
      </c>
      <c r="T57" s="11">
        <f>IF($A57="","",SUMIFS(Assignments!$AK$2:$AK$769,Assignments!$A$2:$A$769,$A57,Assignments!$G$2:$G$769,"Active",Assignments!$AI$2:$AI$769,"&lt;="&amp;T$47,Assignments!$AJ$2:$AJ$769,"&gt;="&amp;T$47)+SUMIFS(Assignments!$AN$2:$AN$769,Assignments!$A$2:$A$769,$A57,Assignments!$G$2:$G$769,"Active",Assignments!$AL$2:$AL$769,"&lt;="&amp;T$47,Assignments!$AM$2:$AM$769,"&gt;="&amp;T$47))</f>
        <v/>
      </c>
      <c r="U57" s="11">
        <f>IF($A57="","",SUMIFS(Assignments!$AK$2:$AK$769,Assignments!$A$2:$A$769,$A57,Assignments!$G$2:$G$769,"Active",Assignments!$AI$2:$AI$769,"&lt;="&amp;U$47,Assignments!$AJ$2:$AJ$769,"&gt;="&amp;U$47)+SUMIFS(Assignments!$AN$2:$AN$769,Assignments!$A$2:$A$769,$A57,Assignments!$G$2:$G$769,"Active",Assignments!$AL$2:$AL$769,"&lt;="&amp;U$47,Assignments!$AM$2:$AM$769,"&gt;="&amp;U$47))</f>
        <v/>
      </c>
      <c r="V57" s="11">
        <f>IF($A57="","",SUMIFS(Assignments!$AK$2:$AK$769,Assignments!$A$2:$A$769,$A57,Assignments!$G$2:$G$769,"Active",Assignments!$AI$2:$AI$769,"&lt;="&amp;V$47,Assignments!$AJ$2:$AJ$769,"&gt;="&amp;V$47)+SUMIFS(Assignments!$AN$2:$AN$769,Assignments!$A$2:$A$769,$A57,Assignments!$G$2:$G$769,"Active",Assignments!$AL$2:$AL$769,"&lt;="&amp;V$47,Assignments!$AM$2:$AM$769,"&gt;="&amp;V$47))</f>
        <v/>
      </c>
      <c r="W57" s="11">
        <f>IF($A57="","",SUMIFS(Assignments!$AK$2:$AK$769,Assignments!$A$2:$A$769,$A57,Assignments!$G$2:$G$769,"Active",Assignments!$AI$2:$AI$769,"&lt;="&amp;W$47,Assignments!$AJ$2:$AJ$769,"&gt;="&amp;W$47)+SUMIFS(Assignments!$AN$2:$AN$769,Assignments!$A$2:$A$769,$A57,Assignments!$G$2:$G$769,"Active",Assignments!$AL$2:$AL$769,"&lt;="&amp;W$47,Assignments!$AM$2:$AM$769,"&gt;="&amp;W$47))</f>
        <v/>
      </c>
      <c r="X57" s="11">
        <f>IF($A57="","",SUMIFS(Assignments!$AK$2:$AK$769,Assignments!$A$2:$A$769,$A57,Assignments!$G$2:$G$769,"Active",Assignments!$AI$2:$AI$769,"&lt;="&amp;X$47,Assignments!$AJ$2:$AJ$769,"&gt;="&amp;X$47)+SUMIFS(Assignments!$AN$2:$AN$769,Assignments!$A$2:$A$769,$A57,Assignments!$G$2:$G$769,"Active",Assignments!$AL$2:$AL$769,"&lt;="&amp;X$47,Assignments!$AM$2:$AM$769,"&gt;="&amp;X$47))</f>
        <v/>
      </c>
      <c r="Y57" s="11">
        <f>IF($A57="","",SUMIFS(Assignments!$AK$2:$AK$769,Assignments!$A$2:$A$769,$A57,Assignments!$G$2:$G$769,"Active",Assignments!$AI$2:$AI$769,"&lt;="&amp;Y$47,Assignments!$AJ$2:$AJ$769,"&gt;="&amp;Y$47)+SUMIFS(Assignments!$AN$2:$AN$769,Assignments!$A$2:$A$769,$A57,Assignments!$G$2:$G$769,"Active",Assignments!$AL$2:$AL$769,"&lt;="&amp;Y$47,Assignments!$AM$2:$AM$769,"&gt;="&amp;Y$47))</f>
        <v/>
      </c>
      <c r="Z57" s="11">
        <f>IF($A57="","",SUMIFS(Assignments!$AK$2:$AK$769,Assignments!$A$2:$A$769,$A57,Assignments!$G$2:$G$769,"Active",Assignments!$AI$2:$AI$769,"&lt;="&amp;Z$47,Assignments!$AJ$2:$AJ$769,"&gt;="&amp;Z$47)+SUMIFS(Assignments!$AN$2:$AN$769,Assignments!$A$2:$A$769,$A57,Assignments!$G$2:$G$769,"Active",Assignments!$AL$2:$AL$769,"&lt;="&amp;Z$47,Assignments!$AM$2:$AM$769,"&gt;="&amp;Z$47))</f>
        <v/>
      </c>
      <c r="AA57" s="11">
        <f>IF($A57="","",SUMIFS(Assignments!$AK$2:$AK$769,Assignments!$A$2:$A$769,$A57,Assignments!$G$2:$G$769,"Active",Assignments!$AI$2:$AI$769,"&lt;="&amp;AA$47,Assignments!$AJ$2:$AJ$769,"&gt;="&amp;AA$47)+SUMIFS(Assignments!$AN$2:$AN$769,Assignments!$A$2:$A$769,$A57,Assignments!$G$2:$G$769,"Active",Assignments!$AL$2:$AL$769,"&lt;="&amp;AA$47,Assignments!$AM$2:$AM$769,"&gt;="&amp;AA$47))</f>
        <v/>
      </c>
      <c r="AB57" s="11">
        <f>IF($A57="","",SUMIFS(Assignments!$AK$2:$AK$769,Assignments!$A$2:$A$769,$A57,Assignments!$G$2:$G$769,"Active",Assignments!$AI$2:$AI$769,"&lt;="&amp;AB$47,Assignments!$AJ$2:$AJ$769,"&gt;="&amp;AB$47)+SUMIFS(Assignments!$AN$2:$AN$769,Assignments!$A$2:$A$769,$A57,Assignments!$G$2:$G$769,"Active",Assignments!$AL$2:$AL$769,"&lt;="&amp;AB$47,Assignments!$AM$2:$AM$769,"&gt;="&amp;AB$47))</f>
        <v/>
      </c>
    </row>
    <row r="58">
      <c r="A58" s="9">
        <f>IF(Roster!$A12="","",Roster!$A12)</f>
        <v/>
      </c>
      <c r="B58" s="10">
        <f>IF($A58="","",IFERROR(INDEX(Roster!$D$2:$D$40,MATCH($A58,Roster!$A$2:$A$40,0)),""))</f>
        <v/>
      </c>
      <c r="C58" s="11">
        <f>IF($A58="","",SUMIFS(Assignments!$AK$2:$AK$769,Assignments!$A$2:$A$769,$A58,Assignments!$G$2:$G$769,"Active",Assignments!$AI$2:$AI$769,"&lt;="&amp;C$47,Assignments!$AJ$2:$AJ$769,"&gt;="&amp;C$47)+SUMIFS(Assignments!$AN$2:$AN$769,Assignments!$A$2:$A$769,$A58,Assignments!$G$2:$G$769,"Active",Assignments!$AL$2:$AL$769,"&lt;="&amp;C$47,Assignments!$AM$2:$AM$769,"&gt;="&amp;C$47))</f>
        <v/>
      </c>
      <c r="D58" s="11">
        <f>IF($A58="","",SUMIFS(Assignments!$AK$2:$AK$769,Assignments!$A$2:$A$769,$A58,Assignments!$G$2:$G$769,"Active",Assignments!$AI$2:$AI$769,"&lt;="&amp;D$47,Assignments!$AJ$2:$AJ$769,"&gt;="&amp;D$47)+SUMIFS(Assignments!$AN$2:$AN$769,Assignments!$A$2:$A$769,$A58,Assignments!$G$2:$G$769,"Active",Assignments!$AL$2:$AL$769,"&lt;="&amp;D$47,Assignments!$AM$2:$AM$769,"&gt;="&amp;D$47))</f>
        <v/>
      </c>
      <c r="E58" s="11">
        <f>IF($A58="","",SUMIFS(Assignments!$AK$2:$AK$769,Assignments!$A$2:$A$769,$A58,Assignments!$G$2:$G$769,"Active",Assignments!$AI$2:$AI$769,"&lt;="&amp;E$47,Assignments!$AJ$2:$AJ$769,"&gt;="&amp;E$47)+SUMIFS(Assignments!$AN$2:$AN$769,Assignments!$A$2:$A$769,$A58,Assignments!$G$2:$G$769,"Active",Assignments!$AL$2:$AL$769,"&lt;="&amp;E$47,Assignments!$AM$2:$AM$769,"&gt;="&amp;E$47))</f>
        <v/>
      </c>
      <c r="F58" s="11">
        <f>IF($A58="","",SUMIFS(Assignments!$AK$2:$AK$769,Assignments!$A$2:$A$769,$A58,Assignments!$G$2:$G$769,"Active",Assignments!$AI$2:$AI$769,"&lt;="&amp;F$47,Assignments!$AJ$2:$AJ$769,"&gt;="&amp;F$47)+SUMIFS(Assignments!$AN$2:$AN$769,Assignments!$A$2:$A$769,$A58,Assignments!$G$2:$G$769,"Active",Assignments!$AL$2:$AL$769,"&lt;="&amp;F$47,Assignments!$AM$2:$AM$769,"&gt;="&amp;F$47))</f>
        <v/>
      </c>
      <c r="G58" s="11">
        <f>IF($A58="","",SUMIFS(Assignments!$AK$2:$AK$769,Assignments!$A$2:$A$769,$A58,Assignments!$G$2:$G$769,"Active",Assignments!$AI$2:$AI$769,"&lt;="&amp;G$47,Assignments!$AJ$2:$AJ$769,"&gt;="&amp;G$47)+SUMIFS(Assignments!$AN$2:$AN$769,Assignments!$A$2:$A$769,$A58,Assignments!$G$2:$G$769,"Active",Assignments!$AL$2:$AL$769,"&lt;="&amp;G$47,Assignments!$AM$2:$AM$769,"&gt;="&amp;G$47))</f>
        <v/>
      </c>
      <c r="H58" s="11">
        <f>IF($A58="","",SUMIFS(Assignments!$AK$2:$AK$769,Assignments!$A$2:$A$769,$A58,Assignments!$G$2:$G$769,"Active",Assignments!$AI$2:$AI$769,"&lt;="&amp;H$47,Assignments!$AJ$2:$AJ$769,"&gt;="&amp;H$47)+SUMIFS(Assignments!$AN$2:$AN$769,Assignments!$A$2:$A$769,$A58,Assignments!$G$2:$G$769,"Active",Assignments!$AL$2:$AL$769,"&lt;="&amp;H$47,Assignments!$AM$2:$AM$769,"&gt;="&amp;H$47))</f>
        <v/>
      </c>
      <c r="I58" s="11">
        <f>IF($A58="","",SUMIFS(Assignments!$AK$2:$AK$769,Assignments!$A$2:$A$769,$A58,Assignments!$G$2:$G$769,"Active",Assignments!$AI$2:$AI$769,"&lt;="&amp;I$47,Assignments!$AJ$2:$AJ$769,"&gt;="&amp;I$47)+SUMIFS(Assignments!$AN$2:$AN$769,Assignments!$A$2:$A$769,$A58,Assignments!$G$2:$G$769,"Active",Assignments!$AL$2:$AL$769,"&lt;="&amp;I$47,Assignments!$AM$2:$AM$769,"&gt;="&amp;I$47))</f>
        <v/>
      </c>
      <c r="J58" s="11">
        <f>IF($A58="","",SUMIFS(Assignments!$AK$2:$AK$769,Assignments!$A$2:$A$769,$A58,Assignments!$G$2:$G$769,"Active",Assignments!$AI$2:$AI$769,"&lt;="&amp;J$47,Assignments!$AJ$2:$AJ$769,"&gt;="&amp;J$47)+SUMIFS(Assignments!$AN$2:$AN$769,Assignments!$A$2:$A$769,$A58,Assignments!$G$2:$G$769,"Active",Assignments!$AL$2:$AL$769,"&lt;="&amp;J$47,Assignments!$AM$2:$AM$769,"&gt;="&amp;J$47))</f>
        <v/>
      </c>
      <c r="K58" s="11">
        <f>IF($A58="","",SUMIFS(Assignments!$AK$2:$AK$769,Assignments!$A$2:$A$769,$A58,Assignments!$G$2:$G$769,"Active",Assignments!$AI$2:$AI$769,"&lt;="&amp;K$47,Assignments!$AJ$2:$AJ$769,"&gt;="&amp;K$47)+SUMIFS(Assignments!$AN$2:$AN$769,Assignments!$A$2:$A$769,$A58,Assignments!$G$2:$G$769,"Active",Assignments!$AL$2:$AL$769,"&lt;="&amp;K$47,Assignments!$AM$2:$AM$769,"&gt;="&amp;K$47))</f>
        <v/>
      </c>
      <c r="L58" s="11">
        <f>IF($A58="","",SUMIFS(Assignments!$AK$2:$AK$769,Assignments!$A$2:$A$769,$A58,Assignments!$G$2:$G$769,"Active",Assignments!$AI$2:$AI$769,"&lt;="&amp;L$47,Assignments!$AJ$2:$AJ$769,"&gt;="&amp;L$47)+SUMIFS(Assignments!$AN$2:$AN$769,Assignments!$A$2:$A$769,$A58,Assignments!$G$2:$G$769,"Active",Assignments!$AL$2:$AL$769,"&lt;="&amp;L$47,Assignments!$AM$2:$AM$769,"&gt;="&amp;L$47))</f>
        <v/>
      </c>
      <c r="M58" s="11">
        <f>IF($A58="","",SUMIFS(Assignments!$AK$2:$AK$769,Assignments!$A$2:$A$769,$A58,Assignments!$G$2:$G$769,"Active",Assignments!$AI$2:$AI$769,"&lt;="&amp;M$47,Assignments!$AJ$2:$AJ$769,"&gt;="&amp;M$47)+SUMIFS(Assignments!$AN$2:$AN$769,Assignments!$A$2:$A$769,$A58,Assignments!$G$2:$G$769,"Active",Assignments!$AL$2:$AL$769,"&lt;="&amp;M$47,Assignments!$AM$2:$AM$769,"&gt;="&amp;M$47))</f>
        <v/>
      </c>
      <c r="N58" s="11">
        <f>IF($A58="","",SUMIFS(Assignments!$AK$2:$AK$769,Assignments!$A$2:$A$769,$A58,Assignments!$G$2:$G$769,"Active",Assignments!$AI$2:$AI$769,"&lt;="&amp;N$47,Assignments!$AJ$2:$AJ$769,"&gt;="&amp;N$47)+SUMIFS(Assignments!$AN$2:$AN$769,Assignments!$A$2:$A$769,$A58,Assignments!$G$2:$G$769,"Active",Assignments!$AL$2:$AL$769,"&lt;="&amp;N$47,Assignments!$AM$2:$AM$769,"&gt;="&amp;N$47))</f>
        <v/>
      </c>
      <c r="O58" s="11">
        <f>IF($A58="","",SUMIFS(Assignments!$AK$2:$AK$769,Assignments!$A$2:$A$769,$A58,Assignments!$G$2:$G$769,"Active",Assignments!$AI$2:$AI$769,"&lt;="&amp;O$47,Assignments!$AJ$2:$AJ$769,"&gt;="&amp;O$47)+SUMIFS(Assignments!$AN$2:$AN$769,Assignments!$A$2:$A$769,$A58,Assignments!$G$2:$G$769,"Active",Assignments!$AL$2:$AL$769,"&lt;="&amp;O$47,Assignments!$AM$2:$AM$769,"&gt;="&amp;O$47))</f>
        <v/>
      </c>
      <c r="P58" s="11">
        <f>IF($A58="","",SUMIFS(Assignments!$AK$2:$AK$769,Assignments!$A$2:$A$769,$A58,Assignments!$G$2:$G$769,"Active",Assignments!$AI$2:$AI$769,"&lt;="&amp;P$47,Assignments!$AJ$2:$AJ$769,"&gt;="&amp;P$47)+SUMIFS(Assignments!$AN$2:$AN$769,Assignments!$A$2:$A$769,$A58,Assignments!$G$2:$G$769,"Active",Assignments!$AL$2:$AL$769,"&lt;="&amp;P$47,Assignments!$AM$2:$AM$769,"&gt;="&amp;P$47))</f>
        <v/>
      </c>
      <c r="Q58" s="11">
        <f>IF($A58="","",SUMIFS(Assignments!$AK$2:$AK$769,Assignments!$A$2:$A$769,$A58,Assignments!$G$2:$G$769,"Active",Assignments!$AI$2:$AI$769,"&lt;="&amp;Q$47,Assignments!$AJ$2:$AJ$769,"&gt;="&amp;Q$47)+SUMIFS(Assignments!$AN$2:$AN$769,Assignments!$A$2:$A$769,$A58,Assignments!$G$2:$G$769,"Active",Assignments!$AL$2:$AL$769,"&lt;="&amp;Q$47,Assignments!$AM$2:$AM$769,"&gt;="&amp;Q$47))</f>
        <v/>
      </c>
      <c r="R58" s="11">
        <f>IF($A58="","",SUMIFS(Assignments!$AK$2:$AK$769,Assignments!$A$2:$A$769,$A58,Assignments!$G$2:$G$769,"Active",Assignments!$AI$2:$AI$769,"&lt;="&amp;R$47,Assignments!$AJ$2:$AJ$769,"&gt;="&amp;R$47)+SUMIFS(Assignments!$AN$2:$AN$769,Assignments!$A$2:$A$769,$A58,Assignments!$G$2:$G$769,"Active",Assignments!$AL$2:$AL$769,"&lt;="&amp;R$47,Assignments!$AM$2:$AM$769,"&gt;="&amp;R$47))</f>
        <v/>
      </c>
      <c r="S58" s="11">
        <f>IF($A58="","",SUMIFS(Assignments!$AK$2:$AK$769,Assignments!$A$2:$A$769,$A58,Assignments!$G$2:$G$769,"Active",Assignments!$AI$2:$AI$769,"&lt;="&amp;S$47,Assignments!$AJ$2:$AJ$769,"&gt;="&amp;S$47)+SUMIFS(Assignments!$AN$2:$AN$769,Assignments!$A$2:$A$769,$A58,Assignments!$G$2:$G$769,"Active",Assignments!$AL$2:$AL$769,"&lt;="&amp;S$47,Assignments!$AM$2:$AM$769,"&gt;="&amp;S$47))</f>
        <v/>
      </c>
      <c r="T58" s="11">
        <f>IF($A58="","",SUMIFS(Assignments!$AK$2:$AK$769,Assignments!$A$2:$A$769,$A58,Assignments!$G$2:$G$769,"Active",Assignments!$AI$2:$AI$769,"&lt;="&amp;T$47,Assignments!$AJ$2:$AJ$769,"&gt;="&amp;T$47)+SUMIFS(Assignments!$AN$2:$AN$769,Assignments!$A$2:$A$769,$A58,Assignments!$G$2:$G$769,"Active",Assignments!$AL$2:$AL$769,"&lt;="&amp;T$47,Assignments!$AM$2:$AM$769,"&gt;="&amp;T$47))</f>
        <v/>
      </c>
      <c r="U58" s="11">
        <f>IF($A58="","",SUMIFS(Assignments!$AK$2:$AK$769,Assignments!$A$2:$A$769,$A58,Assignments!$G$2:$G$769,"Active",Assignments!$AI$2:$AI$769,"&lt;="&amp;U$47,Assignments!$AJ$2:$AJ$769,"&gt;="&amp;U$47)+SUMIFS(Assignments!$AN$2:$AN$769,Assignments!$A$2:$A$769,$A58,Assignments!$G$2:$G$769,"Active",Assignments!$AL$2:$AL$769,"&lt;="&amp;U$47,Assignments!$AM$2:$AM$769,"&gt;="&amp;U$47))</f>
        <v/>
      </c>
      <c r="V58" s="11">
        <f>IF($A58="","",SUMIFS(Assignments!$AK$2:$AK$769,Assignments!$A$2:$A$769,$A58,Assignments!$G$2:$G$769,"Active",Assignments!$AI$2:$AI$769,"&lt;="&amp;V$47,Assignments!$AJ$2:$AJ$769,"&gt;="&amp;V$47)+SUMIFS(Assignments!$AN$2:$AN$769,Assignments!$A$2:$A$769,$A58,Assignments!$G$2:$G$769,"Active",Assignments!$AL$2:$AL$769,"&lt;="&amp;V$47,Assignments!$AM$2:$AM$769,"&gt;="&amp;V$47))</f>
        <v/>
      </c>
      <c r="W58" s="11">
        <f>IF($A58="","",SUMIFS(Assignments!$AK$2:$AK$769,Assignments!$A$2:$A$769,$A58,Assignments!$G$2:$G$769,"Active",Assignments!$AI$2:$AI$769,"&lt;="&amp;W$47,Assignments!$AJ$2:$AJ$769,"&gt;="&amp;W$47)+SUMIFS(Assignments!$AN$2:$AN$769,Assignments!$A$2:$A$769,$A58,Assignments!$G$2:$G$769,"Active",Assignments!$AL$2:$AL$769,"&lt;="&amp;W$47,Assignments!$AM$2:$AM$769,"&gt;="&amp;W$47))</f>
        <v/>
      </c>
      <c r="X58" s="11">
        <f>IF($A58="","",SUMIFS(Assignments!$AK$2:$AK$769,Assignments!$A$2:$A$769,$A58,Assignments!$G$2:$G$769,"Active",Assignments!$AI$2:$AI$769,"&lt;="&amp;X$47,Assignments!$AJ$2:$AJ$769,"&gt;="&amp;X$47)+SUMIFS(Assignments!$AN$2:$AN$769,Assignments!$A$2:$A$769,$A58,Assignments!$G$2:$G$769,"Active",Assignments!$AL$2:$AL$769,"&lt;="&amp;X$47,Assignments!$AM$2:$AM$769,"&gt;="&amp;X$47))</f>
        <v/>
      </c>
      <c r="Y58" s="11">
        <f>IF($A58="","",SUMIFS(Assignments!$AK$2:$AK$769,Assignments!$A$2:$A$769,$A58,Assignments!$G$2:$G$769,"Active",Assignments!$AI$2:$AI$769,"&lt;="&amp;Y$47,Assignments!$AJ$2:$AJ$769,"&gt;="&amp;Y$47)+SUMIFS(Assignments!$AN$2:$AN$769,Assignments!$A$2:$A$769,$A58,Assignments!$G$2:$G$769,"Active",Assignments!$AL$2:$AL$769,"&lt;="&amp;Y$47,Assignments!$AM$2:$AM$769,"&gt;="&amp;Y$47))</f>
        <v/>
      </c>
      <c r="Z58" s="11">
        <f>IF($A58="","",SUMIFS(Assignments!$AK$2:$AK$769,Assignments!$A$2:$A$769,$A58,Assignments!$G$2:$G$769,"Active",Assignments!$AI$2:$AI$769,"&lt;="&amp;Z$47,Assignments!$AJ$2:$AJ$769,"&gt;="&amp;Z$47)+SUMIFS(Assignments!$AN$2:$AN$769,Assignments!$A$2:$A$769,$A58,Assignments!$G$2:$G$769,"Active",Assignments!$AL$2:$AL$769,"&lt;="&amp;Z$47,Assignments!$AM$2:$AM$769,"&gt;="&amp;Z$47))</f>
        <v/>
      </c>
      <c r="AA58" s="11">
        <f>IF($A58="","",SUMIFS(Assignments!$AK$2:$AK$769,Assignments!$A$2:$A$769,$A58,Assignments!$G$2:$G$769,"Active",Assignments!$AI$2:$AI$769,"&lt;="&amp;AA$47,Assignments!$AJ$2:$AJ$769,"&gt;="&amp;AA$47)+SUMIFS(Assignments!$AN$2:$AN$769,Assignments!$A$2:$A$769,$A58,Assignments!$G$2:$G$769,"Active",Assignments!$AL$2:$AL$769,"&lt;="&amp;AA$47,Assignments!$AM$2:$AM$769,"&gt;="&amp;AA$47))</f>
        <v/>
      </c>
      <c r="AB58" s="11">
        <f>IF($A58="","",SUMIFS(Assignments!$AK$2:$AK$769,Assignments!$A$2:$A$769,$A58,Assignments!$G$2:$G$769,"Active",Assignments!$AI$2:$AI$769,"&lt;="&amp;AB$47,Assignments!$AJ$2:$AJ$769,"&gt;="&amp;AB$47)+SUMIFS(Assignments!$AN$2:$AN$769,Assignments!$A$2:$A$769,$A58,Assignments!$G$2:$G$769,"Active",Assignments!$AL$2:$AL$769,"&lt;="&amp;AB$47,Assignments!$AM$2:$AM$769,"&gt;="&amp;AB$47))</f>
        <v/>
      </c>
    </row>
    <row r="59">
      <c r="A59" s="9">
        <f>IF(Roster!$A13="","",Roster!$A13)</f>
        <v/>
      </c>
      <c r="B59" s="10">
        <f>IF($A59="","",IFERROR(INDEX(Roster!$D$2:$D$40,MATCH($A59,Roster!$A$2:$A$40,0)),""))</f>
        <v/>
      </c>
      <c r="C59" s="11">
        <f>IF($A59="","",SUMIFS(Assignments!$AK$2:$AK$769,Assignments!$A$2:$A$769,$A59,Assignments!$G$2:$G$769,"Active",Assignments!$AI$2:$AI$769,"&lt;="&amp;C$47,Assignments!$AJ$2:$AJ$769,"&gt;="&amp;C$47)+SUMIFS(Assignments!$AN$2:$AN$769,Assignments!$A$2:$A$769,$A59,Assignments!$G$2:$G$769,"Active",Assignments!$AL$2:$AL$769,"&lt;="&amp;C$47,Assignments!$AM$2:$AM$769,"&gt;="&amp;C$47))</f>
        <v/>
      </c>
      <c r="D59" s="11">
        <f>IF($A59="","",SUMIFS(Assignments!$AK$2:$AK$769,Assignments!$A$2:$A$769,$A59,Assignments!$G$2:$G$769,"Active",Assignments!$AI$2:$AI$769,"&lt;="&amp;D$47,Assignments!$AJ$2:$AJ$769,"&gt;="&amp;D$47)+SUMIFS(Assignments!$AN$2:$AN$769,Assignments!$A$2:$A$769,$A59,Assignments!$G$2:$G$769,"Active",Assignments!$AL$2:$AL$769,"&lt;="&amp;D$47,Assignments!$AM$2:$AM$769,"&gt;="&amp;D$47))</f>
        <v/>
      </c>
      <c r="E59" s="11">
        <f>IF($A59="","",SUMIFS(Assignments!$AK$2:$AK$769,Assignments!$A$2:$A$769,$A59,Assignments!$G$2:$G$769,"Active",Assignments!$AI$2:$AI$769,"&lt;="&amp;E$47,Assignments!$AJ$2:$AJ$769,"&gt;="&amp;E$47)+SUMIFS(Assignments!$AN$2:$AN$769,Assignments!$A$2:$A$769,$A59,Assignments!$G$2:$G$769,"Active",Assignments!$AL$2:$AL$769,"&lt;="&amp;E$47,Assignments!$AM$2:$AM$769,"&gt;="&amp;E$47))</f>
        <v/>
      </c>
      <c r="F59" s="11">
        <f>IF($A59="","",SUMIFS(Assignments!$AK$2:$AK$769,Assignments!$A$2:$A$769,$A59,Assignments!$G$2:$G$769,"Active",Assignments!$AI$2:$AI$769,"&lt;="&amp;F$47,Assignments!$AJ$2:$AJ$769,"&gt;="&amp;F$47)+SUMIFS(Assignments!$AN$2:$AN$769,Assignments!$A$2:$A$769,$A59,Assignments!$G$2:$G$769,"Active",Assignments!$AL$2:$AL$769,"&lt;="&amp;F$47,Assignments!$AM$2:$AM$769,"&gt;="&amp;F$47))</f>
        <v/>
      </c>
      <c r="G59" s="11">
        <f>IF($A59="","",SUMIFS(Assignments!$AK$2:$AK$769,Assignments!$A$2:$A$769,$A59,Assignments!$G$2:$G$769,"Active",Assignments!$AI$2:$AI$769,"&lt;="&amp;G$47,Assignments!$AJ$2:$AJ$769,"&gt;="&amp;G$47)+SUMIFS(Assignments!$AN$2:$AN$769,Assignments!$A$2:$A$769,$A59,Assignments!$G$2:$G$769,"Active",Assignments!$AL$2:$AL$769,"&lt;="&amp;G$47,Assignments!$AM$2:$AM$769,"&gt;="&amp;G$47))</f>
        <v/>
      </c>
      <c r="H59" s="11">
        <f>IF($A59="","",SUMIFS(Assignments!$AK$2:$AK$769,Assignments!$A$2:$A$769,$A59,Assignments!$G$2:$G$769,"Active",Assignments!$AI$2:$AI$769,"&lt;="&amp;H$47,Assignments!$AJ$2:$AJ$769,"&gt;="&amp;H$47)+SUMIFS(Assignments!$AN$2:$AN$769,Assignments!$A$2:$A$769,$A59,Assignments!$G$2:$G$769,"Active",Assignments!$AL$2:$AL$769,"&lt;="&amp;H$47,Assignments!$AM$2:$AM$769,"&gt;="&amp;H$47))</f>
        <v/>
      </c>
      <c r="I59" s="11">
        <f>IF($A59="","",SUMIFS(Assignments!$AK$2:$AK$769,Assignments!$A$2:$A$769,$A59,Assignments!$G$2:$G$769,"Active",Assignments!$AI$2:$AI$769,"&lt;="&amp;I$47,Assignments!$AJ$2:$AJ$769,"&gt;="&amp;I$47)+SUMIFS(Assignments!$AN$2:$AN$769,Assignments!$A$2:$A$769,$A59,Assignments!$G$2:$G$769,"Active",Assignments!$AL$2:$AL$769,"&lt;="&amp;I$47,Assignments!$AM$2:$AM$769,"&gt;="&amp;I$47))</f>
        <v/>
      </c>
      <c r="J59" s="11">
        <f>IF($A59="","",SUMIFS(Assignments!$AK$2:$AK$769,Assignments!$A$2:$A$769,$A59,Assignments!$G$2:$G$769,"Active",Assignments!$AI$2:$AI$769,"&lt;="&amp;J$47,Assignments!$AJ$2:$AJ$769,"&gt;="&amp;J$47)+SUMIFS(Assignments!$AN$2:$AN$769,Assignments!$A$2:$A$769,$A59,Assignments!$G$2:$G$769,"Active",Assignments!$AL$2:$AL$769,"&lt;="&amp;J$47,Assignments!$AM$2:$AM$769,"&gt;="&amp;J$47))</f>
        <v/>
      </c>
      <c r="K59" s="11">
        <f>IF($A59="","",SUMIFS(Assignments!$AK$2:$AK$769,Assignments!$A$2:$A$769,$A59,Assignments!$G$2:$G$769,"Active",Assignments!$AI$2:$AI$769,"&lt;="&amp;K$47,Assignments!$AJ$2:$AJ$769,"&gt;="&amp;K$47)+SUMIFS(Assignments!$AN$2:$AN$769,Assignments!$A$2:$A$769,$A59,Assignments!$G$2:$G$769,"Active",Assignments!$AL$2:$AL$769,"&lt;="&amp;K$47,Assignments!$AM$2:$AM$769,"&gt;="&amp;K$47))</f>
        <v/>
      </c>
      <c r="L59" s="11">
        <f>IF($A59="","",SUMIFS(Assignments!$AK$2:$AK$769,Assignments!$A$2:$A$769,$A59,Assignments!$G$2:$G$769,"Active",Assignments!$AI$2:$AI$769,"&lt;="&amp;L$47,Assignments!$AJ$2:$AJ$769,"&gt;="&amp;L$47)+SUMIFS(Assignments!$AN$2:$AN$769,Assignments!$A$2:$A$769,$A59,Assignments!$G$2:$G$769,"Active",Assignments!$AL$2:$AL$769,"&lt;="&amp;L$47,Assignments!$AM$2:$AM$769,"&gt;="&amp;L$47))</f>
        <v/>
      </c>
      <c r="M59" s="11">
        <f>IF($A59="","",SUMIFS(Assignments!$AK$2:$AK$769,Assignments!$A$2:$A$769,$A59,Assignments!$G$2:$G$769,"Active",Assignments!$AI$2:$AI$769,"&lt;="&amp;M$47,Assignments!$AJ$2:$AJ$769,"&gt;="&amp;M$47)+SUMIFS(Assignments!$AN$2:$AN$769,Assignments!$A$2:$A$769,$A59,Assignments!$G$2:$G$769,"Active",Assignments!$AL$2:$AL$769,"&lt;="&amp;M$47,Assignments!$AM$2:$AM$769,"&gt;="&amp;M$47))</f>
        <v/>
      </c>
      <c r="N59" s="11">
        <f>IF($A59="","",SUMIFS(Assignments!$AK$2:$AK$769,Assignments!$A$2:$A$769,$A59,Assignments!$G$2:$G$769,"Active",Assignments!$AI$2:$AI$769,"&lt;="&amp;N$47,Assignments!$AJ$2:$AJ$769,"&gt;="&amp;N$47)+SUMIFS(Assignments!$AN$2:$AN$769,Assignments!$A$2:$A$769,$A59,Assignments!$G$2:$G$769,"Active",Assignments!$AL$2:$AL$769,"&lt;="&amp;N$47,Assignments!$AM$2:$AM$769,"&gt;="&amp;N$47))</f>
        <v/>
      </c>
      <c r="O59" s="11">
        <f>IF($A59="","",SUMIFS(Assignments!$AK$2:$AK$769,Assignments!$A$2:$A$769,$A59,Assignments!$G$2:$G$769,"Active",Assignments!$AI$2:$AI$769,"&lt;="&amp;O$47,Assignments!$AJ$2:$AJ$769,"&gt;="&amp;O$47)+SUMIFS(Assignments!$AN$2:$AN$769,Assignments!$A$2:$A$769,$A59,Assignments!$G$2:$G$769,"Active",Assignments!$AL$2:$AL$769,"&lt;="&amp;O$47,Assignments!$AM$2:$AM$769,"&gt;="&amp;O$47))</f>
        <v/>
      </c>
      <c r="P59" s="11">
        <f>IF($A59="","",SUMIFS(Assignments!$AK$2:$AK$769,Assignments!$A$2:$A$769,$A59,Assignments!$G$2:$G$769,"Active",Assignments!$AI$2:$AI$769,"&lt;="&amp;P$47,Assignments!$AJ$2:$AJ$769,"&gt;="&amp;P$47)+SUMIFS(Assignments!$AN$2:$AN$769,Assignments!$A$2:$A$769,$A59,Assignments!$G$2:$G$769,"Active",Assignments!$AL$2:$AL$769,"&lt;="&amp;P$47,Assignments!$AM$2:$AM$769,"&gt;="&amp;P$47))</f>
        <v/>
      </c>
      <c r="Q59" s="11">
        <f>IF($A59="","",SUMIFS(Assignments!$AK$2:$AK$769,Assignments!$A$2:$A$769,$A59,Assignments!$G$2:$G$769,"Active",Assignments!$AI$2:$AI$769,"&lt;="&amp;Q$47,Assignments!$AJ$2:$AJ$769,"&gt;="&amp;Q$47)+SUMIFS(Assignments!$AN$2:$AN$769,Assignments!$A$2:$A$769,$A59,Assignments!$G$2:$G$769,"Active",Assignments!$AL$2:$AL$769,"&lt;="&amp;Q$47,Assignments!$AM$2:$AM$769,"&gt;="&amp;Q$47))</f>
        <v/>
      </c>
      <c r="R59" s="11">
        <f>IF($A59="","",SUMIFS(Assignments!$AK$2:$AK$769,Assignments!$A$2:$A$769,$A59,Assignments!$G$2:$G$769,"Active",Assignments!$AI$2:$AI$769,"&lt;="&amp;R$47,Assignments!$AJ$2:$AJ$769,"&gt;="&amp;R$47)+SUMIFS(Assignments!$AN$2:$AN$769,Assignments!$A$2:$A$769,$A59,Assignments!$G$2:$G$769,"Active",Assignments!$AL$2:$AL$769,"&lt;="&amp;R$47,Assignments!$AM$2:$AM$769,"&gt;="&amp;R$47))</f>
        <v/>
      </c>
      <c r="S59" s="11">
        <f>IF($A59="","",SUMIFS(Assignments!$AK$2:$AK$769,Assignments!$A$2:$A$769,$A59,Assignments!$G$2:$G$769,"Active",Assignments!$AI$2:$AI$769,"&lt;="&amp;S$47,Assignments!$AJ$2:$AJ$769,"&gt;="&amp;S$47)+SUMIFS(Assignments!$AN$2:$AN$769,Assignments!$A$2:$A$769,$A59,Assignments!$G$2:$G$769,"Active",Assignments!$AL$2:$AL$769,"&lt;="&amp;S$47,Assignments!$AM$2:$AM$769,"&gt;="&amp;S$47))</f>
        <v/>
      </c>
      <c r="T59" s="11">
        <f>IF($A59="","",SUMIFS(Assignments!$AK$2:$AK$769,Assignments!$A$2:$A$769,$A59,Assignments!$G$2:$G$769,"Active",Assignments!$AI$2:$AI$769,"&lt;="&amp;T$47,Assignments!$AJ$2:$AJ$769,"&gt;="&amp;T$47)+SUMIFS(Assignments!$AN$2:$AN$769,Assignments!$A$2:$A$769,$A59,Assignments!$G$2:$G$769,"Active",Assignments!$AL$2:$AL$769,"&lt;="&amp;T$47,Assignments!$AM$2:$AM$769,"&gt;="&amp;T$47))</f>
        <v/>
      </c>
      <c r="U59" s="11">
        <f>IF($A59="","",SUMIFS(Assignments!$AK$2:$AK$769,Assignments!$A$2:$A$769,$A59,Assignments!$G$2:$G$769,"Active",Assignments!$AI$2:$AI$769,"&lt;="&amp;U$47,Assignments!$AJ$2:$AJ$769,"&gt;="&amp;U$47)+SUMIFS(Assignments!$AN$2:$AN$769,Assignments!$A$2:$A$769,$A59,Assignments!$G$2:$G$769,"Active",Assignments!$AL$2:$AL$769,"&lt;="&amp;U$47,Assignments!$AM$2:$AM$769,"&gt;="&amp;U$47))</f>
        <v/>
      </c>
      <c r="V59" s="11">
        <f>IF($A59="","",SUMIFS(Assignments!$AK$2:$AK$769,Assignments!$A$2:$A$769,$A59,Assignments!$G$2:$G$769,"Active",Assignments!$AI$2:$AI$769,"&lt;="&amp;V$47,Assignments!$AJ$2:$AJ$769,"&gt;="&amp;V$47)+SUMIFS(Assignments!$AN$2:$AN$769,Assignments!$A$2:$A$769,$A59,Assignments!$G$2:$G$769,"Active",Assignments!$AL$2:$AL$769,"&lt;="&amp;V$47,Assignments!$AM$2:$AM$769,"&gt;="&amp;V$47))</f>
        <v/>
      </c>
      <c r="W59" s="11">
        <f>IF($A59="","",SUMIFS(Assignments!$AK$2:$AK$769,Assignments!$A$2:$A$769,$A59,Assignments!$G$2:$G$769,"Active",Assignments!$AI$2:$AI$769,"&lt;="&amp;W$47,Assignments!$AJ$2:$AJ$769,"&gt;="&amp;W$47)+SUMIFS(Assignments!$AN$2:$AN$769,Assignments!$A$2:$A$769,$A59,Assignments!$G$2:$G$769,"Active",Assignments!$AL$2:$AL$769,"&lt;="&amp;W$47,Assignments!$AM$2:$AM$769,"&gt;="&amp;W$47))</f>
        <v/>
      </c>
      <c r="X59" s="11">
        <f>IF($A59="","",SUMIFS(Assignments!$AK$2:$AK$769,Assignments!$A$2:$A$769,$A59,Assignments!$G$2:$G$769,"Active",Assignments!$AI$2:$AI$769,"&lt;="&amp;X$47,Assignments!$AJ$2:$AJ$769,"&gt;="&amp;X$47)+SUMIFS(Assignments!$AN$2:$AN$769,Assignments!$A$2:$A$769,$A59,Assignments!$G$2:$G$769,"Active",Assignments!$AL$2:$AL$769,"&lt;="&amp;X$47,Assignments!$AM$2:$AM$769,"&gt;="&amp;X$47))</f>
        <v/>
      </c>
      <c r="Y59" s="11">
        <f>IF($A59="","",SUMIFS(Assignments!$AK$2:$AK$769,Assignments!$A$2:$A$769,$A59,Assignments!$G$2:$G$769,"Active",Assignments!$AI$2:$AI$769,"&lt;="&amp;Y$47,Assignments!$AJ$2:$AJ$769,"&gt;="&amp;Y$47)+SUMIFS(Assignments!$AN$2:$AN$769,Assignments!$A$2:$A$769,$A59,Assignments!$G$2:$G$769,"Active",Assignments!$AL$2:$AL$769,"&lt;="&amp;Y$47,Assignments!$AM$2:$AM$769,"&gt;="&amp;Y$47))</f>
        <v/>
      </c>
      <c r="Z59" s="11">
        <f>IF($A59="","",SUMIFS(Assignments!$AK$2:$AK$769,Assignments!$A$2:$A$769,$A59,Assignments!$G$2:$G$769,"Active",Assignments!$AI$2:$AI$769,"&lt;="&amp;Z$47,Assignments!$AJ$2:$AJ$769,"&gt;="&amp;Z$47)+SUMIFS(Assignments!$AN$2:$AN$769,Assignments!$A$2:$A$769,$A59,Assignments!$G$2:$G$769,"Active",Assignments!$AL$2:$AL$769,"&lt;="&amp;Z$47,Assignments!$AM$2:$AM$769,"&gt;="&amp;Z$47))</f>
        <v/>
      </c>
      <c r="AA59" s="11">
        <f>IF($A59="","",SUMIFS(Assignments!$AK$2:$AK$769,Assignments!$A$2:$A$769,$A59,Assignments!$G$2:$G$769,"Active",Assignments!$AI$2:$AI$769,"&lt;="&amp;AA$47,Assignments!$AJ$2:$AJ$769,"&gt;="&amp;AA$47)+SUMIFS(Assignments!$AN$2:$AN$769,Assignments!$A$2:$A$769,$A59,Assignments!$G$2:$G$769,"Active",Assignments!$AL$2:$AL$769,"&lt;="&amp;AA$47,Assignments!$AM$2:$AM$769,"&gt;="&amp;AA$47))</f>
        <v/>
      </c>
      <c r="AB59" s="11">
        <f>IF($A59="","",SUMIFS(Assignments!$AK$2:$AK$769,Assignments!$A$2:$A$769,$A59,Assignments!$G$2:$G$769,"Active",Assignments!$AI$2:$AI$769,"&lt;="&amp;AB$47,Assignments!$AJ$2:$AJ$769,"&gt;="&amp;AB$47)+SUMIFS(Assignments!$AN$2:$AN$769,Assignments!$A$2:$A$769,$A59,Assignments!$G$2:$G$769,"Active",Assignments!$AL$2:$AL$769,"&lt;="&amp;AB$47,Assignments!$AM$2:$AM$769,"&gt;="&amp;AB$47))</f>
        <v/>
      </c>
    </row>
    <row r="60">
      <c r="A60" s="9">
        <f>IF(Roster!$A14="","",Roster!$A14)</f>
        <v/>
      </c>
      <c r="B60" s="10">
        <f>IF($A60="","",IFERROR(INDEX(Roster!$D$2:$D$40,MATCH($A60,Roster!$A$2:$A$40,0)),""))</f>
        <v/>
      </c>
      <c r="C60" s="11">
        <f>IF($A60="","",SUMIFS(Assignments!$AK$2:$AK$769,Assignments!$A$2:$A$769,$A60,Assignments!$G$2:$G$769,"Active",Assignments!$AI$2:$AI$769,"&lt;="&amp;C$47,Assignments!$AJ$2:$AJ$769,"&gt;="&amp;C$47)+SUMIFS(Assignments!$AN$2:$AN$769,Assignments!$A$2:$A$769,$A60,Assignments!$G$2:$G$769,"Active",Assignments!$AL$2:$AL$769,"&lt;="&amp;C$47,Assignments!$AM$2:$AM$769,"&gt;="&amp;C$47))</f>
        <v/>
      </c>
      <c r="D60" s="11">
        <f>IF($A60="","",SUMIFS(Assignments!$AK$2:$AK$769,Assignments!$A$2:$A$769,$A60,Assignments!$G$2:$G$769,"Active",Assignments!$AI$2:$AI$769,"&lt;="&amp;D$47,Assignments!$AJ$2:$AJ$769,"&gt;="&amp;D$47)+SUMIFS(Assignments!$AN$2:$AN$769,Assignments!$A$2:$A$769,$A60,Assignments!$G$2:$G$769,"Active",Assignments!$AL$2:$AL$769,"&lt;="&amp;D$47,Assignments!$AM$2:$AM$769,"&gt;="&amp;D$47))</f>
        <v/>
      </c>
      <c r="E60" s="11">
        <f>IF($A60="","",SUMIFS(Assignments!$AK$2:$AK$769,Assignments!$A$2:$A$769,$A60,Assignments!$G$2:$G$769,"Active",Assignments!$AI$2:$AI$769,"&lt;="&amp;E$47,Assignments!$AJ$2:$AJ$769,"&gt;="&amp;E$47)+SUMIFS(Assignments!$AN$2:$AN$769,Assignments!$A$2:$A$769,$A60,Assignments!$G$2:$G$769,"Active",Assignments!$AL$2:$AL$769,"&lt;="&amp;E$47,Assignments!$AM$2:$AM$769,"&gt;="&amp;E$47))</f>
        <v/>
      </c>
      <c r="F60" s="11">
        <f>IF($A60="","",SUMIFS(Assignments!$AK$2:$AK$769,Assignments!$A$2:$A$769,$A60,Assignments!$G$2:$G$769,"Active",Assignments!$AI$2:$AI$769,"&lt;="&amp;F$47,Assignments!$AJ$2:$AJ$769,"&gt;="&amp;F$47)+SUMIFS(Assignments!$AN$2:$AN$769,Assignments!$A$2:$A$769,$A60,Assignments!$G$2:$G$769,"Active",Assignments!$AL$2:$AL$769,"&lt;="&amp;F$47,Assignments!$AM$2:$AM$769,"&gt;="&amp;F$47))</f>
        <v/>
      </c>
      <c r="G60" s="11">
        <f>IF($A60="","",SUMIFS(Assignments!$AK$2:$AK$769,Assignments!$A$2:$A$769,$A60,Assignments!$G$2:$G$769,"Active",Assignments!$AI$2:$AI$769,"&lt;="&amp;G$47,Assignments!$AJ$2:$AJ$769,"&gt;="&amp;G$47)+SUMIFS(Assignments!$AN$2:$AN$769,Assignments!$A$2:$A$769,$A60,Assignments!$G$2:$G$769,"Active",Assignments!$AL$2:$AL$769,"&lt;="&amp;G$47,Assignments!$AM$2:$AM$769,"&gt;="&amp;G$47))</f>
        <v/>
      </c>
      <c r="H60" s="11">
        <f>IF($A60="","",SUMIFS(Assignments!$AK$2:$AK$769,Assignments!$A$2:$A$769,$A60,Assignments!$G$2:$G$769,"Active",Assignments!$AI$2:$AI$769,"&lt;="&amp;H$47,Assignments!$AJ$2:$AJ$769,"&gt;="&amp;H$47)+SUMIFS(Assignments!$AN$2:$AN$769,Assignments!$A$2:$A$769,$A60,Assignments!$G$2:$G$769,"Active",Assignments!$AL$2:$AL$769,"&lt;="&amp;H$47,Assignments!$AM$2:$AM$769,"&gt;="&amp;H$47))</f>
        <v/>
      </c>
      <c r="I60" s="11">
        <f>IF($A60="","",SUMIFS(Assignments!$AK$2:$AK$769,Assignments!$A$2:$A$769,$A60,Assignments!$G$2:$G$769,"Active",Assignments!$AI$2:$AI$769,"&lt;="&amp;I$47,Assignments!$AJ$2:$AJ$769,"&gt;="&amp;I$47)+SUMIFS(Assignments!$AN$2:$AN$769,Assignments!$A$2:$A$769,$A60,Assignments!$G$2:$G$769,"Active",Assignments!$AL$2:$AL$769,"&lt;="&amp;I$47,Assignments!$AM$2:$AM$769,"&gt;="&amp;I$47))</f>
        <v/>
      </c>
      <c r="J60" s="11">
        <f>IF($A60="","",SUMIFS(Assignments!$AK$2:$AK$769,Assignments!$A$2:$A$769,$A60,Assignments!$G$2:$G$769,"Active",Assignments!$AI$2:$AI$769,"&lt;="&amp;J$47,Assignments!$AJ$2:$AJ$769,"&gt;="&amp;J$47)+SUMIFS(Assignments!$AN$2:$AN$769,Assignments!$A$2:$A$769,$A60,Assignments!$G$2:$G$769,"Active",Assignments!$AL$2:$AL$769,"&lt;="&amp;J$47,Assignments!$AM$2:$AM$769,"&gt;="&amp;J$47))</f>
        <v/>
      </c>
      <c r="K60" s="11">
        <f>IF($A60="","",SUMIFS(Assignments!$AK$2:$AK$769,Assignments!$A$2:$A$769,$A60,Assignments!$G$2:$G$769,"Active",Assignments!$AI$2:$AI$769,"&lt;="&amp;K$47,Assignments!$AJ$2:$AJ$769,"&gt;="&amp;K$47)+SUMIFS(Assignments!$AN$2:$AN$769,Assignments!$A$2:$A$769,$A60,Assignments!$G$2:$G$769,"Active",Assignments!$AL$2:$AL$769,"&lt;="&amp;K$47,Assignments!$AM$2:$AM$769,"&gt;="&amp;K$47))</f>
        <v/>
      </c>
      <c r="L60" s="11">
        <f>IF($A60="","",SUMIFS(Assignments!$AK$2:$AK$769,Assignments!$A$2:$A$769,$A60,Assignments!$G$2:$G$769,"Active",Assignments!$AI$2:$AI$769,"&lt;="&amp;L$47,Assignments!$AJ$2:$AJ$769,"&gt;="&amp;L$47)+SUMIFS(Assignments!$AN$2:$AN$769,Assignments!$A$2:$A$769,$A60,Assignments!$G$2:$G$769,"Active",Assignments!$AL$2:$AL$769,"&lt;="&amp;L$47,Assignments!$AM$2:$AM$769,"&gt;="&amp;L$47))</f>
        <v/>
      </c>
      <c r="M60" s="11">
        <f>IF($A60="","",SUMIFS(Assignments!$AK$2:$AK$769,Assignments!$A$2:$A$769,$A60,Assignments!$G$2:$G$769,"Active",Assignments!$AI$2:$AI$769,"&lt;="&amp;M$47,Assignments!$AJ$2:$AJ$769,"&gt;="&amp;M$47)+SUMIFS(Assignments!$AN$2:$AN$769,Assignments!$A$2:$A$769,$A60,Assignments!$G$2:$G$769,"Active",Assignments!$AL$2:$AL$769,"&lt;="&amp;M$47,Assignments!$AM$2:$AM$769,"&gt;="&amp;M$47))</f>
        <v/>
      </c>
      <c r="N60" s="11">
        <f>IF($A60="","",SUMIFS(Assignments!$AK$2:$AK$769,Assignments!$A$2:$A$769,$A60,Assignments!$G$2:$G$769,"Active",Assignments!$AI$2:$AI$769,"&lt;="&amp;N$47,Assignments!$AJ$2:$AJ$769,"&gt;="&amp;N$47)+SUMIFS(Assignments!$AN$2:$AN$769,Assignments!$A$2:$A$769,$A60,Assignments!$G$2:$G$769,"Active",Assignments!$AL$2:$AL$769,"&lt;="&amp;N$47,Assignments!$AM$2:$AM$769,"&gt;="&amp;N$47))</f>
        <v/>
      </c>
      <c r="O60" s="11">
        <f>IF($A60="","",SUMIFS(Assignments!$AK$2:$AK$769,Assignments!$A$2:$A$769,$A60,Assignments!$G$2:$G$769,"Active",Assignments!$AI$2:$AI$769,"&lt;="&amp;O$47,Assignments!$AJ$2:$AJ$769,"&gt;="&amp;O$47)+SUMIFS(Assignments!$AN$2:$AN$769,Assignments!$A$2:$A$769,$A60,Assignments!$G$2:$G$769,"Active",Assignments!$AL$2:$AL$769,"&lt;="&amp;O$47,Assignments!$AM$2:$AM$769,"&gt;="&amp;O$47))</f>
        <v/>
      </c>
      <c r="P60" s="11">
        <f>IF($A60="","",SUMIFS(Assignments!$AK$2:$AK$769,Assignments!$A$2:$A$769,$A60,Assignments!$G$2:$G$769,"Active",Assignments!$AI$2:$AI$769,"&lt;="&amp;P$47,Assignments!$AJ$2:$AJ$769,"&gt;="&amp;P$47)+SUMIFS(Assignments!$AN$2:$AN$769,Assignments!$A$2:$A$769,$A60,Assignments!$G$2:$G$769,"Active",Assignments!$AL$2:$AL$769,"&lt;="&amp;P$47,Assignments!$AM$2:$AM$769,"&gt;="&amp;P$47))</f>
        <v/>
      </c>
      <c r="Q60" s="11">
        <f>IF($A60="","",SUMIFS(Assignments!$AK$2:$AK$769,Assignments!$A$2:$A$769,$A60,Assignments!$G$2:$G$769,"Active",Assignments!$AI$2:$AI$769,"&lt;="&amp;Q$47,Assignments!$AJ$2:$AJ$769,"&gt;="&amp;Q$47)+SUMIFS(Assignments!$AN$2:$AN$769,Assignments!$A$2:$A$769,$A60,Assignments!$G$2:$G$769,"Active",Assignments!$AL$2:$AL$769,"&lt;="&amp;Q$47,Assignments!$AM$2:$AM$769,"&gt;="&amp;Q$47))</f>
        <v/>
      </c>
      <c r="R60" s="11">
        <f>IF($A60="","",SUMIFS(Assignments!$AK$2:$AK$769,Assignments!$A$2:$A$769,$A60,Assignments!$G$2:$G$769,"Active",Assignments!$AI$2:$AI$769,"&lt;="&amp;R$47,Assignments!$AJ$2:$AJ$769,"&gt;="&amp;R$47)+SUMIFS(Assignments!$AN$2:$AN$769,Assignments!$A$2:$A$769,$A60,Assignments!$G$2:$G$769,"Active",Assignments!$AL$2:$AL$769,"&lt;="&amp;R$47,Assignments!$AM$2:$AM$769,"&gt;="&amp;R$47))</f>
        <v/>
      </c>
      <c r="S60" s="11">
        <f>IF($A60="","",SUMIFS(Assignments!$AK$2:$AK$769,Assignments!$A$2:$A$769,$A60,Assignments!$G$2:$G$769,"Active",Assignments!$AI$2:$AI$769,"&lt;="&amp;S$47,Assignments!$AJ$2:$AJ$769,"&gt;="&amp;S$47)+SUMIFS(Assignments!$AN$2:$AN$769,Assignments!$A$2:$A$769,$A60,Assignments!$G$2:$G$769,"Active",Assignments!$AL$2:$AL$769,"&lt;="&amp;S$47,Assignments!$AM$2:$AM$769,"&gt;="&amp;S$47))</f>
        <v/>
      </c>
      <c r="T60" s="11">
        <f>IF($A60="","",SUMIFS(Assignments!$AK$2:$AK$769,Assignments!$A$2:$A$769,$A60,Assignments!$G$2:$G$769,"Active",Assignments!$AI$2:$AI$769,"&lt;="&amp;T$47,Assignments!$AJ$2:$AJ$769,"&gt;="&amp;T$47)+SUMIFS(Assignments!$AN$2:$AN$769,Assignments!$A$2:$A$769,$A60,Assignments!$G$2:$G$769,"Active",Assignments!$AL$2:$AL$769,"&lt;="&amp;T$47,Assignments!$AM$2:$AM$769,"&gt;="&amp;T$47))</f>
        <v/>
      </c>
      <c r="U60" s="11">
        <f>IF($A60="","",SUMIFS(Assignments!$AK$2:$AK$769,Assignments!$A$2:$A$769,$A60,Assignments!$G$2:$G$769,"Active",Assignments!$AI$2:$AI$769,"&lt;="&amp;U$47,Assignments!$AJ$2:$AJ$769,"&gt;="&amp;U$47)+SUMIFS(Assignments!$AN$2:$AN$769,Assignments!$A$2:$A$769,$A60,Assignments!$G$2:$G$769,"Active",Assignments!$AL$2:$AL$769,"&lt;="&amp;U$47,Assignments!$AM$2:$AM$769,"&gt;="&amp;U$47))</f>
        <v/>
      </c>
      <c r="V60" s="11">
        <f>IF($A60="","",SUMIFS(Assignments!$AK$2:$AK$769,Assignments!$A$2:$A$769,$A60,Assignments!$G$2:$G$769,"Active",Assignments!$AI$2:$AI$769,"&lt;="&amp;V$47,Assignments!$AJ$2:$AJ$769,"&gt;="&amp;V$47)+SUMIFS(Assignments!$AN$2:$AN$769,Assignments!$A$2:$A$769,$A60,Assignments!$G$2:$G$769,"Active",Assignments!$AL$2:$AL$769,"&lt;="&amp;V$47,Assignments!$AM$2:$AM$769,"&gt;="&amp;V$47))</f>
        <v/>
      </c>
      <c r="W60" s="11">
        <f>IF($A60="","",SUMIFS(Assignments!$AK$2:$AK$769,Assignments!$A$2:$A$769,$A60,Assignments!$G$2:$G$769,"Active",Assignments!$AI$2:$AI$769,"&lt;="&amp;W$47,Assignments!$AJ$2:$AJ$769,"&gt;="&amp;W$47)+SUMIFS(Assignments!$AN$2:$AN$769,Assignments!$A$2:$A$769,$A60,Assignments!$G$2:$G$769,"Active",Assignments!$AL$2:$AL$769,"&lt;="&amp;W$47,Assignments!$AM$2:$AM$769,"&gt;="&amp;W$47))</f>
        <v/>
      </c>
      <c r="X60" s="11">
        <f>IF($A60="","",SUMIFS(Assignments!$AK$2:$AK$769,Assignments!$A$2:$A$769,$A60,Assignments!$G$2:$G$769,"Active",Assignments!$AI$2:$AI$769,"&lt;="&amp;X$47,Assignments!$AJ$2:$AJ$769,"&gt;="&amp;X$47)+SUMIFS(Assignments!$AN$2:$AN$769,Assignments!$A$2:$A$769,$A60,Assignments!$G$2:$G$769,"Active",Assignments!$AL$2:$AL$769,"&lt;="&amp;X$47,Assignments!$AM$2:$AM$769,"&gt;="&amp;X$47))</f>
        <v/>
      </c>
      <c r="Y60" s="11">
        <f>IF($A60="","",SUMIFS(Assignments!$AK$2:$AK$769,Assignments!$A$2:$A$769,$A60,Assignments!$G$2:$G$769,"Active",Assignments!$AI$2:$AI$769,"&lt;="&amp;Y$47,Assignments!$AJ$2:$AJ$769,"&gt;="&amp;Y$47)+SUMIFS(Assignments!$AN$2:$AN$769,Assignments!$A$2:$A$769,$A60,Assignments!$G$2:$G$769,"Active",Assignments!$AL$2:$AL$769,"&lt;="&amp;Y$47,Assignments!$AM$2:$AM$769,"&gt;="&amp;Y$47))</f>
        <v/>
      </c>
      <c r="Z60" s="11">
        <f>IF($A60="","",SUMIFS(Assignments!$AK$2:$AK$769,Assignments!$A$2:$A$769,$A60,Assignments!$G$2:$G$769,"Active",Assignments!$AI$2:$AI$769,"&lt;="&amp;Z$47,Assignments!$AJ$2:$AJ$769,"&gt;="&amp;Z$47)+SUMIFS(Assignments!$AN$2:$AN$769,Assignments!$A$2:$A$769,$A60,Assignments!$G$2:$G$769,"Active",Assignments!$AL$2:$AL$769,"&lt;="&amp;Z$47,Assignments!$AM$2:$AM$769,"&gt;="&amp;Z$47))</f>
        <v/>
      </c>
      <c r="AA60" s="11">
        <f>IF($A60="","",SUMIFS(Assignments!$AK$2:$AK$769,Assignments!$A$2:$A$769,$A60,Assignments!$G$2:$G$769,"Active",Assignments!$AI$2:$AI$769,"&lt;="&amp;AA$47,Assignments!$AJ$2:$AJ$769,"&gt;="&amp;AA$47)+SUMIFS(Assignments!$AN$2:$AN$769,Assignments!$A$2:$A$769,$A60,Assignments!$G$2:$G$769,"Active",Assignments!$AL$2:$AL$769,"&lt;="&amp;AA$47,Assignments!$AM$2:$AM$769,"&gt;="&amp;AA$47))</f>
        <v/>
      </c>
      <c r="AB60" s="11">
        <f>IF($A60="","",SUMIFS(Assignments!$AK$2:$AK$769,Assignments!$A$2:$A$769,$A60,Assignments!$G$2:$G$769,"Active",Assignments!$AI$2:$AI$769,"&lt;="&amp;AB$47,Assignments!$AJ$2:$AJ$769,"&gt;="&amp;AB$47)+SUMIFS(Assignments!$AN$2:$AN$769,Assignments!$A$2:$A$769,$A60,Assignments!$G$2:$G$769,"Active",Assignments!$AL$2:$AL$769,"&lt;="&amp;AB$47,Assignments!$AM$2:$AM$769,"&gt;="&amp;AB$47))</f>
        <v/>
      </c>
    </row>
    <row r="61">
      <c r="A61" s="9">
        <f>IF(Roster!$A15="","",Roster!$A15)</f>
        <v/>
      </c>
      <c r="B61" s="10">
        <f>IF($A61="","",IFERROR(INDEX(Roster!$D$2:$D$40,MATCH($A61,Roster!$A$2:$A$40,0)),""))</f>
        <v/>
      </c>
      <c r="C61" s="11">
        <f>IF($A61="","",SUMIFS(Assignments!$AK$2:$AK$769,Assignments!$A$2:$A$769,$A61,Assignments!$G$2:$G$769,"Active",Assignments!$AI$2:$AI$769,"&lt;="&amp;C$47,Assignments!$AJ$2:$AJ$769,"&gt;="&amp;C$47)+SUMIFS(Assignments!$AN$2:$AN$769,Assignments!$A$2:$A$769,$A61,Assignments!$G$2:$G$769,"Active",Assignments!$AL$2:$AL$769,"&lt;="&amp;C$47,Assignments!$AM$2:$AM$769,"&gt;="&amp;C$47))</f>
        <v/>
      </c>
      <c r="D61" s="11">
        <f>IF($A61="","",SUMIFS(Assignments!$AK$2:$AK$769,Assignments!$A$2:$A$769,$A61,Assignments!$G$2:$G$769,"Active",Assignments!$AI$2:$AI$769,"&lt;="&amp;D$47,Assignments!$AJ$2:$AJ$769,"&gt;="&amp;D$47)+SUMIFS(Assignments!$AN$2:$AN$769,Assignments!$A$2:$A$769,$A61,Assignments!$G$2:$G$769,"Active",Assignments!$AL$2:$AL$769,"&lt;="&amp;D$47,Assignments!$AM$2:$AM$769,"&gt;="&amp;D$47))</f>
        <v/>
      </c>
      <c r="E61" s="11">
        <f>IF($A61="","",SUMIFS(Assignments!$AK$2:$AK$769,Assignments!$A$2:$A$769,$A61,Assignments!$G$2:$G$769,"Active",Assignments!$AI$2:$AI$769,"&lt;="&amp;E$47,Assignments!$AJ$2:$AJ$769,"&gt;="&amp;E$47)+SUMIFS(Assignments!$AN$2:$AN$769,Assignments!$A$2:$A$769,$A61,Assignments!$G$2:$G$769,"Active",Assignments!$AL$2:$AL$769,"&lt;="&amp;E$47,Assignments!$AM$2:$AM$769,"&gt;="&amp;E$47))</f>
        <v/>
      </c>
      <c r="F61" s="11">
        <f>IF($A61="","",SUMIFS(Assignments!$AK$2:$AK$769,Assignments!$A$2:$A$769,$A61,Assignments!$G$2:$G$769,"Active",Assignments!$AI$2:$AI$769,"&lt;="&amp;F$47,Assignments!$AJ$2:$AJ$769,"&gt;="&amp;F$47)+SUMIFS(Assignments!$AN$2:$AN$769,Assignments!$A$2:$A$769,$A61,Assignments!$G$2:$G$769,"Active",Assignments!$AL$2:$AL$769,"&lt;="&amp;F$47,Assignments!$AM$2:$AM$769,"&gt;="&amp;F$47))</f>
        <v/>
      </c>
      <c r="G61" s="11">
        <f>IF($A61="","",SUMIFS(Assignments!$AK$2:$AK$769,Assignments!$A$2:$A$769,$A61,Assignments!$G$2:$G$769,"Active",Assignments!$AI$2:$AI$769,"&lt;="&amp;G$47,Assignments!$AJ$2:$AJ$769,"&gt;="&amp;G$47)+SUMIFS(Assignments!$AN$2:$AN$769,Assignments!$A$2:$A$769,$A61,Assignments!$G$2:$G$769,"Active",Assignments!$AL$2:$AL$769,"&lt;="&amp;G$47,Assignments!$AM$2:$AM$769,"&gt;="&amp;G$47))</f>
        <v/>
      </c>
      <c r="H61" s="11">
        <f>IF($A61="","",SUMIFS(Assignments!$AK$2:$AK$769,Assignments!$A$2:$A$769,$A61,Assignments!$G$2:$G$769,"Active",Assignments!$AI$2:$AI$769,"&lt;="&amp;H$47,Assignments!$AJ$2:$AJ$769,"&gt;="&amp;H$47)+SUMIFS(Assignments!$AN$2:$AN$769,Assignments!$A$2:$A$769,$A61,Assignments!$G$2:$G$769,"Active",Assignments!$AL$2:$AL$769,"&lt;="&amp;H$47,Assignments!$AM$2:$AM$769,"&gt;="&amp;H$47))</f>
        <v/>
      </c>
      <c r="I61" s="11">
        <f>IF($A61="","",SUMIFS(Assignments!$AK$2:$AK$769,Assignments!$A$2:$A$769,$A61,Assignments!$G$2:$G$769,"Active",Assignments!$AI$2:$AI$769,"&lt;="&amp;I$47,Assignments!$AJ$2:$AJ$769,"&gt;="&amp;I$47)+SUMIFS(Assignments!$AN$2:$AN$769,Assignments!$A$2:$A$769,$A61,Assignments!$G$2:$G$769,"Active",Assignments!$AL$2:$AL$769,"&lt;="&amp;I$47,Assignments!$AM$2:$AM$769,"&gt;="&amp;I$47))</f>
        <v/>
      </c>
      <c r="J61" s="11">
        <f>IF($A61="","",SUMIFS(Assignments!$AK$2:$AK$769,Assignments!$A$2:$A$769,$A61,Assignments!$G$2:$G$769,"Active",Assignments!$AI$2:$AI$769,"&lt;="&amp;J$47,Assignments!$AJ$2:$AJ$769,"&gt;="&amp;J$47)+SUMIFS(Assignments!$AN$2:$AN$769,Assignments!$A$2:$A$769,$A61,Assignments!$G$2:$G$769,"Active",Assignments!$AL$2:$AL$769,"&lt;="&amp;J$47,Assignments!$AM$2:$AM$769,"&gt;="&amp;J$47))</f>
        <v/>
      </c>
      <c r="K61" s="11">
        <f>IF($A61="","",SUMIFS(Assignments!$AK$2:$AK$769,Assignments!$A$2:$A$769,$A61,Assignments!$G$2:$G$769,"Active",Assignments!$AI$2:$AI$769,"&lt;="&amp;K$47,Assignments!$AJ$2:$AJ$769,"&gt;="&amp;K$47)+SUMIFS(Assignments!$AN$2:$AN$769,Assignments!$A$2:$A$769,$A61,Assignments!$G$2:$G$769,"Active",Assignments!$AL$2:$AL$769,"&lt;="&amp;K$47,Assignments!$AM$2:$AM$769,"&gt;="&amp;K$47))</f>
        <v/>
      </c>
      <c r="L61" s="11">
        <f>IF($A61="","",SUMIFS(Assignments!$AK$2:$AK$769,Assignments!$A$2:$A$769,$A61,Assignments!$G$2:$G$769,"Active",Assignments!$AI$2:$AI$769,"&lt;="&amp;L$47,Assignments!$AJ$2:$AJ$769,"&gt;="&amp;L$47)+SUMIFS(Assignments!$AN$2:$AN$769,Assignments!$A$2:$A$769,$A61,Assignments!$G$2:$G$769,"Active",Assignments!$AL$2:$AL$769,"&lt;="&amp;L$47,Assignments!$AM$2:$AM$769,"&gt;="&amp;L$47))</f>
        <v/>
      </c>
      <c r="M61" s="11">
        <f>IF($A61="","",SUMIFS(Assignments!$AK$2:$AK$769,Assignments!$A$2:$A$769,$A61,Assignments!$G$2:$G$769,"Active",Assignments!$AI$2:$AI$769,"&lt;="&amp;M$47,Assignments!$AJ$2:$AJ$769,"&gt;="&amp;M$47)+SUMIFS(Assignments!$AN$2:$AN$769,Assignments!$A$2:$A$769,$A61,Assignments!$G$2:$G$769,"Active",Assignments!$AL$2:$AL$769,"&lt;="&amp;M$47,Assignments!$AM$2:$AM$769,"&gt;="&amp;M$47))</f>
        <v/>
      </c>
      <c r="N61" s="11">
        <f>IF($A61="","",SUMIFS(Assignments!$AK$2:$AK$769,Assignments!$A$2:$A$769,$A61,Assignments!$G$2:$G$769,"Active",Assignments!$AI$2:$AI$769,"&lt;="&amp;N$47,Assignments!$AJ$2:$AJ$769,"&gt;="&amp;N$47)+SUMIFS(Assignments!$AN$2:$AN$769,Assignments!$A$2:$A$769,$A61,Assignments!$G$2:$G$769,"Active",Assignments!$AL$2:$AL$769,"&lt;="&amp;N$47,Assignments!$AM$2:$AM$769,"&gt;="&amp;N$47))</f>
        <v/>
      </c>
      <c r="O61" s="11">
        <f>IF($A61="","",SUMIFS(Assignments!$AK$2:$AK$769,Assignments!$A$2:$A$769,$A61,Assignments!$G$2:$G$769,"Active",Assignments!$AI$2:$AI$769,"&lt;="&amp;O$47,Assignments!$AJ$2:$AJ$769,"&gt;="&amp;O$47)+SUMIFS(Assignments!$AN$2:$AN$769,Assignments!$A$2:$A$769,$A61,Assignments!$G$2:$G$769,"Active",Assignments!$AL$2:$AL$769,"&lt;="&amp;O$47,Assignments!$AM$2:$AM$769,"&gt;="&amp;O$47))</f>
        <v/>
      </c>
      <c r="P61" s="11">
        <f>IF($A61="","",SUMIFS(Assignments!$AK$2:$AK$769,Assignments!$A$2:$A$769,$A61,Assignments!$G$2:$G$769,"Active",Assignments!$AI$2:$AI$769,"&lt;="&amp;P$47,Assignments!$AJ$2:$AJ$769,"&gt;="&amp;P$47)+SUMIFS(Assignments!$AN$2:$AN$769,Assignments!$A$2:$A$769,$A61,Assignments!$G$2:$G$769,"Active",Assignments!$AL$2:$AL$769,"&lt;="&amp;P$47,Assignments!$AM$2:$AM$769,"&gt;="&amp;P$47))</f>
        <v/>
      </c>
      <c r="Q61" s="11">
        <f>IF($A61="","",SUMIFS(Assignments!$AK$2:$AK$769,Assignments!$A$2:$A$769,$A61,Assignments!$G$2:$G$769,"Active",Assignments!$AI$2:$AI$769,"&lt;="&amp;Q$47,Assignments!$AJ$2:$AJ$769,"&gt;="&amp;Q$47)+SUMIFS(Assignments!$AN$2:$AN$769,Assignments!$A$2:$A$769,$A61,Assignments!$G$2:$G$769,"Active",Assignments!$AL$2:$AL$769,"&lt;="&amp;Q$47,Assignments!$AM$2:$AM$769,"&gt;="&amp;Q$47))</f>
        <v/>
      </c>
      <c r="R61" s="11">
        <f>IF($A61="","",SUMIFS(Assignments!$AK$2:$AK$769,Assignments!$A$2:$A$769,$A61,Assignments!$G$2:$G$769,"Active",Assignments!$AI$2:$AI$769,"&lt;="&amp;R$47,Assignments!$AJ$2:$AJ$769,"&gt;="&amp;R$47)+SUMIFS(Assignments!$AN$2:$AN$769,Assignments!$A$2:$A$769,$A61,Assignments!$G$2:$G$769,"Active",Assignments!$AL$2:$AL$769,"&lt;="&amp;R$47,Assignments!$AM$2:$AM$769,"&gt;="&amp;R$47))</f>
        <v/>
      </c>
      <c r="S61" s="11">
        <f>IF($A61="","",SUMIFS(Assignments!$AK$2:$AK$769,Assignments!$A$2:$A$769,$A61,Assignments!$G$2:$G$769,"Active",Assignments!$AI$2:$AI$769,"&lt;="&amp;S$47,Assignments!$AJ$2:$AJ$769,"&gt;="&amp;S$47)+SUMIFS(Assignments!$AN$2:$AN$769,Assignments!$A$2:$A$769,$A61,Assignments!$G$2:$G$769,"Active",Assignments!$AL$2:$AL$769,"&lt;="&amp;S$47,Assignments!$AM$2:$AM$769,"&gt;="&amp;S$47))</f>
        <v/>
      </c>
      <c r="T61" s="11">
        <f>IF($A61="","",SUMIFS(Assignments!$AK$2:$AK$769,Assignments!$A$2:$A$769,$A61,Assignments!$G$2:$G$769,"Active",Assignments!$AI$2:$AI$769,"&lt;="&amp;T$47,Assignments!$AJ$2:$AJ$769,"&gt;="&amp;T$47)+SUMIFS(Assignments!$AN$2:$AN$769,Assignments!$A$2:$A$769,$A61,Assignments!$G$2:$G$769,"Active",Assignments!$AL$2:$AL$769,"&lt;="&amp;T$47,Assignments!$AM$2:$AM$769,"&gt;="&amp;T$47))</f>
        <v/>
      </c>
      <c r="U61" s="11">
        <f>IF($A61="","",SUMIFS(Assignments!$AK$2:$AK$769,Assignments!$A$2:$A$769,$A61,Assignments!$G$2:$G$769,"Active",Assignments!$AI$2:$AI$769,"&lt;="&amp;U$47,Assignments!$AJ$2:$AJ$769,"&gt;="&amp;U$47)+SUMIFS(Assignments!$AN$2:$AN$769,Assignments!$A$2:$A$769,$A61,Assignments!$G$2:$G$769,"Active",Assignments!$AL$2:$AL$769,"&lt;="&amp;U$47,Assignments!$AM$2:$AM$769,"&gt;="&amp;U$47))</f>
        <v/>
      </c>
      <c r="V61" s="11">
        <f>IF($A61="","",SUMIFS(Assignments!$AK$2:$AK$769,Assignments!$A$2:$A$769,$A61,Assignments!$G$2:$G$769,"Active",Assignments!$AI$2:$AI$769,"&lt;="&amp;V$47,Assignments!$AJ$2:$AJ$769,"&gt;="&amp;V$47)+SUMIFS(Assignments!$AN$2:$AN$769,Assignments!$A$2:$A$769,$A61,Assignments!$G$2:$G$769,"Active",Assignments!$AL$2:$AL$769,"&lt;="&amp;V$47,Assignments!$AM$2:$AM$769,"&gt;="&amp;V$47))</f>
        <v/>
      </c>
      <c r="W61" s="11">
        <f>IF($A61="","",SUMIFS(Assignments!$AK$2:$AK$769,Assignments!$A$2:$A$769,$A61,Assignments!$G$2:$G$769,"Active",Assignments!$AI$2:$AI$769,"&lt;="&amp;W$47,Assignments!$AJ$2:$AJ$769,"&gt;="&amp;W$47)+SUMIFS(Assignments!$AN$2:$AN$769,Assignments!$A$2:$A$769,$A61,Assignments!$G$2:$G$769,"Active",Assignments!$AL$2:$AL$769,"&lt;="&amp;W$47,Assignments!$AM$2:$AM$769,"&gt;="&amp;W$47))</f>
        <v/>
      </c>
      <c r="X61" s="11">
        <f>IF($A61="","",SUMIFS(Assignments!$AK$2:$AK$769,Assignments!$A$2:$A$769,$A61,Assignments!$G$2:$G$769,"Active",Assignments!$AI$2:$AI$769,"&lt;="&amp;X$47,Assignments!$AJ$2:$AJ$769,"&gt;="&amp;X$47)+SUMIFS(Assignments!$AN$2:$AN$769,Assignments!$A$2:$A$769,$A61,Assignments!$G$2:$G$769,"Active",Assignments!$AL$2:$AL$769,"&lt;="&amp;X$47,Assignments!$AM$2:$AM$769,"&gt;="&amp;X$47))</f>
        <v/>
      </c>
      <c r="Y61" s="11">
        <f>IF($A61="","",SUMIFS(Assignments!$AK$2:$AK$769,Assignments!$A$2:$A$769,$A61,Assignments!$G$2:$G$769,"Active",Assignments!$AI$2:$AI$769,"&lt;="&amp;Y$47,Assignments!$AJ$2:$AJ$769,"&gt;="&amp;Y$47)+SUMIFS(Assignments!$AN$2:$AN$769,Assignments!$A$2:$A$769,$A61,Assignments!$G$2:$G$769,"Active",Assignments!$AL$2:$AL$769,"&lt;="&amp;Y$47,Assignments!$AM$2:$AM$769,"&gt;="&amp;Y$47))</f>
        <v/>
      </c>
      <c r="Z61" s="11">
        <f>IF($A61="","",SUMIFS(Assignments!$AK$2:$AK$769,Assignments!$A$2:$A$769,$A61,Assignments!$G$2:$G$769,"Active",Assignments!$AI$2:$AI$769,"&lt;="&amp;Z$47,Assignments!$AJ$2:$AJ$769,"&gt;="&amp;Z$47)+SUMIFS(Assignments!$AN$2:$AN$769,Assignments!$A$2:$A$769,$A61,Assignments!$G$2:$G$769,"Active",Assignments!$AL$2:$AL$769,"&lt;="&amp;Z$47,Assignments!$AM$2:$AM$769,"&gt;="&amp;Z$47))</f>
        <v/>
      </c>
      <c r="AA61" s="11">
        <f>IF($A61="","",SUMIFS(Assignments!$AK$2:$AK$769,Assignments!$A$2:$A$769,$A61,Assignments!$G$2:$G$769,"Active",Assignments!$AI$2:$AI$769,"&lt;="&amp;AA$47,Assignments!$AJ$2:$AJ$769,"&gt;="&amp;AA$47)+SUMIFS(Assignments!$AN$2:$AN$769,Assignments!$A$2:$A$769,$A61,Assignments!$G$2:$G$769,"Active",Assignments!$AL$2:$AL$769,"&lt;="&amp;AA$47,Assignments!$AM$2:$AM$769,"&gt;="&amp;AA$47))</f>
        <v/>
      </c>
      <c r="AB61" s="11">
        <f>IF($A61="","",SUMIFS(Assignments!$AK$2:$AK$769,Assignments!$A$2:$A$769,$A61,Assignments!$G$2:$G$769,"Active",Assignments!$AI$2:$AI$769,"&lt;="&amp;AB$47,Assignments!$AJ$2:$AJ$769,"&gt;="&amp;AB$47)+SUMIFS(Assignments!$AN$2:$AN$769,Assignments!$A$2:$A$769,$A61,Assignments!$G$2:$G$769,"Active",Assignments!$AL$2:$AL$769,"&lt;="&amp;AB$47,Assignments!$AM$2:$AM$769,"&gt;="&amp;AB$47))</f>
        <v/>
      </c>
    </row>
    <row r="62">
      <c r="A62" s="9">
        <f>IF(Roster!$A16="","",Roster!$A16)</f>
        <v/>
      </c>
      <c r="B62" s="10">
        <f>IF($A62="","",IFERROR(INDEX(Roster!$D$2:$D$40,MATCH($A62,Roster!$A$2:$A$40,0)),""))</f>
        <v/>
      </c>
      <c r="C62" s="11">
        <f>IF($A62="","",SUMIFS(Assignments!$AK$2:$AK$769,Assignments!$A$2:$A$769,$A62,Assignments!$G$2:$G$769,"Active",Assignments!$AI$2:$AI$769,"&lt;="&amp;C$47,Assignments!$AJ$2:$AJ$769,"&gt;="&amp;C$47)+SUMIFS(Assignments!$AN$2:$AN$769,Assignments!$A$2:$A$769,$A62,Assignments!$G$2:$G$769,"Active",Assignments!$AL$2:$AL$769,"&lt;="&amp;C$47,Assignments!$AM$2:$AM$769,"&gt;="&amp;C$47))</f>
        <v/>
      </c>
      <c r="D62" s="11">
        <f>IF($A62="","",SUMIFS(Assignments!$AK$2:$AK$769,Assignments!$A$2:$A$769,$A62,Assignments!$G$2:$G$769,"Active",Assignments!$AI$2:$AI$769,"&lt;="&amp;D$47,Assignments!$AJ$2:$AJ$769,"&gt;="&amp;D$47)+SUMIFS(Assignments!$AN$2:$AN$769,Assignments!$A$2:$A$769,$A62,Assignments!$G$2:$G$769,"Active",Assignments!$AL$2:$AL$769,"&lt;="&amp;D$47,Assignments!$AM$2:$AM$769,"&gt;="&amp;D$47))</f>
        <v/>
      </c>
      <c r="E62" s="11">
        <f>IF($A62="","",SUMIFS(Assignments!$AK$2:$AK$769,Assignments!$A$2:$A$769,$A62,Assignments!$G$2:$G$769,"Active",Assignments!$AI$2:$AI$769,"&lt;="&amp;E$47,Assignments!$AJ$2:$AJ$769,"&gt;="&amp;E$47)+SUMIFS(Assignments!$AN$2:$AN$769,Assignments!$A$2:$A$769,$A62,Assignments!$G$2:$G$769,"Active",Assignments!$AL$2:$AL$769,"&lt;="&amp;E$47,Assignments!$AM$2:$AM$769,"&gt;="&amp;E$47))</f>
        <v/>
      </c>
      <c r="F62" s="11">
        <f>IF($A62="","",SUMIFS(Assignments!$AK$2:$AK$769,Assignments!$A$2:$A$769,$A62,Assignments!$G$2:$G$769,"Active",Assignments!$AI$2:$AI$769,"&lt;="&amp;F$47,Assignments!$AJ$2:$AJ$769,"&gt;="&amp;F$47)+SUMIFS(Assignments!$AN$2:$AN$769,Assignments!$A$2:$A$769,$A62,Assignments!$G$2:$G$769,"Active",Assignments!$AL$2:$AL$769,"&lt;="&amp;F$47,Assignments!$AM$2:$AM$769,"&gt;="&amp;F$47))</f>
        <v/>
      </c>
      <c r="G62" s="11">
        <f>IF($A62="","",SUMIFS(Assignments!$AK$2:$AK$769,Assignments!$A$2:$A$769,$A62,Assignments!$G$2:$G$769,"Active",Assignments!$AI$2:$AI$769,"&lt;="&amp;G$47,Assignments!$AJ$2:$AJ$769,"&gt;="&amp;G$47)+SUMIFS(Assignments!$AN$2:$AN$769,Assignments!$A$2:$A$769,$A62,Assignments!$G$2:$G$769,"Active",Assignments!$AL$2:$AL$769,"&lt;="&amp;G$47,Assignments!$AM$2:$AM$769,"&gt;="&amp;G$47))</f>
        <v/>
      </c>
      <c r="H62" s="11">
        <f>IF($A62="","",SUMIFS(Assignments!$AK$2:$AK$769,Assignments!$A$2:$A$769,$A62,Assignments!$G$2:$G$769,"Active",Assignments!$AI$2:$AI$769,"&lt;="&amp;H$47,Assignments!$AJ$2:$AJ$769,"&gt;="&amp;H$47)+SUMIFS(Assignments!$AN$2:$AN$769,Assignments!$A$2:$A$769,$A62,Assignments!$G$2:$G$769,"Active",Assignments!$AL$2:$AL$769,"&lt;="&amp;H$47,Assignments!$AM$2:$AM$769,"&gt;="&amp;H$47))</f>
        <v/>
      </c>
      <c r="I62" s="11">
        <f>IF($A62="","",SUMIFS(Assignments!$AK$2:$AK$769,Assignments!$A$2:$A$769,$A62,Assignments!$G$2:$G$769,"Active",Assignments!$AI$2:$AI$769,"&lt;="&amp;I$47,Assignments!$AJ$2:$AJ$769,"&gt;="&amp;I$47)+SUMIFS(Assignments!$AN$2:$AN$769,Assignments!$A$2:$A$769,$A62,Assignments!$G$2:$G$769,"Active",Assignments!$AL$2:$AL$769,"&lt;="&amp;I$47,Assignments!$AM$2:$AM$769,"&gt;="&amp;I$47))</f>
        <v/>
      </c>
      <c r="J62" s="11">
        <f>IF($A62="","",SUMIFS(Assignments!$AK$2:$AK$769,Assignments!$A$2:$A$769,$A62,Assignments!$G$2:$G$769,"Active",Assignments!$AI$2:$AI$769,"&lt;="&amp;J$47,Assignments!$AJ$2:$AJ$769,"&gt;="&amp;J$47)+SUMIFS(Assignments!$AN$2:$AN$769,Assignments!$A$2:$A$769,$A62,Assignments!$G$2:$G$769,"Active",Assignments!$AL$2:$AL$769,"&lt;="&amp;J$47,Assignments!$AM$2:$AM$769,"&gt;="&amp;J$47))</f>
        <v/>
      </c>
      <c r="K62" s="11">
        <f>IF($A62="","",SUMIFS(Assignments!$AK$2:$AK$769,Assignments!$A$2:$A$769,$A62,Assignments!$G$2:$G$769,"Active",Assignments!$AI$2:$AI$769,"&lt;="&amp;K$47,Assignments!$AJ$2:$AJ$769,"&gt;="&amp;K$47)+SUMIFS(Assignments!$AN$2:$AN$769,Assignments!$A$2:$A$769,$A62,Assignments!$G$2:$G$769,"Active",Assignments!$AL$2:$AL$769,"&lt;="&amp;K$47,Assignments!$AM$2:$AM$769,"&gt;="&amp;K$47))</f>
        <v/>
      </c>
      <c r="L62" s="11">
        <f>IF($A62="","",SUMIFS(Assignments!$AK$2:$AK$769,Assignments!$A$2:$A$769,$A62,Assignments!$G$2:$G$769,"Active",Assignments!$AI$2:$AI$769,"&lt;="&amp;L$47,Assignments!$AJ$2:$AJ$769,"&gt;="&amp;L$47)+SUMIFS(Assignments!$AN$2:$AN$769,Assignments!$A$2:$A$769,$A62,Assignments!$G$2:$G$769,"Active",Assignments!$AL$2:$AL$769,"&lt;="&amp;L$47,Assignments!$AM$2:$AM$769,"&gt;="&amp;L$47))</f>
        <v/>
      </c>
      <c r="M62" s="11">
        <f>IF($A62="","",SUMIFS(Assignments!$AK$2:$AK$769,Assignments!$A$2:$A$769,$A62,Assignments!$G$2:$G$769,"Active",Assignments!$AI$2:$AI$769,"&lt;="&amp;M$47,Assignments!$AJ$2:$AJ$769,"&gt;="&amp;M$47)+SUMIFS(Assignments!$AN$2:$AN$769,Assignments!$A$2:$A$769,$A62,Assignments!$G$2:$G$769,"Active",Assignments!$AL$2:$AL$769,"&lt;="&amp;M$47,Assignments!$AM$2:$AM$769,"&gt;="&amp;M$47))</f>
        <v/>
      </c>
      <c r="N62" s="11">
        <f>IF($A62="","",SUMIFS(Assignments!$AK$2:$AK$769,Assignments!$A$2:$A$769,$A62,Assignments!$G$2:$G$769,"Active",Assignments!$AI$2:$AI$769,"&lt;="&amp;N$47,Assignments!$AJ$2:$AJ$769,"&gt;="&amp;N$47)+SUMIFS(Assignments!$AN$2:$AN$769,Assignments!$A$2:$A$769,$A62,Assignments!$G$2:$G$769,"Active",Assignments!$AL$2:$AL$769,"&lt;="&amp;N$47,Assignments!$AM$2:$AM$769,"&gt;="&amp;N$47))</f>
        <v/>
      </c>
      <c r="O62" s="11">
        <f>IF($A62="","",SUMIFS(Assignments!$AK$2:$AK$769,Assignments!$A$2:$A$769,$A62,Assignments!$G$2:$G$769,"Active",Assignments!$AI$2:$AI$769,"&lt;="&amp;O$47,Assignments!$AJ$2:$AJ$769,"&gt;="&amp;O$47)+SUMIFS(Assignments!$AN$2:$AN$769,Assignments!$A$2:$A$769,$A62,Assignments!$G$2:$G$769,"Active",Assignments!$AL$2:$AL$769,"&lt;="&amp;O$47,Assignments!$AM$2:$AM$769,"&gt;="&amp;O$47))</f>
        <v/>
      </c>
      <c r="P62" s="11">
        <f>IF($A62="","",SUMIFS(Assignments!$AK$2:$AK$769,Assignments!$A$2:$A$769,$A62,Assignments!$G$2:$G$769,"Active",Assignments!$AI$2:$AI$769,"&lt;="&amp;P$47,Assignments!$AJ$2:$AJ$769,"&gt;="&amp;P$47)+SUMIFS(Assignments!$AN$2:$AN$769,Assignments!$A$2:$A$769,$A62,Assignments!$G$2:$G$769,"Active",Assignments!$AL$2:$AL$769,"&lt;="&amp;P$47,Assignments!$AM$2:$AM$769,"&gt;="&amp;P$47))</f>
        <v/>
      </c>
      <c r="Q62" s="11">
        <f>IF($A62="","",SUMIFS(Assignments!$AK$2:$AK$769,Assignments!$A$2:$A$769,$A62,Assignments!$G$2:$G$769,"Active",Assignments!$AI$2:$AI$769,"&lt;="&amp;Q$47,Assignments!$AJ$2:$AJ$769,"&gt;="&amp;Q$47)+SUMIFS(Assignments!$AN$2:$AN$769,Assignments!$A$2:$A$769,$A62,Assignments!$G$2:$G$769,"Active",Assignments!$AL$2:$AL$769,"&lt;="&amp;Q$47,Assignments!$AM$2:$AM$769,"&gt;="&amp;Q$47))</f>
        <v/>
      </c>
      <c r="R62" s="11">
        <f>IF($A62="","",SUMIFS(Assignments!$AK$2:$AK$769,Assignments!$A$2:$A$769,$A62,Assignments!$G$2:$G$769,"Active",Assignments!$AI$2:$AI$769,"&lt;="&amp;R$47,Assignments!$AJ$2:$AJ$769,"&gt;="&amp;R$47)+SUMIFS(Assignments!$AN$2:$AN$769,Assignments!$A$2:$A$769,$A62,Assignments!$G$2:$G$769,"Active",Assignments!$AL$2:$AL$769,"&lt;="&amp;R$47,Assignments!$AM$2:$AM$769,"&gt;="&amp;R$47))</f>
        <v/>
      </c>
      <c r="S62" s="11">
        <f>IF($A62="","",SUMIFS(Assignments!$AK$2:$AK$769,Assignments!$A$2:$A$769,$A62,Assignments!$G$2:$G$769,"Active",Assignments!$AI$2:$AI$769,"&lt;="&amp;S$47,Assignments!$AJ$2:$AJ$769,"&gt;="&amp;S$47)+SUMIFS(Assignments!$AN$2:$AN$769,Assignments!$A$2:$A$769,$A62,Assignments!$G$2:$G$769,"Active",Assignments!$AL$2:$AL$769,"&lt;="&amp;S$47,Assignments!$AM$2:$AM$769,"&gt;="&amp;S$47))</f>
        <v/>
      </c>
      <c r="T62" s="11">
        <f>IF($A62="","",SUMIFS(Assignments!$AK$2:$AK$769,Assignments!$A$2:$A$769,$A62,Assignments!$G$2:$G$769,"Active",Assignments!$AI$2:$AI$769,"&lt;="&amp;T$47,Assignments!$AJ$2:$AJ$769,"&gt;="&amp;T$47)+SUMIFS(Assignments!$AN$2:$AN$769,Assignments!$A$2:$A$769,$A62,Assignments!$G$2:$G$769,"Active",Assignments!$AL$2:$AL$769,"&lt;="&amp;T$47,Assignments!$AM$2:$AM$769,"&gt;="&amp;T$47))</f>
        <v/>
      </c>
      <c r="U62" s="11">
        <f>IF($A62="","",SUMIFS(Assignments!$AK$2:$AK$769,Assignments!$A$2:$A$769,$A62,Assignments!$G$2:$G$769,"Active",Assignments!$AI$2:$AI$769,"&lt;="&amp;U$47,Assignments!$AJ$2:$AJ$769,"&gt;="&amp;U$47)+SUMIFS(Assignments!$AN$2:$AN$769,Assignments!$A$2:$A$769,$A62,Assignments!$G$2:$G$769,"Active",Assignments!$AL$2:$AL$769,"&lt;="&amp;U$47,Assignments!$AM$2:$AM$769,"&gt;="&amp;U$47))</f>
        <v/>
      </c>
      <c r="V62" s="11">
        <f>IF($A62="","",SUMIFS(Assignments!$AK$2:$AK$769,Assignments!$A$2:$A$769,$A62,Assignments!$G$2:$G$769,"Active",Assignments!$AI$2:$AI$769,"&lt;="&amp;V$47,Assignments!$AJ$2:$AJ$769,"&gt;="&amp;V$47)+SUMIFS(Assignments!$AN$2:$AN$769,Assignments!$A$2:$A$769,$A62,Assignments!$G$2:$G$769,"Active",Assignments!$AL$2:$AL$769,"&lt;="&amp;V$47,Assignments!$AM$2:$AM$769,"&gt;="&amp;V$47))</f>
        <v/>
      </c>
      <c r="W62" s="11">
        <f>IF($A62="","",SUMIFS(Assignments!$AK$2:$AK$769,Assignments!$A$2:$A$769,$A62,Assignments!$G$2:$G$769,"Active",Assignments!$AI$2:$AI$769,"&lt;="&amp;W$47,Assignments!$AJ$2:$AJ$769,"&gt;="&amp;W$47)+SUMIFS(Assignments!$AN$2:$AN$769,Assignments!$A$2:$A$769,$A62,Assignments!$G$2:$G$769,"Active",Assignments!$AL$2:$AL$769,"&lt;="&amp;W$47,Assignments!$AM$2:$AM$769,"&gt;="&amp;W$47))</f>
        <v/>
      </c>
      <c r="X62" s="11">
        <f>IF($A62="","",SUMIFS(Assignments!$AK$2:$AK$769,Assignments!$A$2:$A$769,$A62,Assignments!$G$2:$G$769,"Active",Assignments!$AI$2:$AI$769,"&lt;="&amp;X$47,Assignments!$AJ$2:$AJ$769,"&gt;="&amp;X$47)+SUMIFS(Assignments!$AN$2:$AN$769,Assignments!$A$2:$A$769,$A62,Assignments!$G$2:$G$769,"Active",Assignments!$AL$2:$AL$769,"&lt;="&amp;X$47,Assignments!$AM$2:$AM$769,"&gt;="&amp;X$47))</f>
        <v/>
      </c>
      <c r="Y62" s="11">
        <f>IF($A62="","",SUMIFS(Assignments!$AK$2:$AK$769,Assignments!$A$2:$A$769,$A62,Assignments!$G$2:$G$769,"Active",Assignments!$AI$2:$AI$769,"&lt;="&amp;Y$47,Assignments!$AJ$2:$AJ$769,"&gt;="&amp;Y$47)+SUMIFS(Assignments!$AN$2:$AN$769,Assignments!$A$2:$A$769,$A62,Assignments!$G$2:$G$769,"Active",Assignments!$AL$2:$AL$769,"&lt;="&amp;Y$47,Assignments!$AM$2:$AM$769,"&gt;="&amp;Y$47))</f>
        <v/>
      </c>
      <c r="Z62" s="11">
        <f>IF($A62="","",SUMIFS(Assignments!$AK$2:$AK$769,Assignments!$A$2:$A$769,$A62,Assignments!$G$2:$G$769,"Active",Assignments!$AI$2:$AI$769,"&lt;="&amp;Z$47,Assignments!$AJ$2:$AJ$769,"&gt;="&amp;Z$47)+SUMIFS(Assignments!$AN$2:$AN$769,Assignments!$A$2:$A$769,$A62,Assignments!$G$2:$G$769,"Active",Assignments!$AL$2:$AL$769,"&lt;="&amp;Z$47,Assignments!$AM$2:$AM$769,"&gt;="&amp;Z$47))</f>
        <v/>
      </c>
      <c r="AA62" s="11">
        <f>IF($A62="","",SUMIFS(Assignments!$AK$2:$AK$769,Assignments!$A$2:$A$769,$A62,Assignments!$G$2:$G$769,"Active",Assignments!$AI$2:$AI$769,"&lt;="&amp;AA$47,Assignments!$AJ$2:$AJ$769,"&gt;="&amp;AA$47)+SUMIFS(Assignments!$AN$2:$AN$769,Assignments!$A$2:$A$769,$A62,Assignments!$G$2:$G$769,"Active",Assignments!$AL$2:$AL$769,"&lt;="&amp;AA$47,Assignments!$AM$2:$AM$769,"&gt;="&amp;AA$47))</f>
        <v/>
      </c>
      <c r="AB62" s="11">
        <f>IF($A62="","",SUMIFS(Assignments!$AK$2:$AK$769,Assignments!$A$2:$A$769,$A62,Assignments!$G$2:$G$769,"Active",Assignments!$AI$2:$AI$769,"&lt;="&amp;AB$47,Assignments!$AJ$2:$AJ$769,"&gt;="&amp;AB$47)+SUMIFS(Assignments!$AN$2:$AN$769,Assignments!$A$2:$A$769,$A62,Assignments!$G$2:$G$769,"Active",Assignments!$AL$2:$AL$769,"&lt;="&amp;AB$47,Assignments!$AM$2:$AM$769,"&gt;="&amp;AB$47))</f>
        <v/>
      </c>
    </row>
    <row r="63">
      <c r="A63" s="9">
        <f>IF(Roster!$A17="","",Roster!$A17)</f>
        <v/>
      </c>
      <c r="B63" s="10">
        <f>IF($A63="","",IFERROR(INDEX(Roster!$D$2:$D$40,MATCH($A63,Roster!$A$2:$A$40,0)),""))</f>
        <v/>
      </c>
      <c r="C63" s="11">
        <f>IF($A63="","",SUMIFS(Assignments!$AK$2:$AK$769,Assignments!$A$2:$A$769,$A63,Assignments!$G$2:$G$769,"Active",Assignments!$AI$2:$AI$769,"&lt;="&amp;C$47,Assignments!$AJ$2:$AJ$769,"&gt;="&amp;C$47)+SUMIFS(Assignments!$AN$2:$AN$769,Assignments!$A$2:$A$769,$A63,Assignments!$G$2:$G$769,"Active",Assignments!$AL$2:$AL$769,"&lt;="&amp;C$47,Assignments!$AM$2:$AM$769,"&gt;="&amp;C$47))</f>
        <v/>
      </c>
      <c r="D63" s="11">
        <f>IF($A63="","",SUMIFS(Assignments!$AK$2:$AK$769,Assignments!$A$2:$A$769,$A63,Assignments!$G$2:$G$769,"Active",Assignments!$AI$2:$AI$769,"&lt;="&amp;D$47,Assignments!$AJ$2:$AJ$769,"&gt;="&amp;D$47)+SUMIFS(Assignments!$AN$2:$AN$769,Assignments!$A$2:$A$769,$A63,Assignments!$G$2:$G$769,"Active",Assignments!$AL$2:$AL$769,"&lt;="&amp;D$47,Assignments!$AM$2:$AM$769,"&gt;="&amp;D$47))</f>
        <v/>
      </c>
      <c r="E63" s="11">
        <f>IF($A63="","",SUMIFS(Assignments!$AK$2:$AK$769,Assignments!$A$2:$A$769,$A63,Assignments!$G$2:$G$769,"Active",Assignments!$AI$2:$AI$769,"&lt;="&amp;E$47,Assignments!$AJ$2:$AJ$769,"&gt;="&amp;E$47)+SUMIFS(Assignments!$AN$2:$AN$769,Assignments!$A$2:$A$769,$A63,Assignments!$G$2:$G$769,"Active",Assignments!$AL$2:$AL$769,"&lt;="&amp;E$47,Assignments!$AM$2:$AM$769,"&gt;="&amp;E$47))</f>
        <v/>
      </c>
      <c r="F63" s="11">
        <f>IF($A63="","",SUMIFS(Assignments!$AK$2:$AK$769,Assignments!$A$2:$A$769,$A63,Assignments!$G$2:$G$769,"Active",Assignments!$AI$2:$AI$769,"&lt;="&amp;F$47,Assignments!$AJ$2:$AJ$769,"&gt;="&amp;F$47)+SUMIFS(Assignments!$AN$2:$AN$769,Assignments!$A$2:$A$769,$A63,Assignments!$G$2:$G$769,"Active",Assignments!$AL$2:$AL$769,"&lt;="&amp;F$47,Assignments!$AM$2:$AM$769,"&gt;="&amp;F$47))</f>
        <v/>
      </c>
      <c r="G63" s="11">
        <f>IF($A63="","",SUMIFS(Assignments!$AK$2:$AK$769,Assignments!$A$2:$A$769,$A63,Assignments!$G$2:$G$769,"Active",Assignments!$AI$2:$AI$769,"&lt;="&amp;G$47,Assignments!$AJ$2:$AJ$769,"&gt;="&amp;G$47)+SUMIFS(Assignments!$AN$2:$AN$769,Assignments!$A$2:$A$769,$A63,Assignments!$G$2:$G$769,"Active",Assignments!$AL$2:$AL$769,"&lt;="&amp;G$47,Assignments!$AM$2:$AM$769,"&gt;="&amp;G$47))</f>
        <v/>
      </c>
      <c r="H63" s="11">
        <f>IF($A63="","",SUMIFS(Assignments!$AK$2:$AK$769,Assignments!$A$2:$A$769,$A63,Assignments!$G$2:$G$769,"Active",Assignments!$AI$2:$AI$769,"&lt;="&amp;H$47,Assignments!$AJ$2:$AJ$769,"&gt;="&amp;H$47)+SUMIFS(Assignments!$AN$2:$AN$769,Assignments!$A$2:$A$769,$A63,Assignments!$G$2:$G$769,"Active",Assignments!$AL$2:$AL$769,"&lt;="&amp;H$47,Assignments!$AM$2:$AM$769,"&gt;="&amp;H$47))</f>
        <v/>
      </c>
      <c r="I63" s="11">
        <f>IF($A63="","",SUMIFS(Assignments!$AK$2:$AK$769,Assignments!$A$2:$A$769,$A63,Assignments!$G$2:$G$769,"Active",Assignments!$AI$2:$AI$769,"&lt;="&amp;I$47,Assignments!$AJ$2:$AJ$769,"&gt;="&amp;I$47)+SUMIFS(Assignments!$AN$2:$AN$769,Assignments!$A$2:$A$769,$A63,Assignments!$G$2:$G$769,"Active",Assignments!$AL$2:$AL$769,"&lt;="&amp;I$47,Assignments!$AM$2:$AM$769,"&gt;="&amp;I$47))</f>
        <v/>
      </c>
      <c r="J63" s="11">
        <f>IF($A63="","",SUMIFS(Assignments!$AK$2:$AK$769,Assignments!$A$2:$A$769,$A63,Assignments!$G$2:$G$769,"Active",Assignments!$AI$2:$AI$769,"&lt;="&amp;J$47,Assignments!$AJ$2:$AJ$769,"&gt;="&amp;J$47)+SUMIFS(Assignments!$AN$2:$AN$769,Assignments!$A$2:$A$769,$A63,Assignments!$G$2:$G$769,"Active",Assignments!$AL$2:$AL$769,"&lt;="&amp;J$47,Assignments!$AM$2:$AM$769,"&gt;="&amp;J$47))</f>
        <v/>
      </c>
      <c r="K63" s="11">
        <f>IF($A63="","",SUMIFS(Assignments!$AK$2:$AK$769,Assignments!$A$2:$A$769,$A63,Assignments!$G$2:$G$769,"Active",Assignments!$AI$2:$AI$769,"&lt;="&amp;K$47,Assignments!$AJ$2:$AJ$769,"&gt;="&amp;K$47)+SUMIFS(Assignments!$AN$2:$AN$769,Assignments!$A$2:$A$769,$A63,Assignments!$G$2:$G$769,"Active",Assignments!$AL$2:$AL$769,"&lt;="&amp;K$47,Assignments!$AM$2:$AM$769,"&gt;="&amp;K$47))</f>
        <v/>
      </c>
      <c r="L63" s="11">
        <f>IF($A63="","",SUMIFS(Assignments!$AK$2:$AK$769,Assignments!$A$2:$A$769,$A63,Assignments!$G$2:$G$769,"Active",Assignments!$AI$2:$AI$769,"&lt;="&amp;L$47,Assignments!$AJ$2:$AJ$769,"&gt;="&amp;L$47)+SUMIFS(Assignments!$AN$2:$AN$769,Assignments!$A$2:$A$769,$A63,Assignments!$G$2:$G$769,"Active",Assignments!$AL$2:$AL$769,"&lt;="&amp;L$47,Assignments!$AM$2:$AM$769,"&gt;="&amp;L$47))</f>
        <v/>
      </c>
      <c r="M63" s="11">
        <f>IF($A63="","",SUMIFS(Assignments!$AK$2:$AK$769,Assignments!$A$2:$A$769,$A63,Assignments!$G$2:$G$769,"Active",Assignments!$AI$2:$AI$769,"&lt;="&amp;M$47,Assignments!$AJ$2:$AJ$769,"&gt;="&amp;M$47)+SUMIFS(Assignments!$AN$2:$AN$769,Assignments!$A$2:$A$769,$A63,Assignments!$G$2:$G$769,"Active",Assignments!$AL$2:$AL$769,"&lt;="&amp;M$47,Assignments!$AM$2:$AM$769,"&gt;="&amp;M$47))</f>
        <v/>
      </c>
      <c r="N63" s="11">
        <f>IF($A63="","",SUMIFS(Assignments!$AK$2:$AK$769,Assignments!$A$2:$A$769,$A63,Assignments!$G$2:$G$769,"Active",Assignments!$AI$2:$AI$769,"&lt;="&amp;N$47,Assignments!$AJ$2:$AJ$769,"&gt;="&amp;N$47)+SUMIFS(Assignments!$AN$2:$AN$769,Assignments!$A$2:$A$769,$A63,Assignments!$G$2:$G$769,"Active",Assignments!$AL$2:$AL$769,"&lt;="&amp;N$47,Assignments!$AM$2:$AM$769,"&gt;="&amp;N$47))</f>
        <v/>
      </c>
      <c r="O63" s="11">
        <f>IF($A63="","",SUMIFS(Assignments!$AK$2:$AK$769,Assignments!$A$2:$A$769,$A63,Assignments!$G$2:$G$769,"Active",Assignments!$AI$2:$AI$769,"&lt;="&amp;O$47,Assignments!$AJ$2:$AJ$769,"&gt;="&amp;O$47)+SUMIFS(Assignments!$AN$2:$AN$769,Assignments!$A$2:$A$769,$A63,Assignments!$G$2:$G$769,"Active",Assignments!$AL$2:$AL$769,"&lt;="&amp;O$47,Assignments!$AM$2:$AM$769,"&gt;="&amp;O$47))</f>
        <v/>
      </c>
      <c r="P63" s="11">
        <f>IF($A63="","",SUMIFS(Assignments!$AK$2:$AK$769,Assignments!$A$2:$A$769,$A63,Assignments!$G$2:$G$769,"Active",Assignments!$AI$2:$AI$769,"&lt;="&amp;P$47,Assignments!$AJ$2:$AJ$769,"&gt;="&amp;P$47)+SUMIFS(Assignments!$AN$2:$AN$769,Assignments!$A$2:$A$769,$A63,Assignments!$G$2:$G$769,"Active",Assignments!$AL$2:$AL$769,"&lt;="&amp;P$47,Assignments!$AM$2:$AM$769,"&gt;="&amp;P$47))</f>
        <v/>
      </c>
      <c r="Q63" s="11">
        <f>IF($A63="","",SUMIFS(Assignments!$AK$2:$AK$769,Assignments!$A$2:$A$769,$A63,Assignments!$G$2:$G$769,"Active",Assignments!$AI$2:$AI$769,"&lt;="&amp;Q$47,Assignments!$AJ$2:$AJ$769,"&gt;="&amp;Q$47)+SUMIFS(Assignments!$AN$2:$AN$769,Assignments!$A$2:$A$769,$A63,Assignments!$G$2:$G$769,"Active",Assignments!$AL$2:$AL$769,"&lt;="&amp;Q$47,Assignments!$AM$2:$AM$769,"&gt;="&amp;Q$47))</f>
        <v/>
      </c>
      <c r="R63" s="11">
        <f>IF($A63="","",SUMIFS(Assignments!$AK$2:$AK$769,Assignments!$A$2:$A$769,$A63,Assignments!$G$2:$G$769,"Active",Assignments!$AI$2:$AI$769,"&lt;="&amp;R$47,Assignments!$AJ$2:$AJ$769,"&gt;="&amp;R$47)+SUMIFS(Assignments!$AN$2:$AN$769,Assignments!$A$2:$A$769,$A63,Assignments!$G$2:$G$769,"Active",Assignments!$AL$2:$AL$769,"&lt;="&amp;R$47,Assignments!$AM$2:$AM$769,"&gt;="&amp;R$47))</f>
        <v/>
      </c>
      <c r="S63" s="11">
        <f>IF($A63="","",SUMIFS(Assignments!$AK$2:$AK$769,Assignments!$A$2:$A$769,$A63,Assignments!$G$2:$G$769,"Active",Assignments!$AI$2:$AI$769,"&lt;="&amp;S$47,Assignments!$AJ$2:$AJ$769,"&gt;="&amp;S$47)+SUMIFS(Assignments!$AN$2:$AN$769,Assignments!$A$2:$A$769,$A63,Assignments!$G$2:$G$769,"Active",Assignments!$AL$2:$AL$769,"&lt;="&amp;S$47,Assignments!$AM$2:$AM$769,"&gt;="&amp;S$47))</f>
        <v/>
      </c>
      <c r="T63" s="11">
        <f>IF($A63="","",SUMIFS(Assignments!$AK$2:$AK$769,Assignments!$A$2:$A$769,$A63,Assignments!$G$2:$G$769,"Active",Assignments!$AI$2:$AI$769,"&lt;="&amp;T$47,Assignments!$AJ$2:$AJ$769,"&gt;="&amp;T$47)+SUMIFS(Assignments!$AN$2:$AN$769,Assignments!$A$2:$A$769,$A63,Assignments!$G$2:$G$769,"Active",Assignments!$AL$2:$AL$769,"&lt;="&amp;T$47,Assignments!$AM$2:$AM$769,"&gt;="&amp;T$47))</f>
        <v/>
      </c>
      <c r="U63" s="11">
        <f>IF($A63="","",SUMIFS(Assignments!$AK$2:$AK$769,Assignments!$A$2:$A$769,$A63,Assignments!$G$2:$G$769,"Active",Assignments!$AI$2:$AI$769,"&lt;="&amp;U$47,Assignments!$AJ$2:$AJ$769,"&gt;="&amp;U$47)+SUMIFS(Assignments!$AN$2:$AN$769,Assignments!$A$2:$A$769,$A63,Assignments!$G$2:$G$769,"Active",Assignments!$AL$2:$AL$769,"&lt;="&amp;U$47,Assignments!$AM$2:$AM$769,"&gt;="&amp;U$47))</f>
        <v/>
      </c>
      <c r="V63" s="11">
        <f>IF($A63="","",SUMIFS(Assignments!$AK$2:$AK$769,Assignments!$A$2:$A$769,$A63,Assignments!$G$2:$G$769,"Active",Assignments!$AI$2:$AI$769,"&lt;="&amp;V$47,Assignments!$AJ$2:$AJ$769,"&gt;="&amp;V$47)+SUMIFS(Assignments!$AN$2:$AN$769,Assignments!$A$2:$A$769,$A63,Assignments!$G$2:$G$769,"Active",Assignments!$AL$2:$AL$769,"&lt;="&amp;V$47,Assignments!$AM$2:$AM$769,"&gt;="&amp;V$47))</f>
        <v/>
      </c>
      <c r="W63" s="11">
        <f>IF($A63="","",SUMIFS(Assignments!$AK$2:$AK$769,Assignments!$A$2:$A$769,$A63,Assignments!$G$2:$G$769,"Active",Assignments!$AI$2:$AI$769,"&lt;="&amp;W$47,Assignments!$AJ$2:$AJ$769,"&gt;="&amp;W$47)+SUMIFS(Assignments!$AN$2:$AN$769,Assignments!$A$2:$A$769,$A63,Assignments!$G$2:$G$769,"Active",Assignments!$AL$2:$AL$769,"&lt;="&amp;W$47,Assignments!$AM$2:$AM$769,"&gt;="&amp;W$47))</f>
        <v/>
      </c>
      <c r="X63" s="11">
        <f>IF($A63="","",SUMIFS(Assignments!$AK$2:$AK$769,Assignments!$A$2:$A$769,$A63,Assignments!$G$2:$G$769,"Active",Assignments!$AI$2:$AI$769,"&lt;="&amp;X$47,Assignments!$AJ$2:$AJ$769,"&gt;="&amp;X$47)+SUMIFS(Assignments!$AN$2:$AN$769,Assignments!$A$2:$A$769,$A63,Assignments!$G$2:$G$769,"Active",Assignments!$AL$2:$AL$769,"&lt;="&amp;X$47,Assignments!$AM$2:$AM$769,"&gt;="&amp;X$47))</f>
        <v/>
      </c>
      <c r="Y63" s="11">
        <f>IF($A63="","",SUMIFS(Assignments!$AK$2:$AK$769,Assignments!$A$2:$A$769,$A63,Assignments!$G$2:$G$769,"Active",Assignments!$AI$2:$AI$769,"&lt;="&amp;Y$47,Assignments!$AJ$2:$AJ$769,"&gt;="&amp;Y$47)+SUMIFS(Assignments!$AN$2:$AN$769,Assignments!$A$2:$A$769,$A63,Assignments!$G$2:$G$769,"Active",Assignments!$AL$2:$AL$769,"&lt;="&amp;Y$47,Assignments!$AM$2:$AM$769,"&gt;="&amp;Y$47))</f>
        <v/>
      </c>
      <c r="Z63" s="11">
        <f>IF($A63="","",SUMIFS(Assignments!$AK$2:$AK$769,Assignments!$A$2:$A$769,$A63,Assignments!$G$2:$G$769,"Active",Assignments!$AI$2:$AI$769,"&lt;="&amp;Z$47,Assignments!$AJ$2:$AJ$769,"&gt;="&amp;Z$47)+SUMIFS(Assignments!$AN$2:$AN$769,Assignments!$A$2:$A$769,$A63,Assignments!$G$2:$G$769,"Active",Assignments!$AL$2:$AL$769,"&lt;="&amp;Z$47,Assignments!$AM$2:$AM$769,"&gt;="&amp;Z$47))</f>
        <v/>
      </c>
      <c r="AA63" s="11">
        <f>IF($A63="","",SUMIFS(Assignments!$AK$2:$AK$769,Assignments!$A$2:$A$769,$A63,Assignments!$G$2:$G$769,"Active",Assignments!$AI$2:$AI$769,"&lt;="&amp;AA$47,Assignments!$AJ$2:$AJ$769,"&gt;="&amp;AA$47)+SUMIFS(Assignments!$AN$2:$AN$769,Assignments!$A$2:$A$769,$A63,Assignments!$G$2:$G$769,"Active",Assignments!$AL$2:$AL$769,"&lt;="&amp;AA$47,Assignments!$AM$2:$AM$769,"&gt;="&amp;AA$47))</f>
        <v/>
      </c>
      <c r="AB63" s="11">
        <f>IF($A63="","",SUMIFS(Assignments!$AK$2:$AK$769,Assignments!$A$2:$A$769,$A63,Assignments!$G$2:$G$769,"Active",Assignments!$AI$2:$AI$769,"&lt;="&amp;AB$47,Assignments!$AJ$2:$AJ$769,"&gt;="&amp;AB$47)+SUMIFS(Assignments!$AN$2:$AN$769,Assignments!$A$2:$A$769,$A63,Assignments!$G$2:$G$769,"Active",Assignments!$AL$2:$AL$769,"&lt;="&amp;AB$47,Assignments!$AM$2:$AM$769,"&gt;="&amp;AB$47))</f>
        <v/>
      </c>
    </row>
    <row r="64">
      <c r="A64" s="9">
        <f>IF(Roster!$A18="","",Roster!$A18)</f>
        <v/>
      </c>
      <c r="B64" s="10">
        <f>IF($A64="","",IFERROR(INDEX(Roster!$D$2:$D$40,MATCH($A64,Roster!$A$2:$A$40,0)),""))</f>
        <v/>
      </c>
      <c r="C64" s="11">
        <f>IF($A64="","",SUMIFS(Assignments!$AK$2:$AK$769,Assignments!$A$2:$A$769,$A64,Assignments!$G$2:$G$769,"Active",Assignments!$AI$2:$AI$769,"&lt;="&amp;C$47,Assignments!$AJ$2:$AJ$769,"&gt;="&amp;C$47)+SUMIFS(Assignments!$AN$2:$AN$769,Assignments!$A$2:$A$769,$A64,Assignments!$G$2:$G$769,"Active",Assignments!$AL$2:$AL$769,"&lt;="&amp;C$47,Assignments!$AM$2:$AM$769,"&gt;="&amp;C$47))</f>
        <v/>
      </c>
      <c r="D64" s="11">
        <f>IF($A64="","",SUMIFS(Assignments!$AK$2:$AK$769,Assignments!$A$2:$A$769,$A64,Assignments!$G$2:$G$769,"Active",Assignments!$AI$2:$AI$769,"&lt;="&amp;D$47,Assignments!$AJ$2:$AJ$769,"&gt;="&amp;D$47)+SUMIFS(Assignments!$AN$2:$AN$769,Assignments!$A$2:$A$769,$A64,Assignments!$G$2:$G$769,"Active",Assignments!$AL$2:$AL$769,"&lt;="&amp;D$47,Assignments!$AM$2:$AM$769,"&gt;="&amp;D$47))</f>
        <v/>
      </c>
      <c r="E64" s="11">
        <f>IF($A64="","",SUMIFS(Assignments!$AK$2:$AK$769,Assignments!$A$2:$A$769,$A64,Assignments!$G$2:$G$769,"Active",Assignments!$AI$2:$AI$769,"&lt;="&amp;E$47,Assignments!$AJ$2:$AJ$769,"&gt;="&amp;E$47)+SUMIFS(Assignments!$AN$2:$AN$769,Assignments!$A$2:$A$769,$A64,Assignments!$G$2:$G$769,"Active",Assignments!$AL$2:$AL$769,"&lt;="&amp;E$47,Assignments!$AM$2:$AM$769,"&gt;="&amp;E$47))</f>
        <v/>
      </c>
      <c r="F64" s="11">
        <f>IF($A64="","",SUMIFS(Assignments!$AK$2:$AK$769,Assignments!$A$2:$A$769,$A64,Assignments!$G$2:$G$769,"Active",Assignments!$AI$2:$AI$769,"&lt;="&amp;F$47,Assignments!$AJ$2:$AJ$769,"&gt;="&amp;F$47)+SUMIFS(Assignments!$AN$2:$AN$769,Assignments!$A$2:$A$769,$A64,Assignments!$G$2:$G$769,"Active",Assignments!$AL$2:$AL$769,"&lt;="&amp;F$47,Assignments!$AM$2:$AM$769,"&gt;="&amp;F$47))</f>
        <v/>
      </c>
      <c r="G64" s="11">
        <f>IF($A64="","",SUMIFS(Assignments!$AK$2:$AK$769,Assignments!$A$2:$A$769,$A64,Assignments!$G$2:$G$769,"Active",Assignments!$AI$2:$AI$769,"&lt;="&amp;G$47,Assignments!$AJ$2:$AJ$769,"&gt;="&amp;G$47)+SUMIFS(Assignments!$AN$2:$AN$769,Assignments!$A$2:$A$769,$A64,Assignments!$G$2:$G$769,"Active",Assignments!$AL$2:$AL$769,"&lt;="&amp;G$47,Assignments!$AM$2:$AM$769,"&gt;="&amp;G$47))</f>
        <v/>
      </c>
      <c r="H64" s="11">
        <f>IF($A64="","",SUMIFS(Assignments!$AK$2:$AK$769,Assignments!$A$2:$A$769,$A64,Assignments!$G$2:$G$769,"Active",Assignments!$AI$2:$AI$769,"&lt;="&amp;H$47,Assignments!$AJ$2:$AJ$769,"&gt;="&amp;H$47)+SUMIFS(Assignments!$AN$2:$AN$769,Assignments!$A$2:$A$769,$A64,Assignments!$G$2:$G$769,"Active",Assignments!$AL$2:$AL$769,"&lt;="&amp;H$47,Assignments!$AM$2:$AM$769,"&gt;="&amp;H$47))</f>
        <v/>
      </c>
      <c r="I64" s="11">
        <f>IF($A64="","",SUMIFS(Assignments!$AK$2:$AK$769,Assignments!$A$2:$A$769,$A64,Assignments!$G$2:$G$769,"Active",Assignments!$AI$2:$AI$769,"&lt;="&amp;I$47,Assignments!$AJ$2:$AJ$769,"&gt;="&amp;I$47)+SUMIFS(Assignments!$AN$2:$AN$769,Assignments!$A$2:$A$769,$A64,Assignments!$G$2:$G$769,"Active",Assignments!$AL$2:$AL$769,"&lt;="&amp;I$47,Assignments!$AM$2:$AM$769,"&gt;="&amp;I$47))</f>
        <v/>
      </c>
      <c r="J64" s="11">
        <f>IF($A64="","",SUMIFS(Assignments!$AK$2:$AK$769,Assignments!$A$2:$A$769,$A64,Assignments!$G$2:$G$769,"Active",Assignments!$AI$2:$AI$769,"&lt;="&amp;J$47,Assignments!$AJ$2:$AJ$769,"&gt;="&amp;J$47)+SUMIFS(Assignments!$AN$2:$AN$769,Assignments!$A$2:$A$769,$A64,Assignments!$G$2:$G$769,"Active",Assignments!$AL$2:$AL$769,"&lt;="&amp;J$47,Assignments!$AM$2:$AM$769,"&gt;="&amp;J$47))</f>
        <v/>
      </c>
      <c r="K64" s="11">
        <f>IF($A64="","",SUMIFS(Assignments!$AK$2:$AK$769,Assignments!$A$2:$A$769,$A64,Assignments!$G$2:$G$769,"Active",Assignments!$AI$2:$AI$769,"&lt;="&amp;K$47,Assignments!$AJ$2:$AJ$769,"&gt;="&amp;K$47)+SUMIFS(Assignments!$AN$2:$AN$769,Assignments!$A$2:$A$769,$A64,Assignments!$G$2:$G$769,"Active",Assignments!$AL$2:$AL$769,"&lt;="&amp;K$47,Assignments!$AM$2:$AM$769,"&gt;="&amp;K$47))</f>
        <v/>
      </c>
      <c r="L64" s="11">
        <f>IF($A64="","",SUMIFS(Assignments!$AK$2:$AK$769,Assignments!$A$2:$A$769,$A64,Assignments!$G$2:$G$769,"Active",Assignments!$AI$2:$AI$769,"&lt;="&amp;L$47,Assignments!$AJ$2:$AJ$769,"&gt;="&amp;L$47)+SUMIFS(Assignments!$AN$2:$AN$769,Assignments!$A$2:$A$769,$A64,Assignments!$G$2:$G$769,"Active",Assignments!$AL$2:$AL$769,"&lt;="&amp;L$47,Assignments!$AM$2:$AM$769,"&gt;="&amp;L$47))</f>
        <v/>
      </c>
      <c r="M64" s="11">
        <f>IF($A64="","",SUMIFS(Assignments!$AK$2:$AK$769,Assignments!$A$2:$A$769,$A64,Assignments!$G$2:$G$769,"Active",Assignments!$AI$2:$AI$769,"&lt;="&amp;M$47,Assignments!$AJ$2:$AJ$769,"&gt;="&amp;M$47)+SUMIFS(Assignments!$AN$2:$AN$769,Assignments!$A$2:$A$769,$A64,Assignments!$G$2:$G$769,"Active",Assignments!$AL$2:$AL$769,"&lt;="&amp;M$47,Assignments!$AM$2:$AM$769,"&gt;="&amp;M$47))</f>
        <v/>
      </c>
      <c r="N64" s="11">
        <f>IF($A64="","",SUMIFS(Assignments!$AK$2:$AK$769,Assignments!$A$2:$A$769,$A64,Assignments!$G$2:$G$769,"Active",Assignments!$AI$2:$AI$769,"&lt;="&amp;N$47,Assignments!$AJ$2:$AJ$769,"&gt;="&amp;N$47)+SUMIFS(Assignments!$AN$2:$AN$769,Assignments!$A$2:$A$769,$A64,Assignments!$G$2:$G$769,"Active",Assignments!$AL$2:$AL$769,"&lt;="&amp;N$47,Assignments!$AM$2:$AM$769,"&gt;="&amp;N$47))</f>
        <v/>
      </c>
      <c r="O64" s="11">
        <f>IF($A64="","",SUMIFS(Assignments!$AK$2:$AK$769,Assignments!$A$2:$A$769,$A64,Assignments!$G$2:$G$769,"Active",Assignments!$AI$2:$AI$769,"&lt;="&amp;O$47,Assignments!$AJ$2:$AJ$769,"&gt;="&amp;O$47)+SUMIFS(Assignments!$AN$2:$AN$769,Assignments!$A$2:$A$769,$A64,Assignments!$G$2:$G$769,"Active",Assignments!$AL$2:$AL$769,"&lt;="&amp;O$47,Assignments!$AM$2:$AM$769,"&gt;="&amp;O$47))</f>
        <v/>
      </c>
      <c r="P64" s="11">
        <f>IF($A64="","",SUMIFS(Assignments!$AK$2:$AK$769,Assignments!$A$2:$A$769,$A64,Assignments!$G$2:$G$769,"Active",Assignments!$AI$2:$AI$769,"&lt;="&amp;P$47,Assignments!$AJ$2:$AJ$769,"&gt;="&amp;P$47)+SUMIFS(Assignments!$AN$2:$AN$769,Assignments!$A$2:$A$769,$A64,Assignments!$G$2:$G$769,"Active",Assignments!$AL$2:$AL$769,"&lt;="&amp;P$47,Assignments!$AM$2:$AM$769,"&gt;="&amp;P$47))</f>
        <v/>
      </c>
      <c r="Q64" s="11">
        <f>IF($A64="","",SUMIFS(Assignments!$AK$2:$AK$769,Assignments!$A$2:$A$769,$A64,Assignments!$G$2:$G$769,"Active",Assignments!$AI$2:$AI$769,"&lt;="&amp;Q$47,Assignments!$AJ$2:$AJ$769,"&gt;="&amp;Q$47)+SUMIFS(Assignments!$AN$2:$AN$769,Assignments!$A$2:$A$769,$A64,Assignments!$G$2:$G$769,"Active",Assignments!$AL$2:$AL$769,"&lt;="&amp;Q$47,Assignments!$AM$2:$AM$769,"&gt;="&amp;Q$47))</f>
        <v/>
      </c>
      <c r="R64" s="11">
        <f>IF($A64="","",SUMIFS(Assignments!$AK$2:$AK$769,Assignments!$A$2:$A$769,$A64,Assignments!$G$2:$G$769,"Active",Assignments!$AI$2:$AI$769,"&lt;="&amp;R$47,Assignments!$AJ$2:$AJ$769,"&gt;="&amp;R$47)+SUMIFS(Assignments!$AN$2:$AN$769,Assignments!$A$2:$A$769,$A64,Assignments!$G$2:$G$769,"Active",Assignments!$AL$2:$AL$769,"&lt;="&amp;R$47,Assignments!$AM$2:$AM$769,"&gt;="&amp;R$47))</f>
        <v/>
      </c>
      <c r="S64" s="11">
        <f>IF($A64="","",SUMIFS(Assignments!$AK$2:$AK$769,Assignments!$A$2:$A$769,$A64,Assignments!$G$2:$G$769,"Active",Assignments!$AI$2:$AI$769,"&lt;="&amp;S$47,Assignments!$AJ$2:$AJ$769,"&gt;="&amp;S$47)+SUMIFS(Assignments!$AN$2:$AN$769,Assignments!$A$2:$A$769,$A64,Assignments!$G$2:$G$769,"Active",Assignments!$AL$2:$AL$769,"&lt;="&amp;S$47,Assignments!$AM$2:$AM$769,"&gt;="&amp;S$47))</f>
        <v/>
      </c>
      <c r="T64" s="11">
        <f>IF($A64="","",SUMIFS(Assignments!$AK$2:$AK$769,Assignments!$A$2:$A$769,$A64,Assignments!$G$2:$G$769,"Active",Assignments!$AI$2:$AI$769,"&lt;="&amp;T$47,Assignments!$AJ$2:$AJ$769,"&gt;="&amp;T$47)+SUMIFS(Assignments!$AN$2:$AN$769,Assignments!$A$2:$A$769,$A64,Assignments!$G$2:$G$769,"Active",Assignments!$AL$2:$AL$769,"&lt;="&amp;T$47,Assignments!$AM$2:$AM$769,"&gt;="&amp;T$47))</f>
        <v/>
      </c>
      <c r="U64" s="11">
        <f>IF($A64="","",SUMIFS(Assignments!$AK$2:$AK$769,Assignments!$A$2:$A$769,$A64,Assignments!$G$2:$G$769,"Active",Assignments!$AI$2:$AI$769,"&lt;="&amp;U$47,Assignments!$AJ$2:$AJ$769,"&gt;="&amp;U$47)+SUMIFS(Assignments!$AN$2:$AN$769,Assignments!$A$2:$A$769,$A64,Assignments!$G$2:$G$769,"Active",Assignments!$AL$2:$AL$769,"&lt;="&amp;U$47,Assignments!$AM$2:$AM$769,"&gt;="&amp;U$47))</f>
        <v/>
      </c>
      <c r="V64" s="11">
        <f>IF($A64="","",SUMIFS(Assignments!$AK$2:$AK$769,Assignments!$A$2:$A$769,$A64,Assignments!$G$2:$G$769,"Active",Assignments!$AI$2:$AI$769,"&lt;="&amp;V$47,Assignments!$AJ$2:$AJ$769,"&gt;="&amp;V$47)+SUMIFS(Assignments!$AN$2:$AN$769,Assignments!$A$2:$A$769,$A64,Assignments!$G$2:$G$769,"Active",Assignments!$AL$2:$AL$769,"&lt;="&amp;V$47,Assignments!$AM$2:$AM$769,"&gt;="&amp;V$47))</f>
        <v/>
      </c>
      <c r="W64" s="11">
        <f>IF($A64="","",SUMIFS(Assignments!$AK$2:$AK$769,Assignments!$A$2:$A$769,$A64,Assignments!$G$2:$G$769,"Active",Assignments!$AI$2:$AI$769,"&lt;="&amp;W$47,Assignments!$AJ$2:$AJ$769,"&gt;="&amp;W$47)+SUMIFS(Assignments!$AN$2:$AN$769,Assignments!$A$2:$A$769,$A64,Assignments!$G$2:$G$769,"Active",Assignments!$AL$2:$AL$769,"&lt;="&amp;W$47,Assignments!$AM$2:$AM$769,"&gt;="&amp;W$47))</f>
        <v/>
      </c>
      <c r="X64" s="11">
        <f>IF($A64="","",SUMIFS(Assignments!$AK$2:$AK$769,Assignments!$A$2:$A$769,$A64,Assignments!$G$2:$G$769,"Active",Assignments!$AI$2:$AI$769,"&lt;="&amp;X$47,Assignments!$AJ$2:$AJ$769,"&gt;="&amp;X$47)+SUMIFS(Assignments!$AN$2:$AN$769,Assignments!$A$2:$A$769,$A64,Assignments!$G$2:$G$769,"Active",Assignments!$AL$2:$AL$769,"&lt;="&amp;X$47,Assignments!$AM$2:$AM$769,"&gt;="&amp;X$47))</f>
        <v/>
      </c>
      <c r="Y64" s="11">
        <f>IF($A64="","",SUMIFS(Assignments!$AK$2:$AK$769,Assignments!$A$2:$A$769,$A64,Assignments!$G$2:$G$769,"Active",Assignments!$AI$2:$AI$769,"&lt;="&amp;Y$47,Assignments!$AJ$2:$AJ$769,"&gt;="&amp;Y$47)+SUMIFS(Assignments!$AN$2:$AN$769,Assignments!$A$2:$A$769,$A64,Assignments!$G$2:$G$769,"Active",Assignments!$AL$2:$AL$769,"&lt;="&amp;Y$47,Assignments!$AM$2:$AM$769,"&gt;="&amp;Y$47))</f>
        <v/>
      </c>
      <c r="Z64" s="11">
        <f>IF($A64="","",SUMIFS(Assignments!$AK$2:$AK$769,Assignments!$A$2:$A$769,$A64,Assignments!$G$2:$G$769,"Active",Assignments!$AI$2:$AI$769,"&lt;="&amp;Z$47,Assignments!$AJ$2:$AJ$769,"&gt;="&amp;Z$47)+SUMIFS(Assignments!$AN$2:$AN$769,Assignments!$A$2:$A$769,$A64,Assignments!$G$2:$G$769,"Active",Assignments!$AL$2:$AL$769,"&lt;="&amp;Z$47,Assignments!$AM$2:$AM$769,"&gt;="&amp;Z$47))</f>
        <v/>
      </c>
      <c r="AA64" s="11">
        <f>IF($A64="","",SUMIFS(Assignments!$AK$2:$AK$769,Assignments!$A$2:$A$769,$A64,Assignments!$G$2:$G$769,"Active",Assignments!$AI$2:$AI$769,"&lt;="&amp;AA$47,Assignments!$AJ$2:$AJ$769,"&gt;="&amp;AA$47)+SUMIFS(Assignments!$AN$2:$AN$769,Assignments!$A$2:$A$769,$A64,Assignments!$G$2:$G$769,"Active",Assignments!$AL$2:$AL$769,"&lt;="&amp;AA$47,Assignments!$AM$2:$AM$769,"&gt;="&amp;AA$47))</f>
        <v/>
      </c>
      <c r="AB64" s="11">
        <f>IF($A64="","",SUMIFS(Assignments!$AK$2:$AK$769,Assignments!$A$2:$A$769,$A64,Assignments!$G$2:$G$769,"Active",Assignments!$AI$2:$AI$769,"&lt;="&amp;AB$47,Assignments!$AJ$2:$AJ$769,"&gt;="&amp;AB$47)+SUMIFS(Assignments!$AN$2:$AN$769,Assignments!$A$2:$A$769,$A64,Assignments!$G$2:$G$769,"Active",Assignments!$AL$2:$AL$769,"&lt;="&amp;AB$47,Assignments!$AM$2:$AM$769,"&gt;="&amp;AB$47))</f>
        <v/>
      </c>
    </row>
    <row r="65">
      <c r="A65" s="9">
        <f>IF(Roster!$A19="","",Roster!$A19)</f>
        <v/>
      </c>
      <c r="B65" s="10">
        <f>IF($A65="","",IFERROR(INDEX(Roster!$D$2:$D$40,MATCH($A65,Roster!$A$2:$A$40,0)),""))</f>
        <v/>
      </c>
      <c r="C65" s="11">
        <f>IF($A65="","",SUMIFS(Assignments!$AK$2:$AK$769,Assignments!$A$2:$A$769,$A65,Assignments!$G$2:$G$769,"Active",Assignments!$AI$2:$AI$769,"&lt;="&amp;C$47,Assignments!$AJ$2:$AJ$769,"&gt;="&amp;C$47)+SUMIFS(Assignments!$AN$2:$AN$769,Assignments!$A$2:$A$769,$A65,Assignments!$G$2:$G$769,"Active",Assignments!$AL$2:$AL$769,"&lt;="&amp;C$47,Assignments!$AM$2:$AM$769,"&gt;="&amp;C$47))</f>
        <v/>
      </c>
      <c r="D65" s="11">
        <f>IF($A65="","",SUMIFS(Assignments!$AK$2:$AK$769,Assignments!$A$2:$A$769,$A65,Assignments!$G$2:$G$769,"Active",Assignments!$AI$2:$AI$769,"&lt;="&amp;D$47,Assignments!$AJ$2:$AJ$769,"&gt;="&amp;D$47)+SUMIFS(Assignments!$AN$2:$AN$769,Assignments!$A$2:$A$769,$A65,Assignments!$G$2:$G$769,"Active",Assignments!$AL$2:$AL$769,"&lt;="&amp;D$47,Assignments!$AM$2:$AM$769,"&gt;="&amp;D$47))</f>
        <v/>
      </c>
      <c r="E65" s="11">
        <f>IF($A65="","",SUMIFS(Assignments!$AK$2:$AK$769,Assignments!$A$2:$A$769,$A65,Assignments!$G$2:$G$769,"Active",Assignments!$AI$2:$AI$769,"&lt;="&amp;E$47,Assignments!$AJ$2:$AJ$769,"&gt;="&amp;E$47)+SUMIFS(Assignments!$AN$2:$AN$769,Assignments!$A$2:$A$769,$A65,Assignments!$G$2:$G$769,"Active",Assignments!$AL$2:$AL$769,"&lt;="&amp;E$47,Assignments!$AM$2:$AM$769,"&gt;="&amp;E$47))</f>
        <v/>
      </c>
      <c r="F65" s="11">
        <f>IF($A65="","",SUMIFS(Assignments!$AK$2:$AK$769,Assignments!$A$2:$A$769,$A65,Assignments!$G$2:$G$769,"Active",Assignments!$AI$2:$AI$769,"&lt;="&amp;F$47,Assignments!$AJ$2:$AJ$769,"&gt;="&amp;F$47)+SUMIFS(Assignments!$AN$2:$AN$769,Assignments!$A$2:$A$769,$A65,Assignments!$G$2:$G$769,"Active",Assignments!$AL$2:$AL$769,"&lt;="&amp;F$47,Assignments!$AM$2:$AM$769,"&gt;="&amp;F$47))</f>
        <v/>
      </c>
      <c r="G65" s="11">
        <f>IF($A65="","",SUMIFS(Assignments!$AK$2:$AK$769,Assignments!$A$2:$A$769,$A65,Assignments!$G$2:$G$769,"Active",Assignments!$AI$2:$AI$769,"&lt;="&amp;G$47,Assignments!$AJ$2:$AJ$769,"&gt;="&amp;G$47)+SUMIFS(Assignments!$AN$2:$AN$769,Assignments!$A$2:$A$769,$A65,Assignments!$G$2:$G$769,"Active",Assignments!$AL$2:$AL$769,"&lt;="&amp;G$47,Assignments!$AM$2:$AM$769,"&gt;="&amp;G$47))</f>
        <v/>
      </c>
      <c r="H65" s="11">
        <f>IF($A65="","",SUMIFS(Assignments!$AK$2:$AK$769,Assignments!$A$2:$A$769,$A65,Assignments!$G$2:$G$769,"Active",Assignments!$AI$2:$AI$769,"&lt;="&amp;H$47,Assignments!$AJ$2:$AJ$769,"&gt;="&amp;H$47)+SUMIFS(Assignments!$AN$2:$AN$769,Assignments!$A$2:$A$769,$A65,Assignments!$G$2:$G$769,"Active",Assignments!$AL$2:$AL$769,"&lt;="&amp;H$47,Assignments!$AM$2:$AM$769,"&gt;="&amp;H$47))</f>
        <v/>
      </c>
      <c r="I65" s="11">
        <f>IF($A65="","",SUMIFS(Assignments!$AK$2:$AK$769,Assignments!$A$2:$A$769,$A65,Assignments!$G$2:$G$769,"Active",Assignments!$AI$2:$AI$769,"&lt;="&amp;I$47,Assignments!$AJ$2:$AJ$769,"&gt;="&amp;I$47)+SUMIFS(Assignments!$AN$2:$AN$769,Assignments!$A$2:$A$769,$A65,Assignments!$G$2:$G$769,"Active",Assignments!$AL$2:$AL$769,"&lt;="&amp;I$47,Assignments!$AM$2:$AM$769,"&gt;="&amp;I$47))</f>
        <v/>
      </c>
      <c r="J65" s="11">
        <f>IF($A65="","",SUMIFS(Assignments!$AK$2:$AK$769,Assignments!$A$2:$A$769,$A65,Assignments!$G$2:$G$769,"Active",Assignments!$AI$2:$AI$769,"&lt;="&amp;J$47,Assignments!$AJ$2:$AJ$769,"&gt;="&amp;J$47)+SUMIFS(Assignments!$AN$2:$AN$769,Assignments!$A$2:$A$769,$A65,Assignments!$G$2:$G$769,"Active",Assignments!$AL$2:$AL$769,"&lt;="&amp;J$47,Assignments!$AM$2:$AM$769,"&gt;="&amp;J$47))</f>
        <v/>
      </c>
      <c r="K65" s="11">
        <f>IF($A65="","",SUMIFS(Assignments!$AK$2:$AK$769,Assignments!$A$2:$A$769,$A65,Assignments!$G$2:$G$769,"Active",Assignments!$AI$2:$AI$769,"&lt;="&amp;K$47,Assignments!$AJ$2:$AJ$769,"&gt;="&amp;K$47)+SUMIFS(Assignments!$AN$2:$AN$769,Assignments!$A$2:$A$769,$A65,Assignments!$G$2:$G$769,"Active",Assignments!$AL$2:$AL$769,"&lt;="&amp;K$47,Assignments!$AM$2:$AM$769,"&gt;="&amp;K$47))</f>
        <v/>
      </c>
      <c r="L65" s="11">
        <f>IF($A65="","",SUMIFS(Assignments!$AK$2:$AK$769,Assignments!$A$2:$A$769,$A65,Assignments!$G$2:$G$769,"Active",Assignments!$AI$2:$AI$769,"&lt;="&amp;L$47,Assignments!$AJ$2:$AJ$769,"&gt;="&amp;L$47)+SUMIFS(Assignments!$AN$2:$AN$769,Assignments!$A$2:$A$769,$A65,Assignments!$G$2:$G$769,"Active",Assignments!$AL$2:$AL$769,"&lt;="&amp;L$47,Assignments!$AM$2:$AM$769,"&gt;="&amp;L$47))</f>
        <v/>
      </c>
      <c r="M65" s="11">
        <f>IF($A65="","",SUMIFS(Assignments!$AK$2:$AK$769,Assignments!$A$2:$A$769,$A65,Assignments!$G$2:$G$769,"Active",Assignments!$AI$2:$AI$769,"&lt;="&amp;M$47,Assignments!$AJ$2:$AJ$769,"&gt;="&amp;M$47)+SUMIFS(Assignments!$AN$2:$AN$769,Assignments!$A$2:$A$769,$A65,Assignments!$G$2:$G$769,"Active",Assignments!$AL$2:$AL$769,"&lt;="&amp;M$47,Assignments!$AM$2:$AM$769,"&gt;="&amp;M$47))</f>
        <v/>
      </c>
      <c r="N65" s="11">
        <f>IF($A65="","",SUMIFS(Assignments!$AK$2:$AK$769,Assignments!$A$2:$A$769,$A65,Assignments!$G$2:$G$769,"Active",Assignments!$AI$2:$AI$769,"&lt;="&amp;N$47,Assignments!$AJ$2:$AJ$769,"&gt;="&amp;N$47)+SUMIFS(Assignments!$AN$2:$AN$769,Assignments!$A$2:$A$769,$A65,Assignments!$G$2:$G$769,"Active",Assignments!$AL$2:$AL$769,"&lt;="&amp;N$47,Assignments!$AM$2:$AM$769,"&gt;="&amp;N$47))</f>
        <v/>
      </c>
      <c r="O65" s="11">
        <f>IF($A65="","",SUMIFS(Assignments!$AK$2:$AK$769,Assignments!$A$2:$A$769,$A65,Assignments!$G$2:$G$769,"Active",Assignments!$AI$2:$AI$769,"&lt;="&amp;O$47,Assignments!$AJ$2:$AJ$769,"&gt;="&amp;O$47)+SUMIFS(Assignments!$AN$2:$AN$769,Assignments!$A$2:$A$769,$A65,Assignments!$G$2:$G$769,"Active",Assignments!$AL$2:$AL$769,"&lt;="&amp;O$47,Assignments!$AM$2:$AM$769,"&gt;="&amp;O$47))</f>
        <v/>
      </c>
      <c r="P65" s="11">
        <f>IF($A65="","",SUMIFS(Assignments!$AK$2:$AK$769,Assignments!$A$2:$A$769,$A65,Assignments!$G$2:$G$769,"Active",Assignments!$AI$2:$AI$769,"&lt;="&amp;P$47,Assignments!$AJ$2:$AJ$769,"&gt;="&amp;P$47)+SUMIFS(Assignments!$AN$2:$AN$769,Assignments!$A$2:$A$769,$A65,Assignments!$G$2:$G$769,"Active",Assignments!$AL$2:$AL$769,"&lt;="&amp;P$47,Assignments!$AM$2:$AM$769,"&gt;="&amp;P$47))</f>
        <v/>
      </c>
      <c r="Q65" s="11">
        <f>IF($A65="","",SUMIFS(Assignments!$AK$2:$AK$769,Assignments!$A$2:$A$769,$A65,Assignments!$G$2:$G$769,"Active",Assignments!$AI$2:$AI$769,"&lt;="&amp;Q$47,Assignments!$AJ$2:$AJ$769,"&gt;="&amp;Q$47)+SUMIFS(Assignments!$AN$2:$AN$769,Assignments!$A$2:$A$769,$A65,Assignments!$G$2:$G$769,"Active",Assignments!$AL$2:$AL$769,"&lt;="&amp;Q$47,Assignments!$AM$2:$AM$769,"&gt;="&amp;Q$47))</f>
        <v/>
      </c>
      <c r="R65" s="11">
        <f>IF($A65="","",SUMIFS(Assignments!$AK$2:$AK$769,Assignments!$A$2:$A$769,$A65,Assignments!$G$2:$G$769,"Active",Assignments!$AI$2:$AI$769,"&lt;="&amp;R$47,Assignments!$AJ$2:$AJ$769,"&gt;="&amp;R$47)+SUMIFS(Assignments!$AN$2:$AN$769,Assignments!$A$2:$A$769,$A65,Assignments!$G$2:$G$769,"Active",Assignments!$AL$2:$AL$769,"&lt;="&amp;R$47,Assignments!$AM$2:$AM$769,"&gt;="&amp;R$47))</f>
        <v/>
      </c>
      <c r="S65" s="11">
        <f>IF($A65="","",SUMIFS(Assignments!$AK$2:$AK$769,Assignments!$A$2:$A$769,$A65,Assignments!$G$2:$G$769,"Active",Assignments!$AI$2:$AI$769,"&lt;="&amp;S$47,Assignments!$AJ$2:$AJ$769,"&gt;="&amp;S$47)+SUMIFS(Assignments!$AN$2:$AN$769,Assignments!$A$2:$A$769,$A65,Assignments!$G$2:$G$769,"Active",Assignments!$AL$2:$AL$769,"&lt;="&amp;S$47,Assignments!$AM$2:$AM$769,"&gt;="&amp;S$47))</f>
        <v/>
      </c>
      <c r="T65" s="11">
        <f>IF($A65="","",SUMIFS(Assignments!$AK$2:$AK$769,Assignments!$A$2:$A$769,$A65,Assignments!$G$2:$G$769,"Active",Assignments!$AI$2:$AI$769,"&lt;="&amp;T$47,Assignments!$AJ$2:$AJ$769,"&gt;="&amp;T$47)+SUMIFS(Assignments!$AN$2:$AN$769,Assignments!$A$2:$A$769,$A65,Assignments!$G$2:$G$769,"Active",Assignments!$AL$2:$AL$769,"&lt;="&amp;T$47,Assignments!$AM$2:$AM$769,"&gt;="&amp;T$47))</f>
        <v/>
      </c>
      <c r="U65" s="11">
        <f>IF($A65="","",SUMIFS(Assignments!$AK$2:$AK$769,Assignments!$A$2:$A$769,$A65,Assignments!$G$2:$G$769,"Active",Assignments!$AI$2:$AI$769,"&lt;="&amp;U$47,Assignments!$AJ$2:$AJ$769,"&gt;="&amp;U$47)+SUMIFS(Assignments!$AN$2:$AN$769,Assignments!$A$2:$A$769,$A65,Assignments!$G$2:$G$769,"Active",Assignments!$AL$2:$AL$769,"&lt;="&amp;U$47,Assignments!$AM$2:$AM$769,"&gt;="&amp;U$47))</f>
        <v/>
      </c>
      <c r="V65" s="11">
        <f>IF($A65="","",SUMIFS(Assignments!$AK$2:$AK$769,Assignments!$A$2:$A$769,$A65,Assignments!$G$2:$G$769,"Active",Assignments!$AI$2:$AI$769,"&lt;="&amp;V$47,Assignments!$AJ$2:$AJ$769,"&gt;="&amp;V$47)+SUMIFS(Assignments!$AN$2:$AN$769,Assignments!$A$2:$A$769,$A65,Assignments!$G$2:$G$769,"Active",Assignments!$AL$2:$AL$769,"&lt;="&amp;V$47,Assignments!$AM$2:$AM$769,"&gt;="&amp;V$47))</f>
        <v/>
      </c>
      <c r="W65" s="11">
        <f>IF($A65="","",SUMIFS(Assignments!$AK$2:$AK$769,Assignments!$A$2:$A$769,$A65,Assignments!$G$2:$G$769,"Active",Assignments!$AI$2:$AI$769,"&lt;="&amp;W$47,Assignments!$AJ$2:$AJ$769,"&gt;="&amp;W$47)+SUMIFS(Assignments!$AN$2:$AN$769,Assignments!$A$2:$A$769,$A65,Assignments!$G$2:$G$769,"Active",Assignments!$AL$2:$AL$769,"&lt;="&amp;W$47,Assignments!$AM$2:$AM$769,"&gt;="&amp;W$47))</f>
        <v/>
      </c>
      <c r="X65" s="11">
        <f>IF($A65="","",SUMIFS(Assignments!$AK$2:$AK$769,Assignments!$A$2:$A$769,$A65,Assignments!$G$2:$G$769,"Active",Assignments!$AI$2:$AI$769,"&lt;="&amp;X$47,Assignments!$AJ$2:$AJ$769,"&gt;="&amp;X$47)+SUMIFS(Assignments!$AN$2:$AN$769,Assignments!$A$2:$A$769,$A65,Assignments!$G$2:$G$769,"Active",Assignments!$AL$2:$AL$769,"&lt;="&amp;X$47,Assignments!$AM$2:$AM$769,"&gt;="&amp;X$47))</f>
        <v/>
      </c>
      <c r="Y65" s="11">
        <f>IF($A65="","",SUMIFS(Assignments!$AK$2:$AK$769,Assignments!$A$2:$A$769,$A65,Assignments!$G$2:$G$769,"Active",Assignments!$AI$2:$AI$769,"&lt;="&amp;Y$47,Assignments!$AJ$2:$AJ$769,"&gt;="&amp;Y$47)+SUMIFS(Assignments!$AN$2:$AN$769,Assignments!$A$2:$A$769,$A65,Assignments!$G$2:$G$769,"Active",Assignments!$AL$2:$AL$769,"&lt;="&amp;Y$47,Assignments!$AM$2:$AM$769,"&gt;="&amp;Y$47))</f>
        <v/>
      </c>
      <c r="Z65" s="11">
        <f>IF($A65="","",SUMIFS(Assignments!$AK$2:$AK$769,Assignments!$A$2:$A$769,$A65,Assignments!$G$2:$G$769,"Active",Assignments!$AI$2:$AI$769,"&lt;="&amp;Z$47,Assignments!$AJ$2:$AJ$769,"&gt;="&amp;Z$47)+SUMIFS(Assignments!$AN$2:$AN$769,Assignments!$A$2:$A$769,$A65,Assignments!$G$2:$G$769,"Active",Assignments!$AL$2:$AL$769,"&lt;="&amp;Z$47,Assignments!$AM$2:$AM$769,"&gt;="&amp;Z$47))</f>
        <v/>
      </c>
      <c r="AA65" s="11">
        <f>IF($A65="","",SUMIFS(Assignments!$AK$2:$AK$769,Assignments!$A$2:$A$769,$A65,Assignments!$G$2:$G$769,"Active",Assignments!$AI$2:$AI$769,"&lt;="&amp;AA$47,Assignments!$AJ$2:$AJ$769,"&gt;="&amp;AA$47)+SUMIFS(Assignments!$AN$2:$AN$769,Assignments!$A$2:$A$769,$A65,Assignments!$G$2:$G$769,"Active",Assignments!$AL$2:$AL$769,"&lt;="&amp;AA$47,Assignments!$AM$2:$AM$769,"&gt;="&amp;AA$47))</f>
        <v/>
      </c>
      <c r="AB65" s="11">
        <f>IF($A65="","",SUMIFS(Assignments!$AK$2:$AK$769,Assignments!$A$2:$A$769,$A65,Assignments!$G$2:$G$769,"Active",Assignments!$AI$2:$AI$769,"&lt;="&amp;AB$47,Assignments!$AJ$2:$AJ$769,"&gt;="&amp;AB$47)+SUMIFS(Assignments!$AN$2:$AN$769,Assignments!$A$2:$A$769,$A65,Assignments!$G$2:$G$769,"Active",Assignments!$AL$2:$AL$769,"&lt;="&amp;AB$47,Assignments!$AM$2:$AM$769,"&gt;="&amp;AB$47))</f>
        <v/>
      </c>
    </row>
    <row r="66">
      <c r="A66" s="9">
        <f>IF(Roster!$A20="","",Roster!$A20)</f>
        <v/>
      </c>
      <c r="B66" s="10">
        <f>IF($A66="","",IFERROR(INDEX(Roster!$D$2:$D$40,MATCH($A66,Roster!$A$2:$A$40,0)),""))</f>
        <v/>
      </c>
      <c r="C66" s="11">
        <f>IF($A66="","",SUMIFS(Assignments!$AK$2:$AK$769,Assignments!$A$2:$A$769,$A66,Assignments!$G$2:$G$769,"Active",Assignments!$AI$2:$AI$769,"&lt;="&amp;C$47,Assignments!$AJ$2:$AJ$769,"&gt;="&amp;C$47)+SUMIFS(Assignments!$AN$2:$AN$769,Assignments!$A$2:$A$769,$A66,Assignments!$G$2:$G$769,"Active",Assignments!$AL$2:$AL$769,"&lt;="&amp;C$47,Assignments!$AM$2:$AM$769,"&gt;="&amp;C$47))</f>
        <v/>
      </c>
      <c r="D66" s="11">
        <f>IF($A66="","",SUMIFS(Assignments!$AK$2:$AK$769,Assignments!$A$2:$A$769,$A66,Assignments!$G$2:$G$769,"Active",Assignments!$AI$2:$AI$769,"&lt;="&amp;D$47,Assignments!$AJ$2:$AJ$769,"&gt;="&amp;D$47)+SUMIFS(Assignments!$AN$2:$AN$769,Assignments!$A$2:$A$769,$A66,Assignments!$G$2:$G$769,"Active",Assignments!$AL$2:$AL$769,"&lt;="&amp;D$47,Assignments!$AM$2:$AM$769,"&gt;="&amp;D$47))</f>
        <v/>
      </c>
      <c r="E66" s="11">
        <f>IF($A66="","",SUMIFS(Assignments!$AK$2:$AK$769,Assignments!$A$2:$A$769,$A66,Assignments!$G$2:$G$769,"Active",Assignments!$AI$2:$AI$769,"&lt;="&amp;E$47,Assignments!$AJ$2:$AJ$769,"&gt;="&amp;E$47)+SUMIFS(Assignments!$AN$2:$AN$769,Assignments!$A$2:$A$769,$A66,Assignments!$G$2:$G$769,"Active",Assignments!$AL$2:$AL$769,"&lt;="&amp;E$47,Assignments!$AM$2:$AM$769,"&gt;="&amp;E$47))</f>
        <v/>
      </c>
      <c r="F66" s="11">
        <f>IF($A66="","",SUMIFS(Assignments!$AK$2:$AK$769,Assignments!$A$2:$A$769,$A66,Assignments!$G$2:$G$769,"Active",Assignments!$AI$2:$AI$769,"&lt;="&amp;F$47,Assignments!$AJ$2:$AJ$769,"&gt;="&amp;F$47)+SUMIFS(Assignments!$AN$2:$AN$769,Assignments!$A$2:$A$769,$A66,Assignments!$G$2:$G$769,"Active",Assignments!$AL$2:$AL$769,"&lt;="&amp;F$47,Assignments!$AM$2:$AM$769,"&gt;="&amp;F$47))</f>
        <v/>
      </c>
      <c r="G66" s="11">
        <f>IF($A66="","",SUMIFS(Assignments!$AK$2:$AK$769,Assignments!$A$2:$A$769,$A66,Assignments!$G$2:$G$769,"Active",Assignments!$AI$2:$AI$769,"&lt;="&amp;G$47,Assignments!$AJ$2:$AJ$769,"&gt;="&amp;G$47)+SUMIFS(Assignments!$AN$2:$AN$769,Assignments!$A$2:$A$769,$A66,Assignments!$G$2:$G$769,"Active",Assignments!$AL$2:$AL$769,"&lt;="&amp;G$47,Assignments!$AM$2:$AM$769,"&gt;="&amp;G$47))</f>
        <v/>
      </c>
      <c r="H66" s="11">
        <f>IF($A66="","",SUMIFS(Assignments!$AK$2:$AK$769,Assignments!$A$2:$A$769,$A66,Assignments!$G$2:$G$769,"Active",Assignments!$AI$2:$AI$769,"&lt;="&amp;H$47,Assignments!$AJ$2:$AJ$769,"&gt;="&amp;H$47)+SUMIFS(Assignments!$AN$2:$AN$769,Assignments!$A$2:$A$769,$A66,Assignments!$G$2:$G$769,"Active",Assignments!$AL$2:$AL$769,"&lt;="&amp;H$47,Assignments!$AM$2:$AM$769,"&gt;="&amp;H$47))</f>
        <v/>
      </c>
      <c r="I66" s="11">
        <f>IF($A66="","",SUMIFS(Assignments!$AK$2:$AK$769,Assignments!$A$2:$A$769,$A66,Assignments!$G$2:$G$769,"Active",Assignments!$AI$2:$AI$769,"&lt;="&amp;I$47,Assignments!$AJ$2:$AJ$769,"&gt;="&amp;I$47)+SUMIFS(Assignments!$AN$2:$AN$769,Assignments!$A$2:$A$769,$A66,Assignments!$G$2:$G$769,"Active",Assignments!$AL$2:$AL$769,"&lt;="&amp;I$47,Assignments!$AM$2:$AM$769,"&gt;="&amp;I$47))</f>
        <v/>
      </c>
      <c r="J66" s="11">
        <f>IF($A66="","",SUMIFS(Assignments!$AK$2:$AK$769,Assignments!$A$2:$A$769,$A66,Assignments!$G$2:$G$769,"Active",Assignments!$AI$2:$AI$769,"&lt;="&amp;J$47,Assignments!$AJ$2:$AJ$769,"&gt;="&amp;J$47)+SUMIFS(Assignments!$AN$2:$AN$769,Assignments!$A$2:$A$769,$A66,Assignments!$G$2:$G$769,"Active",Assignments!$AL$2:$AL$769,"&lt;="&amp;J$47,Assignments!$AM$2:$AM$769,"&gt;="&amp;J$47))</f>
        <v/>
      </c>
      <c r="K66" s="11">
        <f>IF($A66="","",SUMIFS(Assignments!$AK$2:$AK$769,Assignments!$A$2:$A$769,$A66,Assignments!$G$2:$G$769,"Active",Assignments!$AI$2:$AI$769,"&lt;="&amp;K$47,Assignments!$AJ$2:$AJ$769,"&gt;="&amp;K$47)+SUMIFS(Assignments!$AN$2:$AN$769,Assignments!$A$2:$A$769,$A66,Assignments!$G$2:$G$769,"Active",Assignments!$AL$2:$AL$769,"&lt;="&amp;K$47,Assignments!$AM$2:$AM$769,"&gt;="&amp;K$47))</f>
        <v/>
      </c>
      <c r="L66" s="11">
        <f>IF($A66="","",SUMIFS(Assignments!$AK$2:$AK$769,Assignments!$A$2:$A$769,$A66,Assignments!$G$2:$G$769,"Active",Assignments!$AI$2:$AI$769,"&lt;="&amp;L$47,Assignments!$AJ$2:$AJ$769,"&gt;="&amp;L$47)+SUMIFS(Assignments!$AN$2:$AN$769,Assignments!$A$2:$A$769,$A66,Assignments!$G$2:$G$769,"Active",Assignments!$AL$2:$AL$769,"&lt;="&amp;L$47,Assignments!$AM$2:$AM$769,"&gt;="&amp;L$47))</f>
        <v/>
      </c>
      <c r="M66" s="11">
        <f>IF($A66="","",SUMIFS(Assignments!$AK$2:$AK$769,Assignments!$A$2:$A$769,$A66,Assignments!$G$2:$G$769,"Active",Assignments!$AI$2:$AI$769,"&lt;="&amp;M$47,Assignments!$AJ$2:$AJ$769,"&gt;="&amp;M$47)+SUMIFS(Assignments!$AN$2:$AN$769,Assignments!$A$2:$A$769,$A66,Assignments!$G$2:$G$769,"Active",Assignments!$AL$2:$AL$769,"&lt;="&amp;M$47,Assignments!$AM$2:$AM$769,"&gt;="&amp;M$47))</f>
        <v/>
      </c>
      <c r="N66" s="11">
        <f>IF($A66="","",SUMIFS(Assignments!$AK$2:$AK$769,Assignments!$A$2:$A$769,$A66,Assignments!$G$2:$G$769,"Active",Assignments!$AI$2:$AI$769,"&lt;="&amp;N$47,Assignments!$AJ$2:$AJ$769,"&gt;="&amp;N$47)+SUMIFS(Assignments!$AN$2:$AN$769,Assignments!$A$2:$A$769,$A66,Assignments!$G$2:$G$769,"Active",Assignments!$AL$2:$AL$769,"&lt;="&amp;N$47,Assignments!$AM$2:$AM$769,"&gt;="&amp;N$47))</f>
        <v/>
      </c>
      <c r="O66" s="11">
        <f>IF($A66="","",SUMIFS(Assignments!$AK$2:$AK$769,Assignments!$A$2:$A$769,$A66,Assignments!$G$2:$G$769,"Active",Assignments!$AI$2:$AI$769,"&lt;="&amp;O$47,Assignments!$AJ$2:$AJ$769,"&gt;="&amp;O$47)+SUMIFS(Assignments!$AN$2:$AN$769,Assignments!$A$2:$A$769,$A66,Assignments!$G$2:$G$769,"Active",Assignments!$AL$2:$AL$769,"&lt;="&amp;O$47,Assignments!$AM$2:$AM$769,"&gt;="&amp;O$47))</f>
        <v/>
      </c>
      <c r="P66" s="11">
        <f>IF($A66="","",SUMIFS(Assignments!$AK$2:$AK$769,Assignments!$A$2:$A$769,$A66,Assignments!$G$2:$G$769,"Active",Assignments!$AI$2:$AI$769,"&lt;="&amp;P$47,Assignments!$AJ$2:$AJ$769,"&gt;="&amp;P$47)+SUMIFS(Assignments!$AN$2:$AN$769,Assignments!$A$2:$A$769,$A66,Assignments!$G$2:$G$769,"Active",Assignments!$AL$2:$AL$769,"&lt;="&amp;P$47,Assignments!$AM$2:$AM$769,"&gt;="&amp;P$47))</f>
        <v/>
      </c>
      <c r="Q66" s="11">
        <f>IF($A66="","",SUMIFS(Assignments!$AK$2:$AK$769,Assignments!$A$2:$A$769,$A66,Assignments!$G$2:$G$769,"Active",Assignments!$AI$2:$AI$769,"&lt;="&amp;Q$47,Assignments!$AJ$2:$AJ$769,"&gt;="&amp;Q$47)+SUMIFS(Assignments!$AN$2:$AN$769,Assignments!$A$2:$A$769,$A66,Assignments!$G$2:$G$769,"Active",Assignments!$AL$2:$AL$769,"&lt;="&amp;Q$47,Assignments!$AM$2:$AM$769,"&gt;="&amp;Q$47))</f>
        <v/>
      </c>
      <c r="R66" s="11">
        <f>IF($A66="","",SUMIFS(Assignments!$AK$2:$AK$769,Assignments!$A$2:$A$769,$A66,Assignments!$G$2:$G$769,"Active",Assignments!$AI$2:$AI$769,"&lt;="&amp;R$47,Assignments!$AJ$2:$AJ$769,"&gt;="&amp;R$47)+SUMIFS(Assignments!$AN$2:$AN$769,Assignments!$A$2:$A$769,$A66,Assignments!$G$2:$G$769,"Active",Assignments!$AL$2:$AL$769,"&lt;="&amp;R$47,Assignments!$AM$2:$AM$769,"&gt;="&amp;R$47))</f>
        <v/>
      </c>
      <c r="S66" s="11">
        <f>IF($A66="","",SUMIFS(Assignments!$AK$2:$AK$769,Assignments!$A$2:$A$769,$A66,Assignments!$G$2:$G$769,"Active",Assignments!$AI$2:$AI$769,"&lt;="&amp;S$47,Assignments!$AJ$2:$AJ$769,"&gt;="&amp;S$47)+SUMIFS(Assignments!$AN$2:$AN$769,Assignments!$A$2:$A$769,$A66,Assignments!$G$2:$G$769,"Active",Assignments!$AL$2:$AL$769,"&lt;="&amp;S$47,Assignments!$AM$2:$AM$769,"&gt;="&amp;S$47))</f>
        <v/>
      </c>
      <c r="T66" s="11">
        <f>IF($A66="","",SUMIFS(Assignments!$AK$2:$AK$769,Assignments!$A$2:$A$769,$A66,Assignments!$G$2:$G$769,"Active",Assignments!$AI$2:$AI$769,"&lt;="&amp;T$47,Assignments!$AJ$2:$AJ$769,"&gt;="&amp;T$47)+SUMIFS(Assignments!$AN$2:$AN$769,Assignments!$A$2:$A$769,$A66,Assignments!$G$2:$G$769,"Active",Assignments!$AL$2:$AL$769,"&lt;="&amp;T$47,Assignments!$AM$2:$AM$769,"&gt;="&amp;T$47))</f>
        <v/>
      </c>
      <c r="U66" s="11">
        <f>IF($A66="","",SUMIFS(Assignments!$AK$2:$AK$769,Assignments!$A$2:$A$769,$A66,Assignments!$G$2:$G$769,"Active",Assignments!$AI$2:$AI$769,"&lt;="&amp;U$47,Assignments!$AJ$2:$AJ$769,"&gt;="&amp;U$47)+SUMIFS(Assignments!$AN$2:$AN$769,Assignments!$A$2:$A$769,$A66,Assignments!$G$2:$G$769,"Active",Assignments!$AL$2:$AL$769,"&lt;="&amp;U$47,Assignments!$AM$2:$AM$769,"&gt;="&amp;U$47))</f>
        <v/>
      </c>
      <c r="V66" s="11">
        <f>IF($A66="","",SUMIFS(Assignments!$AK$2:$AK$769,Assignments!$A$2:$A$769,$A66,Assignments!$G$2:$G$769,"Active",Assignments!$AI$2:$AI$769,"&lt;="&amp;V$47,Assignments!$AJ$2:$AJ$769,"&gt;="&amp;V$47)+SUMIFS(Assignments!$AN$2:$AN$769,Assignments!$A$2:$A$769,$A66,Assignments!$G$2:$G$769,"Active",Assignments!$AL$2:$AL$769,"&lt;="&amp;V$47,Assignments!$AM$2:$AM$769,"&gt;="&amp;V$47))</f>
        <v/>
      </c>
      <c r="W66" s="11">
        <f>IF($A66="","",SUMIFS(Assignments!$AK$2:$AK$769,Assignments!$A$2:$A$769,$A66,Assignments!$G$2:$G$769,"Active",Assignments!$AI$2:$AI$769,"&lt;="&amp;W$47,Assignments!$AJ$2:$AJ$769,"&gt;="&amp;W$47)+SUMIFS(Assignments!$AN$2:$AN$769,Assignments!$A$2:$A$769,$A66,Assignments!$G$2:$G$769,"Active",Assignments!$AL$2:$AL$769,"&lt;="&amp;W$47,Assignments!$AM$2:$AM$769,"&gt;="&amp;W$47))</f>
        <v/>
      </c>
      <c r="X66" s="11">
        <f>IF($A66="","",SUMIFS(Assignments!$AK$2:$AK$769,Assignments!$A$2:$A$769,$A66,Assignments!$G$2:$G$769,"Active",Assignments!$AI$2:$AI$769,"&lt;="&amp;X$47,Assignments!$AJ$2:$AJ$769,"&gt;="&amp;X$47)+SUMIFS(Assignments!$AN$2:$AN$769,Assignments!$A$2:$A$769,$A66,Assignments!$G$2:$G$769,"Active",Assignments!$AL$2:$AL$769,"&lt;="&amp;X$47,Assignments!$AM$2:$AM$769,"&gt;="&amp;X$47))</f>
        <v/>
      </c>
      <c r="Y66" s="11">
        <f>IF($A66="","",SUMIFS(Assignments!$AK$2:$AK$769,Assignments!$A$2:$A$769,$A66,Assignments!$G$2:$G$769,"Active",Assignments!$AI$2:$AI$769,"&lt;="&amp;Y$47,Assignments!$AJ$2:$AJ$769,"&gt;="&amp;Y$47)+SUMIFS(Assignments!$AN$2:$AN$769,Assignments!$A$2:$A$769,$A66,Assignments!$G$2:$G$769,"Active",Assignments!$AL$2:$AL$769,"&lt;="&amp;Y$47,Assignments!$AM$2:$AM$769,"&gt;="&amp;Y$47))</f>
        <v/>
      </c>
      <c r="Z66" s="11">
        <f>IF($A66="","",SUMIFS(Assignments!$AK$2:$AK$769,Assignments!$A$2:$A$769,$A66,Assignments!$G$2:$G$769,"Active",Assignments!$AI$2:$AI$769,"&lt;="&amp;Z$47,Assignments!$AJ$2:$AJ$769,"&gt;="&amp;Z$47)+SUMIFS(Assignments!$AN$2:$AN$769,Assignments!$A$2:$A$769,$A66,Assignments!$G$2:$G$769,"Active",Assignments!$AL$2:$AL$769,"&lt;="&amp;Z$47,Assignments!$AM$2:$AM$769,"&gt;="&amp;Z$47))</f>
        <v/>
      </c>
      <c r="AA66" s="11">
        <f>IF($A66="","",SUMIFS(Assignments!$AK$2:$AK$769,Assignments!$A$2:$A$769,$A66,Assignments!$G$2:$G$769,"Active",Assignments!$AI$2:$AI$769,"&lt;="&amp;AA$47,Assignments!$AJ$2:$AJ$769,"&gt;="&amp;AA$47)+SUMIFS(Assignments!$AN$2:$AN$769,Assignments!$A$2:$A$769,$A66,Assignments!$G$2:$G$769,"Active",Assignments!$AL$2:$AL$769,"&lt;="&amp;AA$47,Assignments!$AM$2:$AM$769,"&gt;="&amp;AA$47))</f>
        <v/>
      </c>
      <c r="AB66" s="11">
        <f>IF($A66="","",SUMIFS(Assignments!$AK$2:$AK$769,Assignments!$A$2:$A$769,$A66,Assignments!$G$2:$G$769,"Active",Assignments!$AI$2:$AI$769,"&lt;="&amp;AB$47,Assignments!$AJ$2:$AJ$769,"&gt;="&amp;AB$47)+SUMIFS(Assignments!$AN$2:$AN$769,Assignments!$A$2:$A$769,$A66,Assignments!$G$2:$G$769,"Active",Assignments!$AL$2:$AL$769,"&lt;="&amp;AB$47,Assignments!$AM$2:$AM$769,"&gt;="&amp;AB$47))</f>
        <v/>
      </c>
    </row>
    <row r="67">
      <c r="A67" s="9">
        <f>IF(Roster!$A21="","",Roster!$A21)</f>
        <v/>
      </c>
      <c r="B67" s="10">
        <f>IF($A67="","",IFERROR(INDEX(Roster!$D$2:$D$40,MATCH($A67,Roster!$A$2:$A$40,0)),""))</f>
        <v/>
      </c>
      <c r="C67" s="11">
        <f>IF($A67="","",SUMIFS(Assignments!$AK$2:$AK$769,Assignments!$A$2:$A$769,$A67,Assignments!$G$2:$G$769,"Active",Assignments!$AI$2:$AI$769,"&lt;="&amp;C$47,Assignments!$AJ$2:$AJ$769,"&gt;="&amp;C$47)+SUMIFS(Assignments!$AN$2:$AN$769,Assignments!$A$2:$A$769,$A67,Assignments!$G$2:$G$769,"Active",Assignments!$AL$2:$AL$769,"&lt;="&amp;C$47,Assignments!$AM$2:$AM$769,"&gt;="&amp;C$47))</f>
        <v/>
      </c>
      <c r="D67" s="11">
        <f>IF($A67="","",SUMIFS(Assignments!$AK$2:$AK$769,Assignments!$A$2:$A$769,$A67,Assignments!$G$2:$G$769,"Active",Assignments!$AI$2:$AI$769,"&lt;="&amp;D$47,Assignments!$AJ$2:$AJ$769,"&gt;="&amp;D$47)+SUMIFS(Assignments!$AN$2:$AN$769,Assignments!$A$2:$A$769,$A67,Assignments!$G$2:$G$769,"Active",Assignments!$AL$2:$AL$769,"&lt;="&amp;D$47,Assignments!$AM$2:$AM$769,"&gt;="&amp;D$47))</f>
        <v/>
      </c>
      <c r="E67" s="11">
        <f>IF($A67="","",SUMIFS(Assignments!$AK$2:$AK$769,Assignments!$A$2:$A$769,$A67,Assignments!$G$2:$G$769,"Active",Assignments!$AI$2:$AI$769,"&lt;="&amp;E$47,Assignments!$AJ$2:$AJ$769,"&gt;="&amp;E$47)+SUMIFS(Assignments!$AN$2:$AN$769,Assignments!$A$2:$A$769,$A67,Assignments!$G$2:$G$769,"Active",Assignments!$AL$2:$AL$769,"&lt;="&amp;E$47,Assignments!$AM$2:$AM$769,"&gt;="&amp;E$47))</f>
        <v/>
      </c>
      <c r="F67" s="11">
        <f>IF($A67="","",SUMIFS(Assignments!$AK$2:$AK$769,Assignments!$A$2:$A$769,$A67,Assignments!$G$2:$G$769,"Active",Assignments!$AI$2:$AI$769,"&lt;="&amp;F$47,Assignments!$AJ$2:$AJ$769,"&gt;="&amp;F$47)+SUMIFS(Assignments!$AN$2:$AN$769,Assignments!$A$2:$A$769,$A67,Assignments!$G$2:$G$769,"Active",Assignments!$AL$2:$AL$769,"&lt;="&amp;F$47,Assignments!$AM$2:$AM$769,"&gt;="&amp;F$47))</f>
        <v/>
      </c>
      <c r="G67" s="11">
        <f>IF($A67="","",SUMIFS(Assignments!$AK$2:$AK$769,Assignments!$A$2:$A$769,$A67,Assignments!$G$2:$G$769,"Active",Assignments!$AI$2:$AI$769,"&lt;="&amp;G$47,Assignments!$AJ$2:$AJ$769,"&gt;="&amp;G$47)+SUMIFS(Assignments!$AN$2:$AN$769,Assignments!$A$2:$A$769,$A67,Assignments!$G$2:$G$769,"Active",Assignments!$AL$2:$AL$769,"&lt;="&amp;G$47,Assignments!$AM$2:$AM$769,"&gt;="&amp;G$47))</f>
        <v/>
      </c>
      <c r="H67" s="11">
        <f>IF($A67="","",SUMIFS(Assignments!$AK$2:$AK$769,Assignments!$A$2:$A$769,$A67,Assignments!$G$2:$G$769,"Active",Assignments!$AI$2:$AI$769,"&lt;="&amp;H$47,Assignments!$AJ$2:$AJ$769,"&gt;="&amp;H$47)+SUMIFS(Assignments!$AN$2:$AN$769,Assignments!$A$2:$A$769,$A67,Assignments!$G$2:$G$769,"Active",Assignments!$AL$2:$AL$769,"&lt;="&amp;H$47,Assignments!$AM$2:$AM$769,"&gt;="&amp;H$47))</f>
        <v/>
      </c>
      <c r="I67" s="11">
        <f>IF($A67="","",SUMIFS(Assignments!$AK$2:$AK$769,Assignments!$A$2:$A$769,$A67,Assignments!$G$2:$G$769,"Active",Assignments!$AI$2:$AI$769,"&lt;="&amp;I$47,Assignments!$AJ$2:$AJ$769,"&gt;="&amp;I$47)+SUMIFS(Assignments!$AN$2:$AN$769,Assignments!$A$2:$A$769,$A67,Assignments!$G$2:$G$769,"Active",Assignments!$AL$2:$AL$769,"&lt;="&amp;I$47,Assignments!$AM$2:$AM$769,"&gt;="&amp;I$47))</f>
        <v/>
      </c>
      <c r="J67" s="11">
        <f>IF($A67="","",SUMIFS(Assignments!$AK$2:$AK$769,Assignments!$A$2:$A$769,$A67,Assignments!$G$2:$G$769,"Active",Assignments!$AI$2:$AI$769,"&lt;="&amp;J$47,Assignments!$AJ$2:$AJ$769,"&gt;="&amp;J$47)+SUMIFS(Assignments!$AN$2:$AN$769,Assignments!$A$2:$A$769,$A67,Assignments!$G$2:$G$769,"Active",Assignments!$AL$2:$AL$769,"&lt;="&amp;J$47,Assignments!$AM$2:$AM$769,"&gt;="&amp;J$47))</f>
        <v/>
      </c>
      <c r="K67" s="11">
        <f>IF($A67="","",SUMIFS(Assignments!$AK$2:$AK$769,Assignments!$A$2:$A$769,$A67,Assignments!$G$2:$G$769,"Active",Assignments!$AI$2:$AI$769,"&lt;="&amp;K$47,Assignments!$AJ$2:$AJ$769,"&gt;="&amp;K$47)+SUMIFS(Assignments!$AN$2:$AN$769,Assignments!$A$2:$A$769,$A67,Assignments!$G$2:$G$769,"Active",Assignments!$AL$2:$AL$769,"&lt;="&amp;K$47,Assignments!$AM$2:$AM$769,"&gt;="&amp;K$47))</f>
        <v/>
      </c>
      <c r="L67" s="11">
        <f>IF($A67="","",SUMIFS(Assignments!$AK$2:$AK$769,Assignments!$A$2:$A$769,$A67,Assignments!$G$2:$G$769,"Active",Assignments!$AI$2:$AI$769,"&lt;="&amp;L$47,Assignments!$AJ$2:$AJ$769,"&gt;="&amp;L$47)+SUMIFS(Assignments!$AN$2:$AN$769,Assignments!$A$2:$A$769,$A67,Assignments!$G$2:$G$769,"Active",Assignments!$AL$2:$AL$769,"&lt;="&amp;L$47,Assignments!$AM$2:$AM$769,"&gt;="&amp;L$47))</f>
        <v/>
      </c>
      <c r="M67" s="11">
        <f>IF($A67="","",SUMIFS(Assignments!$AK$2:$AK$769,Assignments!$A$2:$A$769,$A67,Assignments!$G$2:$G$769,"Active",Assignments!$AI$2:$AI$769,"&lt;="&amp;M$47,Assignments!$AJ$2:$AJ$769,"&gt;="&amp;M$47)+SUMIFS(Assignments!$AN$2:$AN$769,Assignments!$A$2:$A$769,$A67,Assignments!$G$2:$G$769,"Active",Assignments!$AL$2:$AL$769,"&lt;="&amp;M$47,Assignments!$AM$2:$AM$769,"&gt;="&amp;M$47))</f>
        <v/>
      </c>
      <c r="N67" s="11">
        <f>IF($A67="","",SUMIFS(Assignments!$AK$2:$AK$769,Assignments!$A$2:$A$769,$A67,Assignments!$G$2:$G$769,"Active",Assignments!$AI$2:$AI$769,"&lt;="&amp;N$47,Assignments!$AJ$2:$AJ$769,"&gt;="&amp;N$47)+SUMIFS(Assignments!$AN$2:$AN$769,Assignments!$A$2:$A$769,$A67,Assignments!$G$2:$G$769,"Active",Assignments!$AL$2:$AL$769,"&lt;="&amp;N$47,Assignments!$AM$2:$AM$769,"&gt;="&amp;N$47))</f>
        <v/>
      </c>
      <c r="O67" s="11">
        <f>IF($A67="","",SUMIFS(Assignments!$AK$2:$AK$769,Assignments!$A$2:$A$769,$A67,Assignments!$G$2:$G$769,"Active",Assignments!$AI$2:$AI$769,"&lt;="&amp;O$47,Assignments!$AJ$2:$AJ$769,"&gt;="&amp;O$47)+SUMIFS(Assignments!$AN$2:$AN$769,Assignments!$A$2:$A$769,$A67,Assignments!$G$2:$G$769,"Active",Assignments!$AL$2:$AL$769,"&lt;="&amp;O$47,Assignments!$AM$2:$AM$769,"&gt;="&amp;O$47))</f>
        <v/>
      </c>
      <c r="P67" s="11">
        <f>IF($A67="","",SUMIFS(Assignments!$AK$2:$AK$769,Assignments!$A$2:$A$769,$A67,Assignments!$G$2:$G$769,"Active",Assignments!$AI$2:$AI$769,"&lt;="&amp;P$47,Assignments!$AJ$2:$AJ$769,"&gt;="&amp;P$47)+SUMIFS(Assignments!$AN$2:$AN$769,Assignments!$A$2:$A$769,$A67,Assignments!$G$2:$G$769,"Active",Assignments!$AL$2:$AL$769,"&lt;="&amp;P$47,Assignments!$AM$2:$AM$769,"&gt;="&amp;P$47))</f>
        <v/>
      </c>
      <c r="Q67" s="11">
        <f>IF($A67="","",SUMIFS(Assignments!$AK$2:$AK$769,Assignments!$A$2:$A$769,$A67,Assignments!$G$2:$G$769,"Active",Assignments!$AI$2:$AI$769,"&lt;="&amp;Q$47,Assignments!$AJ$2:$AJ$769,"&gt;="&amp;Q$47)+SUMIFS(Assignments!$AN$2:$AN$769,Assignments!$A$2:$A$769,$A67,Assignments!$G$2:$G$769,"Active",Assignments!$AL$2:$AL$769,"&lt;="&amp;Q$47,Assignments!$AM$2:$AM$769,"&gt;="&amp;Q$47))</f>
        <v/>
      </c>
      <c r="R67" s="11">
        <f>IF($A67="","",SUMIFS(Assignments!$AK$2:$AK$769,Assignments!$A$2:$A$769,$A67,Assignments!$G$2:$G$769,"Active",Assignments!$AI$2:$AI$769,"&lt;="&amp;R$47,Assignments!$AJ$2:$AJ$769,"&gt;="&amp;R$47)+SUMIFS(Assignments!$AN$2:$AN$769,Assignments!$A$2:$A$769,$A67,Assignments!$G$2:$G$769,"Active",Assignments!$AL$2:$AL$769,"&lt;="&amp;R$47,Assignments!$AM$2:$AM$769,"&gt;="&amp;R$47))</f>
        <v/>
      </c>
      <c r="S67" s="11">
        <f>IF($A67="","",SUMIFS(Assignments!$AK$2:$AK$769,Assignments!$A$2:$A$769,$A67,Assignments!$G$2:$G$769,"Active",Assignments!$AI$2:$AI$769,"&lt;="&amp;S$47,Assignments!$AJ$2:$AJ$769,"&gt;="&amp;S$47)+SUMIFS(Assignments!$AN$2:$AN$769,Assignments!$A$2:$A$769,$A67,Assignments!$G$2:$G$769,"Active",Assignments!$AL$2:$AL$769,"&lt;="&amp;S$47,Assignments!$AM$2:$AM$769,"&gt;="&amp;S$47))</f>
        <v/>
      </c>
      <c r="T67" s="11">
        <f>IF($A67="","",SUMIFS(Assignments!$AK$2:$AK$769,Assignments!$A$2:$A$769,$A67,Assignments!$G$2:$G$769,"Active",Assignments!$AI$2:$AI$769,"&lt;="&amp;T$47,Assignments!$AJ$2:$AJ$769,"&gt;="&amp;T$47)+SUMIFS(Assignments!$AN$2:$AN$769,Assignments!$A$2:$A$769,$A67,Assignments!$G$2:$G$769,"Active",Assignments!$AL$2:$AL$769,"&lt;="&amp;T$47,Assignments!$AM$2:$AM$769,"&gt;="&amp;T$47))</f>
        <v/>
      </c>
      <c r="U67" s="11">
        <f>IF($A67="","",SUMIFS(Assignments!$AK$2:$AK$769,Assignments!$A$2:$A$769,$A67,Assignments!$G$2:$G$769,"Active",Assignments!$AI$2:$AI$769,"&lt;="&amp;U$47,Assignments!$AJ$2:$AJ$769,"&gt;="&amp;U$47)+SUMIFS(Assignments!$AN$2:$AN$769,Assignments!$A$2:$A$769,$A67,Assignments!$G$2:$G$769,"Active",Assignments!$AL$2:$AL$769,"&lt;="&amp;U$47,Assignments!$AM$2:$AM$769,"&gt;="&amp;U$47))</f>
        <v/>
      </c>
      <c r="V67" s="11">
        <f>IF($A67="","",SUMIFS(Assignments!$AK$2:$AK$769,Assignments!$A$2:$A$769,$A67,Assignments!$G$2:$G$769,"Active",Assignments!$AI$2:$AI$769,"&lt;="&amp;V$47,Assignments!$AJ$2:$AJ$769,"&gt;="&amp;V$47)+SUMIFS(Assignments!$AN$2:$AN$769,Assignments!$A$2:$A$769,$A67,Assignments!$G$2:$G$769,"Active",Assignments!$AL$2:$AL$769,"&lt;="&amp;V$47,Assignments!$AM$2:$AM$769,"&gt;="&amp;V$47))</f>
        <v/>
      </c>
      <c r="W67" s="11">
        <f>IF($A67="","",SUMIFS(Assignments!$AK$2:$AK$769,Assignments!$A$2:$A$769,$A67,Assignments!$G$2:$G$769,"Active",Assignments!$AI$2:$AI$769,"&lt;="&amp;W$47,Assignments!$AJ$2:$AJ$769,"&gt;="&amp;W$47)+SUMIFS(Assignments!$AN$2:$AN$769,Assignments!$A$2:$A$769,$A67,Assignments!$G$2:$G$769,"Active",Assignments!$AL$2:$AL$769,"&lt;="&amp;W$47,Assignments!$AM$2:$AM$769,"&gt;="&amp;W$47))</f>
        <v/>
      </c>
      <c r="X67" s="11">
        <f>IF($A67="","",SUMIFS(Assignments!$AK$2:$AK$769,Assignments!$A$2:$A$769,$A67,Assignments!$G$2:$G$769,"Active",Assignments!$AI$2:$AI$769,"&lt;="&amp;X$47,Assignments!$AJ$2:$AJ$769,"&gt;="&amp;X$47)+SUMIFS(Assignments!$AN$2:$AN$769,Assignments!$A$2:$A$769,$A67,Assignments!$G$2:$G$769,"Active",Assignments!$AL$2:$AL$769,"&lt;="&amp;X$47,Assignments!$AM$2:$AM$769,"&gt;="&amp;X$47))</f>
        <v/>
      </c>
      <c r="Y67" s="11">
        <f>IF($A67="","",SUMIFS(Assignments!$AK$2:$AK$769,Assignments!$A$2:$A$769,$A67,Assignments!$G$2:$G$769,"Active",Assignments!$AI$2:$AI$769,"&lt;="&amp;Y$47,Assignments!$AJ$2:$AJ$769,"&gt;="&amp;Y$47)+SUMIFS(Assignments!$AN$2:$AN$769,Assignments!$A$2:$A$769,$A67,Assignments!$G$2:$G$769,"Active",Assignments!$AL$2:$AL$769,"&lt;="&amp;Y$47,Assignments!$AM$2:$AM$769,"&gt;="&amp;Y$47))</f>
        <v/>
      </c>
      <c r="Z67" s="11">
        <f>IF($A67="","",SUMIFS(Assignments!$AK$2:$AK$769,Assignments!$A$2:$A$769,$A67,Assignments!$G$2:$G$769,"Active",Assignments!$AI$2:$AI$769,"&lt;="&amp;Z$47,Assignments!$AJ$2:$AJ$769,"&gt;="&amp;Z$47)+SUMIFS(Assignments!$AN$2:$AN$769,Assignments!$A$2:$A$769,$A67,Assignments!$G$2:$G$769,"Active",Assignments!$AL$2:$AL$769,"&lt;="&amp;Z$47,Assignments!$AM$2:$AM$769,"&gt;="&amp;Z$47))</f>
        <v/>
      </c>
      <c r="AA67" s="11">
        <f>IF($A67="","",SUMIFS(Assignments!$AK$2:$AK$769,Assignments!$A$2:$A$769,$A67,Assignments!$G$2:$G$769,"Active",Assignments!$AI$2:$AI$769,"&lt;="&amp;AA$47,Assignments!$AJ$2:$AJ$769,"&gt;="&amp;AA$47)+SUMIFS(Assignments!$AN$2:$AN$769,Assignments!$A$2:$A$769,$A67,Assignments!$G$2:$G$769,"Active",Assignments!$AL$2:$AL$769,"&lt;="&amp;AA$47,Assignments!$AM$2:$AM$769,"&gt;="&amp;AA$47))</f>
        <v/>
      </c>
      <c r="AB67" s="11">
        <f>IF($A67="","",SUMIFS(Assignments!$AK$2:$AK$769,Assignments!$A$2:$A$769,$A67,Assignments!$G$2:$G$769,"Active",Assignments!$AI$2:$AI$769,"&lt;="&amp;AB$47,Assignments!$AJ$2:$AJ$769,"&gt;="&amp;AB$47)+SUMIFS(Assignments!$AN$2:$AN$769,Assignments!$A$2:$A$769,$A67,Assignments!$G$2:$G$769,"Active",Assignments!$AL$2:$AL$769,"&lt;="&amp;AB$47,Assignments!$AM$2:$AM$769,"&gt;="&amp;AB$47))</f>
        <v/>
      </c>
    </row>
    <row r="68">
      <c r="A68" s="9">
        <f>IF(Roster!$A22="","",Roster!$A22)</f>
        <v/>
      </c>
      <c r="B68" s="10">
        <f>IF($A68="","",IFERROR(INDEX(Roster!$D$2:$D$40,MATCH($A68,Roster!$A$2:$A$40,0)),""))</f>
        <v/>
      </c>
      <c r="C68" s="11">
        <f>IF($A68="","",SUMIFS(Assignments!$AK$2:$AK$769,Assignments!$A$2:$A$769,$A68,Assignments!$G$2:$G$769,"Active",Assignments!$AI$2:$AI$769,"&lt;="&amp;C$47,Assignments!$AJ$2:$AJ$769,"&gt;="&amp;C$47)+SUMIFS(Assignments!$AN$2:$AN$769,Assignments!$A$2:$A$769,$A68,Assignments!$G$2:$G$769,"Active",Assignments!$AL$2:$AL$769,"&lt;="&amp;C$47,Assignments!$AM$2:$AM$769,"&gt;="&amp;C$47))</f>
        <v/>
      </c>
      <c r="D68" s="11">
        <f>IF($A68="","",SUMIFS(Assignments!$AK$2:$AK$769,Assignments!$A$2:$A$769,$A68,Assignments!$G$2:$G$769,"Active",Assignments!$AI$2:$AI$769,"&lt;="&amp;D$47,Assignments!$AJ$2:$AJ$769,"&gt;="&amp;D$47)+SUMIFS(Assignments!$AN$2:$AN$769,Assignments!$A$2:$A$769,$A68,Assignments!$G$2:$G$769,"Active",Assignments!$AL$2:$AL$769,"&lt;="&amp;D$47,Assignments!$AM$2:$AM$769,"&gt;="&amp;D$47))</f>
        <v/>
      </c>
      <c r="E68" s="11">
        <f>IF($A68="","",SUMIFS(Assignments!$AK$2:$AK$769,Assignments!$A$2:$A$769,$A68,Assignments!$G$2:$G$769,"Active",Assignments!$AI$2:$AI$769,"&lt;="&amp;E$47,Assignments!$AJ$2:$AJ$769,"&gt;="&amp;E$47)+SUMIFS(Assignments!$AN$2:$AN$769,Assignments!$A$2:$A$769,$A68,Assignments!$G$2:$G$769,"Active",Assignments!$AL$2:$AL$769,"&lt;="&amp;E$47,Assignments!$AM$2:$AM$769,"&gt;="&amp;E$47))</f>
        <v/>
      </c>
      <c r="F68" s="11">
        <f>IF($A68="","",SUMIFS(Assignments!$AK$2:$AK$769,Assignments!$A$2:$A$769,$A68,Assignments!$G$2:$G$769,"Active",Assignments!$AI$2:$AI$769,"&lt;="&amp;F$47,Assignments!$AJ$2:$AJ$769,"&gt;="&amp;F$47)+SUMIFS(Assignments!$AN$2:$AN$769,Assignments!$A$2:$A$769,$A68,Assignments!$G$2:$G$769,"Active",Assignments!$AL$2:$AL$769,"&lt;="&amp;F$47,Assignments!$AM$2:$AM$769,"&gt;="&amp;F$47))</f>
        <v/>
      </c>
      <c r="G68" s="11">
        <f>IF($A68="","",SUMIFS(Assignments!$AK$2:$AK$769,Assignments!$A$2:$A$769,$A68,Assignments!$G$2:$G$769,"Active",Assignments!$AI$2:$AI$769,"&lt;="&amp;G$47,Assignments!$AJ$2:$AJ$769,"&gt;="&amp;G$47)+SUMIFS(Assignments!$AN$2:$AN$769,Assignments!$A$2:$A$769,$A68,Assignments!$G$2:$G$769,"Active",Assignments!$AL$2:$AL$769,"&lt;="&amp;G$47,Assignments!$AM$2:$AM$769,"&gt;="&amp;G$47))</f>
        <v/>
      </c>
      <c r="H68" s="11">
        <f>IF($A68="","",SUMIFS(Assignments!$AK$2:$AK$769,Assignments!$A$2:$A$769,$A68,Assignments!$G$2:$G$769,"Active",Assignments!$AI$2:$AI$769,"&lt;="&amp;H$47,Assignments!$AJ$2:$AJ$769,"&gt;="&amp;H$47)+SUMIFS(Assignments!$AN$2:$AN$769,Assignments!$A$2:$A$769,$A68,Assignments!$G$2:$G$769,"Active",Assignments!$AL$2:$AL$769,"&lt;="&amp;H$47,Assignments!$AM$2:$AM$769,"&gt;="&amp;H$47))</f>
        <v/>
      </c>
      <c r="I68" s="11">
        <f>IF($A68="","",SUMIFS(Assignments!$AK$2:$AK$769,Assignments!$A$2:$A$769,$A68,Assignments!$G$2:$G$769,"Active",Assignments!$AI$2:$AI$769,"&lt;="&amp;I$47,Assignments!$AJ$2:$AJ$769,"&gt;="&amp;I$47)+SUMIFS(Assignments!$AN$2:$AN$769,Assignments!$A$2:$A$769,$A68,Assignments!$G$2:$G$769,"Active",Assignments!$AL$2:$AL$769,"&lt;="&amp;I$47,Assignments!$AM$2:$AM$769,"&gt;="&amp;I$47))</f>
        <v/>
      </c>
      <c r="J68" s="11">
        <f>IF($A68="","",SUMIFS(Assignments!$AK$2:$AK$769,Assignments!$A$2:$A$769,$A68,Assignments!$G$2:$G$769,"Active",Assignments!$AI$2:$AI$769,"&lt;="&amp;J$47,Assignments!$AJ$2:$AJ$769,"&gt;="&amp;J$47)+SUMIFS(Assignments!$AN$2:$AN$769,Assignments!$A$2:$A$769,$A68,Assignments!$G$2:$G$769,"Active",Assignments!$AL$2:$AL$769,"&lt;="&amp;J$47,Assignments!$AM$2:$AM$769,"&gt;="&amp;J$47))</f>
        <v/>
      </c>
      <c r="K68" s="11">
        <f>IF($A68="","",SUMIFS(Assignments!$AK$2:$AK$769,Assignments!$A$2:$A$769,$A68,Assignments!$G$2:$G$769,"Active",Assignments!$AI$2:$AI$769,"&lt;="&amp;K$47,Assignments!$AJ$2:$AJ$769,"&gt;="&amp;K$47)+SUMIFS(Assignments!$AN$2:$AN$769,Assignments!$A$2:$A$769,$A68,Assignments!$G$2:$G$769,"Active",Assignments!$AL$2:$AL$769,"&lt;="&amp;K$47,Assignments!$AM$2:$AM$769,"&gt;="&amp;K$47))</f>
        <v/>
      </c>
      <c r="L68" s="11">
        <f>IF($A68="","",SUMIFS(Assignments!$AK$2:$AK$769,Assignments!$A$2:$A$769,$A68,Assignments!$G$2:$G$769,"Active",Assignments!$AI$2:$AI$769,"&lt;="&amp;L$47,Assignments!$AJ$2:$AJ$769,"&gt;="&amp;L$47)+SUMIFS(Assignments!$AN$2:$AN$769,Assignments!$A$2:$A$769,$A68,Assignments!$G$2:$G$769,"Active",Assignments!$AL$2:$AL$769,"&lt;="&amp;L$47,Assignments!$AM$2:$AM$769,"&gt;="&amp;L$47))</f>
        <v/>
      </c>
      <c r="M68" s="11">
        <f>IF($A68="","",SUMIFS(Assignments!$AK$2:$AK$769,Assignments!$A$2:$A$769,$A68,Assignments!$G$2:$G$769,"Active",Assignments!$AI$2:$AI$769,"&lt;="&amp;M$47,Assignments!$AJ$2:$AJ$769,"&gt;="&amp;M$47)+SUMIFS(Assignments!$AN$2:$AN$769,Assignments!$A$2:$A$769,$A68,Assignments!$G$2:$G$769,"Active",Assignments!$AL$2:$AL$769,"&lt;="&amp;M$47,Assignments!$AM$2:$AM$769,"&gt;="&amp;M$47))</f>
        <v/>
      </c>
      <c r="N68" s="11">
        <f>IF($A68="","",SUMIFS(Assignments!$AK$2:$AK$769,Assignments!$A$2:$A$769,$A68,Assignments!$G$2:$G$769,"Active",Assignments!$AI$2:$AI$769,"&lt;="&amp;N$47,Assignments!$AJ$2:$AJ$769,"&gt;="&amp;N$47)+SUMIFS(Assignments!$AN$2:$AN$769,Assignments!$A$2:$A$769,$A68,Assignments!$G$2:$G$769,"Active",Assignments!$AL$2:$AL$769,"&lt;="&amp;N$47,Assignments!$AM$2:$AM$769,"&gt;="&amp;N$47))</f>
        <v/>
      </c>
      <c r="O68" s="11">
        <f>IF($A68="","",SUMIFS(Assignments!$AK$2:$AK$769,Assignments!$A$2:$A$769,$A68,Assignments!$G$2:$G$769,"Active",Assignments!$AI$2:$AI$769,"&lt;="&amp;O$47,Assignments!$AJ$2:$AJ$769,"&gt;="&amp;O$47)+SUMIFS(Assignments!$AN$2:$AN$769,Assignments!$A$2:$A$769,$A68,Assignments!$G$2:$G$769,"Active",Assignments!$AL$2:$AL$769,"&lt;="&amp;O$47,Assignments!$AM$2:$AM$769,"&gt;="&amp;O$47))</f>
        <v/>
      </c>
      <c r="P68" s="11">
        <f>IF($A68="","",SUMIFS(Assignments!$AK$2:$AK$769,Assignments!$A$2:$A$769,$A68,Assignments!$G$2:$G$769,"Active",Assignments!$AI$2:$AI$769,"&lt;="&amp;P$47,Assignments!$AJ$2:$AJ$769,"&gt;="&amp;P$47)+SUMIFS(Assignments!$AN$2:$AN$769,Assignments!$A$2:$A$769,$A68,Assignments!$G$2:$G$769,"Active",Assignments!$AL$2:$AL$769,"&lt;="&amp;P$47,Assignments!$AM$2:$AM$769,"&gt;="&amp;P$47))</f>
        <v/>
      </c>
      <c r="Q68" s="11">
        <f>IF($A68="","",SUMIFS(Assignments!$AK$2:$AK$769,Assignments!$A$2:$A$769,$A68,Assignments!$G$2:$G$769,"Active",Assignments!$AI$2:$AI$769,"&lt;="&amp;Q$47,Assignments!$AJ$2:$AJ$769,"&gt;="&amp;Q$47)+SUMIFS(Assignments!$AN$2:$AN$769,Assignments!$A$2:$A$769,$A68,Assignments!$G$2:$G$769,"Active",Assignments!$AL$2:$AL$769,"&lt;="&amp;Q$47,Assignments!$AM$2:$AM$769,"&gt;="&amp;Q$47))</f>
        <v/>
      </c>
      <c r="R68" s="11">
        <f>IF($A68="","",SUMIFS(Assignments!$AK$2:$AK$769,Assignments!$A$2:$A$769,$A68,Assignments!$G$2:$G$769,"Active",Assignments!$AI$2:$AI$769,"&lt;="&amp;R$47,Assignments!$AJ$2:$AJ$769,"&gt;="&amp;R$47)+SUMIFS(Assignments!$AN$2:$AN$769,Assignments!$A$2:$A$769,$A68,Assignments!$G$2:$G$769,"Active",Assignments!$AL$2:$AL$769,"&lt;="&amp;R$47,Assignments!$AM$2:$AM$769,"&gt;="&amp;R$47))</f>
        <v/>
      </c>
      <c r="S68" s="11">
        <f>IF($A68="","",SUMIFS(Assignments!$AK$2:$AK$769,Assignments!$A$2:$A$769,$A68,Assignments!$G$2:$G$769,"Active",Assignments!$AI$2:$AI$769,"&lt;="&amp;S$47,Assignments!$AJ$2:$AJ$769,"&gt;="&amp;S$47)+SUMIFS(Assignments!$AN$2:$AN$769,Assignments!$A$2:$A$769,$A68,Assignments!$G$2:$G$769,"Active",Assignments!$AL$2:$AL$769,"&lt;="&amp;S$47,Assignments!$AM$2:$AM$769,"&gt;="&amp;S$47))</f>
        <v/>
      </c>
      <c r="T68" s="11">
        <f>IF($A68="","",SUMIFS(Assignments!$AK$2:$AK$769,Assignments!$A$2:$A$769,$A68,Assignments!$G$2:$G$769,"Active",Assignments!$AI$2:$AI$769,"&lt;="&amp;T$47,Assignments!$AJ$2:$AJ$769,"&gt;="&amp;T$47)+SUMIFS(Assignments!$AN$2:$AN$769,Assignments!$A$2:$A$769,$A68,Assignments!$G$2:$G$769,"Active",Assignments!$AL$2:$AL$769,"&lt;="&amp;T$47,Assignments!$AM$2:$AM$769,"&gt;="&amp;T$47))</f>
        <v/>
      </c>
      <c r="U68" s="11">
        <f>IF($A68="","",SUMIFS(Assignments!$AK$2:$AK$769,Assignments!$A$2:$A$769,$A68,Assignments!$G$2:$G$769,"Active",Assignments!$AI$2:$AI$769,"&lt;="&amp;U$47,Assignments!$AJ$2:$AJ$769,"&gt;="&amp;U$47)+SUMIFS(Assignments!$AN$2:$AN$769,Assignments!$A$2:$A$769,$A68,Assignments!$G$2:$G$769,"Active",Assignments!$AL$2:$AL$769,"&lt;="&amp;U$47,Assignments!$AM$2:$AM$769,"&gt;="&amp;U$47))</f>
        <v/>
      </c>
      <c r="V68" s="11">
        <f>IF($A68="","",SUMIFS(Assignments!$AK$2:$AK$769,Assignments!$A$2:$A$769,$A68,Assignments!$G$2:$G$769,"Active",Assignments!$AI$2:$AI$769,"&lt;="&amp;V$47,Assignments!$AJ$2:$AJ$769,"&gt;="&amp;V$47)+SUMIFS(Assignments!$AN$2:$AN$769,Assignments!$A$2:$A$769,$A68,Assignments!$G$2:$G$769,"Active",Assignments!$AL$2:$AL$769,"&lt;="&amp;V$47,Assignments!$AM$2:$AM$769,"&gt;="&amp;V$47))</f>
        <v/>
      </c>
      <c r="W68" s="11">
        <f>IF($A68="","",SUMIFS(Assignments!$AK$2:$AK$769,Assignments!$A$2:$A$769,$A68,Assignments!$G$2:$G$769,"Active",Assignments!$AI$2:$AI$769,"&lt;="&amp;W$47,Assignments!$AJ$2:$AJ$769,"&gt;="&amp;W$47)+SUMIFS(Assignments!$AN$2:$AN$769,Assignments!$A$2:$A$769,$A68,Assignments!$G$2:$G$769,"Active",Assignments!$AL$2:$AL$769,"&lt;="&amp;W$47,Assignments!$AM$2:$AM$769,"&gt;="&amp;W$47))</f>
        <v/>
      </c>
      <c r="X68" s="11">
        <f>IF($A68="","",SUMIFS(Assignments!$AK$2:$AK$769,Assignments!$A$2:$A$769,$A68,Assignments!$G$2:$G$769,"Active",Assignments!$AI$2:$AI$769,"&lt;="&amp;X$47,Assignments!$AJ$2:$AJ$769,"&gt;="&amp;X$47)+SUMIFS(Assignments!$AN$2:$AN$769,Assignments!$A$2:$A$769,$A68,Assignments!$G$2:$G$769,"Active",Assignments!$AL$2:$AL$769,"&lt;="&amp;X$47,Assignments!$AM$2:$AM$769,"&gt;="&amp;X$47))</f>
        <v/>
      </c>
      <c r="Y68" s="11">
        <f>IF($A68="","",SUMIFS(Assignments!$AK$2:$AK$769,Assignments!$A$2:$A$769,$A68,Assignments!$G$2:$G$769,"Active",Assignments!$AI$2:$AI$769,"&lt;="&amp;Y$47,Assignments!$AJ$2:$AJ$769,"&gt;="&amp;Y$47)+SUMIFS(Assignments!$AN$2:$AN$769,Assignments!$A$2:$A$769,$A68,Assignments!$G$2:$G$769,"Active",Assignments!$AL$2:$AL$769,"&lt;="&amp;Y$47,Assignments!$AM$2:$AM$769,"&gt;="&amp;Y$47))</f>
        <v/>
      </c>
      <c r="Z68" s="11">
        <f>IF($A68="","",SUMIFS(Assignments!$AK$2:$AK$769,Assignments!$A$2:$A$769,$A68,Assignments!$G$2:$G$769,"Active",Assignments!$AI$2:$AI$769,"&lt;="&amp;Z$47,Assignments!$AJ$2:$AJ$769,"&gt;="&amp;Z$47)+SUMIFS(Assignments!$AN$2:$AN$769,Assignments!$A$2:$A$769,$A68,Assignments!$G$2:$G$769,"Active",Assignments!$AL$2:$AL$769,"&lt;="&amp;Z$47,Assignments!$AM$2:$AM$769,"&gt;="&amp;Z$47))</f>
        <v/>
      </c>
      <c r="AA68" s="11">
        <f>IF($A68="","",SUMIFS(Assignments!$AK$2:$AK$769,Assignments!$A$2:$A$769,$A68,Assignments!$G$2:$G$769,"Active",Assignments!$AI$2:$AI$769,"&lt;="&amp;AA$47,Assignments!$AJ$2:$AJ$769,"&gt;="&amp;AA$47)+SUMIFS(Assignments!$AN$2:$AN$769,Assignments!$A$2:$A$769,$A68,Assignments!$G$2:$G$769,"Active",Assignments!$AL$2:$AL$769,"&lt;="&amp;AA$47,Assignments!$AM$2:$AM$769,"&gt;="&amp;AA$47))</f>
        <v/>
      </c>
      <c r="AB68" s="11">
        <f>IF($A68="","",SUMIFS(Assignments!$AK$2:$AK$769,Assignments!$A$2:$A$769,$A68,Assignments!$G$2:$G$769,"Active",Assignments!$AI$2:$AI$769,"&lt;="&amp;AB$47,Assignments!$AJ$2:$AJ$769,"&gt;="&amp;AB$47)+SUMIFS(Assignments!$AN$2:$AN$769,Assignments!$A$2:$A$769,$A68,Assignments!$G$2:$G$769,"Active",Assignments!$AL$2:$AL$769,"&lt;="&amp;AB$47,Assignments!$AM$2:$AM$769,"&gt;="&amp;AB$47))</f>
        <v/>
      </c>
    </row>
    <row r="69">
      <c r="A69" s="9">
        <f>IF(Roster!$A23="","",Roster!$A23)</f>
        <v/>
      </c>
      <c r="B69" s="10">
        <f>IF($A69="","",IFERROR(INDEX(Roster!$D$2:$D$40,MATCH($A69,Roster!$A$2:$A$40,0)),""))</f>
        <v/>
      </c>
      <c r="C69" s="11">
        <f>IF($A69="","",SUMIFS(Assignments!$AK$2:$AK$769,Assignments!$A$2:$A$769,$A69,Assignments!$G$2:$G$769,"Active",Assignments!$AI$2:$AI$769,"&lt;="&amp;C$47,Assignments!$AJ$2:$AJ$769,"&gt;="&amp;C$47)+SUMIFS(Assignments!$AN$2:$AN$769,Assignments!$A$2:$A$769,$A69,Assignments!$G$2:$G$769,"Active",Assignments!$AL$2:$AL$769,"&lt;="&amp;C$47,Assignments!$AM$2:$AM$769,"&gt;="&amp;C$47))</f>
        <v/>
      </c>
      <c r="D69" s="11">
        <f>IF($A69="","",SUMIFS(Assignments!$AK$2:$AK$769,Assignments!$A$2:$A$769,$A69,Assignments!$G$2:$G$769,"Active",Assignments!$AI$2:$AI$769,"&lt;="&amp;D$47,Assignments!$AJ$2:$AJ$769,"&gt;="&amp;D$47)+SUMIFS(Assignments!$AN$2:$AN$769,Assignments!$A$2:$A$769,$A69,Assignments!$G$2:$G$769,"Active",Assignments!$AL$2:$AL$769,"&lt;="&amp;D$47,Assignments!$AM$2:$AM$769,"&gt;="&amp;D$47))</f>
        <v/>
      </c>
      <c r="E69" s="11">
        <f>IF($A69="","",SUMIFS(Assignments!$AK$2:$AK$769,Assignments!$A$2:$A$769,$A69,Assignments!$G$2:$G$769,"Active",Assignments!$AI$2:$AI$769,"&lt;="&amp;E$47,Assignments!$AJ$2:$AJ$769,"&gt;="&amp;E$47)+SUMIFS(Assignments!$AN$2:$AN$769,Assignments!$A$2:$A$769,$A69,Assignments!$G$2:$G$769,"Active",Assignments!$AL$2:$AL$769,"&lt;="&amp;E$47,Assignments!$AM$2:$AM$769,"&gt;="&amp;E$47))</f>
        <v/>
      </c>
      <c r="F69" s="11">
        <f>IF($A69="","",SUMIFS(Assignments!$AK$2:$AK$769,Assignments!$A$2:$A$769,$A69,Assignments!$G$2:$G$769,"Active",Assignments!$AI$2:$AI$769,"&lt;="&amp;F$47,Assignments!$AJ$2:$AJ$769,"&gt;="&amp;F$47)+SUMIFS(Assignments!$AN$2:$AN$769,Assignments!$A$2:$A$769,$A69,Assignments!$G$2:$G$769,"Active",Assignments!$AL$2:$AL$769,"&lt;="&amp;F$47,Assignments!$AM$2:$AM$769,"&gt;="&amp;F$47))</f>
        <v/>
      </c>
      <c r="G69" s="11">
        <f>IF($A69="","",SUMIFS(Assignments!$AK$2:$AK$769,Assignments!$A$2:$A$769,$A69,Assignments!$G$2:$G$769,"Active",Assignments!$AI$2:$AI$769,"&lt;="&amp;G$47,Assignments!$AJ$2:$AJ$769,"&gt;="&amp;G$47)+SUMIFS(Assignments!$AN$2:$AN$769,Assignments!$A$2:$A$769,$A69,Assignments!$G$2:$G$769,"Active",Assignments!$AL$2:$AL$769,"&lt;="&amp;G$47,Assignments!$AM$2:$AM$769,"&gt;="&amp;G$47))</f>
        <v/>
      </c>
      <c r="H69" s="11">
        <f>IF($A69="","",SUMIFS(Assignments!$AK$2:$AK$769,Assignments!$A$2:$A$769,$A69,Assignments!$G$2:$G$769,"Active",Assignments!$AI$2:$AI$769,"&lt;="&amp;H$47,Assignments!$AJ$2:$AJ$769,"&gt;="&amp;H$47)+SUMIFS(Assignments!$AN$2:$AN$769,Assignments!$A$2:$A$769,$A69,Assignments!$G$2:$G$769,"Active",Assignments!$AL$2:$AL$769,"&lt;="&amp;H$47,Assignments!$AM$2:$AM$769,"&gt;="&amp;H$47))</f>
        <v/>
      </c>
      <c r="I69" s="11">
        <f>IF($A69="","",SUMIFS(Assignments!$AK$2:$AK$769,Assignments!$A$2:$A$769,$A69,Assignments!$G$2:$G$769,"Active",Assignments!$AI$2:$AI$769,"&lt;="&amp;I$47,Assignments!$AJ$2:$AJ$769,"&gt;="&amp;I$47)+SUMIFS(Assignments!$AN$2:$AN$769,Assignments!$A$2:$A$769,$A69,Assignments!$G$2:$G$769,"Active",Assignments!$AL$2:$AL$769,"&lt;="&amp;I$47,Assignments!$AM$2:$AM$769,"&gt;="&amp;I$47))</f>
        <v/>
      </c>
      <c r="J69" s="11">
        <f>IF($A69="","",SUMIFS(Assignments!$AK$2:$AK$769,Assignments!$A$2:$A$769,$A69,Assignments!$G$2:$G$769,"Active",Assignments!$AI$2:$AI$769,"&lt;="&amp;J$47,Assignments!$AJ$2:$AJ$769,"&gt;="&amp;J$47)+SUMIFS(Assignments!$AN$2:$AN$769,Assignments!$A$2:$A$769,$A69,Assignments!$G$2:$G$769,"Active",Assignments!$AL$2:$AL$769,"&lt;="&amp;J$47,Assignments!$AM$2:$AM$769,"&gt;="&amp;J$47))</f>
        <v/>
      </c>
      <c r="K69" s="11">
        <f>IF($A69="","",SUMIFS(Assignments!$AK$2:$AK$769,Assignments!$A$2:$A$769,$A69,Assignments!$G$2:$G$769,"Active",Assignments!$AI$2:$AI$769,"&lt;="&amp;K$47,Assignments!$AJ$2:$AJ$769,"&gt;="&amp;K$47)+SUMIFS(Assignments!$AN$2:$AN$769,Assignments!$A$2:$A$769,$A69,Assignments!$G$2:$G$769,"Active",Assignments!$AL$2:$AL$769,"&lt;="&amp;K$47,Assignments!$AM$2:$AM$769,"&gt;="&amp;K$47))</f>
        <v/>
      </c>
      <c r="L69" s="11">
        <f>IF($A69="","",SUMIFS(Assignments!$AK$2:$AK$769,Assignments!$A$2:$A$769,$A69,Assignments!$G$2:$G$769,"Active",Assignments!$AI$2:$AI$769,"&lt;="&amp;L$47,Assignments!$AJ$2:$AJ$769,"&gt;="&amp;L$47)+SUMIFS(Assignments!$AN$2:$AN$769,Assignments!$A$2:$A$769,$A69,Assignments!$G$2:$G$769,"Active",Assignments!$AL$2:$AL$769,"&lt;="&amp;L$47,Assignments!$AM$2:$AM$769,"&gt;="&amp;L$47))</f>
        <v/>
      </c>
      <c r="M69" s="11">
        <f>IF($A69="","",SUMIFS(Assignments!$AK$2:$AK$769,Assignments!$A$2:$A$769,$A69,Assignments!$G$2:$G$769,"Active",Assignments!$AI$2:$AI$769,"&lt;="&amp;M$47,Assignments!$AJ$2:$AJ$769,"&gt;="&amp;M$47)+SUMIFS(Assignments!$AN$2:$AN$769,Assignments!$A$2:$A$769,$A69,Assignments!$G$2:$G$769,"Active",Assignments!$AL$2:$AL$769,"&lt;="&amp;M$47,Assignments!$AM$2:$AM$769,"&gt;="&amp;M$47))</f>
        <v/>
      </c>
      <c r="N69" s="11">
        <f>IF($A69="","",SUMIFS(Assignments!$AK$2:$AK$769,Assignments!$A$2:$A$769,$A69,Assignments!$G$2:$G$769,"Active",Assignments!$AI$2:$AI$769,"&lt;="&amp;N$47,Assignments!$AJ$2:$AJ$769,"&gt;="&amp;N$47)+SUMIFS(Assignments!$AN$2:$AN$769,Assignments!$A$2:$A$769,$A69,Assignments!$G$2:$G$769,"Active",Assignments!$AL$2:$AL$769,"&lt;="&amp;N$47,Assignments!$AM$2:$AM$769,"&gt;="&amp;N$47))</f>
        <v/>
      </c>
      <c r="O69" s="11">
        <f>IF($A69="","",SUMIFS(Assignments!$AK$2:$AK$769,Assignments!$A$2:$A$769,$A69,Assignments!$G$2:$G$769,"Active",Assignments!$AI$2:$AI$769,"&lt;="&amp;O$47,Assignments!$AJ$2:$AJ$769,"&gt;="&amp;O$47)+SUMIFS(Assignments!$AN$2:$AN$769,Assignments!$A$2:$A$769,$A69,Assignments!$G$2:$G$769,"Active",Assignments!$AL$2:$AL$769,"&lt;="&amp;O$47,Assignments!$AM$2:$AM$769,"&gt;="&amp;O$47))</f>
        <v/>
      </c>
      <c r="P69" s="11">
        <f>IF($A69="","",SUMIFS(Assignments!$AK$2:$AK$769,Assignments!$A$2:$A$769,$A69,Assignments!$G$2:$G$769,"Active",Assignments!$AI$2:$AI$769,"&lt;="&amp;P$47,Assignments!$AJ$2:$AJ$769,"&gt;="&amp;P$47)+SUMIFS(Assignments!$AN$2:$AN$769,Assignments!$A$2:$A$769,$A69,Assignments!$G$2:$G$769,"Active",Assignments!$AL$2:$AL$769,"&lt;="&amp;P$47,Assignments!$AM$2:$AM$769,"&gt;="&amp;P$47))</f>
        <v/>
      </c>
      <c r="Q69" s="11">
        <f>IF($A69="","",SUMIFS(Assignments!$AK$2:$AK$769,Assignments!$A$2:$A$769,$A69,Assignments!$G$2:$G$769,"Active",Assignments!$AI$2:$AI$769,"&lt;="&amp;Q$47,Assignments!$AJ$2:$AJ$769,"&gt;="&amp;Q$47)+SUMIFS(Assignments!$AN$2:$AN$769,Assignments!$A$2:$A$769,$A69,Assignments!$G$2:$G$769,"Active",Assignments!$AL$2:$AL$769,"&lt;="&amp;Q$47,Assignments!$AM$2:$AM$769,"&gt;="&amp;Q$47))</f>
        <v/>
      </c>
      <c r="R69" s="11">
        <f>IF($A69="","",SUMIFS(Assignments!$AK$2:$AK$769,Assignments!$A$2:$A$769,$A69,Assignments!$G$2:$G$769,"Active",Assignments!$AI$2:$AI$769,"&lt;="&amp;R$47,Assignments!$AJ$2:$AJ$769,"&gt;="&amp;R$47)+SUMIFS(Assignments!$AN$2:$AN$769,Assignments!$A$2:$A$769,$A69,Assignments!$G$2:$G$769,"Active",Assignments!$AL$2:$AL$769,"&lt;="&amp;R$47,Assignments!$AM$2:$AM$769,"&gt;="&amp;R$47))</f>
        <v/>
      </c>
      <c r="S69" s="11">
        <f>IF($A69="","",SUMIFS(Assignments!$AK$2:$AK$769,Assignments!$A$2:$A$769,$A69,Assignments!$G$2:$G$769,"Active",Assignments!$AI$2:$AI$769,"&lt;="&amp;S$47,Assignments!$AJ$2:$AJ$769,"&gt;="&amp;S$47)+SUMIFS(Assignments!$AN$2:$AN$769,Assignments!$A$2:$A$769,$A69,Assignments!$G$2:$G$769,"Active",Assignments!$AL$2:$AL$769,"&lt;="&amp;S$47,Assignments!$AM$2:$AM$769,"&gt;="&amp;S$47))</f>
        <v/>
      </c>
      <c r="T69" s="11">
        <f>IF($A69="","",SUMIFS(Assignments!$AK$2:$AK$769,Assignments!$A$2:$A$769,$A69,Assignments!$G$2:$G$769,"Active",Assignments!$AI$2:$AI$769,"&lt;="&amp;T$47,Assignments!$AJ$2:$AJ$769,"&gt;="&amp;T$47)+SUMIFS(Assignments!$AN$2:$AN$769,Assignments!$A$2:$A$769,$A69,Assignments!$G$2:$G$769,"Active",Assignments!$AL$2:$AL$769,"&lt;="&amp;T$47,Assignments!$AM$2:$AM$769,"&gt;="&amp;T$47))</f>
        <v/>
      </c>
      <c r="U69" s="11">
        <f>IF($A69="","",SUMIFS(Assignments!$AK$2:$AK$769,Assignments!$A$2:$A$769,$A69,Assignments!$G$2:$G$769,"Active",Assignments!$AI$2:$AI$769,"&lt;="&amp;U$47,Assignments!$AJ$2:$AJ$769,"&gt;="&amp;U$47)+SUMIFS(Assignments!$AN$2:$AN$769,Assignments!$A$2:$A$769,$A69,Assignments!$G$2:$G$769,"Active",Assignments!$AL$2:$AL$769,"&lt;="&amp;U$47,Assignments!$AM$2:$AM$769,"&gt;="&amp;U$47))</f>
        <v/>
      </c>
      <c r="V69" s="11">
        <f>IF($A69="","",SUMIFS(Assignments!$AK$2:$AK$769,Assignments!$A$2:$A$769,$A69,Assignments!$G$2:$G$769,"Active",Assignments!$AI$2:$AI$769,"&lt;="&amp;V$47,Assignments!$AJ$2:$AJ$769,"&gt;="&amp;V$47)+SUMIFS(Assignments!$AN$2:$AN$769,Assignments!$A$2:$A$769,$A69,Assignments!$G$2:$G$769,"Active",Assignments!$AL$2:$AL$769,"&lt;="&amp;V$47,Assignments!$AM$2:$AM$769,"&gt;="&amp;V$47))</f>
        <v/>
      </c>
      <c r="W69" s="11">
        <f>IF($A69="","",SUMIFS(Assignments!$AK$2:$AK$769,Assignments!$A$2:$A$769,$A69,Assignments!$G$2:$G$769,"Active",Assignments!$AI$2:$AI$769,"&lt;="&amp;W$47,Assignments!$AJ$2:$AJ$769,"&gt;="&amp;W$47)+SUMIFS(Assignments!$AN$2:$AN$769,Assignments!$A$2:$A$769,$A69,Assignments!$G$2:$G$769,"Active",Assignments!$AL$2:$AL$769,"&lt;="&amp;W$47,Assignments!$AM$2:$AM$769,"&gt;="&amp;W$47))</f>
        <v/>
      </c>
      <c r="X69" s="11">
        <f>IF($A69="","",SUMIFS(Assignments!$AK$2:$AK$769,Assignments!$A$2:$A$769,$A69,Assignments!$G$2:$G$769,"Active",Assignments!$AI$2:$AI$769,"&lt;="&amp;X$47,Assignments!$AJ$2:$AJ$769,"&gt;="&amp;X$47)+SUMIFS(Assignments!$AN$2:$AN$769,Assignments!$A$2:$A$769,$A69,Assignments!$G$2:$G$769,"Active",Assignments!$AL$2:$AL$769,"&lt;="&amp;X$47,Assignments!$AM$2:$AM$769,"&gt;="&amp;X$47))</f>
        <v/>
      </c>
      <c r="Y69" s="11">
        <f>IF($A69="","",SUMIFS(Assignments!$AK$2:$AK$769,Assignments!$A$2:$A$769,$A69,Assignments!$G$2:$G$769,"Active",Assignments!$AI$2:$AI$769,"&lt;="&amp;Y$47,Assignments!$AJ$2:$AJ$769,"&gt;="&amp;Y$47)+SUMIFS(Assignments!$AN$2:$AN$769,Assignments!$A$2:$A$769,$A69,Assignments!$G$2:$G$769,"Active",Assignments!$AL$2:$AL$769,"&lt;="&amp;Y$47,Assignments!$AM$2:$AM$769,"&gt;="&amp;Y$47))</f>
        <v/>
      </c>
      <c r="Z69" s="11">
        <f>IF($A69="","",SUMIFS(Assignments!$AK$2:$AK$769,Assignments!$A$2:$A$769,$A69,Assignments!$G$2:$G$769,"Active",Assignments!$AI$2:$AI$769,"&lt;="&amp;Z$47,Assignments!$AJ$2:$AJ$769,"&gt;="&amp;Z$47)+SUMIFS(Assignments!$AN$2:$AN$769,Assignments!$A$2:$A$769,$A69,Assignments!$G$2:$G$769,"Active",Assignments!$AL$2:$AL$769,"&lt;="&amp;Z$47,Assignments!$AM$2:$AM$769,"&gt;="&amp;Z$47))</f>
        <v/>
      </c>
      <c r="AA69" s="11">
        <f>IF($A69="","",SUMIFS(Assignments!$AK$2:$AK$769,Assignments!$A$2:$A$769,$A69,Assignments!$G$2:$G$769,"Active",Assignments!$AI$2:$AI$769,"&lt;="&amp;AA$47,Assignments!$AJ$2:$AJ$769,"&gt;="&amp;AA$47)+SUMIFS(Assignments!$AN$2:$AN$769,Assignments!$A$2:$A$769,$A69,Assignments!$G$2:$G$769,"Active",Assignments!$AL$2:$AL$769,"&lt;="&amp;AA$47,Assignments!$AM$2:$AM$769,"&gt;="&amp;AA$47))</f>
        <v/>
      </c>
      <c r="AB69" s="11">
        <f>IF($A69="","",SUMIFS(Assignments!$AK$2:$AK$769,Assignments!$A$2:$A$769,$A69,Assignments!$G$2:$G$769,"Active",Assignments!$AI$2:$AI$769,"&lt;="&amp;AB$47,Assignments!$AJ$2:$AJ$769,"&gt;="&amp;AB$47)+SUMIFS(Assignments!$AN$2:$AN$769,Assignments!$A$2:$A$769,$A69,Assignments!$G$2:$G$769,"Active",Assignments!$AL$2:$AL$769,"&lt;="&amp;AB$47,Assignments!$AM$2:$AM$769,"&gt;="&amp;AB$47))</f>
        <v/>
      </c>
    </row>
    <row r="70">
      <c r="A70" s="9">
        <f>IF(Roster!$A24="","",Roster!$A24)</f>
        <v/>
      </c>
      <c r="B70" s="10">
        <f>IF($A70="","",IFERROR(INDEX(Roster!$D$2:$D$40,MATCH($A70,Roster!$A$2:$A$40,0)),""))</f>
        <v/>
      </c>
      <c r="C70" s="11">
        <f>IF($A70="","",SUMIFS(Assignments!$AK$2:$AK$769,Assignments!$A$2:$A$769,$A70,Assignments!$G$2:$G$769,"Active",Assignments!$AI$2:$AI$769,"&lt;="&amp;C$47,Assignments!$AJ$2:$AJ$769,"&gt;="&amp;C$47)+SUMIFS(Assignments!$AN$2:$AN$769,Assignments!$A$2:$A$769,$A70,Assignments!$G$2:$G$769,"Active",Assignments!$AL$2:$AL$769,"&lt;="&amp;C$47,Assignments!$AM$2:$AM$769,"&gt;="&amp;C$47))</f>
        <v/>
      </c>
      <c r="D70" s="11">
        <f>IF($A70="","",SUMIFS(Assignments!$AK$2:$AK$769,Assignments!$A$2:$A$769,$A70,Assignments!$G$2:$G$769,"Active",Assignments!$AI$2:$AI$769,"&lt;="&amp;D$47,Assignments!$AJ$2:$AJ$769,"&gt;="&amp;D$47)+SUMIFS(Assignments!$AN$2:$AN$769,Assignments!$A$2:$A$769,$A70,Assignments!$G$2:$G$769,"Active",Assignments!$AL$2:$AL$769,"&lt;="&amp;D$47,Assignments!$AM$2:$AM$769,"&gt;="&amp;D$47))</f>
        <v/>
      </c>
      <c r="E70" s="11">
        <f>IF($A70="","",SUMIFS(Assignments!$AK$2:$AK$769,Assignments!$A$2:$A$769,$A70,Assignments!$G$2:$G$769,"Active",Assignments!$AI$2:$AI$769,"&lt;="&amp;E$47,Assignments!$AJ$2:$AJ$769,"&gt;="&amp;E$47)+SUMIFS(Assignments!$AN$2:$AN$769,Assignments!$A$2:$A$769,$A70,Assignments!$G$2:$G$769,"Active",Assignments!$AL$2:$AL$769,"&lt;="&amp;E$47,Assignments!$AM$2:$AM$769,"&gt;="&amp;E$47))</f>
        <v/>
      </c>
      <c r="F70" s="11">
        <f>IF($A70="","",SUMIFS(Assignments!$AK$2:$AK$769,Assignments!$A$2:$A$769,$A70,Assignments!$G$2:$G$769,"Active",Assignments!$AI$2:$AI$769,"&lt;="&amp;F$47,Assignments!$AJ$2:$AJ$769,"&gt;="&amp;F$47)+SUMIFS(Assignments!$AN$2:$AN$769,Assignments!$A$2:$A$769,$A70,Assignments!$G$2:$G$769,"Active",Assignments!$AL$2:$AL$769,"&lt;="&amp;F$47,Assignments!$AM$2:$AM$769,"&gt;="&amp;F$47))</f>
        <v/>
      </c>
      <c r="G70" s="11">
        <f>IF($A70="","",SUMIFS(Assignments!$AK$2:$AK$769,Assignments!$A$2:$A$769,$A70,Assignments!$G$2:$G$769,"Active",Assignments!$AI$2:$AI$769,"&lt;="&amp;G$47,Assignments!$AJ$2:$AJ$769,"&gt;="&amp;G$47)+SUMIFS(Assignments!$AN$2:$AN$769,Assignments!$A$2:$A$769,$A70,Assignments!$G$2:$G$769,"Active",Assignments!$AL$2:$AL$769,"&lt;="&amp;G$47,Assignments!$AM$2:$AM$769,"&gt;="&amp;G$47))</f>
        <v/>
      </c>
      <c r="H70" s="11">
        <f>IF($A70="","",SUMIFS(Assignments!$AK$2:$AK$769,Assignments!$A$2:$A$769,$A70,Assignments!$G$2:$G$769,"Active",Assignments!$AI$2:$AI$769,"&lt;="&amp;H$47,Assignments!$AJ$2:$AJ$769,"&gt;="&amp;H$47)+SUMIFS(Assignments!$AN$2:$AN$769,Assignments!$A$2:$A$769,$A70,Assignments!$G$2:$G$769,"Active",Assignments!$AL$2:$AL$769,"&lt;="&amp;H$47,Assignments!$AM$2:$AM$769,"&gt;="&amp;H$47))</f>
        <v/>
      </c>
      <c r="I70" s="11">
        <f>IF($A70="","",SUMIFS(Assignments!$AK$2:$AK$769,Assignments!$A$2:$A$769,$A70,Assignments!$G$2:$G$769,"Active",Assignments!$AI$2:$AI$769,"&lt;="&amp;I$47,Assignments!$AJ$2:$AJ$769,"&gt;="&amp;I$47)+SUMIFS(Assignments!$AN$2:$AN$769,Assignments!$A$2:$A$769,$A70,Assignments!$G$2:$G$769,"Active",Assignments!$AL$2:$AL$769,"&lt;="&amp;I$47,Assignments!$AM$2:$AM$769,"&gt;="&amp;I$47))</f>
        <v/>
      </c>
      <c r="J70" s="11">
        <f>IF($A70="","",SUMIFS(Assignments!$AK$2:$AK$769,Assignments!$A$2:$A$769,$A70,Assignments!$G$2:$G$769,"Active",Assignments!$AI$2:$AI$769,"&lt;="&amp;J$47,Assignments!$AJ$2:$AJ$769,"&gt;="&amp;J$47)+SUMIFS(Assignments!$AN$2:$AN$769,Assignments!$A$2:$A$769,$A70,Assignments!$G$2:$G$769,"Active",Assignments!$AL$2:$AL$769,"&lt;="&amp;J$47,Assignments!$AM$2:$AM$769,"&gt;="&amp;J$47))</f>
        <v/>
      </c>
      <c r="K70" s="11">
        <f>IF($A70="","",SUMIFS(Assignments!$AK$2:$AK$769,Assignments!$A$2:$A$769,$A70,Assignments!$G$2:$G$769,"Active",Assignments!$AI$2:$AI$769,"&lt;="&amp;K$47,Assignments!$AJ$2:$AJ$769,"&gt;="&amp;K$47)+SUMIFS(Assignments!$AN$2:$AN$769,Assignments!$A$2:$A$769,$A70,Assignments!$G$2:$G$769,"Active",Assignments!$AL$2:$AL$769,"&lt;="&amp;K$47,Assignments!$AM$2:$AM$769,"&gt;="&amp;K$47))</f>
        <v/>
      </c>
      <c r="L70" s="11">
        <f>IF($A70="","",SUMIFS(Assignments!$AK$2:$AK$769,Assignments!$A$2:$A$769,$A70,Assignments!$G$2:$G$769,"Active",Assignments!$AI$2:$AI$769,"&lt;="&amp;L$47,Assignments!$AJ$2:$AJ$769,"&gt;="&amp;L$47)+SUMIFS(Assignments!$AN$2:$AN$769,Assignments!$A$2:$A$769,$A70,Assignments!$G$2:$G$769,"Active",Assignments!$AL$2:$AL$769,"&lt;="&amp;L$47,Assignments!$AM$2:$AM$769,"&gt;="&amp;L$47))</f>
        <v/>
      </c>
      <c r="M70" s="11">
        <f>IF($A70="","",SUMIFS(Assignments!$AK$2:$AK$769,Assignments!$A$2:$A$769,$A70,Assignments!$G$2:$G$769,"Active",Assignments!$AI$2:$AI$769,"&lt;="&amp;M$47,Assignments!$AJ$2:$AJ$769,"&gt;="&amp;M$47)+SUMIFS(Assignments!$AN$2:$AN$769,Assignments!$A$2:$A$769,$A70,Assignments!$G$2:$G$769,"Active",Assignments!$AL$2:$AL$769,"&lt;="&amp;M$47,Assignments!$AM$2:$AM$769,"&gt;="&amp;M$47))</f>
        <v/>
      </c>
      <c r="N70" s="11">
        <f>IF($A70="","",SUMIFS(Assignments!$AK$2:$AK$769,Assignments!$A$2:$A$769,$A70,Assignments!$G$2:$G$769,"Active",Assignments!$AI$2:$AI$769,"&lt;="&amp;N$47,Assignments!$AJ$2:$AJ$769,"&gt;="&amp;N$47)+SUMIFS(Assignments!$AN$2:$AN$769,Assignments!$A$2:$A$769,$A70,Assignments!$G$2:$G$769,"Active",Assignments!$AL$2:$AL$769,"&lt;="&amp;N$47,Assignments!$AM$2:$AM$769,"&gt;="&amp;N$47))</f>
        <v/>
      </c>
      <c r="O70" s="11">
        <f>IF($A70="","",SUMIFS(Assignments!$AK$2:$AK$769,Assignments!$A$2:$A$769,$A70,Assignments!$G$2:$G$769,"Active",Assignments!$AI$2:$AI$769,"&lt;="&amp;O$47,Assignments!$AJ$2:$AJ$769,"&gt;="&amp;O$47)+SUMIFS(Assignments!$AN$2:$AN$769,Assignments!$A$2:$A$769,$A70,Assignments!$G$2:$G$769,"Active",Assignments!$AL$2:$AL$769,"&lt;="&amp;O$47,Assignments!$AM$2:$AM$769,"&gt;="&amp;O$47))</f>
        <v/>
      </c>
      <c r="P70" s="11">
        <f>IF($A70="","",SUMIFS(Assignments!$AK$2:$AK$769,Assignments!$A$2:$A$769,$A70,Assignments!$G$2:$G$769,"Active",Assignments!$AI$2:$AI$769,"&lt;="&amp;P$47,Assignments!$AJ$2:$AJ$769,"&gt;="&amp;P$47)+SUMIFS(Assignments!$AN$2:$AN$769,Assignments!$A$2:$A$769,$A70,Assignments!$G$2:$G$769,"Active",Assignments!$AL$2:$AL$769,"&lt;="&amp;P$47,Assignments!$AM$2:$AM$769,"&gt;="&amp;P$47))</f>
        <v/>
      </c>
      <c r="Q70" s="11">
        <f>IF($A70="","",SUMIFS(Assignments!$AK$2:$AK$769,Assignments!$A$2:$A$769,$A70,Assignments!$G$2:$G$769,"Active",Assignments!$AI$2:$AI$769,"&lt;="&amp;Q$47,Assignments!$AJ$2:$AJ$769,"&gt;="&amp;Q$47)+SUMIFS(Assignments!$AN$2:$AN$769,Assignments!$A$2:$A$769,$A70,Assignments!$G$2:$G$769,"Active",Assignments!$AL$2:$AL$769,"&lt;="&amp;Q$47,Assignments!$AM$2:$AM$769,"&gt;="&amp;Q$47))</f>
        <v/>
      </c>
      <c r="R70" s="11">
        <f>IF($A70="","",SUMIFS(Assignments!$AK$2:$AK$769,Assignments!$A$2:$A$769,$A70,Assignments!$G$2:$G$769,"Active",Assignments!$AI$2:$AI$769,"&lt;="&amp;R$47,Assignments!$AJ$2:$AJ$769,"&gt;="&amp;R$47)+SUMIFS(Assignments!$AN$2:$AN$769,Assignments!$A$2:$A$769,$A70,Assignments!$G$2:$G$769,"Active",Assignments!$AL$2:$AL$769,"&lt;="&amp;R$47,Assignments!$AM$2:$AM$769,"&gt;="&amp;R$47))</f>
        <v/>
      </c>
      <c r="S70" s="11">
        <f>IF($A70="","",SUMIFS(Assignments!$AK$2:$AK$769,Assignments!$A$2:$A$769,$A70,Assignments!$G$2:$G$769,"Active",Assignments!$AI$2:$AI$769,"&lt;="&amp;S$47,Assignments!$AJ$2:$AJ$769,"&gt;="&amp;S$47)+SUMIFS(Assignments!$AN$2:$AN$769,Assignments!$A$2:$A$769,$A70,Assignments!$G$2:$G$769,"Active",Assignments!$AL$2:$AL$769,"&lt;="&amp;S$47,Assignments!$AM$2:$AM$769,"&gt;="&amp;S$47))</f>
        <v/>
      </c>
      <c r="T70" s="11">
        <f>IF($A70="","",SUMIFS(Assignments!$AK$2:$AK$769,Assignments!$A$2:$A$769,$A70,Assignments!$G$2:$G$769,"Active",Assignments!$AI$2:$AI$769,"&lt;="&amp;T$47,Assignments!$AJ$2:$AJ$769,"&gt;="&amp;T$47)+SUMIFS(Assignments!$AN$2:$AN$769,Assignments!$A$2:$A$769,$A70,Assignments!$G$2:$G$769,"Active",Assignments!$AL$2:$AL$769,"&lt;="&amp;T$47,Assignments!$AM$2:$AM$769,"&gt;="&amp;T$47))</f>
        <v/>
      </c>
      <c r="U70" s="11">
        <f>IF($A70="","",SUMIFS(Assignments!$AK$2:$AK$769,Assignments!$A$2:$A$769,$A70,Assignments!$G$2:$G$769,"Active",Assignments!$AI$2:$AI$769,"&lt;="&amp;U$47,Assignments!$AJ$2:$AJ$769,"&gt;="&amp;U$47)+SUMIFS(Assignments!$AN$2:$AN$769,Assignments!$A$2:$A$769,$A70,Assignments!$G$2:$G$769,"Active",Assignments!$AL$2:$AL$769,"&lt;="&amp;U$47,Assignments!$AM$2:$AM$769,"&gt;="&amp;U$47))</f>
        <v/>
      </c>
      <c r="V70" s="11">
        <f>IF($A70="","",SUMIFS(Assignments!$AK$2:$AK$769,Assignments!$A$2:$A$769,$A70,Assignments!$G$2:$G$769,"Active",Assignments!$AI$2:$AI$769,"&lt;="&amp;V$47,Assignments!$AJ$2:$AJ$769,"&gt;="&amp;V$47)+SUMIFS(Assignments!$AN$2:$AN$769,Assignments!$A$2:$A$769,$A70,Assignments!$G$2:$G$769,"Active",Assignments!$AL$2:$AL$769,"&lt;="&amp;V$47,Assignments!$AM$2:$AM$769,"&gt;="&amp;V$47))</f>
        <v/>
      </c>
      <c r="W70" s="11">
        <f>IF($A70="","",SUMIFS(Assignments!$AK$2:$AK$769,Assignments!$A$2:$A$769,$A70,Assignments!$G$2:$G$769,"Active",Assignments!$AI$2:$AI$769,"&lt;="&amp;W$47,Assignments!$AJ$2:$AJ$769,"&gt;="&amp;W$47)+SUMIFS(Assignments!$AN$2:$AN$769,Assignments!$A$2:$A$769,$A70,Assignments!$G$2:$G$769,"Active",Assignments!$AL$2:$AL$769,"&lt;="&amp;W$47,Assignments!$AM$2:$AM$769,"&gt;="&amp;W$47))</f>
        <v/>
      </c>
      <c r="X70" s="11">
        <f>IF($A70="","",SUMIFS(Assignments!$AK$2:$AK$769,Assignments!$A$2:$A$769,$A70,Assignments!$G$2:$G$769,"Active",Assignments!$AI$2:$AI$769,"&lt;="&amp;X$47,Assignments!$AJ$2:$AJ$769,"&gt;="&amp;X$47)+SUMIFS(Assignments!$AN$2:$AN$769,Assignments!$A$2:$A$769,$A70,Assignments!$G$2:$G$769,"Active",Assignments!$AL$2:$AL$769,"&lt;="&amp;X$47,Assignments!$AM$2:$AM$769,"&gt;="&amp;X$47))</f>
        <v/>
      </c>
      <c r="Y70" s="11">
        <f>IF($A70="","",SUMIFS(Assignments!$AK$2:$AK$769,Assignments!$A$2:$A$769,$A70,Assignments!$G$2:$G$769,"Active",Assignments!$AI$2:$AI$769,"&lt;="&amp;Y$47,Assignments!$AJ$2:$AJ$769,"&gt;="&amp;Y$47)+SUMIFS(Assignments!$AN$2:$AN$769,Assignments!$A$2:$A$769,$A70,Assignments!$G$2:$G$769,"Active",Assignments!$AL$2:$AL$769,"&lt;="&amp;Y$47,Assignments!$AM$2:$AM$769,"&gt;="&amp;Y$47))</f>
        <v/>
      </c>
      <c r="Z70" s="11">
        <f>IF($A70="","",SUMIFS(Assignments!$AK$2:$AK$769,Assignments!$A$2:$A$769,$A70,Assignments!$G$2:$G$769,"Active",Assignments!$AI$2:$AI$769,"&lt;="&amp;Z$47,Assignments!$AJ$2:$AJ$769,"&gt;="&amp;Z$47)+SUMIFS(Assignments!$AN$2:$AN$769,Assignments!$A$2:$A$769,$A70,Assignments!$G$2:$G$769,"Active",Assignments!$AL$2:$AL$769,"&lt;="&amp;Z$47,Assignments!$AM$2:$AM$769,"&gt;="&amp;Z$47))</f>
        <v/>
      </c>
      <c r="AA70" s="11">
        <f>IF($A70="","",SUMIFS(Assignments!$AK$2:$AK$769,Assignments!$A$2:$A$769,$A70,Assignments!$G$2:$G$769,"Active",Assignments!$AI$2:$AI$769,"&lt;="&amp;AA$47,Assignments!$AJ$2:$AJ$769,"&gt;="&amp;AA$47)+SUMIFS(Assignments!$AN$2:$AN$769,Assignments!$A$2:$A$769,$A70,Assignments!$G$2:$G$769,"Active",Assignments!$AL$2:$AL$769,"&lt;="&amp;AA$47,Assignments!$AM$2:$AM$769,"&gt;="&amp;AA$47))</f>
        <v/>
      </c>
      <c r="AB70" s="11">
        <f>IF($A70="","",SUMIFS(Assignments!$AK$2:$AK$769,Assignments!$A$2:$A$769,$A70,Assignments!$G$2:$G$769,"Active",Assignments!$AI$2:$AI$769,"&lt;="&amp;AB$47,Assignments!$AJ$2:$AJ$769,"&gt;="&amp;AB$47)+SUMIFS(Assignments!$AN$2:$AN$769,Assignments!$A$2:$A$769,$A70,Assignments!$G$2:$G$769,"Active",Assignments!$AL$2:$AL$769,"&lt;="&amp;AB$47,Assignments!$AM$2:$AM$769,"&gt;="&amp;AB$47))</f>
        <v/>
      </c>
    </row>
    <row r="71">
      <c r="A71" s="9">
        <f>IF(Roster!$A25="","",Roster!$A25)</f>
        <v/>
      </c>
      <c r="B71" s="10">
        <f>IF($A71="","",IFERROR(INDEX(Roster!$D$2:$D$40,MATCH($A71,Roster!$A$2:$A$40,0)),""))</f>
        <v/>
      </c>
      <c r="C71" s="11">
        <f>IF($A71="","",SUMIFS(Assignments!$AK$2:$AK$769,Assignments!$A$2:$A$769,$A71,Assignments!$G$2:$G$769,"Active",Assignments!$AI$2:$AI$769,"&lt;="&amp;C$47,Assignments!$AJ$2:$AJ$769,"&gt;="&amp;C$47)+SUMIFS(Assignments!$AN$2:$AN$769,Assignments!$A$2:$A$769,$A71,Assignments!$G$2:$G$769,"Active",Assignments!$AL$2:$AL$769,"&lt;="&amp;C$47,Assignments!$AM$2:$AM$769,"&gt;="&amp;C$47))</f>
        <v/>
      </c>
      <c r="D71" s="11">
        <f>IF($A71="","",SUMIFS(Assignments!$AK$2:$AK$769,Assignments!$A$2:$A$769,$A71,Assignments!$G$2:$G$769,"Active",Assignments!$AI$2:$AI$769,"&lt;="&amp;D$47,Assignments!$AJ$2:$AJ$769,"&gt;="&amp;D$47)+SUMIFS(Assignments!$AN$2:$AN$769,Assignments!$A$2:$A$769,$A71,Assignments!$G$2:$G$769,"Active",Assignments!$AL$2:$AL$769,"&lt;="&amp;D$47,Assignments!$AM$2:$AM$769,"&gt;="&amp;D$47))</f>
        <v/>
      </c>
      <c r="E71" s="11">
        <f>IF($A71="","",SUMIFS(Assignments!$AK$2:$AK$769,Assignments!$A$2:$A$769,$A71,Assignments!$G$2:$G$769,"Active",Assignments!$AI$2:$AI$769,"&lt;="&amp;E$47,Assignments!$AJ$2:$AJ$769,"&gt;="&amp;E$47)+SUMIFS(Assignments!$AN$2:$AN$769,Assignments!$A$2:$A$769,$A71,Assignments!$G$2:$G$769,"Active",Assignments!$AL$2:$AL$769,"&lt;="&amp;E$47,Assignments!$AM$2:$AM$769,"&gt;="&amp;E$47))</f>
        <v/>
      </c>
      <c r="F71" s="11">
        <f>IF($A71="","",SUMIFS(Assignments!$AK$2:$AK$769,Assignments!$A$2:$A$769,$A71,Assignments!$G$2:$G$769,"Active",Assignments!$AI$2:$AI$769,"&lt;="&amp;F$47,Assignments!$AJ$2:$AJ$769,"&gt;="&amp;F$47)+SUMIFS(Assignments!$AN$2:$AN$769,Assignments!$A$2:$A$769,$A71,Assignments!$G$2:$G$769,"Active",Assignments!$AL$2:$AL$769,"&lt;="&amp;F$47,Assignments!$AM$2:$AM$769,"&gt;="&amp;F$47))</f>
        <v/>
      </c>
      <c r="G71" s="11">
        <f>IF($A71="","",SUMIFS(Assignments!$AK$2:$AK$769,Assignments!$A$2:$A$769,$A71,Assignments!$G$2:$G$769,"Active",Assignments!$AI$2:$AI$769,"&lt;="&amp;G$47,Assignments!$AJ$2:$AJ$769,"&gt;="&amp;G$47)+SUMIFS(Assignments!$AN$2:$AN$769,Assignments!$A$2:$A$769,$A71,Assignments!$G$2:$G$769,"Active",Assignments!$AL$2:$AL$769,"&lt;="&amp;G$47,Assignments!$AM$2:$AM$769,"&gt;="&amp;G$47))</f>
        <v/>
      </c>
      <c r="H71" s="11">
        <f>IF($A71="","",SUMIFS(Assignments!$AK$2:$AK$769,Assignments!$A$2:$A$769,$A71,Assignments!$G$2:$G$769,"Active",Assignments!$AI$2:$AI$769,"&lt;="&amp;H$47,Assignments!$AJ$2:$AJ$769,"&gt;="&amp;H$47)+SUMIFS(Assignments!$AN$2:$AN$769,Assignments!$A$2:$A$769,$A71,Assignments!$G$2:$G$769,"Active",Assignments!$AL$2:$AL$769,"&lt;="&amp;H$47,Assignments!$AM$2:$AM$769,"&gt;="&amp;H$47))</f>
        <v/>
      </c>
      <c r="I71" s="11">
        <f>IF($A71="","",SUMIFS(Assignments!$AK$2:$AK$769,Assignments!$A$2:$A$769,$A71,Assignments!$G$2:$G$769,"Active",Assignments!$AI$2:$AI$769,"&lt;="&amp;I$47,Assignments!$AJ$2:$AJ$769,"&gt;="&amp;I$47)+SUMIFS(Assignments!$AN$2:$AN$769,Assignments!$A$2:$A$769,$A71,Assignments!$G$2:$G$769,"Active",Assignments!$AL$2:$AL$769,"&lt;="&amp;I$47,Assignments!$AM$2:$AM$769,"&gt;="&amp;I$47))</f>
        <v/>
      </c>
      <c r="J71" s="11">
        <f>IF($A71="","",SUMIFS(Assignments!$AK$2:$AK$769,Assignments!$A$2:$A$769,$A71,Assignments!$G$2:$G$769,"Active",Assignments!$AI$2:$AI$769,"&lt;="&amp;J$47,Assignments!$AJ$2:$AJ$769,"&gt;="&amp;J$47)+SUMIFS(Assignments!$AN$2:$AN$769,Assignments!$A$2:$A$769,$A71,Assignments!$G$2:$G$769,"Active",Assignments!$AL$2:$AL$769,"&lt;="&amp;J$47,Assignments!$AM$2:$AM$769,"&gt;="&amp;J$47))</f>
        <v/>
      </c>
      <c r="K71" s="11">
        <f>IF($A71="","",SUMIFS(Assignments!$AK$2:$AK$769,Assignments!$A$2:$A$769,$A71,Assignments!$G$2:$G$769,"Active",Assignments!$AI$2:$AI$769,"&lt;="&amp;K$47,Assignments!$AJ$2:$AJ$769,"&gt;="&amp;K$47)+SUMIFS(Assignments!$AN$2:$AN$769,Assignments!$A$2:$A$769,$A71,Assignments!$G$2:$G$769,"Active",Assignments!$AL$2:$AL$769,"&lt;="&amp;K$47,Assignments!$AM$2:$AM$769,"&gt;="&amp;K$47))</f>
        <v/>
      </c>
      <c r="L71" s="11">
        <f>IF($A71="","",SUMIFS(Assignments!$AK$2:$AK$769,Assignments!$A$2:$A$769,$A71,Assignments!$G$2:$G$769,"Active",Assignments!$AI$2:$AI$769,"&lt;="&amp;L$47,Assignments!$AJ$2:$AJ$769,"&gt;="&amp;L$47)+SUMIFS(Assignments!$AN$2:$AN$769,Assignments!$A$2:$A$769,$A71,Assignments!$G$2:$G$769,"Active",Assignments!$AL$2:$AL$769,"&lt;="&amp;L$47,Assignments!$AM$2:$AM$769,"&gt;="&amp;L$47))</f>
        <v/>
      </c>
      <c r="M71" s="11">
        <f>IF($A71="","",SUMIFS(Assignments!$AK$2:$AK$769,Assignments!$A$2:$A$769,$A71,Assignments!$G$2:$G$769,"Active",Assignments!$AI$2:$AI$769,"&lt;="&amp;M$47,Assignments!$AJ$2:$AJ$769,"&gt;="&amp;M$47)+SUMIFS(Assignments!$AN$2:$AN$769,Assignments!$A$2:$A$769,$A71,Assignments!$G$2:$G$769,"Active",Assignments!$AL$2:$AL$769,"&lt;="&amp;M$47,Assignments!$AM$2:$AM$769,"&gt;="&amp;M$47))</f>
        <v/>
      </c>
      <c r="N71" s="11">
        <f>IF($A71="","",SUMIFS(Assignments!$AK$2:$AK$769,Assignments!$A$2:$A$769,$A71,Assignments!$G$2:$G$769,"Active",Assignments!$AI$2:$AI$769,"&lt;="&amp;N$47,Assignments!$AJ$2:$AJ$769,"&gt;="&amp;N$47)+SUMIFS(Assignments!$AN$2:$AN$769,Assignments!$A$2:$A$769,$A71,Assignments!$G$2:$G$769,"Active",Assignments!$AL$2:$AL$769,"&lt;="&amp;N$47,Assignments!$AM$2:$AM$769,"&gt;="&amp;N$47))</f>
        <v/>
      </c>
      <c r="O71" s="11">
        <f>IF($A71="","",SUMIFS(Assignments!$AK$2:$AK$769,Assignments!$A$2:$A$769,$A71,Assignments!$G$2:$G$769,"Active",Assignments!$AI$2:$AI$769,"&lt;="&amp;O$47,Assignments!$AJ$2:$AJ$769,"&gt;="&amp;O$47)+SUMIFS(Assignments!$AN$2:$AN$769,Assignments!$A$2:$A$769,$A71,Assignments!$G$2:$G$769,"Active",Assignments!$AL$2:$AL$769,"&lt;="&amp;O$47,Assignments!$AM$2:$AM$769,"&gt;="&amp;O$47))</f>
        <v/>
      </c>
      <c r="P71" s="11">
        <f>IF($A71="","",SUMIFS(Assignments!$AK$2:$AK$769,Assignments!$A$2:$A$769,$A71,Assignments!$G$2:$G$769,"Active",Assignments!$AI$2:$AI$769,"&lt;="&amp;P$47,Assignments!$AJ$2:$AJ$769,"&gt;="&amp;P$47)+SUMIFS(Assignments!$AN$2:$AN$769,Assignments!$A$2:$A$769,$A71,Assignments!$G$2:$G$769,"Active",Assignments!$AL$2:$AL$769,"&lt;="&amp;P$47,Assignments!$AM$2:$AM$769,"&gt;="&amp;P$47))</f>
        <v/>
      </c>
      <c r="Q71" s="11">
        <f>IF($A71="","",SUMIFS(Assignments!$AK$2:$AK$769,Assignments!$A$2:$A$769,$A71,Assignments!$G$2:$G$769,"Active",Assignments!$AI$2:$AI$769,"&lt;="&amp;Q$47,Assignments!$AJ$2:$AJ$769,"&gt;="&amp;Q$47)+SUMIFS(Assignments!$AN$2:$AN$769,Assignments!$A$2:$A$769,$A71,Assignments!$G$2:$G$769,"Active",Assignments!$AL$2:$AL$769,"&lt;="&amp;Q$47,Assignments!$AM$2:$AM$769,"&gt;="&amp;Q$47))</f>
        <v/>
      </c>
      <c r="R71" s="11">
        <f>IF($A71="","",SUMIFS(Assignments!$AK$2:$AK$769,Assignments!$A$2:$A$769,$A71,Assignments!$G$2:$G$769,"Active",Assignments!$AI$2:$AI$769,"&lt;="&amp;R$47,Assignments!$AJ$2:$AJ$769,"&gt;="&amp;R$47)+SUMIFS(Assignments!$AN$2:$AN$769,Assignments!$A$2:$A$769,$A71,Assignments!$G$2:$G$769,"Active",Assignments!$AL$2:$AL$769,"&lt;="&amp;R$47,Assignments!$AM$2:$AM$769,"&gt;="&amp;R$47))</f>
        <v/>
      </c>
      <c r="S71" s="11">
        <f>IF($A71="","",SUMIFS(Assignments!$AK$2:$AK$769,Assignments!$A$2:$A$769,$A71,Assignments!$G$2:$G$769,"Active",Assignments!$AI$2:$AI$769,"&lt;="&amp;S$47,Assignments!$AJ$2:$AJ$769,"&gt;="&amp;S$47)+SUMIFS(Assignments!$AN$2:$AN$769,Assignments!$A$2:$A$769,$A71,Assignments!$G$2:$G$769,"Active",Assignments!$AL$2:$AL$769,"&lt;="&amp;S$47,Assignments!$AM$2:$AM$769,"&gt;="&amp;S$47))</f>
        <v/>
      </c>
      <c r="T71" s="11">
        <f>IF($A71="","",SUMIFS(Assignments!$AK$2:$AK$769,Assignments!$A$2:$A$769,$A71,Assignments!$G$2:$G$769,"Active",Assignments!$AI$2:$AI$769,"&lt;="&amp;T$47,Assignments!$AJ$2:$AJ$769,"&gt;="&amp;T$47)+SUMIFS(Assignments!$AN$2:$AN$769,Assignments!$A$2:$A$769,$A71,Assignments!$G$2:$G$769,"Active",Assignments!$AL$2:$AL$769,"&lt;="&amp;T$47,Assignments!$AM$2:$AM$769,"&gt;="&amp;T$47))</f>
        <v/>
      </c>
      <c r="U71" s="11">
        <f>IF($A71="","",SUMIFS(Assignments!$AK$2:$AK$769,Assignments!$A$2:$A$769,$A71,Assignments!$G$2:$G$769,"Active",Assignments!$AI$2:$AI$769,"&lt;="&amp;U$47,Assignments!$AJ$2:$AJ$769,"&gt;="&amp;U$47)+SUMIFS(Assignments!$AN$2:$AN$769,Assignments!$A$2:$A$769,$A71,Assignments!$G$2:$G$769,"Active",Assignments!$AL$2:$AL$769,"&lt;="&amp;U$47,Assignments!$AM$2:$AM$769,"&gt;="&amp;U$47))</f>
        <v/>
      </c>
      <c r="V71" s="11">
        <f>IF($A71="","",SUMIFS(Assignments!$AK$2:$AK$769,Assignments!$A$2:$A$769,$A71,Assignments!$G$2:$G$769,"Active",Assignments!$AI$2:$AI$769,"&lt;="&amp;V$47,Assignments!$AJ$2:$AJ$769,"&gt;="&amp;V$47)+SUMIFS(Assignments!$AN$2:$AN$769,Assignments!$A$2:$A$769,$A71,Assignments!$G$2:$G$769,"Active",Assignments!$AL$2:$AL$769,"&lt;="&amp;V$47,Assignments!$AM$2:$AM$769,"&gt;="&amp;V$47))</f>
        <v/>
      </c>
      <c r="W71" s="11">
        <f>IF($A71="","",SUMIFS(Assignments!$AK$2:$AK$769,Assignments!$A$2:$A$769,$A71,Assignments!$G$2:$G$769,"Active",Assignments!$AI$2:$AI$769,"&lt;="&amp;W$47,Assignments!$AJ$2:$AJ$769,"&gt;="&amp;W$47)+SUMIFS(Assignments!$AN$2:$AN$769,Assignments!$A$2:$A$769,$A71,Assignments!$G$2:$G$769,"Active",Assignments!$AL$2:$AL$769,"&lt;="&amp;W$47,Assignments!$AM$2:$AM$769,"&gt;="&amp;W$47))</f>
        <v/>
      </c>
      <c r="X71" s="11">
        <f>IF($A71="","",SUMIFS(Assignments!$AK$2:$AK$769,Assignments!$A$2:$A$769,$A71,Assignments!$G$2:$G$769,"Active",Assignments!$AI$2:$AI$769,"&lt;="&amp;X$47,Assignments!$AJ$2:$AJ$769,"&gt;="&amp;X$47)+SUMIFS(Assignments!$AN$2:$AN$769,Assignments!$A$2:$A$769,$A71,Assignments!$G$2:$G$769,"Active",Assignments!$AL$2:$AL$769,"&lt;="&amp;X$47,Assignments!$AM$2:$AM$769,"&gt;="&amp;X$47))</f>
        <v/>
      </c>
      <c r="Y71" s="11">
        <f>IF($A71="","",SUMIFS(Assignments!$AK$2:$AK$769,Assignments!$A$2:$A$769,$A71,Assignments!$G$2:$G$769,"Active",Assignments!$AI$2:$AI$769,"&lt;="&amp;Y$47,Assignments!$AJ$2:$AJ$769,"&gt;="&amp;Y$47)+SUMIFS(Assignments!$AN$2:$AN$769,Assignments!$A$2:$A$769,$A71,Assignments!$G$2:$G$769,"Active",Assignments!$AL$2:$AL$769,"&lt;="&amp;Y$47,Assignments!$AM$2:$AM$769,"&gt;="&amp;Y$47))</f>
        <v/>
      </c>
      <c r="Z71" s="11">
        <f>IF($A71="","",SUMIFS(Assignments!$AK$2:$AK$769,Assignments!$A$2:$A$769,$A71,Assignments!$G$2:$G$769,"Active",Assignments!$AI$2:$AI$769,"&lt;="&amp;Z$47,Assignments!$AJ$2:$AJ$769,"&gt;="&amp;Z$47)+SUMIFS(Assignments!$AN$2:$AN$769,Assignments!$A$2:$A$769,$A71,Assignments!$G$2:$G$769,"Active",Assignments!$AL$2:$AL$769,"&lt;="&amp;Z$47,Assignments!$AM$2:$AM$769,"&gt;="&amp;Z$47))</f>
        <v/>
      </c>
      <c r="AA71" s="11">
        <f>IF($A71="","",SUMIFS(Assignments!$AK$2:$AK$769,Assignments!$A$2:$A$769,$A71,Assignments!$G$2:$G$769,"Active",Assignments!$AI$2:$AI$769,"&lt;="&amp;AA$47,Assignments!$AJ$2:$AJ$769,"&gt;="&amp;AA$47)+SUMIFS(Assignments!$AN$2:$AN$769,Assignments!$A$2:$A$769,$A71,Assignments!$G$2:$G$769,"Active",Assignments!$AL$2:$AL$769,"&lt;="&amp;AA$47,Assignments!$AM$2:$AM$769,"&gt;="&amp;AA$47))</f>
        <v/>
      </c>
      <c r="AB71" s="11">
        <f>IF($A71="","",SUMIFS(Assignments!$AK$2:$AK$769,Assignments!$A$2:$A$769,$A71,Assignments!$G$2:$G$769,"Active",Assignments!$AI$2:$AI$769,"&lt;="&amp;AB$47,Assignments!$AJ$2:$AJ$769,"&gt;="&amp;AB$47)+SUMIFS(Assignments!$AN$2:$AN$769,Assignments!$A$2:$A$769,$A71,Assignments!$G$2:$G$769,"Active",Assignments!$AL$2:$AL$769,"&lt;="&amp;AB$47,Assignments!$AM$2:$AM$769,"&gt;="&amp;AB$47))</f>
        <v/>
      </c>
    </row>
    <row r="72">
      <c r="A72" s="9">
        <f>IF(Roster!$A26="","",Roster!$A26)</f>
        <v/>
      </c>
      <c r="B72" s="10">
        <f>IF($A72="","",IFERROR(INDEX(Roster!$D$2:$D$40,MATCH($A72,Roster!$A$2:$A$40,0)),""))</f>
        <v/>
      </c>
      <c r="C72" s="11">
        <f>IF($A72="","",SUMIFS(Assignments!$AK$2:$AK$769,Assignments!$A$2:$A$769,$A72,Assignments!$G$2:$G$769,"Active",Assignments!$AI$2:$AI$769,"&lt;="&amp;C$47,Assignments!$AJ$2:$AJ$769,"&gt;="&amp;C$47)+SUMIFS(Assignments!$AN$2:$AN$769,Assignments!$A$2:$A$769,$A72,Assignments!$G$2:$G$769,"Active",Assignments!$AL$2:$AL$769,"&lt;="&amp;C$47,Assignments!$AM$2:$AM$769,"&gt;="&amp;C$47))</f>
        <v/>
      </c>
      <c r="D72" s="11">
        <f>IF($A72="","",SUMIFS(Assignments!$AK$2:$AK$769,Assignments!$A$2:$A$769,$A72,Assignments!$G$2:$G$769,"Active",Assignments!$AI$2:$AI$769,"&lt;="&amp;D$47,Assignments!$AJ$2:$AJ$769,"&gt;="&amp;D$47)+SUMIFS(Assignments!$AN$2:$AN$769,Assignments!$A$2:$A$769,$A72,Assignments!$G$2:$G$769,"Active",Assignments!$AL$2:$AL$769,"&lt;="&amp;D$47,Assignments!$AM$2:$AM$769,"&gt;="&amp;D$47))</f>
        <v/>
      </c>
      <c r="E72" s="11">
        <f>IF($A72="","",SUMIFS(Assignments!$AK$2:$AK$769,Assignments!$A$2:$A$769,$A72,Assignments!$G$2:$G$769,"Active",Assignments!$AI$2:$AI$769,"&lt;="&amp;E$47,Assignments!$AJ$2:$AJ$769,"&gt;="&amp;E$47)+SUMIFS(Assignments!$AN$2:$AN$769,Assignments!$A$2:$A$769,$A72,Assignments!$G$2:$G$769,"Active",Assignments!$AL$2:$AL$769,"&lt;="&amp;E$47,Assignments!$AM$2:$AM$769,"&gt;="&amp;E$47))</f>
        <v/>
      </c>
      <c r="F72" s="11">
        <f>IF($A72="","",SUMIFS(Assignments!$AK$2:$AK$769,Assignments!$A$2:$A$769,$A72,Assignments!$G$2:$G$769,"Active",Assignments!$AI$2:$AI$769,"&lt;="&amp;F$47,Assignments!$AJ$2:$AJ$769,"&gt;="&amp;F$47)+SUMIFS(Assignments!$AN$2:$AN$769,Assignments!$A$2:$A$769,$A72,Assignments!$G$2:$G$769,"Active",Assignments!$AL$2:$AL$769,"&lt;="&amp;F$47,Assignments!$AM$2:$AM$769,"&gt;="&amp;F$47))</f>
        <v/>
      </c>
      <c r="G72" s="11">
        <f>IF($A72="","",SUMIFS(Assignments!$AK$2:$AK$769,Assignments!$A$2:$A$769,$A72,Assignments!$G$2:$G$769,"Active",Assignments!$AI$2:$AI$769,"&lt;="&amp;G$47,Assignments!$AJ$2:$AJ$769,"&gt;="&amp;G$47)+SUMIFS(Assignments!$AN$2:$AN$769,Assignments!$A$2:$A$769,$A72,Assignments!$G$2:$G$769,"Active",Assignments!$AL$2:$AL$769,"&lt;="&amp;G$47,Assignments!$AM$2:$AM$769,"&gt;="&amp;G$47))</f>
        <v/>
      </c>
      <c r="H72" s="11">
        <f>IF($A72="","",SUMIFS(Assignments!$AK$2:$AK$769,Assignments!$A$2:$A$769,$A72,Assignments!$G$2:$G$769,"Active",Assignments!$AI$2:$AI$769,"&lt;="&amp;H$47,Assignments!$AJ$2:$AJ$769,"&gt;="&amp;H$47)+SUMIFS(Assignments!$AN$2:$AN$769,Assignments!$A$2:$A$769,$A72,Assignments!$G$2:$G$769,"Active",Assignments!$AL$2:$AL$769,"&lt;="&amp;H$47,Assignments!$AM$2:$AM$769,"&gt;="&amp;H$47))</f>
        <v/>
      </c>
      <c r="I72" s="11">
        <f>IF($A72="","",SUMIFS(Assignments!$AK$2:$AK$769,Assignments!$A$2:$A$769,$A72,Assignments!$G$2:$G$769,"Active",Assignments!$AI$2:$AI$769,"&lt;="&amp;I$47,Assignments!$AJ$2:$AJ$769,"&gt;="&amp;I$47)+SUMIFS(Assignments!$AN$2:$AN$769,Assignments!$A$2:$A$769,$A72,Assignments!$G$2:$G$769,"Active",Assignments!$AL$2:$AL$769,"&lt;="&amp;I$47,Assignments!$AM$2:$AM$769,"&gt;="&amp;I$47))</f>
        <v/>
      </c>
      <c r="J72" s="11">
        <f>IF($A72="","",SUMIFS(Assignments!$AK$2:$AK$769,Assignments!$A$2:$A$769,$A72,Assignments!$G$2:$G$769,"Active",Assignments!$AI$2:$AI$769,"&lt;="&amp;J$47,Assignments!$AJ$2:$AJ$769,"&gt;="&amp;J$47)+SUMIFS(Assignments!$AN$2:$AN$769,Assignments!$A$2:$A$769,$A72,Assignments!$G$2:$G$769,"Active",Assignments!$AL$2:$AL$769,"&lt;="&amp;J$47,Assignments!$AM$2:$AM$769,"&gt;="&amp;J$47))</f>
        <v/>
      </c>
      <c r="K72" s="11">
        <f>IF($A72="","",SUMIFS(Assignments!$AK$2:$AK$769,Assignments!$A$2:$A$769,$A72,Assignments!$G$2:$G$769,"Active",Assignments!$AI$2:$AI$769,"&lt;="&amp;K$47,Assignments!$AJ$2:$AJ$769,"&gt;="&amp;K$47)+SUMIFS(Assignments!$AN$2:$AN$769,Assignments!$A$2:$A$769,$A72,Assignments!$G$2:$G$769,"Active",Assignments!$AL$2:$AL$769,"&lt;="&amp;K$47,Assignments!$AM$2:$AM$769,"&gt;="&amp;K$47))</f>
        <v/>
      </c>
      <c r="L72" s="11">
        <f>IF($A72="","",SUMIFS(Assignments!$AK$2:$AK$769,Assignments!$A$2:$A$769,$A72,Assignments!$G$2:$G$769,"Active",Assignments!$AI$2:$AI$769,"&lt;="&amp;L$47,Assignments!$AJ$2:$AJ$769,"&gt;="&amp;L$47)+SUMIFS(Assignments!$AN$2:$AN$769,Assignments!$A$2:$A$769,$A72,Assignments!$G$2:$G$769,"Active",Assignments!$AL$2:$AL$769,"&lt;="&amp;L$47,Assignments!$AM$2:$AM$769,"&gt;="&amp;L$47))</f>
        <v/>
      </c>
      <c r="M72" s="11">
        <f>IF($A72="","",SUMIFS(Assignments!$AK$2:$AK$769,Assignments!$A$2:$A$769,$A72,Assignments!$G$2:$G$769,"Active",Assignments!$AI$2:$AI$769,"&lt;="&amp;M$47,Assignments!$AJ$2:$AJ$769,"&gt;="&amp;M$47)+SUMIFS(Assignments!$AN$2:$AN$769,Assignments!$A$2:$A$769,$A72,Assignments!$G$2:$G$769,"Active",Assignments!$AL$2:$AL$769,"&lt;="&amp;M$47,Assignments!$AM$2:$AM$769,"&gt;="&amp;M$47))</f>
        <v/>
      </c>
      <c r="N72" s="11">
        <f>IF($A72="","",SUMIFS(Assignments!$AK$2:$AK$769,Assignments!$A$2:$A$769,$A72,Assignments!$G$2:$G$769,"Active",Assignments!$AI$2:$AI$769,"&lt;="&amp;N$47,Assignments!$AJ$2:$AJ$769,"&gt;="&amp;N$47)+SUMIFS(Assignments!$AN$2:$AN$769,Assignments!$A$2:$A$769,$A72,Assignments!$G$2:$G$769,"Active",Assignments!$AL$2:$AL$769,"&lt;="&amp;N$47,Assignments!$AM$2:$AM$769,"&gt;="&amp;N$47))</f>
        <v/>
      </c>
      <c r="O72" s="11">
        <f>IF($A72="","",SUMIFS(Assignments!$AK$2:$AK$769,Assignments!$A$2:$A$769,$A72,Assignments!$G$2:$G$769,"Active",Assignments!$AI$2:$AI$769,"&lt;="&amp;O$47,Assignments!$AJ$2:$AJ$769,"&gt;="&amp;O$47)+SUMIFS(Assignments!$AN$2:$AN$769,Assignments!$A$2:$A$769,$A72,Assignments!$G$2:$G$769,"Active",Assignments!$AL$2:$AL$769,"&lt;="&amp;O$47,Assignments!$AM$2:$AM$769,"&gt;="&amp;O$47))</f>
        <v/>
      </c>
      <c r="P72" s="11">
        <f>IF($A72="","",SUMIFS(Assignments!$AK$2:$AK$769,Assignments!$A$2:$A$769,$A72,Assignments!$G$2:$G$769,"Active",Assignments!$AI$2:$AI$769,"&lt;="&amp;P$47,Assignments!$AJ$2:$AJ$769,"&gt;="&amp;P$47)+SUMIFS(Assignments!$AN$2:$AN$769,Assignments!$A$2:$A$769,$A72,Assignments!$G$2:$G$769,"Active",Assignments!$AL$2:$AL$769,"&lt;="&amp;P$47,Assignments!$AM$2:$AM$769,"&gt;="&amp;P$47))</f>
        <v/>
      </c>
      <c r="Q72" s="11">
        <f>IF($A72="","",SUMIFS(Assignments!$AK$2:$AK$769,Assignments!$A$2:$A$769,$A72,Assignments!$G$2:$G$769,"Active",Assignments!$AI$2:$AI$769,"&lt;="&amp;Q$47,Assignments!$AJ$2:$AJ$769,"&gt;="&amp;Q$47)+SUMIFS(Assignments!$AN$2:$AN$769,Assignments!$A$2:$A$769,$A72,Assignments!$G$2:$G$769,"Active",Assignments!$AL$2:$AL$769,"&lt;="&amp;Q$47,Assignments!$AM$2:$AM$769,"&gt;="&amp;Q$47))</f>
        <v/>
      </c>
      <c r="R72" s="11">
        <f>IF($A72="","",SUMIFS(Assignments!$AK$2:$AK$769,Assignments!$A$2:$A$769,$A72,Assignments!$G$2:$G$769,"Active",Assignments!$AI$2:$AI$769,"&lt;="&amp;R$47,Assignments!$AJ$2:$AJ$769,"&gt;="&amp;R$47)+SUMIFS(Assignments!$AN$2:$AN$769,Assignments!$A$2:$A$769,$A72,Assignments!$G$2:$G$769,"Active",Assignments!$AL$2:$AL$769,"&lt;="&amp;R$47,Assignments!$AM$2:$AM$769,"&gt;="&amp;R$47))</f>
        <v/>
      </c>
      <c r="S72" s="11">
        <f>IF($A72="","",SUMIFS(Assignments!$AK$2:$AK$769,Assignments!$A$2:$A$769,$A72,Assignments!$G$2:$G$769,"Active",Assignments!$AI$2:$AI$769,"&lt;="&amp;S$47,Assignments!$AJ$2:$AJ$769,"&gt;="&amp;S$47)+SUMIFS(Assignments!$AN$2:$AN$769,Assignments!$A$2:$A$769,$A72,Assignments!$G$2:$G$769,"Active",Assignments!$AL$2:$AL$769,"&lt;="&amp;S$47,Assignments!$AM$2:$AM$769,"&gt;="&amp;S$47))</f>
        <v/>
      </c>
      <c r="T72" s="11">
        <f>IF($A72="","",SUMIFS(Assignments!$AK$2:$AK$769,Assignments!$A$2:$A$769,$A72,Assignments!$G$2:$G$769,"Active",Assignments!$AI$2:$AI$769,"&lt;="&amp;T$47,Assignments!$AJ$2:$AJ$769,"&gt;="&amp;T$47)+SUMIFS(Assignments!$AN$2:$AN$769,Assignments!$A$2:$A$769,$A72,Assignments!$G$2:$G$769,"Active",Assignments!$AL$2:$AL$769,"&lt;="&amp;T$47,Assignments!$AM$2:$AM$769,"&gt;="&amp;T$47))</f>
        <v/>
      </c>
      <c r="U72" s="11">
        <f>IF($A72="","",SUMIFS(Assignments!$AK$2:$AK$769,Assignments!$A$2:$A$769,$A72,Assignments!$G$2:$G$769,"Active",Assignments!$AI$2:$AI$769,"&lt;="&amp;U$47,Assignments!$AJ$2:$AJ$769,"&gt;="&amp;U$47)+SUMIFS(Assignments!$AN$2:$AN$769,Assignments!$A$2:$A$769,$A72,Assignments!$G$2:$G$769,"Active",Assignments!$AL$2:$AL$769,"&lt;="&amp;U$47,Assignments!$AM$2:$AM$769,"&gt;="&amp;U$47))</f>
        <v/>
      </c>
      <c r="V72" s="11">
        <f>IF($A72="","",SUMIFS(Assignments!$AK$2:$AK$769,Assignments!$A$2:$A$769,$A72,Assignments!$G$2:$G$769,"Active",Assignments!$AI$2:$AI$769,"&lt;="&amp;V$47,Assignments!$AJ$2:$AJ$769,"&gt;="&amp;V$47)+SUMIFS(Assignments!$AN$2:$AN$769,Assignments!$A$2:$A$769,$A72,Assignments!$G$2:$G$769,"Active",Assignments!$AL$2:$AL$769,"&lt;="&amp;V$47,Assignments!$AM$2:$AM$769,"&gt;="&amp;V$47))</f>
        <v/>
      </c>
      <c r="W72" s="11">
        <f>IF($A72="","",SUMIFS(Assignments!$AK$2:$AK$769,Assignments!$A$2:$A$769,$A72,Assignments!$G$2:$G$769,"Active",Assignments!$AI$2:$AI$769,"&lt;="&amp;W$47,Assignments!$AJ$2:$AJ$769,"&gt;="&amp;W$47)+SUMIFS(Assignments!$AN$2:$AN$769,Assignments!$A$2:$A$769,$A72,Assignments!$G$2:$G$769,"Active",Assignments!$AL$2:$AL$769,"&lt;="&amp;W$47,Assignments!$AM$2:$AM$769,"&gt;="&amp;W$47))</f>
        <v/>
      </c>
      <c r="X72" s="11">
        <f>IF($A72="","",SUMIFS(Assignments!$AK$2:$AK$769,Assignments!$A$2:$A$769,$A72,Assignments!$G$2:$G$769,"Active",Assignments!$AI$2:$AI$769,"&lt;="&amp;X$47,Assignments!$AJ$2:$AJ$769,"&gt;="&amp;X$47)+SUMIFS(Assignments!$AN$2:$AN$769,Assignments!$A$2:$A$769,$A72,Assignments!$G$2:$G$769,"Active",Assignments!$AL$2:$AL$769,"&lt;="&amp;X$47,Assignments!$AM$2:$AM$769,"&gt;="&amp;X$47))</f>
        <v/>
      </c>
      <c r="Y72" s="11">
        <f>IF($A72="","",SUMIFS(Assignments!$AK$2:$AK$769,Assignments!$A$2:$A$769,$A72,Assignments!$G$2:$G$769,"Active",Assignments!$AI$2:$AI$769,"&lt;="&amp;Y$47,Assignments!$AJ$2:$AJ$769,"&gt;="&amp;Y$47)+SUMIFS(Assignments!$AN$2:$AN$769,Assignments!$A$2:$A$769,$A72,Assignments!$G$2:$G$769,"Active",Assignments!$AL$2:$AL$769,"&lt;="&amp;Y$47,Assignments!$AM$2:$AM$769,"&gt;="&amp;Y$47))</f>
        <v/>
      </c>
      <c r="Z72" s="11">
        <f>IF($A72="","",SUMIFS(Assignments!$AK$2:$AK$769,Assignments!$A$2:$A$769,$A72,Assignments!$G$2:$G$769,"Active",Assignments!$AI$2:$AI$769,"&lt;="&amp;Z$47,Assignments!$AJ$2:$AJ$769,"&gt;="&amp;Z$47)+SUMIFS(Assignments!$AN$2:$AN$769,Assignments!$A$2:$A$769,$A72,Assignments!$G$2:$G$769,"Active",Assignments!$AL$2:$AL$769,"&lt;="&amp;Z$47,Assignments!$AM$2:$AM$769,"&gt;="&amp;Z$47))</f>
        <v/>
      </c>
      <c r="AA72" s="11">
        <f>IF($A72="","",SUMIFS(Assignments!$AK$2:$AK$769,Assignments!$A$2:$A$769,$A72,Assignments!$G$2:$G$769,"Active",Assignments!$AI$2:$AI$769,"&lt;="&amp;AA$47,Assignments!$AJ$2:$AJ$769,"&gt;="&amp;AA$47)+SUMIFS(Assignments!$AN$2:$AN$769,Assignments!$A$2:$A$769,$A72,Assignments!$G$2:$G$769,"Active",Assignments!$AL$2:$AL$769,"&lt;="&amp;AA$47,Assignments!$AM$2:$AM$769,"&gt;="&amp;AA$47))</f>
        <v/>
      </c>
      <c r="AB72" s="11">
        <f>IF($A72="","",SUMIFS(Assignments!$AK$2:$AK$769,Assignments!$A$2:$A$769,$A72,Assignments!$G$2:$G$769,"Active",Assignments!$AI$2:$AI$769,"&lt;="&amp;AB$47,Assignments!$AJ$2:$AJ$769,"&gt;="&amp;AB$47)+SUMIFS(Assignments!$AN$2:$AN$769,Assignments!$A$2:$A$769,$A72,Assignments!$G$2:$G$769,"Active",Assignments!$AL$2:$AL$769,"&lt;="&amp;AB$47,Assignments!$AM$2:$AM$769,"&gt;="&amp;AB$47))</f>
        <v/>
      </c>
    </row>
    <row r="73">
      <c r="A73" s="9">
        <f>IF(Roster!$A27="","",Roster!$A27)</f>
        <v/>
      </c>
      <c r="B73" s="10">
        <f>IF($A73="","",IFERROR(INDEX(Roster!$D$2:$D$40,MATCH($A73,Roster!$A$2:$A$40,0)),""))</f>
        <v/>
      </c>
      <c r="C73" s="11">
        <f>IF($A73="","",SUMIFS(Assignments!$AK$2:$AK$769,Assignments!$A$2:$A$769,$A73,Assignments!$G$2:$G$769,"Active",Assignments!$AI$2:$AI$769,"&lt;="&amp;C$47,Assignments!$AJ$2:$AJ$769,"&gt;="&amp;C$47)+SUMIFS(Assignments!$AN$2:$AN$769,Assignments!$A$2:$A$769,$A73,Assignments!$G$2:$G$769,"Active",Assignments!$AL$2:$AL$769,"&lt;="&amp;C$47,Assignments!$AM$2:$AM$769,"&gt;="&amp;C$47))</f>
        <v/>
      </c>
      <c r="D73" s="11">
        <f>IF($A73="","",SUMIFS(Assignments!$AK$2:$AK$769,Assignments!$A$2:$A$769,$A73,Assignments!$G$2:$G$769,"Active",Assignments!$AI$2:$AI$769,"&lt;="&amp;D$47,Assignments!$AJ$2:$AJ$769,"&gt;="&amp;D$47)+SUMIFS(Assignments!$AN$2:$AN$769,Assignments!$A$2:$A$769,$A73,Assignments!$G$2:$G$769,"Active",Assignments!$AL$2:$AL$769,"&lt;="&amp;D$47,Assignments!$AM$2:$AM$769,"&gt;="&amp;D$47))</f>
        <v/>
      </c>
      <c r="E73" s="11">
        <f>IF($A73="","",SUMIFS(Assignments!$AK$2:$AK$769,Assignments!$A$2:$A$769,$A73,Assignments!$G$2:$G$769,"Active",Assignments!$AI$2:$AI$769,"&lt;="&amp;E$47,Assignments!$AJ$2:$AJ$769,"&gt;="&amp;E$47)+SUMIFS(Assignments!$AN$2:$AN$769,Assignments!$A$2:$A$769,$A73,Assignments!$G$2:$G$769,"Active",Assignments!$AL$2:$AL$769,"&lt;="&amp;E$47,Assignments!$AM$2:$AM$769,"&gt;="&amp;E$47))</f>
        <v/>
      </c>
      <c r="F73" s="11">
        <f>IF($A73="","",SUMIFS(Assignments!$AK$2:$AK$769,Assignments!$A$2:$A$769,$A73,Assignments!$G$2:$G$769,"Active",Assignments!$AI$2:$AI$769,"&lt;="&amp;F$47,Assignments!$AJ$2:$AJ$769,"&gt;="&amp;F$47)+SUMIFS(Assignments!$AN$2:$AN$769,Assignments!$A$2:$A$769,$A73,Assignments!$G$2:$G$769,"Active",Assignments!$AL$2:$AL$769,"&lt;="&amp;F$47,Assignments!$AM$2:$AM$769,"&gt;="&amp;F$47))</f>
        <v/>
      </c>
      <c r="G73" s="11">
        <f>IF($A73="","",SUMIFS(Assignments!$AK$2:$AK$769,Assignments!$A$2:$A$769,$A73,Assignments!$G$2:$G$769,"Active",Assignments!$AI$2:$AI$769,"&lt;="&amp;G$47,Assignments!$AJ$2:$AJ$769,"&gt;="&amp;G$47)+SUMIFS(Assignments!$AN$2:$AN$769,Assignments!$A$2:$A$769,$A73,Assignments!$G$2:$G$769,"Active",Assignments!$AL$2:$AL$769,"&lt;="&amp;G$47,Assignments!$AM$2:$AM$769,"&gt;="&amp;G$47))</f>
        <v/>
      </c>
      <c r="H73" s="11">
        <f>IF($A73="","",SUMIFS(Assignments!$AK$2:$AK$769,Assignments!$A$2:$A$769,$A73,Assignments!$G$2:$G$769,"Active",Assignments!$AI$2:$AI$769,"&lt;="&amp;H$47,Assignments!$AJ$2:$AJ$769,"&gt;="&amp;H$47)+SUMIFS(Assignments!$AN$2:$AN$769,Assignments!$A$2:$A$769,$A73,Assignments!$G$2:$G$769,"Active",Assignments!$AL$2:$AL$769,"&lt;="&amp;H$47,Assignments!$AM$2:$AM$769,"&gt;="&amp;H$47))</f>
        <v/>
      </c>
      <c r="I73" s="11">
        <f>IF($A73="","",SUMIFS(Assignments!$AK$2:$AK$769,Assignments!$A$2:$A$769,$A73,Assignments!$G$2:$G$769,"Active",Assignments!$AI$2:$AI$769,"&lt;="&amp;I$47,Assignments!$AJ$2:$AJ$769,"&gt;="&amp;I$47)+SUMIFS(Assignments!$AN$2:$AN$769,Assignments!$A$2:$A$769,$A73,Assignments!$G$2:$G$769,"Active",Assignments!$AL$2:$AL$769,"&lt;="&amp;I$47,Assignments!$AM$2:$AM$769,"&gt;="&amp;I$47))</f>
        <v/>
      </c>
      <c r="J73" s="11">
        <f>IF($A73="","",SUMIFS(Assignments!$AK$2:$AK$769,Assignments!$A$2:$A$769,$A73,Assignments!$G$2:$G$769,"Active",Assignments!$AI$2:$AI$769,"&lt;="&amp;J$47,Assignments!$AJ$2:$AJ$769,"&gt;="&amp;J$47)+SUMIFS(Assignments!$AN$2:$AN$769,Assignments!$A$2:$A$769,$A73,Assignments!$G$2:$G$769,"Active",Assignments!$AL$2:$AL$769,"&lt;="&amp;J$47,Assignments!$AM$2:$AM$769,"&gt;="&amp;J$47))</f>
        <v/>
      </c>
      <c r="K73" s="11">
        <f>IF($A73="","",SUMIFS(Assignments!$AK$2:$AK$769,Assignments!$A$2:$A$769,$A73,Assignments!$G$2:$G$769,"Active",Assignments!$AI$2:$AI$769,"&lt;="&amp;K$47,Assignments!$AJ$2:$AJ$769,"&gt;="&amp;K$47)+SUMIFS(Assignments!$AN$2:$AN$769,Assignments!$A$2:$A$769,$A73,Assignments!$G$2:$G$769,"Active",Assignments!$AL$2:$AL$769,"&lt;="&amp;K$47,Assignments!$AM$2:$AM$769,"&gt;="&amp;K$47))</f>
        <v/>
      </c>
      <c r="L73" s="11">
        <f>IF($A73="","",SUMIFS(Assignments!$AK$2:$AK$769,Assignments!$A$2:$A$769,$A73,Assignments!$G$2:$G$769,"Active",Assignments!$AI$2:$AI$769,"&lt;="&amp;L$47,Assignments!$AJ$2:$AJ$769,"&gt;="&amp;L$47)+SUMIFS(Assignments!$AN$2:$AN$769,Assignments!$A$2:$A$769,$A73,Assignments!$G$2:$G$769,"Active",Assignments!$AL$2:$AL$769,"&lt;="&amp;L$47,Assignments!$AM$2:$AM$769,"&gt;="&amp;L$47))</f>
        <v/>
      </c>
      <c r="M73" s="11">
        <f>IF($A73="","",SUMIFS(Assignments!$AK$2:$AK$769,Assignments!$A$2:$A$769,$A73,Assignments!$G$2:$G$769,"Active",Assignments!$AI$2:$AI$769,"&lt;="&amp;M$47,Assignments!$AJ$2:$AJ$769,"&gt;="&amp;M$47)+SUMIFS(Assignments!$AN$2:$AN$769,Assignments!$A$2:$A$769,$A73,Assignments!$G$2:$G$769,"Active",Assignments!$AL$2:$AL$769,"&lt;="&amp;M$47,Assignments!$AM$2:$AM$769,"&gt;="&amp;M$47))</f>
        <v/>
      </c>
      <c r="N73" s="11">
        <f>IF($A73="","",SUMIFS(Assignments!$AK$2:$AK$769,Assignments!$A$2:$A$769,$A73,Assignments!$G$2:$G$769,"Active",Assignments!$AI$2:$AI$769,"&lt;="&amp;N$47,Assignments!$AJ$2:$AJ$769,"&gt;="&amp;N$47)+SUMIFS(Assignments!$AN$2:$AN$769,Assignments!$A$2:$A$769,$A73,Assignments!$G$2:$G$769,"Active",Assignments!$AL$2:$AL$769,"&lt;="&amp;N$47,Assignments!$AM$2:$AM$769,"&gt;="&amp;N$47))</f>
        <v/>
      </c>
      <c r="O73" s="11">
        <f>IF($A73="","",SUMIFS(Assignments!$AK$2:$AK$769,Assignments!$A$2:$A$769,$A73,Assignments!$G$2:$G$769,"Active",Assignments!$AI$2:$AI$769,"&lt;="&amp;O$47,Assignments!$AJ$2:$AJ$769,"&gt;="&amp;O$47)+SUMIFS(Assignments!$AN$2:$AN$769,Assignments!$A$2:$A$769,$A73,Assignments!$G$2:$G$769,"Active",Assignments!$AL$2:$AL$769,"&lt;="&amp;O$47,Assignments!$AM$2:$AM$769,"&gt;="&amp;O$47))</f>
        <v/>
      </c>
      <c r="P73" s="11">
        <f>IF($A73="","",SUMIFS(Assignments!$AK$2:$AK$769,Assignments!$A$2:$A$769,$A73,Assignments!$G$2:$G$769,"Active",Assignments!$AI$2:$AI$769,"&lt;="&amp;P$47,Assignments!$AJ$2:$AJ$769,"&gt;="&amp;P$47)+SUMIFS(Assignments!$AN$2:$AN$769,Assignments!$A$2:$A$769,$A73,Assignments!$G$2:$G$769,"Active",Assignments!$AL$2:$AL$769,"&lt;="&amp;P$47,Assignments!$AM$2:$AM$769,"&gt;="&amp;P$47))</f>
        <v/>
      </c>
      <c r="Q73" s="11">
        <f>IF($A73="","",SUMIFS(Assignments!$AK$2:$AK$769,Assignments!$A$2:$A$769,$A73,Assignments!$G$2:$G$769,"Active",Assignments!$AI$2:$AI$769,"&lt;="&amp;Q$47,Assignments!$AJ$2:$AJ$769,"&gt;="&amp;Q$47)+SUMIFS(Assignments!$AN$2:$AN$769,Assignments!$A$2:$A$769,$A73,Assignments!$G$2:$G$769,"Active",Assignments!$AL$2:$AL$769,"&lt;="&amp;Q$47,Assignments!$AM$2:$AM$769,"&gt;="&amp;Q$47))</f>
        <v/>
      </c>
      <c r="R73" s="11">
        <f>IF($A73="","",SUMIFS(Assignments!$AK$2:$AK$769,Assignments!$A$2:$A$769,$A73,Assignments!$G$2:$G$769,"Active",Assignments!$AI$2:$AI$769,"&lt;="&amp;R$47,Assignments!$AJ$2:$AJ$769,"&gt;="&amp;R$47)+SUMIFS(Assignments!$AN$2:$AN$769,Assignments!$A$2:$A$769,$A73,Assignments!$G$2:$G$769,"Active",Assignments!$AL$2:$AL$769,"&lt;="&amp;R$47,Assignments!$AM$2:$AM$769,"&gt;="&amp;R$47))</f>
        <v/>
      </c>
      <c r="S73" s="11">
        <f>IF($A73="","",SUMIFS(Assignments!$AK$2:$AK$769,Assignments!$A$2:$A$769,$A73,Assignments!$G$2:$G$769,"Active",Assignments!$AI$2:$AI$769,"&lt;="&amp;S$47,Assignments!$AJ$2:$AJ$769,"&gt;="&amp;S$47)+SUMIFS(Assignments!$AN$2:$AN$769,Assignments!$A$2:$A$769,$A73,Assignments!$G$2:$G$769,"Active",Assignments!$AL$2:$AL$769,"&lt;="&amp;S$47,Assignments!$AM$2:$AM$769,"&gt;="&amp;S$47))</f>
        <v/>
      </c>
      <c r="T73" s="11">
        <f>IF($A73="","",SUMIFS(Assignments!$AK$2:$AK$769,Assignments!$A$2:$A$769,$A73,Assignments!$G$2:$G$769,"Active",Assignments!$AI$2:$AI$769,"&lt;="&amp;T$47,Assignments!$AJ$2:$AJ$769,"&gt;="&amp;T$47)+SUMIFS(Assignments!$AN$2:$AN$769,Assignments!$A$2:$A$769,$A73,Assignments!$G$2:$G$769,"Active",Assignments!$AL$2:$AL$769,"&lt;="&amp;T$47,Assignments!$AM$2:$AM$769,"&gt;="&amp;T$47))</f>
        <v/>
      </c>
      <c r="U73" s="11">
        <f>IF($A73="","",SUMIFS(Assignments!$AK$2:$AK$769,Assignments!$A$2:$A$769,$A73,Assignments!$G$2:$G$769,"Active",Assignments!$AI$2:$AI$769,"&lt;="&amp;U$47,Assignments!$AJ$2:$AJ$769,"&gt;="&amp;U$47)+SUMIFS(Assignments!$AN$2:$AN$769,Assignments!$A$2:$A$769,$A73,Assignments!$G$2:$G$769,"Active",Assignments!$AL$2:$AL$769,"&lt;="&amp;U$47,Assignments!$AM$2:$AM$769,"&gt;="&amp;U$47))</f>
        <v/>
      </c>
      <c r="V73" s="11">
        <f>IF($A73="","",SUMIFS(Assignments!$AK$2:$AK$769,Assignments!$A$2:$A$769,$A73,Assignments!$G$2:$G$769,"Active",Assignments!$AI$2:$AI$769,"&lt;="&amp;V$47,Assignments!$AJ$2:$AJ$769,"&gt;="&amp;V$47)+SUMIFS(Assignments!$AN$2:$AN$769,Assignments!$A$2:$A$769,$A73,Assignments!$G$2:$G$769,"Active",Assignments!$AL$2:$AL$769,"&lt;="&amp;V$47,Assignments!$AM$2:$AM$769,"&gt;="&amp;V$47))</f>
        <v/>
      </c>
      <c r="W73" s="11">
        <f>IF($A73="","",SUMIFS(Assignments!$AK$2:$AK$769,Assignments!$A$2:$A$769,$A73,Assignments!$G$2:$G$769,"Active",Assignments!$AI$2:$AI$769,"&lt;="&amp;W$47,Assignments!$AJ$2:$AJ$769,"&gt;="&amp;W$47)+SUMIFS(Assignments!$AN$2:$AN$769,Assignments!$A$2:$A$769,$A73,Assignments!$G$2:$G$769,"Active",Assignments!$AL$2:$AL$769,"&lt;="&amp;W$47,Assignments!$AM$2:$AM$769,"&gt;="&amp;W$47))</f>
        <v/>
      </c>
      <c r="X73" s="11">
        <f>IF($A73="","",SUMIFS(Assignments!$AK$2:$AK$769,Assignments!$A$2:$A$769,$A73,Assignments!$G$2:$G$769,"Active",Assignments!$AI$2:$AI$769,"&lt;="&amp;X$47,Assignments!$AJ$2:$AJ$769,"&gt;="&amp;X$47)+SUMIFS(Assignments!$AN$2:$AN$769,Assignments!$A$2:$A$769,$A73,Assignments!$G$2:$G$769,"Active",Assignments!$AL$2:$AL$769,"&lt;="&amp;X$47,Assignments!$AM$2:$AM$769,"&gt;="&amp;X$47))</f>
        <v/>
      </c>
      <c r="Y73" s="11">
        <f>IF($A73="","",SUMIFS(Assignments!$AK$2:$AK$769,Assignments!$A$2:$A$769,$A73,Assignments!$G$2:$G$769,"Active",Assignments!$AI$2:$AI$769,"&lt;="&amp;Y$47,Assignments!$AJ$2:$AJ$769,"&gt;="&amp;Y$47)+SUMIFS(Assignments!$AN$2:$AN$769,Assignments!$A$2:$A$769,$A73,Assignments!$G$2:$G$769,"Active",Assignments!$AL$2:$AL$769,"&lt;="&amp;Y$47,Assignments!$AM$2:$AM$769,"&gt;="&amp;Y$47))</f>
        <v/>
      </c>
      <c r="Z73" s="11">
        <f>IF($A73="","",SUMIFS(Assignments!$AK$2:$AK$769,Assignments!$A$2:$A$769,$A73,Assignments!$G$2:$G$769,"Active",Assignments!$AI$2:$AI$769,"&lt;="&amp;Z$47,Assignments!$AJ$2:$AJ$769,"&gt;="&amp;Z$47)+SUMIFS(Assignments!$AN$2:$AN$769,Assignments!$A$2:$A$769,$A73,Assignments!$G$2:$G$769,"Active",Assignments!$AL$2:$AL$769,"&lt;="&amp;Z$47,Assignments!$AM$2:$AM$769,"&gt;="&amp;Z$47))</f>
        <v/>
      </c>
      <c r="AA73" s="11">
        <f>IF($A73="","",SUMIFS(Assignments!$AK$2:$AK$769,Assignments!$A$2:$A$769,$A73,Assignments!$G$2:$G$769,"Active",Assignments!$AI$2:$AI$769,"&lt;="&amp;AA$47,Assignments!$AJ$2:$AJ$769,"&gt;="&amp;AA$47)+SUMIFS(Assignments!$AN$2:$AN$769,Assignments!$A$2:$A$769,$A73,Assignments!$G$2:$G$769,"Active",Assignments!$AL$2:$AL$769,"&lt;="&amp;AA$47,Assignments!$AM$2:$AM$769,"&gt;="&amp;AA$47))</f>
        <v/>
      </c>
      <c r="AB73" s="11">
        <f>IF($A73="","",SUMIFS(Assignments!$AK$2:$AK$769,Assignments!$A$2:$A$769,$A73,Assignments!$G$2:$G$769,"Active",Assignments!$AI$2:$AI$769,"&lt;="&amp;AB$47,Assignments!$AJ$2:$AJ$769,"&gt;="&amp;AB$47)+SUMIFS(Assignments!$AN$2:$AN$769,Assignments!$A$2:$A$769,$A73,Assignments!$G$2:$G$769,"Active",Assignments!$AL$2:$AL$769,"&lt;="&amp;AB$47,Assignments!$AM$2:$AM$769,"&gt;="&amp;AB$47))</f>
        <v/>
      </c>
    </row>
    <row r="74">
      <c r="A74" s="9">
        <f>IF(Roster!$A28="","",Roster!$A28)</f>
        <v/>
      </c>
      <c r="B74" s="10">
        <f>IF($A74="","",IFERROR(INDEX(Roster!$D$2:$D$40,MATCH($A74,Roster!$A$2:$A$40,0)),""))</f>
        <v/>
      </c>
      <c r="C74" s="11">
        <f>IF($A74="","",SUMIFS(Assignments!$AK$2:$AK$769,Assignments!$A$2:$A$769,$A74,Assignments!$G$2:$G$769,"Active",Assignments!$AI$2:$AI$769,"&lt;="&amp;C$47,Assignments!$AJ$2:$AJ$769,"&gt;="&amp;C$47)+SUMIFS(Assignments!$AN$2:$AN$769,Assignments!$A$2:$A$769,$A74,Assignments!$G$2:$G$769,"Active",Assignments!$AL$2:$AL$769,"&lt;="&amp;C$47,Assignments!$AM$2:$AM$769,"&gt;="&amp;C$47))</f>
        <v/>
      </c>
      <c r="D74" s="11">
        <f>IF($A74="","",SUMIFS(Assignments!$AK$2:$AK$769,Assignments!$A$2:$A$769,$A74,Assignments!$G$2:$G$769,"Active",Assignments!$AI$2:$AI$769,"&lt;="&amp;D$47,Assignments!$AJ$2:$AJ$769,"&gt;="&amp;D$47)+SUMIFS(Assignments!$AN$2:$AN$769,Assignments!$A$2:$A$769,$A74,Assignments!$G$2:$G$769,"Active",Assignments!$AL$2:$AL$769,"&lt;="&amp;D$47,Assignments!$AM$2:$AM$769,"&gt;="&amp;D$47))</f>
        <v/>
      </c>
      <c r="E74" s="11">
        <f>IF($A74="","",SUMIFS(Assignments!$AK$2:$AK$769,Assignments!$A$2:$A$769,$A74,Assignments!$G$2:$G$769,"Active",Assignments!$AI$2:$AI$769,"&lt;="&amp;E$47,Assignments!$AJ$2:$AJ$769,"&gt;="&amp;E$47)+SUMIFS(Assignments!$AN$2:$AN$769,Assignments!$A$2:$A$769,$A74,Assignments!$G$2:$G$769,"Active",Assignments!$AL$2:$AL$769,"&lt;="&amp;E$47,Assignments!$AM$2:$AM$769,"&gt;="&amp;E$47))</f>
        <v/>
      </c>
      <c r="F74" s="11">
        <f>IF($A74="","",SUMIFS(Assignments!$AK$2:$AK$769,Assignments!$A$2:$A$769,$A74,Assignments!$G$2:$G$769,"Active",Assignments!$AI$2:$AI$769,"&lt;="&amp;F$47,Assignments!$AJ$2:$AJ$769,"&gt;="&amp;F$47)+SUMIFS(Assignments!$AN$2:$AN$769,Assignments!$A$2:$A$769,$A74,Assignments!$G$2:$G$769,"Active",Assignments!$AL$2:$AL$769,"&lt;="&amp;F$47,Assignments!$AM$2:$AM$769,"&gt;="&amp;F$47))</f>
        <v/>
      </c>
      <c r="G74" s="11">
        <f>IF($A74="","",SUMIFS(Assignments!$AK$2:$AK$769,Assignments!$A$2:$A$769,$A74,Assignments!$G$2:$G$769,"Active",Assignments!$AI$2:$AI$769,"&lt;="&amp;G$47,Assignments!$AJ$2:$AJ$769,"&gt;="&amp;G$47)+SUMIFS(Assignments!$AN$2:$AN$769,Assignments!$A$2:$A$769,$A74,Assignments!$G$2:$G$769,"Active",Assignments!$AL$2:$AL$769,"&lt;="&amp;G$47,Assignments!$AM$2:$AM$769,"&gt;="&amp;G$47))</f>
        <v/>
      </c>
      <c r="H74" s="11">
        <f>IF($A74="","",SUMIFS(Assignments!$AK$2:$AK$769,Assignments!$A$2:$A$769,$A74,Assignments!$G$2:$G$769,"Active",Assignments!$AI$2:$AI$769,"&lt;="&amp;H$47,Assignments!$AJ$2:$AJ$769,"&gt;="&amp;H$47)+SUMIFS(Assignments!$AN$2:$AN$769,Assignments!$A$2:$A$769,$A74,Assignments!$G$2:$G$769,"Active",Assignments!$AL$2:$AL$769,"&lt;="&amp;H$47,Assignments!$AM$2:$AM$769,"&gt;="&amp;H$47))</f>
        <v/>
      </c>
      <c r="I74" s="11">
        <f>IF($A74="","",SUMIFS(Assignments!$AK$2:$AK$769,Assignments!$A$2:$A$769,$A74,Assignments!$G$2:$G$769,"Active",Assignments!$AI$2:$AI$769,"&lt;="&amp;I$47,Assignments!$AJ$2:$AJ$769,"&gt;="&amp;I$47)+SUMIFS(Assignments!$AN$2:$AN$769,Assignments!$A$2:$A$769,$A74,Assignments!$G$2:$G$769,"Active",Assignments!$AL$2:$AL$769,"&lt;="&amp;I$47,Assignments!$AM$2:$AM$769,"&gt;="&amp;I$47))</f>
        <v/>
      </c>
      <c r="J74" s="11">
        <f>IF($A74="","",SUMIFS(Assignments!$AK$2:$AK$769,Assignments!$A$2:$A$769,$A74,Assignments!$G$2:$G$769,"Active",Assignments!$AI$2:$AI$769,"&lt;="&amp;J$47,Assignments!$AJ$2:$AJ$769,"&gt;="&amp;J$47)+SUMIFS(Assignments!$AN$2:$AN$769,Assignments!$A$2:$A$769,$A74,Assignments!$G$2:$G$769,"Active",Assignments!$AL$2:$AL$769,"&lt;="&amp;J$47,Assignments!$AM$2:$AM$769,"&gt;="&amp;J$47))</f>
        <v/>
      </c>
      <c r="K74" s="11">
        <f>IF($A74="","",SUMIFS(Assignments!$AK$2:$AK$769,Assignments!$A$2:$A$769,$A74,Assignments!$G$2:$G$769,"Active",Assignments!$AI$2:$AI$769,"&lt;="&amp;K$47,Assignments!$AJ$2:$AJ$769,"&gt;="&amp;K$47)+SUMIFS(Assignments!$AN$2:$AN$769,Assignments!$A$2:$A$769,$A74,Assignments!$G$2:$G$769,"Active",Assignments!$AL$2:$AL$769,"&lt;="&amp;K$47,Assignments!$AM$2:$AM$769,"&gt;="&amp;K$47))</f>
        <v/>
      </c>
      <c r="L74" s="11">
        <f>IF($A74="","",SUMIFS(Assignments!$AK$2:$AK$769,Assignments!$A$2:$A$769,$A74,Assignments!$G$2:$G$769,"Active",Assignments!$AI$2:$AI$769,"&lt;="&amp;L$47,Assignments!$AJ$2:$AJ$769,"&gt;="&amp;L$47)+SUMIFS(Assignments!$AN$2:$AN$769,Assignments!$A$2:$A$769,$A74,Assignments!$G$2:$G$769,"Active",Assignments!$AL$2:$AL$769,"&lt;="&amp;L$47,Assignments!$AM$2:$AM$769,"&gt;="&amp;L$47))</f>
        <v/>
      </c>
      <c r="M74" s="11">
        <f>IF($A74="","",SUMIFS(Assignments!$AK$2:$AK$769,Assignments!$A$2:$A$769,$A74,Assignments!$G$2:$G$769,"Active",Assignments!$AI$2:$AI$769,"&lt;="&amp;M$47,Assignments!$AJ$2:$AJ$769,"&gt;="&amp;M$47)+SUMIFS(Assignments!$AN$2:$AN$769,Assignments!$A$2:$A$769,$A74,Assignments!$G$2:$G$769,"Active",Assignments!$AL$2:$AL$769,"&lt;="&amp;M$47,Assignments!$AM$2:$AM$769,"&gt;="&amp;M$47))</f>
        <v/>
      </c>
      <c r="N74" s="11">
        <f>IF($A74="","",SUMIFS(Assignments!$AK$2:$AK$769,Assignments!$A$2:$A$769,$A74,Assignments!$G$2:$G$769,"Active",Assignments!$AI$2:$AI$769,"&lt;="&amp;N$47,Assignments!$AJ$2:$AJ$769,"&gt;="&amp;N$47)+SUMIFS(Assignments!$AN$2:$AN$769,Assignments!$A$2:$A$769,$A74,Assignments!$G$2:$G$769,"Active",Assignments!$AL$2:$AL$769,"&lt;="&amp;N$47,Assignments!$AM$2:$AM$769,"&gt;="&amp;N$47))</f>
        <v/>
      </c>
      <c r="O74" s="11">
        <f>IF($A74="","",SUMIFS(Assignments!$AK$2:$AK$769,Assignments!$A$2:$A$769,$A74,Assignments!$G$2:$G$769,"Active",Assignments!$AI$2:$AI$769,"&lt;="&amp;O$47,Assignments!$AJ$2:$AJ$769,"&gt;="&amp;O$47)+SUMIFS(Assignments!$AN$2:$AN$769,Assignments!$A$2:$A$769,$A74,Assignments!$G$2:$G$769,"Active",Assignments!$AL$2:$AL$769,"&lt;="&amp;O$47,Assignments!$AM$2:$AM$769,"&gt;="&amp;O$47))</f>
        <v/>
      </c>
      <c r="P74" s="11">
        <f>IF($A74="","",SUMIFS(Assignments!$AK$2:$AK$769,Assignments!$A$2:$A$769,$A74,Assignments!$G$2:$G$769,"Active",Assignments!$AI$2:$AI$769,"&lt;="&amp;P$47,Assignments!$AJ$2:$AJ$769,"&gt;="&amp;P$47)+SUMIFS(Assignments!$AN$2:$AN$769,Assignments!$A$2:$A$769,$A74,Assignments!$G$2:$G$769,"Active",Assignments!$AL$2:$AL$769,"&lt;="&amp;P$47,Assignments!$AM$2:$AM$769,"&gt;="&amp;P$47))</f>
        <v/>
      </c>
      <c r="Q74" s="11">
        <f>IF($A74="","",SUMIFS(Assignments!$AK$2:$AK$769,Assignments!$A$2:$A$769,$A74,Assignments!$G$2:$G$769,"Active",Assignments!$AI$2:$AI$769,"&lt;="&amp;Q$47,Assignments!$AJ$2:$AJ$769,"&gt;="&amp;Q$47)+SUMIFS(Assignments!$AN$2:$AN$769,Assignments!$A$2:$A$769,$A74,Assignments!$G$2:$G$769,"Active",Assignments!$AL$2:$AL$769,"&lt;="&amp;Q$47,Assignments!$AM$2:$AM$769,"&gt;="&amp;Q$47))</f>
        <v/>
      </c>
      <c r="R74" s="11">
        <f>IF($A74="","",SUMIFS(Assignments!$AK$2:$AK$769,Assignments!$A$2:$A$769,$A74,Assignments!$G$2:$G$769,"Active",Assignments!$AI$2:$AI$769,"&lt;="&amp;R$47,Assignments!$AJ$2:$AJ$769,"&gt;="&amp;R$47)+SUMIFS(Assignments!$AN$2:$AN$769,Assignments!$A$2:$A$769,$A74,Assignments!$G$2:$G$769,"Active",Assignments!$AL$2:$AL$769,"&lt;="&amp;R$47,Assignments!$AM$2:$AM$769,"&gt;="&amp;R$47))</f>
        <v/>
      </c>
      <c r="S74" s="11">
        <f>IF($A74="","",SUMIFS(Assignments!$AK$2:$AK$769,Assignments!$A$2:$A$769,$A74,Assignments!$G$2:$G$769,"Active",Assignments!$AI$2:$AI$769,"&lt;="&amp;S$47,Assignments!$AJ$2:$AJ$769,"&gt;="&amp;S$47)+SUMIFS(Assignments!$AN$2:$AN$769,Assignments!$A$2:$A$769,$A74,Assignments!$G$2:$G$769,"Active",Assignments!$AL$2:$AL$769,"&lt;="&amp;S$47,Assignments!$AM$2:$AM$769,"&gt;="&amp;S$47))</f>
        <v/>
      </c>
      <c r="T74" s="11">
        <f>IF($A74="","",SUMIFS(Assignments!$AK$2:$AK$769,Assignments!$A$2:$A$769,$A74,Assignments!$G$2:$G$769,"Active",Assignments!$AI$2:$AI$769,"&lt;="&amp;T$47,Assignments!$AJ$2:$AJ$769,"&gt;="&amp;T$47)+SUMIFS(Assignments!$AN$2:$AN$769,Assignments!$A$2:$A$769,$A74,Assignments!$G$2:$G$769,"Active",Assignments!$AL$2:$AL$769,"&lt;="&amp;T$47,Assignments!$AM$2:$AM$769,"&gt;="&amp;T$47))</f>
        <v/>
      </c>
      <c r="U74" s="11">
        <f>IF($A74="","",SUMIFS(Assignments!$AK$2:$AK$769,Assignments!$A$2:$A$769,$A74,Assignments!$G$2:$G$769,"Active",Assignments!$AI$2:$AI$769,"&lt;="&amp;U$47,Assignments!$AJ$2:$AJ$769,"&gt;="&amp;U$47)+SUMIFS(Assignments!$AN$2:$AN$769,Assignments!$A$2:$A$769,$A74,Assignments!$G$2:$G$769,"Active",Assignments!$AL$2:$AL$769,"&lt;="&amp;U$47,Assignments!$AM$2:$AM$769,"&gt;="&amp;U$47))</f>
        <v/>
      </c>
      <c r="V74" s="11">
        <f>IF($A74="","",SUMIFS(Assignments!$AK$2:$AK$769,Assignments!$A$2:$A$769,$A74,Assignments!$G$2:$G$769,"Active",Assignments!$AI$2:$AI$769,"&lt;="&amp;V$47,Assignments!$AJ$2:$AJ$769,"&gt;="&amp;V$47)+SUMIFS(Assignments!$AN$2:$AN$769,Assignments!$A$2:$A$769,$A74,Assignments!$G$2:$G$769,"Active",Assignments!$AL$2:$AL$769,"&lt;="&amp;V$47,Assignments!$AM$2:$AM$769,"&gt;="&amp;V$47))</f>
        <v/>
      </c>
      <c r="W74" s="11">
        <f>IF($A74="","",SUMIFS(Assignments!$AK$2:$AK$769,Assignments!$A$2:$A$769,$A74,Assignments!$G$2:$G$769,"Active",Assignments!$AI$2:$AI$769,"&lt;="&amp;W$47,Assignments!$AJ$2:$AJ$769,"&gt;="&amp;W$47)+SUMIFS(Assignments!$AN$2:$AN$769,Assignments!$A$2:$A$769,$A74,Assignments!$G$2:$G$769,"Active",Assignments!$AL$2:$AL$769,"&lt;="&amp;W$47,Assignments!$AM$2:$AM$769,"&gt;="&amp;W$47))</f>
        <v/>
      </c>
      <c r="X74" s="11">
        <f>IF($A74="","",SUMIFS(Assignments!$AK$2:$AK$769,Assignments!$A$2:$A$769,$A74,Assignments!$G$2:$G$769,"Active",Assignments!$AI$2:$AI$769,"&lt;="&amp;X$47,Assignments!$AJ$2:$AJ$769,"&gt;="&amp;X$47)+SUMIFS(Assignments!$AN$2:$AN$769,Assignments!$A$2:$A$769,$A74,Assignments!$G$2:$G$769,"Active",Assignments!$AL$2:$AL$769,"&lt;="&amp;X$47,Assignments!$AM$2:$AM$769,"&gt;="&amp;X$47))</f>
        <v/>
      </c>
      <c r="Y74" s="11">
        <f>IF($A74="","",SUMIFS(Assignments!$AK$2:$AK$769,Assignments!$A$2:$A$769,$A74,Assignments!$G$2:$G$769,"Active",Assignments!$AI$2:$AI$769,"&lt;="&amp;Y$47,Assignments!$AJ$2:$AJ$769,"&gt;="&amp;Y$47)+SUMIFS(Assignments!$AN$2:$AN$769,Assignments!$A$2:$A$769,$A74,Assignments!$G$2:$G$769,"Active",Assignments!$AL$2:$AL$769,"&lt;="&amp;Y$47,Assignments!$AM$2:$AM$769,"&gt;="&amp;Y$47))</f>
        <v/>
      </c>
      <c r="Z74" s="11">
        <f>IF($A74="","",SUMIFS(Assignments!$AK$2:$AK$769,Assignments!$A$2:$A$769,$A74,Assignments!$G$2:$G$769,"Active",Assignments!$AI$2:$AI$769,"&lt;="&amp;Z$47,Assignments!$AJ$2:$AJ$769,"&gt;="&amp;Z$47)+SUMIFS(Assignments!$AN$2:$AN$769,Assignments!$A$2:$A$769,$A74,Assignments!$G$2:$G$769,"Active",Assignments!$AL$2:$AL$769,"&lt;="&amp;Z$47,Assignments!$AM$2:$AM$769,"&gt;="&amp;Z$47))</f>
        <v/>
      </c>
      <c r="AA74" s="11">
        <f>IF($A74="","",SUMIFS(Assignments!$AK$2:$AK$769,Assignments!$A$2:$A$769,$A74,Assignments!$G$2:$G$769,"Active",Assignments!$AI$2:$AI$769,"&lt;="&amp;AA$47,Assignments!$AJ$2:$AJ$769,"&gt;="&amp;AA$47)+SUMIFS(Assignments!$AN$2:$AN$769,Assignments!$A$2:$A$769,$A74,Assignments!$G$2:$G$769,"Active",Assignments!$AL$2:$AL$769,"&lt;="&amp;AA$47,Assignments!$AM$2:$AM$769,"&gt;="&amp;AA$47))</f>
        <v/>
      </c>
      <c r="AB74" s="11">
        <f>IF($A74="","",SUMIFS(Assignments!$AK$2:$AK$769,Assignments!$A$2:$A$769,$A74,Assignments!$G$2:$G$769,"Active",Assignments!$AI$2:$AI$769,"&lt;="&amp;AB$47,Assignments!$AJ$2:$AJ$769,"&gt;="&amp;AB$47)+SUMIFS(Assignments!$AN$2:$AN$769,Assignments!$A$2:$A$769,$A74,Assignments!$G$2:$G$769,"Active",Assignments!$AL$2:$AL$769,"&lt;="&amp;AB$47,Assignments!$AM$2:$AM$769,"&gt;="&amp;AB$47))</f>
        <v/>
      </c>
    </row>
    <row r="75">
      <c r="A75" s="9">
        <f>IF(Roster!$A29="","",Roster!$A29)</f>
        <v/>
      </c>
      <c r="B75" s="10">
        <f>IF($A75="","",IFERROR(INDEX(Roster!$D$2:$D$40,MATCH($A75,Roster!$A$2:$A$40,0)),""))</f>
        <v/>
      </c>
      <c r="C75" s="11">
        <f>IF($A75="","",SUMIFS(Assignments!$AK$2:$AK$769,Assignments!$A$2:$A$769,$A75,Assignments!$G$2:$G$769,"Active",Assignments!$AI$2:$AI$769,"&lt;="&amp;C$47,Assignments!$AJ$2:$AJ$769,"&gt;="&amp;C$47)+SUMIFS(Assignments!$AN$2:$AN$769,Assignments!$A$2:$A$769,$A75,Assignments!$G$2:$G$769,"Active",Assignments!$AL$2:$AL$769,"&lt;="&amp;C$47,Assignments!$AM$2:$AM$769,"&gt;="&amp;C$47))</f>
        <v/>
      </c>
      <c r="D75" s="11">
        <f>IF($A75="","",SUMIFS(Assignments!$AK$2:$AK$769,Assignments!$A$2:$A$769,$A75,Assignments!$G$2:$G$769,"Active",Assignments!$AI$2:$AI$769,"&lt;="&amp;D$47,Assignments!$AJ$2:$AJ$769,"&gt;="&amp;D$47)+SUMIFS(Assignments!$AN$2:$AN$769,Assignments!$A$2:$A$769,$A75,Assignments!$G$2:$G$769,"Active",Assignments!$AL$2:$AL$769,"&lt;="&amp;D$47,Assignments!$AM$2:$AM$769,"&gt;="&amp;D$47))</f>
        <v/>
      </c>
      <c r="E75" s="11">
        <f>IF($A75="","",SUMIFS(Assignments!$AK$2:$AK$769,Assignments!$A$2:$A$769,$A75,Assignments!$G$2:$G$769,"Active",Assignments!$AI$2:$AI$769,"&lt;="&amp;E$47,Assignments!$AJ$2:$AJ$769,"&gt;="&amp;E$47)+SUMIFS(Assignments!$AN$2:$AN$769,Assignments!$A$2:$A$769,$A75,Assignments!$G$2:$G$769,"Active",Assignments!$AL$2:$AL$769,"&lt;="&amp;E$47,Assignments!$AM$2:$AM$769,"&gt;="&amp;E$47))</f>
        <v/>
      </c>
      <c r="F75" s="11">
        <f>IF($A75="","",SUMIFS(Assignments!$AK$2:$AK$769,Assignments!$A$2:$A$769,$A75,Assignments!$G$2:$G$769,"Active",Assignments!$AI$2:$AI$769,"&lt;="&amp;F$47,Assignments!$AJ$2:$AJ$769,"&gt;="&amp;F$47)+SUMIFS(Assignments!$AN$2:$AN$769,Assignments!$A$2:$A$769,$A75,Assignments!$G$2:$G$769,"Active",Assignments!$AL$2:$AL$769,"&lt;="&amp;F$47,Assignments!$AM$2:$AM$769,"&gt;="&amp;F$47))</f>
        <v/>
      </c>
      <c r="G75" s="11">
        <f>IF($A75="","",SUMIFS(Assignments!$AK$2:$AK$769,Assignments!$A$2:$A$769,$A75,Assignments!$G$2:$G$769,"Active",Assignments!$AI$2:$AI$769,"&lt;="&amp;G$47,Assignments!$AJ$2:$AJ$769,"&gt;="&amp;G$47)+SUMIFS(Assignments!$AN$2:$AN$769,Assignments!$A$2:$A$769,$A75,Assignments!$G$2:$G$769,"Active",Assignments!$AL$2:$AL$769,"&lt;="&amp;G$47,Assignments!$AM$2:$AM$769,"&gt;="&amp;G$47))</f>
        <v/>
      </c>
      <c r="H75" s="11">
        <f>IF($A75="","",SUMIFS(Assignments!$AK$2:$AK$769,Assignments!$A$2:$A$769,$A75,Assignments!$G$2:$G$769,"Active",Assignments!$AI$2:$AI$769,"&lt;="&amp;H$47,Assignments!$AJ$2:$AJ$769,"&gt;="&amp;H$47)+SUMIFS(Assignments!$AN$2:$AN$769,Assignments!$A$2:$A$769,$A75,Assignments!$G$2:$G$769,"Active",Assignments!$AL$2:$AL$769,"&lt;="&amp;H$47,Assignments!$AM$2:$AM$769,"&gt;="&amp;H$47))</f>
        <v/>
      </c>
      <c r="I75" s="11">
        <f>IF($A75="","",SUMIFS(Assignments!$AK$2:$AK$769,Assignments!$A$2:$A$769,$A75,Assignments!$G$2:$G$769,"Active",Assignments!$AI$2:$AI$769,"&lt;="&amp;I$47,Assignments!$AJ$2:$AJ$769,"&gt;="&amp;I$47)+SUMIFS(Assignments!$AN$2:$AN$769,Assignments!$A$2:$A$769,$A75,Assignments!$G$2:$G$769,"Active",Assignments!$AL$2:$AL$769,"&lt;="&amp;I$47,Assignments!$AM$2:$AM$769,"&gt;="&amp;I$47))</f>
        <v/>
      </c>
      <c r="J75" s="11">
        <f>IF($A75="","",SUMIFS(Assignments!$AK$2:$AK$769,Assignments!$A$2:$A$769,$A75,Assignments!$G$2:$G$769,"Active",Assignments!$AI$2:$AI$769,"&lt;="&amp;J$47,Assignments!$AJ$2:$AJ$769,"&gt;="&amp;J$47)+SUMIFS(Assignments!$AN$2:$AN$769,Assignments!$A$2:$A$769,$A75,Assignments!$G$2:$G$769,"Active",Assignments!$AL$2:$AL$769,"&lt;="&amp;J$47,Assignments!$AM$2:$AM$769,"&gt;="&amp;J$47))</f>
        <v/>
      </c>
      <c r="K75" s="11">
        <f>IF($A75="","",SUMIFS(Assignments!$AK$2:$AK$769,Assignments!$A$2:$A$769,$A75,Assignments!$G$2:$G$769,"Active",Assignments!$AI$2:$AI$769,"&lt;="&amp;K$47,Assignments!$AJ$2:$AJ$769,"&gt;="&amp;K$47)+SUMIFS(Assignments!$AN$2:$AN$769,Assignments!$A$2:$A$769,$A75,Assignments!$G$2:$G$769,"Active",Assignments!$AL$2:$AL$769,"&lt;="&amp;K$47,Assignments!$AM$2:$AM$769,"&gt;="&amp;K$47))</f>
        <v/>
      </c>
      <c r="L75" s="11">
        <f>IF($A75="","",SUMIFS(Assignments!$AK$2:$AK$769,Assignments!$A$2:$A$769,$A75,Assignments!$G$2:$G$769,"Active",Assignments!$AI$2:$AI$769,"&lt;="&amp;L$47,Assignments!$AJ$2:$AJ$769,"&gt;="&amp;L$47)+SUMIFS(Assignments!$AN$2:$AN$769,Assignments!$A$2:$A$769,$A75,Assignments!$G$2:$G$769,"Active",Assignments!$AL$2:$AL$769,"&lt;="&amp;L$47,Assignments!$AM$2:$AM$769,"&gt;="&amp;L$47))</f>
        <v/>
      </c>
      <c r="M75" s="11">
        <f>IF($A75="","",SUMIFS(Assignments!$AK$2:$AK$769,Assignments!$A$2:$A$769,$A75,Assignments!$G$2:$G$769,"Active",Assignments!$AI$2:$AI$769,"&lt;="&amp;M$47,Assignments!$AJ$2:$AJ$769,"&gt;="&amp;M$47)+SUMIFS(Assignments!$AN$2:$AN$769,Assignments!$A$2:$A$769,$A75,Assignments!$G$2:$G$769,"Active",Assignments!$AL$2:$AL$769,"&lt;="&amp;M$47,Assignments!$AM$2:$AM$769,"&gt;="&amp;M$47))</f>
        <v/>
      </c>
      <c r="N75" s="11">
        <f>IF($A75="","",SUMIFS(Assignments!$AK$2:$AK$769,Assignments!$A$2:$A$769,$A75,Assignments!$G$2:$G$769,"Active",Assignments!$AI$2:$AI$769,"&lt;="&amp;N$47,Assignments!$AJ$2:$AJ$769,"&gt;="&amp;N$47)+SUMIFS(Assignments!$AN$2:$AN$769,Assignments!$A$2:$A$769,$A75,Assignments!$G$2:$G$769,"Active",Assignments!$AL$2:$AL$769,"&lt;="&amp;N$47,Assignments!$AM$2:$AM$769,"&gt;="&amp;N$47))</f>
        <v/>
      </c>
      <c r="O75" s="11">
        <f>IF($A75="","",SUMIFS(Assignments!$AK$2:$AK$769,Assignments!$A$2:$A$769,$A75,Assignments!$G$2:$G$769,"Active",Assignments!$AI$2:$AI$769,"&lt;="&amp;O$47,Assignments!$AJ$2:$AJ$769,"&gt;="&amp;O$47)+SUMIFS(Assignments!$AN$2:$AN$769,Assignments!$A$2:$A$769,$A75,Assignments!$G$2:$G$769,"Active",Assignments!$AL$2:$AL$769,"&lt;="&amp;O$47,Assignments!$AM$2:$AM$769,"&gt;="&amp;O$47))</f>
        <v/>
      </c>
      <c r="P75" s="11">
        <f>IF($A75="","",SUMIFS(Assignments!$AK$2:$AK$769,Assignments!$A$2:$A$769,$A75,Assignments!$G$2:$G$769,"Active",Assignments!$AI$2:$AI$769,"&lt;="&amp;P$47,Assignments!$AJ$2:$AJ$769,"&gt;="&amp;P$47)+SUMIFS(Assignments!$AN$2:$AN$769,Assignments!$A$2:$A$769,$A75,Assignments!$G$2:$G$769,"Active",Assignments!$AL$2:$AL$769,"&lt;="&amp;P$47,Assignments!$AM$2:$AM$769,"&gt;="&amp;P$47))</f>
        <v/>
      </c>
      <c r="Q75" s="11">
        <f>IF($A75="","",SUMIFS(Assignments!$AK$2:$AK$769,Assignments!$A$2:$A$769,$A75,Assignments!$G$2:$G$769,"Active",Assignments!$AI$2:$AI$769,"&lt;="&amp;Q$47,Assignments!$AJ$2:$AJ$769,"&gt;="&amp;Q$47)+SUMIFS(Assignments!$AN$2:$AN$769,Assignments!$A$2:$A$769,$A75,Assignments!$G$2:$G$769,"Active",Assignments!$AL$2:$AL$769,"&lt;="&amp;Q$47,Assignments!$AM$2:$AM$769,"&gt;="&amp;Q$47))</f>
        <v/>
      </c>
      <c r="R75" s="11">
        <f>IF($A75="","",SUMIFS(Assignments!$AK$2:$AK$769,Assignments!$A$2:$A$769,$A75,Assignments!$G$2:$G$769,"Active",Assignments!$AI$2:$AI$769,"&lt;="&amp;R$47,Assignments!$AJ$2:$AJ$769,"&gt;="&amp;R$47)+SUMIFS(Assignments!$AN$2:$AN$769,Assignments!$A$2:$A$769,$A75,Assignments!$G$2:$G$769,"Active",Assignments!$AL$2:$AL$769,"&lt;="&amp;R$47,Assignments!$AM$2:$AM$769,"&gt;="&amp;R$47))</f>
        <v/>
      </c>
      <c r="S75" s="11">
        <f>IF($A75="","",SUMIFS(Assignments!$AK$2:$AK$769,Assignments!$A$2:$A$769,$A75,Assignments!$G$2:$G$769,"Active",Assignments!$AI$2:$AI$769,"&lt;="&amp;S$47,Assignments!$AJ$2:$AJ$769,"&gt;="&amp;S$47)+SUMIFS(Assignments!$AN$2:$AN$769,Assignments!$A$2:$A$769,$A75,Assignments!$G$2:$G$769,"Active",Assignments!$AL$2:$AL$769,"&lt;="&amp;S$47,Assignments!$AM$2:$AM$769,"&gt;="&amp;S$47))</f>
        <v/>
      </c>
      <c r="T75" s="11">
        <f>IF($A75="","",SUMIFS(Assignments!$AK$2:$AK$769,Assignments!$A$2:$A$769,$A75,Assignments!$G$2:$G$769,"Active",Assignments!$AI$2:$AI$769,"&lt;="&amp;T$47,Assignments!$AJ$2:$AJ$769,"&gt;="&amp;T$47)+SUMIFS(Assignments!$AN$2:$AN$769,Assignments!$A$2:$A$769,$A75,Assignments!$G$2:$G$769,"Active",Assignments!$AL$2:$AL$769,"&lt;="&amp;T$47,Assignments!$AM$2:$AM$769,"&gt;="&amp;T$47))</f>
        <v/>
      </c>
      <c r="U75" s="11">
        <f>IF($A75="","",SUMIFS(Assignments!$AK$2:$AK$769,Assignments!$A$2:$A$769,$A75,Assignments!$G$2:$G$769,"Active",Assignments!$AI$2:$AI$769,"&lt;="&amp;U$47,Assignments!$AJ$2:$AJ$769,"&gt;="&amp;U$47)+SUMIFS(Assignments!$AN$2:$AN$769,Assignments!$A$2:$A$769,$A75,Assignments!$G$2:$G$769,"Active",Assignments!$AL$2:$AL$769,"&lt;="&amp;U$47,Assignments!$AM$2:$AM$769,"&gt;="&amp;U$47))</f>
        <v/>
      </c>
      <c r="V75" s="11">
        <f>IF($A75="","",SUMIFS(Assignments!$AK$2:$AK$769,Assignments!$A$2:$A$769,$A75,Assignments!$G$2:$G$769,"Active",Assignments!$AI$2:$AI$769,"&lt;="&amp;V$47,Assignments!$AJ$2:$AJ$769,"&gt;="&amp;V$47)+SUMIFS(Assignments!$AN$2:$AN$769,Assignments!$A$2:$A$769,$A75,Assignments!$G$2:$G$769,"Active",Assignments!$AL$2:$AL$769,"&lt;="&amp;V$47,Assignments!$AM$2:$AM$769,"&gt;="&amp;V$47))</f>
        <v/>
      </c>
      <c r="W75" s="11">
        <f>IF($A75="","",SUMIFS(Assignments!$AK$2:$AK$769,Assignments!$A$2:$A$769,$A75,Assignments!$G$2:$G$769,"Active",Assignments!$AI$2:$AI$769,"&lt;="&amp;W$47,Assignments!$AJ$2:$AJ$769,"&gt;="&amp;W$47)+SUMIFS(Assignments!$AN$2:$AN$769,Assignments!$A$2:$A$769,$A75,Assignments!$G$2:$G$769,"Active",Assignments!$AL$2:$AL$769,"&lt;="&amp;W$47,Assignments!$AM$2:$AM$769,"&gt;="&amp;W$47))</f>
        <v/>
      </c>
      <c r="X75" s="11">
        <f>IF($A75="","",SUMIFS(Assignments!$AK$2:$AK$769,Assignments!$A$2:$A$769,$A75,Assignments!$G$2:$G$769,"Active",Assignments!$AI$2:$AI$769,"&lt;="&amp;X$47,Assignments!$AJ$2:$AJ$769,"&gt;="&amp;X$47)+SUMIFS(Assignments!$AN$2:$AN$769,Assignments!$A$2:$A$769,$A75,Assignments!$G$2:$G$769,"Active",Assignments!$AL$2:$AL$769,"&lt;="&amp;X$47,Assignments!$AM$2:$AM$769,"&gt;="&amp;X$47))</f>
        <v/>
      </c>
      <c r="Y75" s="11">
        <f>IF($A75="","",SUMIFS(Assignments!$AK$2:$AK$769,Assignments!$A$2:$A$769,$A75,Assignments!$G$2:$G$769,"Active",Assignments!$AI$2:$AI$769,"&lt;="&amp;Y$47,Assignments!$AJ$2:$AJ$769,"&gt;="&amp;Y$47)+SUMIFS(Assignments!$AN$2:$AN$769,Assignments!$A$2:$A$769,$A75,Assignments!$G$2:$G$769,"Active",Assignments!$AL$2:$AL$769,"&lt;="&amp;Y$47,Assignments!$AM$2:$AM$769,"&gt;="&amp;Y$47))</f>
        <v/>
      </c>
      <c r="Z75" s="11">
        <f>IF($A75="","",SUMIFS(Assignments!$AK$2:$AK$769,Assignments!$A$2:$A$769,$A75,Assignments!$G$2:$G$769,"Active",Assignments!$AI$2:$AI$769,"&lt;="&amp;Z$47,Assignments!$AJ$2:$AJ$769,"&gt;="&amp;Z$47)+SUMIFS(Assignments!$AN$2:$AN$769,Assignments!$A$2:$A$769,$A75,Assignments!$G$2:$G$769,"Active",Assignments!$AL$2:$AL$769,"&lt;="&amp;Z$47,Assignments!$AM$2:$AM$769,"&gt;="&amp;Z$47))</f>
        <v/>
      </c>
      <c r="AA75" s="11">
        <f>IF($A75="","",SUMIFS(Assignments!$AK$2:$AK$769,Assignments!$A$2:$A$769,$A75,Assignments!$G$2:$G$769,"Active",Assignments!$AI$2:$AI$769,"&lt;="&amp;AA$47,Assignments!$AJ$2:$AJ$769,"&gt;="&amp;AA$47)+SUMIFS(Assignments!$AN$2:$AN$769,Assignments!$A$2:$A$769,$A75,Assignments!$G$2:$G$769,"Active",Assignments!$AL$2:$AL$769,"&lt;="&amp;AA$47,Assignments!$AM$2:$AM$769,"&gt;="&amp;AA$47))</f>
        <v/>
      </c>
      <c r="AB75" s="11">
        <f>IF($A75="","",SUMIFS(Assignments!$AK$2:$AK$769,Assignments!$A$2:$A$769,$A75,Assignments!$G$2:$G$769,"Active",Assignments!$AI$2:$AI$769,"&lt;="&amp;AB$47,Assignments!$AJ$2:$AJ$769,"&gt;="&amp;AB$47)+SUMIFS(Assignments!$AN$2:$AN$769,Assignments!$A$2:$A$769,$A75,Assignments!$G$2:$G$769,"Active",Assignments!$AL$2:$AL$769,"&lt;="&amp;AB$47,Assignments!$AM$2:$AM$769,"&gt;="&amp;AB$47))</f>
        <v/>
      </c>
    </row>
    <row r="76">
      <c r="A76" s="9">
        <f>IF(Roster!$A30="","",Roster!$A30)</f>
        <v/>
      </c>
      <c r="B76" s="10">
        <f>IF($A76="","",IFERROR(INDEX(Roster!$D$2:$D$40,MATCH($A76,Roster!$A$2:$A$40,0)),""))</f>
        <v/>
      </c>
      <c r="C76" s="11">
        <f>IF($A76="","",SUMIFS(Assignments!$AK$2:$AK$769,Assignments!$A$2:$A$769,$A76,Assignments!$G$2:$G$769,"Active",Assignments!$AI$2:$AI$769,"&lt;="&amp;C$47,Assignments!$AJ$2:$AJ$769,"&gt;="&amp;C$47)+SUMIFS(Assignments!$AN$2:$AN$769,Assignments!$A$2:$A$769,$A76,Assignments!$G$2:$G$769,"Active",Assignments!$AL$2:$AL$769,"&lt;="&amp;C$47,Assignments!$AM$2:$AM$769,"&gt;="&amp;C$47))</f>
        <v/>
      </c>
      <c r="D76" s="11">
        <f>IF($A76="","",SUMIFS(Assignments!$AK$2:$AK$769,Assignments!$A$2:$A$769,$A76,Assignments!$G$2:$G$769,"Active",Assignments!$AI$2:$AI$769,"&lt;="&amp;D$47,Assignments!$AJ$2:$AJ$769,"&gt;="&amp;D$47)+SUMIFS(Assignments!$AN$2:$AN$769,Assignments!$A$2:$A$769,$A76,Assignments!$G$2:$G$769,"Active",Assignments!$AL$2:$AL$769,"&lt;="&amp;D$47,Assignments!$AM$2:$AM$769,"&gt;="&amp;D$47))</f>
        <v/>
      </c>
      <c r="E76" s="11">
        <f>IF($A76="","",SUMIFS(Assignments!$AK$2:$AK$769,Assignments!$A$2:$A$769,$A76,Assignments!$G$2:$G$769,"Active",Assignments!$AI$2:$AI$769,"&lt;="&amp;E$47,Assignments!$AJ$2:$AJ$769,"&gt;="&amp;E$47)+SUMIFS(Assignments!$AN$2:$AN$769,Assignments!$A$2:$A$769,$A76,Assignments!$G$2:$G$769,"Active",Assignments!$AL$2:$AL$769,"&lt;="&amp;E$47,Assignments!$AM$2:$AM$769,"&gt;="&amp;E$47))</f>
        <v/>
      </c>
      <c r="F76" s="11">
        <f>IF($A76="","",SUMIFS(Assignments!$AK$2:$AK$769,Assignments!$A$2:$A$769,$A76,Assignments!$G$2:$G$769,"Active",Assignments!$AI$2:$AI$769,"&lt;="&amp;F$47,Assignments!$AJ$2:$AJ$769,"&gt;="&amp;F$47)+SUMIFS(Assignments!$AN$2:$AN$769,Assignments!$A$2:$A$769,$A76,Assignments!$G$2:$G$769,"Active",Assignments!$AL$2:$AL$769,"&lt;="&amp;F$47,Assignments!$AM$2:$AM$769,"&gt;="&amp;F$47))</f>
        <v/>
      </c>
      <c r="G76" s="11">
        <f>IF($A76="","",SUMIFS(Assignments!$AK$2:$AK$769,Assignments!$A$2:$A$769,$A76,Assignments!$G$2:$G$769,"Active",Assignments!$AI$2:$AI$769,"&lt;="&amp;G$47,Assignments!$AJ$2:$AJ$769,"&gt;="&amp;G$47)+SUMIFS(Assignments!$AN$2:$AN$769,Assignments!$A$2:$A$769,$A76,Assignments!$G$2:$G$769,"Active",Assignments!$AL$2:$AL$769,"&lt;="&amp;G$47,Assignments!$AM$2:$AM$769,"&gt;="&amp;G$47))</f>
        <v/>
      </c>
      <c r="H76" s="11">
        <f>IF($A76="","",SUMIFS(Assignments!$AK$2:$AK$769,Assignments!$A$2:$A$769,$A76,Assignments!$G$2:$G$769,"Active",Assignments!$AI$2:$AI$769,"&lt;="&amp;H$47,Assignments!$AJ$2:$AJ$769,"&gt;="&amp;H$47)+SUMIFS(Assignments!$AN$2:$AN$769,Assignments!$A$2:$A$769,$A76,Assignments!$G$2:$G$769,"Active",Assignments!$AL$2:$AL$769,"&lt;="&amp;H$47,Assignments!$AM$2:$AM$769,"&gt;="&amp;H$47))</f>
        <v/>
      </c>
      <c r="I76" s="11">
        <f>IF($A76="","",SUMIFS(Assignments!$AK$2:$AK$769,Assignments!$A$2:$A$769,$A76,Assignments!$G$2:$G$769,"Active",Assignments!$AI$2:$AI$769,"&lt;="&amp;I$47,Assignments!$AJ$2:$AJ$769,"&gt;="&amp;I$47)+SUMIFS(Assignments!$AN$2:$AN$769,Assignments!$A$2:$A$769,$A76,Assignments!$G$2:$G$769,"Active",Assignments!$AL$2:$AL$769,"&lt;="&amp;I$47,Assignments!$AM$2:$AM$769,"&gt;="&amp;I$47))</f>
        <v/>
      </c>
      <c r="J76" s="11">
        <f>IF($A76="","",SUMIFS(Assignments!$AK$2:$AK$769,Assignments!$A$2:$A$769,$A76,Assignments!$G$2:$G$769,"Active",Assignments!$AI$2:$AI$769,"&lt;="&amp;J$47,Assignments!$AJ$2:$AJ$769,"&gt;="&amp;J$47)+SUMIFS(Assignments!$AN$2:$AN$769,Assignments!$A$2:$A$769,$A76,Assignments!$G$2:$G$769,"Active",Assignments!$AL$2:$AL$769,"&lt;="&amp;J$47,Assignments!$AM$2:$AM$769,"&gt;="&amp;J$47))</f>
        <v/>
      </c>
      <c r="K76" s="11">
        <f>IF($A76="","",SUMIFS(Assignments!$AK$2:$AK$769,Assignments!$A$2:$A$769,$A76,Assignments!$G$2:$G$769,"Active",Assignments!$AI$2:$AI$769,"&lt;="&amp;K$47,Assignments!$AJ$2:$AJ$769,"&gt;="&amp;K$47)+SUMIFS(Assignments!$AN$2:$AN$769,Assignments!$A$2:$A$769,$A76,Assignments!$G$2:$G$769,"Active",Assignments!$AL$2:$AL$769,"&lt;="&amp;K$47,Assignments!$AM$2:$AM$769,"&gt;="&amp;K$47))</f>
        <v/>
      </c>
      <c r="L76" s="11">
        <f>IF($A76="","",SUMIFS(Assignments!$AK$2:$AK$769,Assignments!$A$2:$A$769,$A76,Assignments!$G$2:$G$769,"Active",Assignments!$AI$2:$AI$769,"&lt;="&amp;L$47,Assignments!$AJ$2:$AJ$769,"&gt;="&amp;L$47)+SUMIFS(Assignments!$AN$2:$AN$769,Assignments!$A$2:$A$769,$A76,Assignments!$G$2:$G$769,"Active",Assignments!$AL$2:$AL$769,"&lt;="&amp;L$47,Assignments!$AM$2:$AM$769,"&gt;="&amp;L$47))</f>
        <v/>
      </c>
      <c r="M76" s="11">
        <f>IF($A76="","",SUMIFS(Assignments!$AK$2:$AK$769,Assignments!$A$2:$A$769,$A76,Assignments!$G$2:$G$769,"Active",Assignments!$AI$2:$AI$769,"&lt;="&amp;M$47,Assignments!$AJ$2:$AJ$769,"&gt;="&amp;M$47)+SUMIFS(Assignments!$AN$2:$AN$769,Assignments!$A$2:$A$769,$A76,Assignments!$G$2:$G$769,"Active",Assignments!$AL$2:$AL$769,"&lt;="&amp;M$47,Assignments!$AM$2:$AM$769,"&gt;="&amp;M$47))</f>
        <v/>
      </c>
      <c r="N76" s="11">
        <f>IF($A76="","",SUMIFS(Assignments!$AK$2:$AK$769,Assignments!$A$2:$A$769,$A76,Assignments!$G$2:$G$769,"Active",Assignments!$AI$2:$AI$769,"&lt;="&amp;N$47,Assignments!$AJ$2:$AJ$769,"&gt;="&amp;N$47)+SUMIFS(Assignments!$AN$2:$AN$769,Assignments!$A$2:$A$769,$A76,Assignments!$G$2:$G$769,"Active",Assignments!$AL$2:$AL$769,"&lt;="&amp;N$47,Assignments!$AM$2:$AM$769,"&gt;="&amp;N$47))</f>
        <v/>
      </c>
      <c r="O76" s="11">
        <f>IF($A76="","",SUMIFS(Assignments!$AK$2:$AK$769,Assignments!$A$2:$A$769,$A76,Assignments!$G$2:$G$769,"Active",Assignments!$AI$2:$AI$769,"&lt;="&amp;O$47,Assignments!$AJ$2:$AJ$769,"&gt;="&amp;O$47)+SUMIFS(Assignments!$AN$2:$AN$769,Assignments!$A$2:$A$769,$A76,Assignments!$G$2:$G$769,"Active",Assignments!$AL$2:$AL$769,"&lt;="&amp;O$47,Assignments!$AM$2:$AM$769,"&gt;="&amp;O$47))</f>
        <v/>
      </c>
      <c r="P76" s="11">
        <f>IF($A76="","",SUMIFS(Assignments!$AK$2:$AK$769,Assignments!$A$2:$A$769,$A76,Assignments!$G$2:$G$769,"Active",Assignments!$AI$2:$AI$769,"&lt;="&amp;P$47,Assignments!$AJ$2:$AJ$769,"&gt;="&amp;P$47)+SUMIFS(Assignments!$AN$2:$AN$769,Assignments!$A$2:$A$769,$A76,Assignments!$G$2:$G$769,"Active",Assignments!$AL$2:$AL$769,"&lt;="&amp;P$47,Assignments!$AM$2:$AM$769,"&gt;="&amp;P$47))</f>
        <v/>
      </c>
      <c r="Q76" s="11">
        <f>IF($A76="","",SUMIFS(Assignments!$AK$2:$AK$769,Assignments!$A$2:$A$769,$A76,Assignments!$G$2:$G$769,"Active",Assignments!$AI$2:$AI$769,"&lt;="&amp;Q$47,Assignments!$AJ$2:$AJ$769,"&gt;="&amp;Q$47)+SUMIFS(Assignments!$AN$2:$AN$769,Assignments!$A$2:$A$769,$A76,Assignments!$G$2:$G$769,"Active",Assignments!$AL$2:$AL$769,"&lt;="&amp;Q$47,Assignments!$AM$2:$AM$769,"&gt;="&amp;Q$47))</f>
        <v/>
      </c>
      <c r="R76" s="11">
        <f>IF($A76="","",SUMIFS(Assignments!$AK$2:$AK$769,Assignments!$A$2:$A$769,$A76,Assignments!$G$2:$G$769,"Active",Assignments!$AI$2:$AI$769,"&lt;="&amp;R$47,Assignments!$AJ$2:$AJ$769,"&gt;="&amp;R$47)+SUMIFS(Assignments!$AN$2:$AN$769,Assignments!$A$2:$A$769,$A76,Assignments!$G$2:$G$769,"Active",Assignments!$AL$2:$AL$769,"&lt;="&amp;R$47,Assignments!$AM$2:$AM$769,"&gt;="&amp;R$47))</f>
        <v/>
      </c>
      <c r="S76" s="11">
        <f>IF($A76="","",SUMIFS(Assignments!$AK$2:$AK$769,Assignments!$A$2:$A$769,$A76,Assignments!$G$2:$G$769,"Active",Assignments!$AI$2:$AI$769,"&lt;="&amp;S$47,Assignments!$AJ$2:$AJ$769,"&gt;="&amp;S$47)+SUMIFS(Assignments!$AN$2:$AN$769,Assignments!$A$2:$A$769,$A76,Assignments!$G$2:$G$769,"Active",Assignments!$AL$2:$AL$769,"&lt;="&amp;S$47,Assignments!$AM$2:$AM$769,"&gt;="&amp;S$47))</f>
        <v/>
      </c>
      <c r="T76" s="11">
        <f>IF($A76="","",SUMIFS(Assignments!$AK$2:$AK$769,Assignments!$A$2:$A$769,$A76,Assignments!$G$2:$G$769,"Active",Assignments!$AI$2:$AI$769,"&lt;="&amp;T$47,Assignments!$AJ$2:$AJ$769,"&gt;="&amp;T$47)+SUMIFS(Assignments!$AN$2:$AN$769,Assignments!$A$2:$A$769,$A76,Assignments!$G$2:$G$769,"Active",Assignments!$AL$2:$AL$769,"&lt;="&amp;T$47,Assignments!$AM$2:$AM$769,"&gt;="&amp;T$47))</f>
        <v/>
      </c>
      <c r="U76" s="11">
        <f>IF($A76="","",SUMIFS(Assignments!$AK$2:$AK$769,Assignments!$A$2:$A$769,$A76,Assignments!$G$2:$G$769,"Active",Assignments!$AI$2:$AI$769,"&lt;="&amp;U$47,Assignments!$AJ$2:$AJ$769,"&gt;="&amp;U$47)+SUMIFS(Assignments!$AN$2:$AN$769,Assignments!$A$2:$A$769,$A76,Assignments!$G$2:$G$769,"Active",Assignments!$AL$2:$AL$769,"&lt;="&amp;U$47,Assignments!$AM$2:$AM$769,"&gt;="&amp;U$47))</f>
        <v/>
      </c>
      <c r="V76" s="11">
        <f>IF($A76="","",SUMIFS(Assignments!$AK$2:$AK$769,Assignments!$A$2:$A$769,$A76,Assignments!$G$2:$G$769,"Active",Assignments!$AI$2:$AI$769,"&lt;="&amp;V$47,Assignments!$AJ$2:$AJ$769,"&gt;="&amp;V$47)+SUMIFS(Assignments!$AN$2:$AN$769,Assignments!$A$2:$A$769,$A76,Assignments!$G$2:$G$769,"Active",Assignments!$AL$2:$AL$769,"&lt;="&amp;V$47,Assignments!$AM$2:$AM$769,"&gt;="&amp;V$47))</f>
        <v/>
      </c>
      <c r="W76" s="11">
        <f>IF($A76="","",SUMIFS(Assignments!$AK$2:$AK$769,Assignments!$A$2:$A$769,$A76,Assignments!$G$2:$G$769,"Active",Assignments!$AI$2:$AI$769,"&lt;="&amp;W$47,Assignments!$AJ$2:$AJ$769,"&gt;="&amp;W$47)+SUMIFS(Assignments!$AN$2:$AN$769,Assignments!$A$2:$A$769,$A76,Assignments!$G$2:$G$769,"Active",Assignments!$AL$2:$AL$769,"&lt;="&amp;W$47,Assignments!$AM$2:$AM$769,"&gt;="&amp;W$47))</f>
        <v/>
      </c>
      <c r="X76" s="11">
        <f>IF($A76="","",SUMIFS(Assignments!$AK$2:$AK$769,Assignments!$A$2:$A$769,$A76,Assignments!$G$2:$G$769,"Active",Assignments!$AI$2:$AI$769,"&lt;="&amp;X$47,Assignments!$AJ$2:$AJ$769,"&gt;="&amp;X$47)+SUMIFS(Assignments!$AN$2:$AN$769,Assignments!$A$2:$A$769,$A76,Assignments!$G$2:$G$769,"Active",Assignments!$AL$2:$AL$769,"&lt;="&amp;X$47,Assignments!$AM$2:$AM$769,"&gt;="&amp;X$47))</f>
        <v/>
      </c>
      <c r="Y76" s="11">
        <f>IF($A76="","",SUMIFS(Assignments!$AK$2:$AK$769,Assignments!$A$2:$A$769,$A76,Assignments!$G$2:$G$769,"Active",Assignments!$AI$2:$AI$769,"&lt;="&amp;Y$47,Assignments!$AJ$2:$AJ$769,"&gt;="&amp;Y$47)+SUMIFS(Assignments!$AN$2:$AN$769,Assignments!$A$2:$A$769,$A76,Assignments!$G$2:$G$769,"Active",Assignments!$AL$2:$AL$769,"&lt;="&amp;Y$47,Assignments!$AM$2:$AM$769,"&gt;="&amp;Y$47))</f>
        <v/>
      </c>
      <c r="Z76" s="11">
        <f>IF($A76="","",SUMIFS(Assignments!$AK$2:$AK$769,Assignments!$A$2:$A$769,$A76,Assignments!$G$2:$G$769,"Active",Assignments!$AI$2:$AI$769,"&lt;="&amp;Z$47,Assignments!$AJ$2:$AJ$769,"&gt;="&amp;Z$47)+SUMIFS(Assignments!$AN$2:$AN$769,Assignments!$A$2:$A$769,$A76,Assignments!$G$2:$G$769,"Active",Assignments!$AL$2:$AL$769,"&lt;="&amp;Z$47,Assignments!$AM$2:$AM$769,"&gt;="&amp;Z$47))</f>
        <v/>
      </c>
      <c r="AA76" s="11">
        <f>IF($A76="","",SUMIFS(Assignments!$AK$2:$AK$769,Assignments!$A$2:$A$769,$A76,Assignments!$G$2:$G$769,"Active",Assignments!$AI$2:$AI$769,"&lt;="&amp;AA$47,Assignments!$AJ$2:$AJ$769,"&gt;="&amp;AA$47)+SUMIFS(Assignments!$AN$2:$AN$769,Assignments!$A$2:$A$769,$A76,Assignments!$G$2:$G$769,"Active",Assignments!$AL$2:$AL$769,"&lt;="&amp;AA$47,Assignments!$AM$2:$AM$769,"&gt;="&amp;AA$47))</f>
        <v/>
      </c>
      <c r="AB76" s="11">
        <f>IF($A76="","",SUMIFS(Assignments!$AK$2:$AK$769,Assignments!$A$2:$A$769,$A76,Assignments!$G$2:$G$769,"Active",Assignments!$AI$2:$AI$769,"&lt;="&amp;AB$47,Assignments!$AJ$2:$AJ$769,"&gt;="&amp;AB$47)+SUMIFS(Assignments!$AN$2:$AN$769,Assignments!$A$2:$A$769,$A76,Assignments!$G$2:$G$769,"Active",Assignments!$AL$2:$AL$769,"&lt;="&amp;AB$47,Assignments!$AM$2:$AM$769,"&gt;="&amp;AB$47))</f>
        <v/>
      </c>
    </row>
    <row r="77">
      <c r="A77" s="9">
        <f>IF(Roster!$A31="","",Roster!$A31)</f>
        <v/>
      </c>
      <c r="B77" s="10">
        <f>IF($A77="","",IFERROR(INDEX(Roster!$D$2:$D$40,MATCH($A77,Roster!$A$2:$A$40,0)),""))</f>
        <v/>
      </c>
      <c r="C77" s="11">
        <f>IF($A77="","",SUMIFS(Assignments!$AK$2:$AK$769,Assignments!$A$2:$A$769,$A77,Assignments!$G$2:$G$769,"Active",Assignments!$AI$2:$AI$769,"&lt;="&amp;C$47,Assignments!$AJ$2:$AJ$769,"&gt;="&amp;C$47)+SUMIFS(Assignments!$AN$2:$AN$769,Assignments!$A$2:$A$769,$A77,Assignments!$G$2:$G$769,"Active",Assignments!$AL$2:$AL$769,"&lt;="&amp;C$47,Assignments!$AM$2:$AM$769,"&gt;="&amp;C$47))</f>
        <v/>
      </c>
      <c r="D77" s="11">
        <f>IF($A77="","",SUMIFS(Assignments!$AK$2:$AK$769,Assignments!$A$2:$A$769,$A77,Assignments!$G$2:$G$769,"Active",Assignments!$AI$2:$AI$769,"&lt;="&amp;D$47,Assignments!$AJ$2:$AJ$769,"&gt;="&amp;D$47)+SUMIFS(Assignments!$AN$2:$AN$769,Assignments!$A$2:$A$769,$A77,Assignments!$G$2:$G$769,"Active",Assignments!$AL$2:$AL$769,"&lt;="&amp;D$47,Assignments!$AM$2:$AM$769,"&gt;="&amp;D$47))</f>
        <v/>
      </c>
      <c r="E77" s="11">
        <f>IF($A77="","",SUMIFS(Assignments!$AK$2:$AK$769,Assignments!$A$2:$A$769,$A77,Assignments!$G$2:$G$769,"Active",Assignments!$AI$2:$AI$769,"&lt;="&amp;E$47,Assignments!$AJ$2:$AJ$769,"&gt;="&amp;E$47)+SUMIFS(Assignments!$AN$2:$AN$769,Assignments!$A$2:$A$769,$A77,Assignments!$G$2:$G$769,"Active",Assignments!$AL$2:$AL$769,"&lt;="&amp;E$47,Assignments!$AM$2:$AM$769,"&gt;="&amp;E$47))</f>
        <v/>
      </c>
      <c r="F77" s="11">
        <f>IF($A77="","",SUMIFS(Assignments!$AK$2:$AK$769,Assignments!$A$2:$A$769,$A77,Assignments!$G$2:$G$769,"Active",Assignments!$AI$2:$AI$769,"&lt;="&amp;F$47,Assignments!$AJ$2:$AJ$769,"&gt;="&amp;F$47)+SUMIFS(Assignments!$AN$2:$AN$769,Assignments!$A$2:$A$769,$A77,Assignments!$G$2:$G$769,"Active",Assignments!$AL$2:$AL$769,"&lt;="&amp;F$47,Assignments!$AM$2:$AM$769,"&gt;="&amp;F$47))</f>
        <v/>
      </c>
      <c r="G77" s="11">
        <f>IF($A77="","",SUMIFS(Assignments!$AK$2:$AK$769,Assignments!$A$2:$A$769,$A77,Assignments!$G$2:$G$769,"Active",Assignments!$AI$2:$AI$769,"&lt;="&amp;G$47,Assignments!$AJ$2:$AJ$769,"&gt;="&amp;G$47)+SUMIFS(Assignments!$AN$2:$AN$769,Assignments!$A$2:$A$769,$A77,Assignments!$G$2:$G$769,"Active",Assignments!$AL$2:$AL$769,"&lt;="&amp;G$47,Assignments!$AM$2:$AM$769,"&gt;="&amp;G$47))</f>
        <v/>
      </c>
      <c r="H77" s="11">
        <f>IF($A77="","",SUMIFS(Assignments!$AK$2:$AK$769,Assignments!$A$2:$A$769,$A77,Assignments!$G$2:$G$769,"Active",Assignments!$AI$2:$AI$769,"&lt;="&amp;H$47,Assignments!$AJ$2:$AJ$769,"&gt;="&amp;H$47)+SUMIFS(Assignments!$AN$2:$AN$769,Assignments!$A$2:$A$769,$A77,Assignments!$G$2:$G$769,"Active",Assignments!$AL$2:$AL$769,"&lt;="&amp;H$47,Assignments!$AM$2:$AM$769,"&gt;="&amp;H$47))</f>
        <v/>
      </c>
      <c r="I77" s="11">
        <f>IF($A77="","",SUMIFS(Assignments!$AK$2:$AK$769,Assignments!$A$2:$A$769,$A77,Assignments!$G$2:$G$769,"Active",Assignments!$AI$2:$AI$769,"&lt;="&amp;I$47,Assignments!$AJ$2:$AJ$769,"&gt;="&amp;I$47)+SUMIFS(Assignments!$AN$2:$AN$769,Assignments!$A$2:$A$769,$A77,Assignments!$G$2:$G$769,"Active",Assignments!$AL$2:$AL$769,"&lt;="&amp;I$47,Assignments!$AM$2:$AM$769,"&gt;="&amp;I$47))</f>
        <v/>
      </c>
      <c r="J77" s="11">
        <f>IF($A77="","",SUMIFS(Assignments!$AK$2:$AK$769,Assignments!$A$2:$A$769,$A77,Assignments!$G$2:$G$769,"Active",Assignments!$AI$2:$AI$769,"&lt;="&amp;J$47,Assignments!$AJ$2:$AJ$769,"&gt;="&amp;J$47)+SUMIFS(Assignments!$AN$2:$AN$769,Assignments!$A$2:$A$769,$A77,Assignments!$G$2:$G$769,"Active",Assignments!$AL$2:$AL$769,"&lt;="&amp;J$47,Assignments!$AM$2:$AM$769,"&gt;="&amp;J$47))</f>
        <v/>
      </c>
      <c r="K77" s="11">
        <f>IF($A77="","",SUMIFS(Assignments!$AK$2:$AK$769,Assignments!$A$2:$A$769,$A77,Assignments!$G$2:$G$769,"Active",Assignments!$AI$2:$AI$769,"&lt;="&amp;K$47,Assignments!$AJ$2:$AJ$769,"&gt;="&amp;K$47)+SUMIFS(Assignments!$AN$2:$AN$769,Assignments!$A$2:$A$769,$A77,Assignments!$G$2:$G$769,"Active",Assignments!$AL$2:$AL$769,"&lt;="&amp;K$47,Assignments!$AM$2:$AM$769,"&gt;="&amp;K$47))</f>
        <v/>
      </c>
      <c r="L77" s="11">
        <f>IF($A77="","",SUMIFS(Assignments!$AK$2:$AK$769,Assignments!$A$2:$A$769,$A77,Assignments!$G$2:$G$769,"Active",Assignments!$AI$2:$AI$769,"&lt;="&amp;L$47,Assignments!$AJ$2:$AJ$769,"&gt;="&amp;L$47)+SUMIFS(Assignments!$AN$2:$AN$769,Assignments!$A$2:$A$769,$A77,Assignments!$G$2:$G$769,"Active",Assignments!$AL$2:$AL$769,"&lt;="&amp;L$47,Assignments!$AM$2:$AM$769,"&gt;="&amp;L$47))</f>
        <v/>
      </c>
      <c r="M77" s="11">
        <f>IF($A77="","",SUMIFS(Assignments!$AK$2:$AK$769,Assignments!$A$2:$A$769,$A77,Assignments!$G$2:$G$769,"Active",Assignments!$AI$2:$AI$769,"&lt;="&amp;M$47,Assignments!$AJ$2:$AJ$769,"&gt;="&amp;M$47)+SUMIFS(Assignments!$AN$2:$AN$769,Assignments!$A$2:$A$769,$A77,Assignments!$G$2:$G$769,"Active",Assignments!$AL$2:$AL$769,"&lt;="&amp;M$47,Assignments!$AM$2:$AM$769,"&gt;="&amp;M$47))</f>
        <v/>
      </c>
      <c r="N77" s="11">
        <f>IF($A77="","",SUMIFS(Assignments!$AK$2:$AK$769,Assignments!$A$2:$A$769,$A77,Assignments!$G$2:$G$769,"Active",Assignments!$AI$2:$AI$769,"&lt;="&amp;N$47,Assignments!$AJ$2:$AJ$769,"&gt;="&amp;N$47)+SUMIFS(Assignments!$AN$2:$AN$769,Assignments!$A$2:$A$769,$A77,Assignments!$G$2:$G$769,"Active",Assignments!$AL$2:$AL$769,"&lt;="&amp;N$47,Assignments!$AM$2:$AM$769,"&gt;="&amp;N$47))</f>
        <v/>
      </c>
      <c r="O77" s="11">
        <f>IF($A77="","",SUMIFS(Assignments!$AK$2:$AK$769,Assignments!$A$2:$A$769,$A77,Assignments!$G$2:$G$769,"Active",Assignments!$AI$2:$AI$769,"&lt;="&amp;O$47,Assignments!$AJ$2:$AJ$769,"&gt;="&amp;O$47)+SUMIFS(Assignments!$AN$2:$AN$769,Assignments!$A$2:$A$769,$A77,Assignments!$G$2:$G$769,"Active",Assignments!$AL$2:$AL$769,"&lt;="&amp;O$47,Assignments!$AM$2:$AM$769,"&gt;="&amp;O$47))</f>
        <v/>
      </c>
      <c r="P77" s="11">
        <f>IF($A77="","",SUMIFS(Assignments!$AK$2:$AK$769,Assignments!$A$2:$A$769,$A77,Assignments!$G$2:$G$769,"Active",Assignments!$AI$2:$AI$769,"&lt;="&amp;P$47,Assignments!$AJ$2:$AJ$769,"&gt;="&amp;P$47)+SUMIFS(Assignments!$AN$2:$AN$769,Assignments!$A$2:$A$769,$A77,Assignments!$G$2:$G$769,"Active",Assignments!$AL$2:$AL$769,"&lt;="&amp;P$47,Assignments!$AM$2:$AM$769,"&gt;="&amp;P$47))</f>
        <v/>
      </c>
      <c r="Q77" s="11">
        <f>IF($A77="","",SUMIFS(Assignments!$AK$2:$AK$769,Assignments!$A$2:$A$769,$A77,Assignments!$G$2:$G$769,"Active",Assignments!$AI$2:$AI$769,"&lt;="&amp;Q$47,Assignments!$AJ$2:$AJ$769,"&gt;="&amp;Q$47)+SUMIFS(Assignments!$AN$2:$AN$769,Assignments!$A$2:$A$769,$A77,Assignments!$G$2:$G$769,"Active",Assignments!$AL$2:$AL$769,"&lt;="&amp;Q$47,Assignments!$AM$2:$AM$769,"&gt;="&amp;Q$47))</f>
        <v/>
      </c>
      <c r="R77" s="11">
        <f>IF($A77="","",SUMIFS(Assignments!$AK$2:$AK$769,Assignments!$A$2:$A$769,$A77,Assignments!$G$2:$G$769,"Active",Assignments!$AI$2:$AI$769,"&lt;="&amp;R$47,Assignments!$AJ$2:$AJ$769,"&gt;="&amp;R$47)+SUMIFS(Assignments!$AN$2:$AN$769,Assignments!$A$2:$A$769,$A77,Assignments!$G$2:$G$769,"Active",Assignments!$AL$2:$AL$769,"&lt;="&amp;R$47,Assignments!$AM$2:$AM$769,"&gt;="&amp;R$47))</f>
        <v/>
      </c>
      <c r="S77" s="11">
        <f>IF($A77="","",SUMIFS(Assignments!$AK$2:$AK$769,Assignments!$A$2:$A$769,$A77,Assignments!$G$2:$G$769,"Active",Assignments!$AI$2:$AI$769,"&lt;="&amp;S$47,Assignments!$AJ$2:$AJ$769,"&gt;="&amp;S$47)+SUMIFS(Assignments!$AN$2:$AN$769,Assignments!$A$2:$A$769,$A77,Assignments!$G$2:$G$769,"Active",Assignments!$AL$2:$AL$769,"&lt;="&amp;S$47,Assignments!$AM$2:$AM$769,"&gt;="&amp;S$47))</f>
        <v/>
      </c>
      <c r="T77" s="11">
        <f>IF($A77="","",SUMIFS(Assignments!$AK$2:$AK$769,Assignments!$A$2:$A$769,$A77,Assignments!$G$2:$G$769,"Active",Assignments!$AI$2:$AI$769,"&lt;="&amp;T$47,Assignments!$AJ$2:$AJ$769,"&gt;="&amp;T$47)+SUMIFS(Assignments!$AN$2:$AN$769,Assignments!$A$2:$A$769,$A77,Assignments!$G$2:$G$769,"Active",Assignments!$AL$2:$AL$769,"&lt;="&amp;T$47,Assignments!$AM$2:$AM$769,"&gt;="&amp;T$47))</f>
        <v/>
      </c>
      <c r="U77" s="11">
        <f>IF($A77="","",SUMIFS(Assignments!$AK$2:$AK$769,Assignments!$A$2:$A$769,$A77,Assignments!$G$2:$G$769,"Active",Assignments!$AI$2:$AI$769,"&lt;="&amp;U$47,Assignments!$AJ$2:$AJ$769,"&gt;="&amp;U$47)+SUMIFS(Assignments!$AN$2:$AN$769,Assignments!$A$2:$A$769,$A77,Assignments!$G$2:$G$769,"Active",Assignments!$AL$2:$AL$769,"&lt;="&amp;U$47,Assignments!$AM$2:$AM$769,"&gt;="&amp;U$47))</f>
        <v/>
      </c>
      <c r="V77" s="11">
        <f>IF($A77="","",SUMIFS(Assignments!$AK$2:$AK$769,Assignments!$A$2:$A$769,$A77,Assignments!$G$2:$G$769,"Active",Assignments!$AI$2:$AI$769,"&lt;="&amp;V$47,Assignments!$AJ$2:$AJ$769,"&gt;="&amp;V$47)+SUMIFS(Assignments!$AN$2:$AN$769,Assignments!$A$2:$A$769,$A77,Assignments!$G$2:$G$769,"Active",Assignments!$AL$2:$AL$769,"&lt;="&amp;V$47,Assignments!$AM$2:$AM$769,"&gt;="&amp;V$47))</f>
        <v/>
      </c>
      <c r="W77" s="11">
        <f>IF($A77="","",SUMIFS(Assignments!$AK$2:$AK$769,Assignments!$A$2:$A$769,$A77,Assignments!$G$2:$G$769,"Active",Assignments!$AI$2:$AI$769,"&lt;="&amp;W$47,Assignments!$AJ$2:$AJ$769,"&gt;="&amp;W$47)+SUMIFS(Assignments!$AN$2:$AN$769,Assignments!$A$2:$A$769,$A77,Assignments!$G$2:$G$769,"Active",Assignments!$AL$2:$AL$769,"&lt;="&amp;W$47,Assignments!$AM$2:$AM$769,"&gt;="&amp;W$47))</f>
        <v/>
      </c>
      <c r="X77" s="11">
        <f>IF($A77="","",SUMIFS(Assignments!$AK$2:$AK$769,Assignments!$A$2:$A$769,$A77,Assignments!$G$2:$G$769,"Active",Assignments!$AI$2:$AI$769,"&lt;="&amp;X$47,Assignments!$AJ$2:$AJ$769,"&gt;="&amp;X$47)+SUMIFS(Assignments!$AN$2:$AN$769,Assignments!$A$2:$A$769,$A77,Assignments!$G$2:$G$769,"Active",Assignments!$AL$2:$AL$769,"&lt;="&amp;X$47,Assignments!$AM$2:$AM$769,"&gt;="&amp;X$47))</f>
        <v/>
      </c>
      <c r="Y77" s="11">
        <f>IF($A77="","",SUMIFS(Assignments!$AK$2:$AK$769,Assignments!$A$2:$A$769,$A77,Assignments!$G$2:$G$769,"Active",Assignments!$AI$2:$AI$769,"&lt;="&amp;Y$47,Assignments!$AJ$2:$AJ$769,"&gt;="&amp;Y$47)+SUMIFS(Assignments!$AN$2:$AN$769,Assignments!$A$2:$A$769,$A77,Assignments!$G$2:$G$769,"Active",Assignments!$AL$2:$AL$769,"&lt;="&amp;Y$47,Assignments!$AM$2:$AM$769,"&gt;="&amp;Y$47))</f>
        <v/>
      </c>
      <c r="Z77" s="11">
        <f>IF($A77="","",SUMIFS(Assignments!$AK$2:$AK$769,Assignments!$A$2:$A$769,$A77,Assignments!$G$2:$G$769,"Active",Assignments!$AI$2:$AI$769,"&lt;="&amp;Z$47,Assignments!$AJ$2:$AJ$769,"&gt;="&amp;Z$47)+SUMIFS(Assignments!$AN$2:$AN$769,Assignments!$A$2:$A$769,$A77,Assignments!$G$2:$G$769,"Active",Assignments!$AL$2:$AL$769,"&lt;="&amp;Z$47,Assignments!$AM$2:$AM$769,"&gt;="&amp;Z$47))</f>
        <v/>
      </c>
      <c r="AA77" s="11">
        <f>IF($A77="","",SUMIFS(Assignments!$AK$2:$AK$769,Assignments!$A$2:$A$769,$A77,Assignments!$G$2:$G$769,"Active",Assignments!$AI$2:$AI$769,"&lt;="&amp;AA$47,Assignments!$AJ$2:$AJ$769,"&gt;="&amp;AA$47)+SUMIFS(Assignments!$AN$2:$AN$769,Assignments!$A$2:$A$769,$A77,Assignments!$G$2:$G$769,"Active",Assignments!$AL$2:$AL$769,"&lt;="&amp;AA$47,Assignments!$AM$2:$AM$769,"&gt;="&amp;AA$47))</f>
        <v/>
      </c>
      <c r="AB77" s="11">
        <f>IF($A77="","",SUMIFS(Assignments!$AK$2:$AK$769,Assignments!$A$2:$A$769,$A77,Assignments!$G$2:$G$769,"Active",Assignments!$AI$2:$AI$769,"&lt;="&amp;AB$47,Assignments!$AJ$2:$AJ$769,"&gt;="&amp;AB$47)+SUMIFS(Assignments!$AN$2:$AN$769,Assignments!$A$2:$A$769,$A77,Assignments!$G$2:$G$769,"Active",Assignments!$AL$2:$AL$769,"&lt;="&amp;AB$47,Assignments!$AM$2:$AM$769,"&gt;="&amp;AB$47))</f>
        <v/>
      </c>
    </row>
    <row r="78">
      <c r="A78" s="9">
        <f>IF(Roster!$A32="","",Roster!$A32)</f>
        <v/>
      </c>
      <c r="B78" s="10">
        <f>IF($A78="","",IFERROR(INDEX(Roster!$D$2:$D$40,MATCH($A78,Roster!$A$2:$A$40,0)),""))</f>
        <v/>
      </c>
      <c r="C78" s="11">
        <f>IF($A78="","",SUMIFS(Assignments!$AK$2:$AK$769,Assignments!$A$2:$A$769,$A78,Assignments!$G$2:$G$769,"Active",Assignments!$AI$2:$AI$769,"&lt;="&amp;C$47,Assignments!$AJ$2:$AJ$769,"&gt;="&amp;C$47)+SUMIFS(Assignments!$AN$2:$AN$769,Assignments!$A$2:$A$769,$A78,Assignments!$G$2:$G$769,"Active",Assignments!$AL$2:$AL$769,"&lt;="&amp;C$47,Assignments!$AM$2:$AM$769,"&gt;="&amp;C$47))</f>
        <v/>
      </c>
      <c r="D78" s="11">
        <f>IF($A78="","",SUMIFS(Assignments!$AK$2:$AK$769,Assignments!$A$2:$A$769,$A78,Assignments!$G$2:$G$769,"Active",Assignments!$AI$2:$AI$769,"&lt;="&amp;D$47,Assignments!$AJ$2:$AJ$769,"&gt;="&amp;D$47)+SUMIFS(Assignments!$AN$2:$AN$769,Assignments!$A$2:$A$769,$A78,Assignments!$G$2:$G$769,"Active",Assignments!$AL$2:$AL$769,"&lt;="&amp;D$47,Assignments!$AM$2:$AM$769,"&gt;="&amp;D$47))</f>
        <v/>
      </c>
      <c r="E78" s="11">
        <f>IF($A78="","",SUMIFS(Assignments!$AK$2:$AK$769,Assignments!$A$2:$A$769,$A78,Assignments!$G$2:$G$769,"Active",Assignments!$AI$2:$AI$769,"&lt;="&amp;E$47,Assignments!$AJ$2:$AJ$769,"&gt;="&amp;E$47)+SUMIFS(Assignments!$AN$2:$AN$769,Assignments!$A$2:$A$769,$A78,Assignments!$G$2:$G$769,"Active",Assignments!$AL$2:$AL$769,"&lt;="&amp;E$47,Assignments!$AM$2:$AM$769,"&gt;="&amp;E$47))</f>
        <v/>
      </c>
      <c r="F78" s="11">
        <f>IF($A78="","",SUMIFS(Assignments!$AK$2:$AK$769,Assignments!$A$2:$A$769,$A78,Assignments!$G$2:$G$769,"Active",Assignments!$AI$2:$AI$769,"&lt;="&amp;F$47,Assignments!$AJ$2:$AJ$769,"&gt;="&amp;F$47)+SUMIFS(Assignments!$AN$2:$AN$769,Assignments!$A$2:$A$769,$A78,Assignments!$G$2:$G$769,"Active",Assignments!$AL$2:$AL$769,"&lt;="&amp;F$47,Assignments!$AM$2:$AM$769,"&gt;="&amp;F$47))</f>
        <v/>
      </c>
      <c r="G78" s="11">
        <f>IF($A78="","",SUMIFS(Assignments!$AK$2:$AK$769,Assignments!$A$2:$A$769,$A78,Assignments!$G$2:$G$769,"Active",Assignments!$AI$2:$AI$769,"&lt;="&amp;G$47,Assignments!$AJ$2:$AJ$769,"&gt;="&amp;G$47)+SUMIFS(Assignments!$AN$2:$AN$769,Assignments!$A$2:$A$769,$A78,Assignments!$G$2:$G$769,"Active",Assignments!$AL$2:$AL$769,"&lt;="&amp;G$47,Assignments!$AM$2:$AM$769,"&gt;="&amp;G$47))</f>
        <v/>
      </c>
      <c r="H78" s="11">
        <f>IF($A78="","",SUMIFS(Assignments!$AK$2:$AK$769,Assignments!$A$2:$A$769,$A78,Assignments!$G$2:$G$769,"Active",Assignments!$AI$2:$AI$769,"&lt;="&amp;H$47,Assignments!$AJ$2:$AJ$769,"&gt;="&amp;H$47)+SUMIFS(Assignments!$AN$2:$AN$769,Assignments!$A$2:$A$769,$A78,Assignments!$G$2:$G$769,"Active",Assignments!$AL$2:$AL$769,"&lt;="&amp;H$47,Assignments!$AM$2:$AM$769,"&gt;="&amp;H$47))</f>
        <v/>
      </c>
      <c r="I78" s="11">
        <f>IF($A78="","",SUMIFS(Assignments!$AK$2:$AK$769,Assignments!$A$2:$A$769,$A78,Assignments!$G$2:$G$769,"Active",Assignments!$AI$2:$AI$769,"&lt;="&amp;I$47,Assignments!$AJ$2:$AJ$769,"&gt;="&amp;I$47)+SUMIFS(Assignments!$AN$2:$AN$769,Assignments!$A$2:$A$769,$A78,Assignments!$G$2:$G$769,"Active",Assignments!$AL$2:$AL$769,"&lt;="&amp;I$47,Assignments!$AM$2:$AM$769,"&gt;="&amp;I$47))</f>
        <v/>
      </c>
      <c r="J78" s="11">
        <f>IF($A78="","",SUMIFS(Assignments!$AK$2:$AK$769,Assignments!$A$2:$A$769,$A78,Assignments!$G$2:$G$769,"Active",Assignments!$AI$2:$AI$769,"&lt;="&amp;J$47,Assignments!$AJ$2:$AJ$769,"&gt;="&amp;J$47)+SUMIFS(Assignments!$AN$2:$AN$769,Assignments!$A$2:$A$769,$A78,Assignments!$G$2:$G$769,"Active",Assignments!$AL$2:$AL$769,"&lt;="&amp;J$47,Assignments!$AM$2:$AM$769,"&gt;="&amp;J$47))</f>
        <v/>
      </c>
      <c r="K78" s="11">
        <f>IF($A78="","",SUMIFS(Assignments!$AK$2:$AK$769,Assignments!$A$2:$A$769,$A78,Assignments!$G$2:$G$769,"Active",Assignments!$AI$2:$AI$769,"&lt;="&amp;K$47,Assignments!$AJ$2:$AJ$769,"&gt;="&amp;K$47)+SUMIFS(Assignments!$AN$2:$AN$769,Assignments!$A$2:$A$769,$A78,Assignments!$G$2:$G$769,"Active",Assignments!$AL$2:$AL$769,"&lt;="&amp;K$47,Assignments!$AM$2:$AM$769,"&gt;="&amp;K$47))</f>
        <v/>
      </c>
      <c r="L78" s="11">
        <f>IF($A78="","",SUMIFS(Assignments!$AK$2:$AK$769,Assignments!$A$2:$A$769,$A78,Assignments!$G$2:$G$769,"Active",Assignments!$AI$2:$AI$769,"&lt;="&amp;L$47,Assignments!$AJ$2:$AJ$769,"&gt;="&amp;L$47)+SUMIFS(Assignments!$AN$2:$AN$769,Assignments!$A$2:$A$769,$A78,Assignments!$G$2:$G$769,"Active",Assignments!$AL$2:$AL$769,"&lt;="&amp;L$47,Assignments!$AM$2:$AM$769,"&gt;="&amp;L$47))</f>
        <v/>
      </c>
      <c r="M78" s="11">
        <f>IF($A78="","",SUMIFS(Assignments!$AK$2:$AK$769,Assignments!$A$2:$A$769,$A78,Assignments!$G$2:$G$769,"Active",Assignments!$AI$2:$AI$769,"&lt;="&amp;M$47,Assignments!$AJ$2:$AJ$769,"&gt;="&amp;M$47)+SUMIFS(Assignments!$AN$2:$AN$769,Assignments!$A$2:$A$769,$A78,Assignments!$G$2:$G$769,"Active",Assignments!$AL$2:$AL$769,"&lt;="&amp;M$47,Assignments!$AM$2:$AM$769,"&gt;="&amp;M$47))</f>
        <v/>
      </c>
      <c r="N78" s="11">
        <f>IF($A78="","",SUMIFS(Assignments!$AK$2:$AK$769,Assignments!$A$2:$A$769,$A78,Assignments!$G$2:$G$769,"Active",Assignments!$AI$2:$AI$769,"&lt;="&amp;N$47,Assignments!$AJ$2:$AJ$769,"&gt;="&amp;N$47)+SUMIFS(Assignments!$AN$2:$AN$769,Assignments!$A$2:$A$769,$A78,Assignments!$G$2:$G$769,"Active",Assignments!$AL$2:$AL$769,"&lt;="&amp;N$47,Assignments!$AM$2:$AM$769,"&gt;="&amp;N$47))</f>
        <v/>
      </c>
      <c r="O78" s="11">
        <f>IF($A78="","",SUMIFS(Assignments!$AK$2:$AK$769,Assignments!$A$2:$A$769,$A78,Assignments!$G$2:$G$769,"Active",Assignments!$AI$2:$AI$769,"&lt;="&amp;O$47,Assignments!$AJ$2:$AJ$769,"&gt;="&amp;O$47)+SUMIFS(Assignments!$AN$2:$AN$769,Assignments!$A$2:$A$769,$A78,Assignments!$G$2:$G$769,"Active",Assignments!$AL$2:$AL$769,"&lt;="&amp;O$47,Assignments!$AM$2:$AM$769,"&gt;="&amp;O$47))</f>
        <v/>
      </c>
      <c r="P78" s="11">
        <f>IF($A78="","",SUMIFS(Assignments!$AK$2:$AK$769,Assignments!$A$2:$A$769,$A78,Assignments!$G$2:$G$769,"Active",Assignments!$AI$2:$AI$769,"&lt;="&amp;P$47,Assignments!$AJ$2:$AJ$769,"&gt;="&amp;P$47)+SUMIFS(Assignments!$AN$2:$AN$769,Assignments!$A$2:$A$769,$A78,Assignments!$G$2:$G$769,"Active",Assignments!$AL$2:$AL$769,"&lt;="&amp;P$47,Assignments!$AM$2:$AM$769,"&gt;="&amp;P$47))</f>
        <v/>
      </c>
      <c r="Q78" s="11">
        <f>IF($A78="","",SUMIFS(Assignments!$AK$2:$AK$769,Assignments!$A$2:$A$769,$A78,Assignments!$G$2:$G$769,"Active",Assignments!$AI$2:$AI$769,"&lt;="&amp;Q$47,Assignments!$AJ$2:$AJ$769,"&gt;="&amp;Q$47)+SUMIFS(Assignments!$AN$2:$AN$769,Assignments!$A$2:$A$769,$A78,Assignments!$G$2:$G$769,"Active",Assignments!$AL$2:$AL$769,"&lt;="&amp;Q$47,Assignments!$AM$2:$AM$769,"&gt;="&amp;Q$47))</f>
        <v/>
      </c>
      <c r="R78" s="11">
        <f>IF($A78="","",SUMIFS(Assignments!$AK$2:$AK$769,Assignments!$A$2:$A$769,$A78,Assignments!$G$2:$G$769,"Active",Assignments!$AI$2:$AI$769,"&lt;="&amp;R$47,Assignments!$AJ$2:$AJ$769,"&gt;="&amp;R$47)+SUMIFS(Assignments!$AN$2:$AN$769,Assignments!$A$2:$A$769,$A78,Assignments!$G$2:$G$769,"Active",Assignments!$AL$2:$AL$769,"&lt;="&amp;R$47,Assignments!$AM$2:$AM$769,"&gt;="&amp;R$47))</f>
        <v/>
      </c>
      <c r="S78" s="11">
        <f>IF($A78="","",SUMIFS(Assignments!$AK$2:$AK$769,Assignments!$A$2:$A$769,$A78,Assignments!$G$2:$G$769,"Active",Assignments!$AI$2:$AI$769,"&lt;="&amp;S$47,Assignments!$AJ$2:$AJ$769,"&gt;="&amp;S$47)+SUMIFS(Assignments!$AN$2:$AN$769,Assignments!$A$2:$A$769,$A78,Assignments!$G$2:$G$769,"Active",Assignments!$AL$2:$AL$769,"&lt;="&amp;S$47,Assignments!$AM$2:$AM$769,"&gt;="&amp;S$47))</f>
        <v/>
      </c>
      <c r="T78" s="11">
        <f>IF($A78="","",SUMIFS(Assignments!$AK$2:$AK$769,Assignments!$A$2:$A$769,$A78,Assignments!$G$2:$G$769,"Active",Assignments!$AI$2:$AI$769,"&lt;="&amp;T$47,Assignments!$AJ$2:$AJ$769,"&gt;="&amp;T$47)+SUMIFS(Assignments!$AN$2:$AN$769,Assignments!$A$2:$A$769,$A78,Assignments!$G$2:$G$769,"Active",Assignments!$AL$2:$AL$769,"&lt;="&amp;T$47,Assignments!$AM$2:$AM$769,"&gt;="&amp;T$47))</f>
        <v/>
      </c>
      <c r="U78" s="11">
        <f>IF($A78="","",SUMIFS(Assignments!$AK$2:$AK$769,Assignments!$A$2:$A$769,$A78,Assignments!$G$2:$G$769,"Active",Assignments!$AI$2:$AI$769,"&lt;="&amp;U$47,Assignments!$AJ$2:$AJ$769,"&gt;="&amp;U$47)+SUMIFS(Assignments!$AN$2:$AN$769,Assignments!$A$2:$A$769,$A78,Assignments!$G$2:$G$769,"Active",Assignments!$AL$2:$AL$769,"&lt;="&amp;U$47,Assignments!$AM$2:$AM$769,"&gt;="&amp;U$47))</f>
        <v/>
      </c>
      <c r="V78" s="11">
        <f>IF($A78="","",SUMIFS(Assignments!$AK$2:$AK$769,Assignments!$A$2:$A$769,$A78,Assignments!$G$2:$G$769,"Active",Assignments!$AI$2:$AI$769,"&lt;="&amp;V$47,Assignments!$AJ$2:$AJ$769,"&gt;="&amp;V$47)+SUMIFS(Assignments!$AN$2:$AN$769,Assignments!$A$2:$A$769,$A78,Assignments!$G$2:$G$769,"Active",Assignments!$AL$2:$AL$769,"&lt;="&amp;V$47,Assignments!$AM$2:$AM$769,"&gt;="&amp;V$47))</f>
        <v/>
      </c>
      <c r="W78" s="11">
        <f>IF($A78="","",SUMIFS(Assignments!$AK$2:$AK$769,Assignments!$A$2:$A$769,$A78,Assignments!$G$2:$G$769,"Active",Assignments!$AI$2:$AI$769,"&lt;="&amp;W$47,Assignments!$AJ$2:$AJ$769,"&gt;="&amp;W$47)+SUMIFS(Assignments!$AN$2:$AN$769,Assignments!$A$2:$A$769,$A78,Assignments!$G$2:$G$769,"Active",Assignments!$AL$2:$AL$769,"&lt;="&amp;W$47,Assignments!$AM$2:$AM$769,"&gt;="&amp;W$47))</f>
        <v/>
      </c>
      <c r="X78" s="11">
        <f>IF($A78="","",SUMIFS(Assignments!$AK$2:$AK$769,Assignments!$A$2:$A$769,$A78,Assignments!$G$2:$G$769,"Active",Assignments!$AI$2:$AI$769,"&lt;="&amp;X$47,Assignments!$AJ$2:$AJ$769,"&gt;="&amp;X$47)+SUMIFS(Assignments!$AN$2:$AN$769,Assignments!$A$2:$A$769,$A78,Assignments!$G$2:$G$769,"Active",Assignments!$AL$2:$AL$769,"&lt;="&amp;X$47,Assignments!$AM$2:$AM$769,"&gt;="&amp;X$47))</f>
        <v/>
      </c>
      <c r="Y78" s="11">
        <f>IF($A78="","",SUMIFS(Assignments!$AK$2:$AK$769,Assignments!$A$2:$A$769,$A78,Assignments!$G$2:$G$769,"Active",Assignments!$AI$2:$AI$769,"&lt;="&amp;Y$47,Assignments!$AJ$2:$AJ$769,"&gt;="&amp;Y$47)+SUMIFS(Assignments!$AN$2:$AN$769,Assignments!$A$2:$A$769,$A78,Assignments!$G$2:$G$769,"Active",Assignments!$AL$2:$AL$769,"&lt;="&amp;Y$47,Assignments!$AM$2:$AM$769,"&gt;="&amp;Y$47))</f>
        <v/>
      </c>
      <c r="Z78" s="11">
        <f>IF($A78="","",SUMIFS(Assignments!$AK$2:$AK$769,Assignments!$A$2:$A$769,$A78,Assignments!$G$2:$G$769,"Active",Assignments!$AI$2:$AI$769,"&lt;="&amp;Z$47,Assignments!$AJ$2:$AJ$769,"&gt;="&amp;Z$47)+SUMIFS(Assignments!$AN$2:$AN$769,Assignments!$A$2:$A$769,$A78,Assignments!$G$2:$G$769,"Active",Assignments!$AL$2:$AL$769,"&lt;="&amp;Z$47,Assignments!$AM$2:$AM$769,"&gt;="&amp;Z$47))</f>
        <v/>
      </c>
      <c r="AA78" s="11">
        <f>IF($A78="","",SUMIFS(Assignments!$AK$2:$AK$769,Assignments!$A$2:$A$769,$A78,Assignments!$G$2:$G$769,"Active",Assignments!$AI$2:$AI$769,"&lt;="&amp;AA$47,Assignments!$AJ$2:$AJ$769,"&gt;="&amp;AA$47)+SUMIFS(Assignments!$AN$2:$AN$769,Assignments!$A$2:$A$769,$A78,Assignments!$G$2:$G$769,"Active",Assignments!$AL$2:$AL$769,"&lt;="&amp;AA$47,Assignments!$AM$2:$AM$769,"&gt;="&amp;AA$47))</f>
        <v/>
      </c>
      <c r="AB78" s="11">
        <f>IF($A78="","",SUMIFS(Assignments!$AK$2:$AK$769,Assignments!$A$2:$A$769,$A78,Assignments!$G$2:$G$769,"Active",Assignments!$AI$2:$AI$769,"&lt;="&amp;AB$47,Assignments!$AJ$2:$AJ$769,"&gt;="&amp;AB$47)+SUMIFS(Assignments!$AN$2:$AN$769,Assignments!$A$2:$A$769,$A78,Assignments!$G$2:$G$769,"Active",Assignments!$AL$2:$AL$769,"&lt;="&amp;AB$47,Assignments!$AM$2:$AM$769,"&gt;="&amp;AB$47))</f>
        <v/>
      </c>
    </row>
    <row r="79">
      <c r="A79" s="9">
        <f>IF(Roster!$A33="","",Roster!$A33)</f>
        <v/>
      </c>
      <c r="B79" s="10">
        <f>IF($A79="","",IFERROR(INDEX(Roster!$D$2:$D$40,MATCH($A79,Roster!$A$2:$A$40,0)),""))</f>
        <v/>
      </c>
      <c r="C79" s="11">
        <f>IF($A79="","",SUMIFS(Assignments!$AK$2:$AK$769,Assignments!$A$2:$A$769,$A79,Assignments!$G$2:$G$769,"Active",Assignments!$AI$2:$AI$769,"&lt;="&amp;C$47,Assignments!$AJ$2:$AJ$769,"&gt;="&amp;C$47)+SUMIFS(Assignments!$AN$2:$AN$769,Assignments!$A$2:$A$769,$A79,Assignments!$G$2:$G$769,"Active",Assignments!$AL$2:$AL$769,"&lt;="&amp;C$47,Assignments!$AM$2:$AM$769,"&gt;="&amp;C$47))</f>
        <v/>
      </c>
      <c r="D79" s="11">
        <f>IF($A79="","",SUMIFS(Assignments!$AK$2:$AK$769,Assignments!$A$2:$A$769,$A79,Assignments!$G$2:$G$769,"Active",Assignments!$AI$2:$AI$769,"&lt;="&amp;D$47,Assignments!$AJ$2:$AJ$769,"&gt;="&amp;D$47)+SUMIFS(Assignments!$AN$2:$AN$769,Assignments!$A$2:$A$769,$A79,Assignments!$G$2:$G$769,"Active",Assignments!$AL$2:$AL$769,"&lt;="&amp;D$47,Assignments!$AM$2:$AM$769,"&gt;="&amp;D$47))</f>
        <v/>
      </c>
      <c r="E79" s="11">
        <f>IF($A79="","",SUMIFS(Assignments!$AK$2:$AK$769,Assignments!$A$2:$A$769,$A79,Assignments!$G$2:$G$769,"Active",Assignments!$AI$2:$AI$769,"&lt;="&amp;E$47,Assignments!$AJ$2:$AJ$769,"&gt;="&amp;E$47)+SUMIFS(Assignments!$AN$2:$AN$769,Assignments!$A$2:$A$769,$A79,Assignments!$G$2:$G$769,"Active",Assignments!$AL$2:$AL$769,"&lt;="&amp;E$47,Assignments!$AM$2:$AM$769,"&gt;="&amp;E$47))</f>
        <v/>
      </c>
      <c r="F79" s="11">
        <f>IF($A79="","",SUMIFS(Assignments!$AK$2:$AK$769,Assignments!$A$2:$A$769,$A79,Assignments!$G$2:$G$769,"Active",Assignments!$AI$2:$AI$769,"&lt;="&amp;F$47,Assignments!$AJ$2:$AJ$769,"&gt;="&amp;F$47)+SUMIFS(Assignments!$AN$2:$AN$769,Assignments!$A$2:$A$769,$A79,Assignments!$G$2:$G$769,"Active",Assignments!$AL$2:$AL$769,"&lt;="&amp;F$47,Assignments!$AM$2:$AM$769,"&gt;="&amp;F$47))</f>
        <v/>
      </c>
      <c r="G79" s="11">
        <f>IF($A79="","",SUMIFS(Assignments!$AK$2:$AK$769,Assignments!$A$2:$A$769,$A79,Assignments!$G$2:$G$769,"Active",Assignments!$AI$2:$AI$769,"&lt;="&amp;G$47,Assignments!$AJ$2:$AJ$769,"&gt;="&amp;G$47)+SUMIFS(Assignments!$AN$2:$AN$769,Assignments!$A$2:$A$769,$A79,Assignments!$G$2:$G$769,"Active",Assignments!$AL$2:$AL$769,"&lt;="&amp;G$47,Assignments!$AM$2:$AM$769,"&gt;="&amp;G$47))</f>
        <v/>
      </c>
      <c r="H79" s="11">
        <f>IF($A79="","",SUMIFS(Assignments!$AK$2:$AK$769,Assignments!$A$2:$A$769,$A79,Assignments!$G$2:$G$769,"Active",Assignments!$AI$2:$AI$769,"&lt;="&amp;H$47,Assignments!$AJ$2:$AJ$769,"&gt;="&amp;H$47)+SUMIFS(Assignments!$AN$2:$AN$769,Assignments!$A$2:$A$769,$A79,Assignments!$G$2:$G$769,"Active",Assignments!$AL$2:$AL$769,"&lt;="&amp;H$47,Assignments!$AM$2:$AM$769,"&gt;="&amp;H$47))</f>
        <v/>
      </c>
      <c r="I79" s="11">
        <f>IF($A79="","",SUMIFS(Assignments!$AK$2:$AK$769,Assignments!$A$2:$A$769,$A79,Assignments!$G$2:$G$769,"Active",Assignments!$AI$2:$AI$769,"&lt;="&amp;I$47,Assignments!$AJ$2:$AJ$769,"&gt;="&amp;I$47)+SUMIFS(Assignments!$AN$2:$AN$769,Assignments!$A$2:$A$769,$A79,Assignments!$G$2:$G$769,"Active",Assignments!$AL$2:$AL$769,"&lt;="&amp;I$47,Assignments!$AM$2:$AM$769,"&gt;="&amp;I$47))</f>
        <v/>
      </c>
      <c r="J79" s="11">
        <f>IF($A79="","",SUMIFS(Assignments!$AK$2:$AK$769,Assignments!$A$2:$A$769,$A79,Assignments!$G$2:$G$769,"Active",Assignments!$AI$2:$AI$769,"&lt;="&amp;J$47,Assignments!$AJ$2:$AJ$769,"&gt;="&amp;J$47)+SUMIFS(Assignments!$AN$2:$AN$769,Assignments!$A$2:$A$769,$A79,Assignments!$G$2:$G$769,"Active",Assignments!$AL$2:$AL$769,"&lt;="&amp;J$47,Assignments!$AM$2:$AM$769,"&gt;="&amp;J$47))</f>
        <v/>
      </c>
      <c r="K79" s="11">
        <f>IF($A79="","",SUMIFS(Assignments!$AK$2:$AK$769,Assignments!$A$2:$A$769,$A79,Assignments!$G$2:$G$769,"Active",Assignments!$AI$2:$AI$769,"&lt;="&amp;K$47,Assignments!$AJ$2:$AJ$769,"&gt;="&amp;K$47)+SUMIFS(Assignments!$AN$2:$AN$769,Assignments!$A$2:$A$769,$A79,Assignments!$G$2:$G$769,"Active",Assignments!$AL$2:$AL$769,"&lt;="&amp;K$47,Assignments!$AM$2:$AM$769,"&gt;="&amp;K$47))</f>
        <v/>
      </c>
      <c r="L79" s="11">
        <f>IF($A79="","",SUMIFS(Assignments!$AK$2:$AK$769,Assignments!$A$2:$A$769,$A79,Assignments!$G$2:$G$769,"Active",Assignments!$AI$2:$AI$769,"&lt;="&amp;L$47,Assignments!$AJ$2:$AJ$769,"&gt;="&amp;L$47)+SUMIFS(Assignments!$AN$2:$AN$769,Assignments!$A$2:$A$769,$A79,Assignments!$G$2:$G$769,"Active",Assignments!$AL$2:$AL$769,"&lt;="&amp;L$47,Assignments!$AM$2:$AM$769,"&gt;="&amp;L$47))</f>
        <v/>
      </c>
      <c r="M79" s="11">
        <f>IF($A79="","",SUMIFS(Assignments!$AK$2:$AK$769,Assignments!$A$2:$A$769,$A79,Assignments!$G$2:$G$769,"Active",Assignments!$AI$2:$AI$769,"&lt;="&amp;M$47,Assignments!$AJ$2:$AJ$769,"&gt;="&amp;M$47)+SUMIFS(Assignments!$AN$2:$AN$769,Assignments!$A$2:$A$769,$A79,Assignments!$G$2:$G$769,"Active",Assignments!$AL$2:$AL$769,"&lt;="&amp;M$47,Assignments!$AM$2:$AM$769,"&gt;="&amp;M$47))</f>
        <v/>
      </c>
      <c r="N79" s="11">
        <f>IF($A79="","",SUMIFS(Assignments!$AK$2:$AK$769,Assignments!$A$2:$A$769,$A79,Assignments!$G$2:$G$769,"Active",Assignments!$AI$2:$AI$769,"&lt;="&amp;N$47,Assignments!$AJ$2:$AJ$769,"&gt;="&amp;N$47)+SUMIFS(Assignments!$AN$2:$AN$769,Assignments!$A$2:$A$769,$A79,Assignments!$G$2:$G$769,"Active",Assignments!$AL$2:$AL$769,"&lt;="&amp;N$47,Assignments!$AM$2:$AM$769,"&gt;="&amp;N$47))</f>
        <v/>
      </c>
      <c r="O79" s="11">
        <f>IF($A79="","",SUMIFS(Assignments!$AK$2:$AK$769,Assignments!$A$2:$A$769,$A79,Assignments!$G$2:$G$769,"Active",Assignments!$AI$2:$AI$769,"&lt;="&amp;O$47,Assignments!$AJ$2:$AJ$769,"&gt;="&amp;O$47)+SUMIFS(Assignments!$AN$2:$AN$769,Assignments!$A$2:$A$769,$A79,Assignments!$G$2:$G$769,"Active",Assignments!$AL$2:$AL$769,"&lt;="&amp;O$47,Assignments!$AM$2:$AM$769,"&gt;="&amp;O$47))</f>
        <v/>
      </c>
      <c r="P79" s="11">
        <f>IF($A79="","",SUMIFS(Assignments!$AK$2:$AK$769,Assignments!$A$2:$A$769,$A79,Assignments!$G$2:$G$769,"Active",Assignments!$AI$2:$AI$769,"&lt;="&amp;P$47,Assignments!$AJ$2:$AJ$769,"&gt;="&amp;P$47)+SUMIFS(Assignments!$AN$2:$AN$769,Assignments!$A$2:$A$769,$A79,Assignments!$G$2:$G$769,"Active",Assignments!$AL$2:$AL$769,"&lt;="&amp;P$47,Assignments!$AM$2:$AM$769,"&gt;="&amp;P$47))</f>
        <v/>
      </c>
      <c r="Q79" s="11">
        <f>IF($A79="","",SUMIFS(Assignments!$AK$2:$AK$769,Assignments!$A$2:$A$769,$A79,Assignments!$G$2:$G$769,"Active",Assignments!$AI$2:$AI$769,"&lt;="&amp;Q$47,Assignments!$AJ$2:$AJ$769,"&gt;="&amp;Q$47)+SUMIFS(Assignments!$AN$2:$AN$769,Assignments!$A$2:$A$769,$A79,Assignments!$G$2:$G$769,"Active",Assignments!$AL$2:$AL$769,"&lt;="&amp;Q$47,Assignments!$AM$2:$AM$769,"&gt;="&amp;Q$47))</f>
        <v/>
      </c>
      <c r="R79" s="11">
        <f>IF($A79="","",SUMIFS(Assignments!$AK$2:$AK$769,Assignments!$A$2:$A$769,$A79,Assignments!$G$2:$G$769,"Active",Assignments!$AI$2:$AI$769,"&lt;="&amp;R$47,Assignments!$AJ$2:$AJ$769,"&gt;="&amp;R$47)+SUMIFS(Assignments!$AN$2:$AN$769,Assignments!$A$2:$A$769,$A79,Assignments!$G$2:$G$769,"Active",Assignments!$AL$2:$AL$769,"&lt;="&amp;R$47,Assignments!$AM$2:$AM$769,"&gt;="&amp;R$47))</f>
        <v/>
      </c>
      <c r="S79" s="11">
        <f>IF($A79="","",SUMIFS(Assignments!$AK$2:$AK$769,Assignments!$A$2:$A$769,$A79,Assignments!$G$2:$G$769,"Active",Assignments!$AI$2:$AI$769,"&lt;="&amp;S$47,Assignments!$AJ$2:$AJ$769,"&gt;="&amp;S$47)+SUMIFS(Assignments!$AN$2:$AN$769,Assignments!$A$2:$A$769,$A79,Assignments!$G$2:$G$769,"Active",Assignments!$AL$2:$AL$769,"&lt;="&amp;S$47,Assignments!$AM$2:$AM$769,"&gt;="&amp;S$47))</f>
        <v/>
      </c>
      <c r="T79" s="11">
        <f>IF($A79="","",SUMIFS(Assignments!$AK$2:$AK$769,Assignments!$A$2:$A$769,$A79,Assignments!$G$2:$G$769,"Active",Assignments!$AI$2:$AI$769,"&lt;="&amp;T$47,Assignments!$AJ$2:$AJ$769,"&gt;="&amp;T$47)+SUMIFS(Assignments!$AN$2:$AN$769,Assignments!$A$2:$A$769,$A79,Assignments!$G$2:$G$769,"Active",Assignments!$AL$2:$AL$769,"&lt;="&amp;T$47,Assignments!$AM$2:$AM$769,"&gt;="&amp;T$47))</f>
        <v/>
      </c>
      <c r="U79" s="11">
        <f>IF($A79="","",SUMIFS(Assignments!$AK$2:$AK$769,Assignments!$A$2:$A$769,$A79,Assignments!$G$2:$G$769,"Active",Assignments!$AI$2:$AI$769,"&lt;="&amp;U$47,Assignments!$AJ$2:$AJ$769,"&gt;="&amp;U$47)+SUMIFS(Assignments!$AN$2:$AN$769,Assignments!$A$2:$A$769,$A79,Assignments!$G$2:$G$769,"Active",Assignments!$AL$2:$AL$769,"&lt;="&amp;U$47,Assignments!$AM$2:$AM$769,"&gt;="&amp;U$47))</f>
        <v/>
      </c>
      <c r="V79" s="11">
        <f>IF($A79="","",SUMIFS(Assignments!$AK$2:$AK$769,Assignments!$A$2:$A$769,$A79,Assignments!$G$2:$G$769,"Active",Assignments!$AI$2:$AI$769,"&lt;="&amp;V$47,Assignments!$AJ$2:$AJ$769,"&gt;="&amp;V$47)+SUMIFS(Assignments!$AN$2:$AN$769,Assignments!$A$2:$A$769,$A79,Assignments!$G$2:$G$769,"Active",Assignments!$AL$2:$AL$769,"&lt;="&amp;V$47,Assignments!$AM$2:$AM$769,"&gt;="&amp;V$47))</f>
        <v/>
      </c>
      <c r="W79" s="11">
        <f>IF($A79="","",SUMIFS(Assignments!$AK$2:$AK$769,Assignments!$A$2:$A$769,$A79,Assignments!$G$2:$G$769,"Active",Assignments!$AI$2:$AI$769,"&lt;="&amp;W$47,Assignments!$AJ$2:$AJ$769,"&gt;="&amp;W$47)+SUMIFS(Assignments!$AN$2:$AN$769,Assignments!$A$2:$A$769,$A79,Assignments!$G$2:$G$769,"Active",Assignments!$AL$2:$AL$769,"&lt;="&amp;W$47,Assignments!$AM$2:$AM$769,"&gt;="&amp;W$47))</f>
        <v/>
      </c>
      <c r="X79" s="11">
        <f>IF($A79="","",SUMIFS(Assignments!$AK$2:$AK$769,Assignments!$A$2:$A$769,$A79,Assignments!$G$2:$G$769,"Active",Assignments!$AI$2:$AI$769,"&lt;="&amp;X$47,Assignments!$AJ$2:$AJ$769,"&gt;="&amp;X$47)+SUMIFS(Assignments!$AN$2:$AN$769,Assignments!$A$2:$A$769,$A79,Assignments!$G$2:$G$769,"Active",Assignments!$AL$2:$AL$769,"&lt;="&amp;X$47,Assignments!$AM$2:$AM$769,"&gt;="&amp;X$47))</f>
        <v/>
      </c>
      <c r="Y79" s="11">
        <f>IF($A79="","",SUMIFS(Assignments!$AK$2:$AK$769,Assignments!$A$2:$A$769,$A79,Assignments!$G$2:$G$769,"Active",Assignments!$AI$2:$AI$769,"&lt;="&amp;Y$47,Assignments!$AJ$2:$AJ$769,"&gt;="&amp;Y$47)+SUMIFS(Assignments!$AN$2:$AN$769,Assignments!$A$2:$A$769,$A79,Assignments!$G$2:$G$769,"Active",Assignments!$AL$2:$AL$769,"&lt;="&amp;Y$47,Assignments!$AM$2:$AM$769,"&gt;="&amp;Y$47))</f>
        <v/>
      </c>
      <c r="Z79" s="11">
        <f>IF($A79="","",SUMIFS(Assignments!$AK$2:$AK$769,Assignments!$A$2:$A$769,$A79,Assignments!$G$2:$G$769,"Active",Assignments!$AI$2:$AI$769,"&lt;="&amp;Z$47,Assignments!$AJ$2:$AJ$769,"&gt;="&amp;Z$47)+SUMIFS(Assignments!$AN$2:$AN$769,Assignments!$A$2:$A$769,$A79,Assignments!$G$2:$G$769,"Active",Assignments!$AL$2:$AL$769,"&lt;="&amp;Z$47,Assignments!$AM$2:$AM$769,"&gt;="&amp;Z$47))</f>
        <v/>
      </c>
      <c r="AA79" s="11">
        <f>IF($A79="","",SUMIFS(Assignments!$AK$2:$AK$769,Assignments!$A$2:$A$769,$A79,Assignments!$G$2:$G$769,"Active",Assignments!$AI$2:$AI$769,"&lt;="&amp;AA$47,Assignments!$AJ$2:$AJ$769,"&gt;="&amp;AA$47)+SUMIFS(Assignments!$AN$2:$AN$769,Assignments!$A$2:$A$769,$A79,Assignments!$G$2:$G$769,"Active",Assignments!$AL$2:$AL$769,"&lt;="&amp;AA$47,Assignments!$AM$2:$AM$769,"&gt;="&amp;AA$47))</f>
        <v/>
      </c>
      <c r="AB79" s="11">
        <f>IF($A79="","",SUMIFS(Assignments!$AK$2:$AK$769,Assignments!$A$2:$A$769,$A79,Assignments!$G$2:$G$769,"Active",Assignments!$AI$2:$AI$769,"&lt;="&amp;AB$47,Assignments!$AJ$2:$AJ$769,"&gt;="&amp;AB$47)+SUMIFS(Assignments!$AN$2:$AN$769,Assignments!$A$2:$A$769,$A79,Assignments!$G$2:$G$769,"Active",Assignments!$AL$2:$AL$769,"&lt;="&amp;AB$47,Assignments!$AM$2:$AM$769,"&gt;="&amp;AB$47))</f>
        <v/>
      </c>
    </row>
    <row r="80">
      <c r="A80" s="9">
        <f>IF(Roster!$A34="","",Roster!$A34)</f>
        <v/>
      </c>
      <c r="B80" s="10">
        <f>IF($A80="","",IFERROR(INDEX(Roster!$D$2:$D$40,MATCH($A80,Roster!$A$2:$A$40,0)),""))</f>
        <v/>
      </c>
      <c r="C80" s="11">
        <f>IF($A80="","",SUMIFS(Assignments!$AK$2:$AK$769,Assignments!$A$2:$A$769,$A80,Assignments!$G$2:$G$769,"Active",Assignments!$AI$2:$AI$769,"&lt;="&amp;C$47,Assignments!$AJ$2:$AJ$769,"&gt;="&amp;C$47)+SUMIFS(Assignments!$AN$2:$AN$769,Assignments!$A$2:$A$769,$A80,Assignments!$G$2:$G$769,"Active",Assignments!$AL$2:$AL$769,"&lt;="&amp;C$47,Assignments!$AM$2:$AM$769,"&gt;="&amp;C$47))</f>
        <v/>
      </c>
      <c r="D80" s="11">
        <f>IF($A80="","",SUMIFS(Assignments!$AK$2:$AK$769,Assignments!$A$2:$A$769,$A80,Assignments!$G$2:$G$769,"Active",Assignments!$AI$2:$AI$769,"&lt;="&amp;D$47,Assignments!$AJ$2:$AJ$769,"&gt;="&amp;D$47)+SUMIFS(Assignments!$AN$2:$AN$769,Assignments!$A$2:$A$769,$A80,Assignments!$G$2:$G$769,"Active",Assignments!$AL$2:$AL$769,"&lt;="&amp;D$47,Assignments!$AM$2:$AM$769,"&gt;="&amp;D$47))</f>
        <v/>
      </c>
      <c r="E80" s="11">
        <f>IF($A80="","",SUMIFS(Assignments!$AK$2:$AK$769,Assignments!$A$2:$A$769,$A80,Assignments!$G$2:$G$769,"Active",Assignments!$AI$2:$AI$769,"&lt;="&amp;E$47,Assignments!$AJ$2:$AJ$769,"&gt;="&amp;E$47)+SUMIFS(Assignments!$AN$2:$AN$769,Assignments!$A$2:$A$769,$A80,Assignments!$G$2:$G$769,"Active",Assignments!$AL$2:$AL$769,"&lt;="&amp;E$47,Assignments!$AM$2:$AM$769,"&gt;="&amp;E$47))</f>
        <v/>
      </c>
      <c r="F80" s="11">
        <f>IF($A80="","",SUMIFS(Assignments!$AK$2:$AK$769,Assignments!$A$2:$A$769,$A80,Assignments!$G$2:$G$769,"Active",Assignments!$AI$2:$AI$769,"&lt;="&amp;F$47,Assignments!$AJ$2:$AJ$769,"&gt;="&amp;F$47)+SUMIFS(Assignments!$AN$2:$AN$769,Assignments!$A$2:$A$769,$A80,Assignments!$G$2:$G$769,"Active",Assignments!$AL$2:$AL$769,"&lt;="&amp;F$47,Assignments!$AM$2:$AM$769,"&gt;="&amp;F$47))</f>
        <v/>
      </c>
      <c r="G80" s="11">
        <f>IF($A80="","",SUMIFS(Assignments!$AK$2:$AK$769,Assignments!$A$2:$A$769,$A80,Assignments!$G$2:$G$769,"Active",Assignments!$AI$2:$AI$769,"&lt;="&amp;G$47,Assignments!$AJ$2:$AJ$769,"&gt;="&amp;G$47)+SUMIFS(Assignments!$AN$2:$AN$769,Assignments!$A$2:$A$769,$A80,Assignments!$G$2:$G$769,"Active",Assignments!$AL$2:$AL$769,"&lt;="&amp;G$47,Assignments!$AM$2:$AM$769,"&gt;="&amp;G$47))</f>
        <v/>
      </c>
      <c r="H80" s="11">
        <f>IF($A80="","",SUMIFS(Assignments!$AK$2:$AK$769,Assignments!$A$2:$A$769,$A80,Assignments!$G$2:$G$769,"Active",Assignments!$AI$2:$AI$769,"&lt;="&amp;H$47,Assignments!$AJ$2:$AJ$769,"&gt;="&amp;H$47)+SUMIFS(Assignments!$AN$2:$AN$769,Assignments!$A$2:$A$769,$A80,Assignments!$G$2:$G$769,"Active",Assignments!$AL$2:$AL$769,"&lt;="&amp;H$47,Assignments!$AM$2:$AM$769,"&gt;="&amp;H$47))</f>
        <v/>
      </c>
      <c r="I80" s="11">
        <f>IF($A80="","",SUMIFS(Assignments!$AK$2:$AK$769,Assignments!$A$2:$A$769,$A80,Assignments!$G$2:$G$769,"Active",Assignments!$AI$2:$AI$769,"&lt;="&amp;I$47,Assignments!$AJ$2:$AJ$769,"&gt;="&amp;I$47)+SUMIFS(Assignments!$AN$2:$AN$769,Assignments!$A$2:$A$769,$A80,Assignments!$G$2:$G$769,"Active",Assignments!$AL$2:$AL$769,"&lt;="&amp;I$47,Assignments!$AM$2:$AM$769,"&gt;="&amp;I$47))</f>
        <v/>
      </c>
      <c r="J80" s="11">
        <f>IF($A80="","",SUMIFS(Assignments!$AK$2:$AK$769,Assignments!$A$2:$A$769,$A80,Assignments!$G$2:$G$769,"Active",Assignments!$AI$2:$AI$769,"&lt;="&amp;J$47,Assignments!$AJ$2:$AJ$769,"&gt;="&amp;J$47)+SUMIFS(Assignments!$AN$2:$AN$769,Assignments!$A$2:$A$769,$A80,Assignments!$G$2:$G$769,"Active",Assignments!$AL$2:$AL$769,"&lt;="&amp;J$47,Assignments!$AM$2:$AM$769,"&gt;="&amp;J$47))</f>
        <v/>
      </c>
      <c r="K80" s="11">
        <f>IF($A80="","",SUMIFS(Assignments!$AK$2:$AK$769,Assignments!$A$2:$A$769,$A80,Assignments!$G$2:$G$769,"Active",Assignments!$AI$2:$AI$769,"&lt;="&amp;K$47,Assignments!$AJ$2:$AJ$769,"&gt;="&amp;K$47)+SUMIFS(Assignments!$AN$2:$AN$769,Assignments!$A$2:$A$769,$A80,Assignments!$G$2:$G$769,"Active",Assignments!$AL$2:$AL$769,"&lt;="&amp;K$47,Assignments!$AM$2:$AM$769,"&gt;="&amp;K$47))</f>
        <v/>
      </c>
      <c r="L80" s="11">
        <f>IF($A80="","",SUMIFS(Assignments!$AK$2:$AK$769,Assignments!$A$2:$A$769,$A80,Assignments!$G$2:$G$769,"Active",Assignments!$AI$2:$AI$769,"&lt;="&amp;L$47,Assignments!$AJ$2:$AJ$769,"&gt;="&amp;L$47)+SUMIFS(Assignments!$AN$2:$AN$769,Assignments!$A$2:$A$769,$A80,Assignments!$G$2:$G$769,"Active",Assignments!$AL$2:$AL$769,"&lt;="&amp;L$47,Assignments!$AM$2:$AM$769,"&gt;="&amp;L$47))</f>
        <v/>
      </c>
      <c r="M80" s="11">
        <f>IF($A80="","",SUMIFS(Assignments!$AK$2:$AK$769,Assignments!$A$2:$A$769,$A80,Assignments!$G$2:$G$769,"Active",Assignments!$AI$2:$AI$769,"&lt;="&amp;M$47,Assignments!$AJ$2:$AJ$769,"&gt;="&amp;M$47)+SUMIFS(Assignments!$AN$2:$AN$769,Assignments!$A$2:$A$769,$A80,Assignments!$G$2:$G$769,"Active",Assignments!$AL$2:$AL$769,"&lt;="&amp;M$47,Assignments!$AM$2:$AM$769,"&gt;="&amp;M$47))</f>
        <v/>
      </c>
      <c r="N80" s="11">
        <f>IF($A80="","",SUMIFS(Assignments!$AK$2:$AK$769,Assignments!$A$2:$A$769,$A80,Assignments!$G$2:$G$769,"Active",Assignments!$AI$2:$AI$769,"&lt;="&amp;N$47,Assignments!$AJ$2:$AJ$769,"&gt;="&amp;N$47)+SUMIFS(Assignments!$AN$2:$AN$769,Assignments!$A$2:$A$769,$A80,Assignments!$G$2:$G$769,"Active",Assignments!$AL$2:$AL$769,"&lt;="&amp;N$47,Assignments!$AM$2:$AM$769,"&gt;="&amp;N$47))</f>
        <v/>
      </c>
      <c r="O80" s="11">
        <f>IF($A80="","",SUMIFS(Assignments!$AK$2:$AK$769,Assignments!$A$2:$A$769,$A80,Assignments!$G$2:$G$769,"Active",Assignments!$AI$2:$AI$769,"&lt;="&amp;O$47,Assignments!$AJ$2:$AJ$769,"&gt;="&amp;O$47)+SUMIFS(Assignments!$AN$2:$AN$769,Assignments!$A$2:$A$769,$A80,Assignments!$G$2:$G$769,"Active",Assignments!$AL$2:$AL$769,"&lt;="&amp;O$47,Assignments!$AM$2:$AM$769,"&gt;="&amp;O$47))</f>
        <v/>
      </c>
      <c r="P80" s="11">
        <f>IF($A80="","",SUMIFS(Assignments!$AK$2:$AK$769,Assignments!$A$2:$A$769,$A80,Assignments!$G$2:$G$769,"Active",Assignments!$AI$2:$AI$769,"&lt;="&amp;P$47,Assignments!$AJ$2:$AJ$769,"&gt;="&amp;P$47)+SUMIFS(Assignments!$AN$2:$AN$769,Assignments!$A$2:$A$769,$A80,Assignments!$G$2:$G$769,"Active",Assignments!$AL$2:$AL$769,"&lt;="&amp;P$47,Assignments!$AM$2:$AM$769,"&gt;="&amp;P$47))</f>
        <v/>
      </c>
      <c r="Q80" s="11">
        <f>IF($A80="","",SUMIFS(Assignments!$AK$2:$AK$769,Assignments!$A$2:$A$769,$A80,Assignments!$G$2:$G$769,"Active",Assignments!$AI$2:$AI$769,"&lt;="&amp;Q$47,Assignments!$AJ$2:$AJ$769,"&gt;="&amp;Q$47)+SUMIFS(Assignments!$AN$2:$AN$769,Assignments!$A$2:$A$769,$A80,Assignments!$G$2:$G$769,"Active",Assignments!$AL$2:$AL$769,"&lt;="&amp;Q$47,Assignments!$AM$2:$AM$769,"&gt;="&amp;Q$47))</f>
        <v/>
      </c>
      <c r="R80" s="11">
        <f>IF($A80="","",SUMIFS(Assignments!$AK$2:$AK$769,Assignments!$A$2:$A$769,$A80,Assignments!$G$2:$G$769,"Active",Assignments!$AI$2:$AI$769,"&lt;="&amp;R$47,Assignments!$AJ$2:$AJ$769,"&gt;="&amp;R$47)+SUMIFS(Assignments!$AN$2:$AN$769,Assignments!$A$2:$A$769,$A80,Assignments!$G$2:$G$769,"Active",Assignments!$AL$2:$AL$769,"&lt;="&amp;R$47,Assignments!$AM$2:$AM$769,"&gt;="&amp;R$47))</f>
        <v/>
      </c>
      <c r="S80" s="11">
        <f>IF($A80="","",SUMIFS(Assignments!$AK$2:$AK$769,Assignments!$A$2:$A$769,$A80,Assignments!$G$2:$G$769,"Active",Assignments!$AI$2:$AI$769,"&lt;="&amp;S$47,Assignments!$AJ$2:$AJ$769,"&gt;="&amp;S$47)+SUMIFS(Assignments!$AN$2:$AN$769,Assignments!$A$2:$A$769,$A80,Assignments!$G$2:$G$769,"Active",Assignments!$AL$2:$AL$769,"&lt;="&amp;S$47,Assignments!$AM$2:$AM$769,"&gt;="&amp;S$47))</f>
        <v/>
      </c>
      <c r="T80" s="11">
        <f>IF($A80="","",SUMIFS(Assignments!$AK$2:$AK$769,Assignments!$A$2:$A$769,$A80,Assignments!$G$2:$G$769,"Active",Assignments!$AI$2:$AI$769,"&lt;="&amp;T$47,Assignments!$AJ$2:$AJ$769,"&gt;="&amp;T$47)+SUMIFS(Assignments!$AN$2:$AN$769,Assignments!$A$2:$A$769,$A80,Assignments!$G$2:$G$769,"Active",Assignments!$AL$2:$AL$769,"&lt;="&amp;T$47,Assignments!$AM$2:$AM$769,"&gt;="&amp;T$47))</f>
        <v/>
      </c>
      <c r="U80" s="11">
        <f>IF($A80="","",SUMIFS(Assignments!$AK$2:$AK$769,Assignments!$A$2:$A$769,$A80,Assignments!$G$2:$G$769,"Active",Assignments!$AI$2:$AI$769,"&lt;="&amp;U$47,Assignments!$AJ$2:$AJ$769,"&gt;="&amp;U$47)+SUMIFS(Assignments!$AN$2:$AN$769,Assignments!$A$2:$A$769,$A80,Assignments!$G$2:$G$769,"Active",Assignments!$AL$2:$AL$769,"&lt;="&amp;U$47,Assignments!$AM$2:$AM$769,"&gt;="&amp;U$47))</f>
        <v/>
      </c>
      <c r="V80" s="11">
        <f>IF($A80="","",SUMIFS(Assignments!$AK$2:$AK$769,Assignments!$A$2:$A$769,$A80,Assignments!$G$2:$G$769,"Active",Assignments!$AI$2:$AI$769,"&lt;="&amp;V$47,Assignments!$AJ$2:$AJ$769,"&gt;="&amp;V$47)+SUMIFS(Assignments!$AN$2:$AN$769,Assignments!$A$2:$A$769,$A80,Assignments!$G$2:$G$769,"Active",Assignments!$AL$2:$AL$769,"&lt;="&amp;V$47,Assignments!$AM$2:$AM$769,"&gt;="&amp;V$47))</f>
        <v/>
      </c>
      <c r="W80" s="11">
        <f>IF($A80="","",SUMIFS(Assignments!$AK$2:$AK$769,Assignments!$A$2:$A$769,$A80,Assignments!$G$2:$G$769,"Active",Assignments!$AI$2:$AI$769,"&lt;="&amp;W$47,Assignments!$AJ$2:$AJ$769,"&gt;="&amp;W$47)+SUMIFS(Assignments!$AN$2:$AN$769,Assignments!$A$2:$A$769,$A80,Assignments!$G$2:$G$769,"Active",Assignments!$AL$2:$AL$769,"&lt;="&amp;W$47,Assignments!$AM$2:$AM$769,"&gt;="&amp;W$47))</f>
        <v/>
      </c>
      <c r="X80" s="11">
        <f>IF($A80="","",SUMIFS(Assignments!$AK$2:$AK$769,Assignments!$A$2:$A$769,$A80,Assignments!$G$2:$G$769,"Active",Assignments!$AI$2:$AI$769,"&lt;="&amp;X$47,Assignments!$AJ$2:$AJ$769,"&gt;="&amp;X$47)+SUMIFS(Assignments!$AN$2:$AN$769,Assignments!$A$2:$A$769,$A80,Assignments!$G$2:$G$769,"Active",Assignments!$AL$2:$AL$769,"&lt;="&amp;X$47,Assignments!$AM$2:$AM$769,"&gt;="&amp;X$47))</f>
        <v/>
      </c>
      <c r="Y80" s="11">
        <f>IF($A80="","",SUMIFS(Assignments!$AK$2:$AK$769,Assignments!$A$2:$A$769,$A80,Assignments!$G$2:$G$769,"Active",Assignments!$AI$2:$AI$769,"&lt;="&amp;Y$47,Assignments!$AJ$2:$AJ$769,"&gt;="&amp;Y$47)+SUMIFS(Assignments!$AN$2:$AN$769,Assignments!$A$2:$A$769,$A80,Assignments!$G$2:$G$769,"Active",Assignments!$AL$2:$AL$769,"&lt;="&amp;Y$47,Assignments!$AM$2:$AM$769,"&gt;="&amp;Y$47))</f>
        <v/>
      </c>
      <c r="Z80" s="11">
        <f>IF($A80="","",SUMIFS(Assignments!$AK$2:$AK$769,Assignments!$A$2:$A$769,$A80,Assignments!$G$2:$G$769,"Active",Assignments!$AI$2:$AI$769,"&lt;="&amp;Z$47,Assignments!$AJ$2:$AJ$769,"&gt;="&amp;Z$47)+SUMIFS(Assignments!$AN$2:$AN$769,Assignments!$A$2:$A$769,$A80,Assignments!$G$2:$G$769,"Active",Assignments!$AL$2:$AL$769,"&lt;="&amp;Z$47,Assignments!$AM$2:$AM$769,"&gt;="&amp;Z$47))</f>
        <v/>
      </c>
      <c r="AA80" s="11">
        <f>IF($A80="","",SUMIFS(Assignments!$AK$2:$AK$769,Assignments!$A$2:$A$769,$A80,Assignments!$G$2:$G$769,"Active",Assignments!$AI$2:$AI$769,"&lt;="&amp;AA$47,Assignments!$AJ$2:$AJ$769,"&gt;="&amp;AA$47)+SUMIFS(Assignments!$AN$2:$AN$769,Assignments!$A$2:$A$769,$A80,Assignments!$G$2:$G$769,"Active",Assignments!$AL$2:$AL$769,"&lt;="&amp;AA$47,Assignments!$AM$2:$AM$769,"&gt;="&amp;AA$47))</f>
        <v/>
      </c>
      <c r="AB80" s="11">
        <f>IF($A80="","",SUMIFS(Assignments!$AK$2:$AK$769,Assignments!$A$2:$A$769,$A80,Assignments!$G$2:$G$769,"Active",Assignments!$AI$2:$AI$769,"&lt;="&amp;AB$47,Assignments!$AJ$2:$AJ$769,"&gt;="&amp;AB$47)+SUMIFS(Assignments!$AN$2:$AN$769,Assignments!$A$2:$A$769,$A80,Assignments!$G$2:$G$769,"Active",Assignments!$AL$2:$AL$769,"&lt;="&amp;AB$47,Assignments!$AM$2:$AM$769,"&gt;="&amp;AB$47))</f>
        <v/>
      </c>
    </row>
    <row r="81">
      <c r="A81" s="9">
        <f>IF(Roster!$A35="","",Roster!$A35)</f>
        <v/>
      </c>
      <c r="B81" s="10">
        <f>IF($A81="","",IFERROR(INDEX(Roster!$D$2:$D$40,MATCH($A81,Roster!$A$2:$A$40,0)),""))</f>
        <v/>
      </c>
      <c r="C81" s="11">
        <f>IF($A81="","",SUMIFS(Assignments!$AK$2:$AK$769,Assignments!$A$2:$A$769,$A81,Assignments!$G$2:$G$769,"Active",Assignments!$AI$2:$AI$769,"&lt;="&amp;C$47,Assignments!$AJ$2:$AJ$769,"&gt;="&amp;C$47)+SUMIFS(Assignments!$AN$2:$AN$769,Assignments!$A$2:$A$769,$A81,Assignments!$G$2:$G$769,"Active",Assignments!$AL$2:$AL$769,"&lt;="&amp;C$47,Assignments!$AM$2:$AM$769,"&gt;="&amp;C$47))</f>
        <v/>
      </c>
      <c r="D81" s="11">
        <f>IF($A81="","",SUMIFS(Assignments!$AK$2:$AK$769,Assignments!$A$2:$A$769,$A81,Assignments!$G$2:$G$769,"Active",Assignments!$AI$2:$AI$769,"&lt;="&amp;D$47,Assignments!$AJ$2:$AJ$769,"&gt;="&amp;D$47)+SUMIFS(Assignments!$AN$2:$AN$769,Assignments!$A$2:$A$769,$A81,Assignments!$G$2:$G$769,"Active",Assignments!$AL$2:$AL$769,"&lt;="&amp;D$47,Assignments!$AM$2:$AM$769,"&gt;="&amp;D$47))</f>
        <v/>
      </c>
      <c r="E81" s="11">
        <f>IF($A81="","",SUMIFS(Assignments!$AK$2:$AK$769,Assignments!$A$2:$A$769,$A81,Assignments!$G$2:$G$769,"Active",Assignments!$AI$2:$AI$769,"&lt;="&amp;E$47,Assignments!$AJ$2:$AJ$769,"&gt;="&amp;E$47)+SUMIFS(Assignments!$AN$2:$AN$769,Assignments!$A$2:$A$769,$A81,Assignments!$G$2:$G$769,"Active",Assignments!$AL$2:$AL$769,"&lt;="&amp;E$47,Assignments!$AM$2:$AM$769,"&gt;="&amp;E$47))</f>
        <v/>
      </c>
      <c r="F81" s="11">
        <f>IF($A81="","",SUMIFS(Assignments!$AK$2:$AK$769,Assignments!$A$2:$A$769,$A81,Assignments!$G$2:$G$769,"Active",Assignments!$AI$2:$AI$769,"&lt;="&amp;F$47,Assignments!$AJ$2:$AJ$769,"&gt;="&amp;F$47)+SUMIFS(Assignments!$AN$2:$AN$769,Assignments!$A$2:$A$769,$A81,Assignments!$G$2:$G$769,"Active",Assignments!$AL$2:$AL$769,"&lt;="&amp;F$47,Assignments!$AM$2:$AM$769,"&gt;="&amp;F$47))</f>
        <v/>
      </c>
      <c r="G81" s="11">
        <f>IF($A81="","",SUMIFS(Assignments!$AK$2:$AK$769,Assignments!$A$2:$A$769,$A81,Assignments!$G$2:$G$769,"Active",Assignments!$AI$2:$AI$769,"&lt;="&amp;G$47,Assignments!$AJ$2:$AJ$769,"&gt;="&amp;G$47)+SUMIFS(Assignments!$AN$2:$AN$769,Assignments!$A$2:$A$769,$A81,Assignments!$G$2:$G$769,"Active",Assignments!$AL$2:$AL$769,"&lt;="&amp;G$47,Assignments!$AM$2:$AM$769,"&gt;="&amp;G$47))</f>
        <v/>
      </c>
      <c r="H81" s="11">
        <f>IF($A81="","",SUMIFS(Assignments!$AK$2:$AK$769,Assignments!$A$2:$A$769,$A81,Assignments!$G$2:$G$769,"Active",Assignments!$AI$2:$AI$769,"&lt;="&amp;H$47,Assignments!$AJ$2:$AJ$769,"&gt;="&amp;H$47)+SUMIFS(Assignments!$AN$2:$AN$769,Assignments!$A$2:$A$769,$A81,Assignments!$G$2:$G$769,"Active",Assignments!$AL$2:$AL$769,"&lt;="&amp;H$47,Assignments!$AM$2:$AM$769,"&gt;="&amp;H$47))</f>
        <v/>
      </c>
      <c r="I81" s="11">
        <f>IF($A81="","",SUMIFS(Assignments!$AK$2:$AK$769,Assignments!$A$2:$A$769,$A81,Assignments!$G$2:$G$769,"Active",Assignments!$AI$2:$AI$769,"&lt;="&amp;I$47,Assignments!$AJ$2:$AJ$769,"&gt;="&amp;I$47)+SUMIFS(Assignments!$AN$2:$AN$769,Assignments!$A$2:$A$769,$A81,Assignments!$G$2:$G$769,"Active",Assignments!$AL$2:$AL$769,"&lt;="&amp;I$47,Assignments!$AM$2:$AM$769,"&gt;="&amp;I$47))</f>
        <v/>
      </c>
      <c r="J81" s="11">
        <f>IF($A81="","",SUMIFS(Assignments!$AK$2:$AK$769,Assignments!$A$2:$A$769,$A81,Assignments!$G$2:$G$769,"Active",Assignments!$AI$2:$AI$769,"&lt;="&amp;J$47,Assignments!$AJ$2:$AJ$769,"&gt;="&amp;J$47)+SUMIFS(Assignments!$AN$2:$AN$769,Assignments!$A$2:$A$769,$A81,Assignments!$G$2:$G$769,"Active",Assignments!$AL$2:$AL$769,"&lt;="&amp;J$47,Assignments!$AM$2:$AM$769,"&gt;="&amp;J$47))</f>
        <v/>
      </c>
      <c r="K81" s="11">
        <f>IF($A81="","",SUMIFS(Assignments!$AK$2:$AK$769,Assignments!$A$2:$A$769,$A81,Assignments!$G$2:$G$769,"Active",Assignments!$AI$2:$AI$769,"&lt;="&amp;K$47,Assignments!$AJ$2:$AJ$769,"&gt;="&amp;K$47)+SUMIFS(Assignments!$AN$2:$AN$769,Assignments!$A$2:$A$769,$A81,Assignments!$G$2:$G$769,"Active",Assignments!$AL$2:$AL$769,"&lt;="&amp;K$47,Assignments!$AM$2:$AM$769,"&gt;="&amp;K$47))</f>
        <v/>
      </c>
      <c r="L81" s="11">
        <f>IF($A81="","",SUMIFS(Assignments!$AK$2:$AK$769,Assignments!$A$2:$A$769,$A81,Assignments!$G$2:$G$769,"Active",Assignments!$AI$2:$AI$769,"&lt;="&amp;L$47,Assignments!$AJ$2:$AJ$769,"&gt;="&amp;L$47)+SUMIFS(Assignments!$AN$2:$AN$769,Assignments!$A$2:$A$769,$A81,Assignments!$G$2:$G$769,"Active",Assignments!$AL$2:$AL$769,"&lt;="&amp;L$47,Assignments!$AM$2:$AM$769,"&gt;="&amp;L$47))</f>
        <v/>
      </c>
      <c r="M81" s="11">
        <f>IF($A81="","",SUMIFS(Assignments!$AK$2:$AK$769,Assignments!$A$2:$A$769,$A81,Assignments!$G$2:$G$769,"Active",Assignments!$AI$2:$AI$769,"&lt;="&amp;M$47,Assignments!$AJ$2:$AJ$769,"&gt;="&amp;M$47)+SUMIFS(Assignments!$AN$2:$AN$769,Assignments!$A$2:$A$769,$A81,Assignments!$G$2:$G$769,"Active",Assignments!$AL$2:$AL$769,"&lt;="&amp;M$47,Assignments!$AM$2:$AM$769,"&gt;="&amp;M$47))</f>
        <v/>
      </c>
      <c r="N81" s="11">
        <f>IF($A81="","",SUMIFS(Assignments!$AK$2:$AK$769,Assignments!$A$2:$A$769,$A81,Assignments!$G$2:$G$769,"Active",Assignments!$AI$2:$AI$769,"&lt;="&amp;N$47,Assignments!$AJ$2:$AJ$769,"&gt;="&amp;N$47)+SUMIFS(Assignments!$AN$2:$AN$769,Assignments!$A$2:$A$769,$A81,Assignments!$G$2:$G$769,"Active",Assignments!$AL$2:$AL$769,"&lt;="&amp;N$47,Assignments!$AM$2:$AM$769,"&gt;="&amp;N$47))</f>
        <v/>
      </c>
      <c r="O81" s="11">
        <f>IF($A81="","",SUMIFS(Assignments!$AK$2:$AK$769,Assignments!$A$2:$A$769,$A81,Assignments!$G$2:$G$769,"Active",Assignments!$AI$2:$AI$769,"&lt;="&amp;O$47,Assignments!$AJ$2:$AJ$769,"&gt;="&amp;O$47)+SUMIFS(Assignments!$AN$2:$AN$769,Assignments!$A$2:$A$769,$A81,Assignments!$G$2:$G$769,"Active",Assignments!$AL$2:$AL$769,"&lt;="&amp;O$47,Assignments!$AM$2:$AM$769,"&gt;="&amp;O$47))</f>
        <v/>
      </c>
      <c r="P81" s="11">
        <f>IF($A81="","",SUMIFS(Assignments!$AK$2:$AK$769,Assignments!$A$2:$A$769,$A81,Assignments!$G$2:$G$769,"Active",Assignments!$AI$2:$AI$769,"&lt;="&amp;P$47,Assignments!$AJ$2:$AJ$769,"&gt;="&amp;P$47)+SUMIFS(Assignments!$AN$2:$AN$769,Assignments!$A$2:$A$769,$A81,Assignments!$G$2:$G$769,"Active",Assignments!$AL$2:$AL$769,"&lt;="&amp;P$47,Assignments!$AM$2:$AM$769,"&gt;="&amp;P$47))</f>
        <v/>
      </c>
      <c r="Q81" s="11">
        <f>IF($A81="","",SUMIFS(Assignments!$AK$2:$AK$769,Assignments!$A$2:$A$769,$A81,Assignments!$G$2:$G$769,"Active",Assignments!$AI$2:$AI$769,"&lt;="&amp;Q$47,Assignments!$AJ$2:$AJ$769,"&gt;="&amp;Q$47)+SUMIFS(Assignments!$AN$2:$AN$769,Assignments!$A$2:$A$769,$A81,Assignments!$G$2:$G$769,"Active",Assignments!$AL$2:$AL$769,"&lt;="&amp;Q$47,Assignments!$AM$2:$AM$769,"&gt;="&amp;Q$47))</f>
        <v/>
      </c>
      <c r="R81" s="11">
        <f>IF($A81="","",SUMIFS(Assignments!$AK$2:$AK$769,Assignments!$A$2:$A$769,$A81,Assignments!$G$2:$G$769,"Active",Assignments!$AI$2:$AI$769,"&lt;="&amp;R$47,Assignments!$AJ$2:$AJ$769,"&gt;="&amp;R$47)+SUMIFS(Assignments!$AN$2:$AN$769,Assignments!$A$2:$A$769,$A81,Assignments!$G$2:$G$769,"Active",Assignments!$AL$2:$AL$769,"&lt;="&amp;R$47,Assignments!$AM$2:$AM$769,"&gt;="&amp;R$47))</f>
        <v/>
      </c>
      <c r="S81" s="11">
        <f>IF($A81="","",SUMIFS(Assignments!$AK$2:$AK$769,Assignments!$A$2:$A$769,$A81,Assignments!$G$2:$G$769,"Active",Assignments!$AI$2:$AI$769,"&lt;="&amp;S$47,Assignments!$AJ$2:$AJ$769,"&gt;="&amp;S$47)+SUMIFS(Assignments!$AN$2:$AN$769,Assignments!$A$2:$A$769,$A81,Assignments!$G$2:$G$769,"Active",Assignments!$AL$2:$AL$769,"&lt;="&amp;S$47,Assignments!$AM$2:$AM$769,"&gt;="&amp;S$47))</f>
        <v/>
      </c>
      <c r="T81" s="11">
        <f>IF($A81="","",SUMIFS(Assignments!$AK$2:$AK$769,Assignments!$A$2:$A$769,$A81,Assignments!$G$2:$G$769,"Active",Assignments!$AI$2:$AI$769,"&lt;="&amp;T$47,Assignments!$AJ$2:$AJ$769,"&gt;="&amp;T$47)+SUMIFS(Assignments!$AN$2:$AN$769,Assignments!$A$2:$A$769,$A81,Assignments!$G$2:$G$769,"Active",Assignments!$AL$2:$AL$769,"&lt;="&amp;T$47,Assignments!$AM$2:$AM$769,"&gt;="&amp;T$47))</f>
        <v/>
      </c>
      <c r="U81" s="11">
        <f>IF($A81="","",SUMIFS(Assignments!$AK$2:$AK$769,Assignments!$A$2:$A$769,$A81,Assignments!$G$2:$G$769,"Active",Assignments!$AI$2:$AI$769,"&lt;="&amp;U$47,Assignments!$AJ$2:$AJ$769,"&gt;="&amp;U$47)+SUMIFS(Assignments!$AN$2:$AN$769,Assignments!$A$2:$A$769,$A81,Assignments!$G$2:$G$769,"Active",Assignments!$AL$2:$AL$769,"&lt;="&amp;U$47,Assignments!$AM$2:$AM$769,"&gt;="&amp;U$47))</f>
        <v/>
      </c>
      <c r="V81" s="11">
        <f>IF($A81="","",SUMIFS(Assignments!$AK$2:$AK$769,Assignments!$A$2:$A$769,$A81,Assignments!$G$2:$G$769,"Active",Assignments!$AI$2:$AI$769,"&lt;="&amp;V$47,Assignments!$AJ$2:$AJ$769,"&gt;="&amp;V$47)+SUMIFS(Assignments!$AN$2:$AN$769,Assignments!$A$2:$A$769,$A81,Assignments!$G$2:$G$769,"Active",Assignments!$AL$2:$AL$769,"&lt;="&amp;V$47,Assignments!$AM$2:$AM$769,"&gt;="&amp;V$47))</f>
        <v/>
      </c>
      <c r="W81" s="11">
        <f>IF($A81="","",SUMIFS(Assignments!$AK$2:$AK$769,Assignments!$A$2:$A$769,$A81,Assignments!$G$2:$G$769,"Active",Assignments!$AI$2:$AI$769,"&lt;="&amp;W$47,Assignments!$AJ$2:$AJ$769,"&gt;="&amp;W$47)+SUMIFS(Assignments!$AN$2:$AN$769,Assignments!$A$2:$A$769,$A81,Assignments!$G$2:$G$769,"Active",Assignments!$AL$2:$AL$769,"&lt;="&amp;W$47,Assignments!$AM$2:$AM$769,"&gt;="&amp;W$47))</f>
        <v/>
      </c>
      <c r="X81" s="11">
        <f>IF($A81="","",SUMIFS(Assignments!$AK$2:$AK$769,Assignments!$A$2:$A$769,$A81,Assignments!$G$2:$G$769,"Active",Assignments!$AI$2:$AI$769,"&lt;="&amp;X$47,Assignments!$AJ$2:$AJ$769,"&gt;="&amp;X$47)+SUMIFS(Assignments!$AN$2:$AN$769,Assignments!$A$2:$A$769,$A81,Assignments!$G$2:$G$769,"Active",Assignments!$AL$2:$AL$769,"&lt;="&amp;X$47,Assignments!$AM$2:$AM$769,"&gt;="&amp;X$47))</f>
        <v/>
      </c>
      <c r="Y81" s="11">
        <f>IF($A81="","",SUMIFS(Assignments!$AK$2:$AK$769,Assignments!$A$2:$A$769,$A81,Assignments!$G$2:$G$769,"Active",Assignments!$AI$2:$AI$769,"&lt;="&amp;Y$47,Assignments!$AJ$2:$AJ$769,"&gt;="&amp;Y$47)+SUMIFS(Assignments!$AN$2:$AN$769,Assignments!$A$2:$A$769,$A81,Assignments!$G$2:$G$769,"Active",Assignments!$AL$2:$AL$769,"&lt;="&amp;Y$47,Assignments!$AM$2:$AM$769,"&gt;="&amp;Y$47))</f>
        <v/>
      </c>
      <c r="Z81" s="11">
        <f>IF($A81="","",SUMIFS(Assignments!$AK$2:$AK$769,Assignments!$A$2:$A$769,$A81,Assignments!$G$2:$G$769,"Active",Assignments!$AI$2:$AI$769,"&lt;="&amp;Z$47,Assignments!$AJ$2:$AJ$769,"&gt;="&amp;Z$47)+SUMIFS(Assignments!$AN$2:$AN$769,Assignments!$A$2:$A$769,$A81,Assignments!$G$2:$G$769,"Active",Assignments!$AL$2:$AL$769,"&lt;="&amp;Z$47,Assignments!$AM$2:$AM$769,"&gt;="&amp;Z$47))</f>
        <v/>
      </c>
      <c r="AA81" s="11">
        <f>IF($A81="","",SUMIFS(Assignments!$AK$2:$AK$769,Assignments!$A$2:$A$769,$A81,Assignments!$G$2:$G$769,"Active",Assignments!$AI$2:$AI$769,"&lt;="&amp;AA$47,Assignments!$AJ$2:$AJ$769,"&gt;="&amp;AA$47)+SUMIFS(Assignments!$AN$2:$AN$769,Assignments!$A$2:$A$769,$A81,Assignments!$G$2:$G$769,"Active",Assignments!$AL$2:$AL$769,"&lt;="&amp;AA$47,Assignments!$AM$2:$AM$769,"&gt;="&amp;AA$47))</f>
        <v/>
      </c>
      <c r="AB81" s="11">
        <f>IF($A81="","",SUMIFS(Assignments!$AK$2:$AK$769,Assignments!$A$2:$A$769,$A81,Assignments!$G$2:$G$769,"Active",Assignments!$AI$2:$AI$769,"&lt;="&amp;AB$47,Assignments!$AJ$2:$AJ$769,"&gt;="&amp;AB$47)+SUMIFS(Assignments!$AN$2:$AN$769,Assignments!$A$2:$A$769,$A81,Assignments!$G$2:$G$769,"Active",Assignments!$AL$2:$AL$769,"&lt;="&amp;AB$47,Assignments!$AM$2:$AM$769,"&gt;="&amp;AB$47))</f>
        <v/>
      </c>
    </row>
    <row r="82">
      <c r="A82" s="9">
        <f>IF(Roster!$A36="","",Roster!$A36)</f>
        <v/>
      </c>
      <c r="B82" s="10">
        <f>IF($A82="","",IFERROR(INDEX(Roster!$D$2:$D$40,MATCH($A82,Roster!$A$2:$A$40,0)),""))</f>
        <v/>
      </c>
      <c r="C82" s="11">
        <f>IF($A82="","",SUMIFS(Assignments!$AK$2:$AK$769,Assignments!$A$2:$A$769,$A82,Assignments!$G$2:$G$769,"Active",Assignments!$AI$2:$AI$769,"&lt;="&amp;C$47,Assignments!$AJ$2:$AJ$769,"&gt;="&amp;C$47)+SUMIFS(Assignments!$AN$2:$AN$769,Assignments!$A$2:$A$769,$A82,Assignments!$G$2:$G$769,"Active",Assignments!$AL$2:$AL$769,"&lt;="&amp;C$47,Assignments!$AM$2:$AM$769,"&gt;="&amp;C$47))</f>
        <v/>
      </c>
      <c r="D82" s="11">
        <f>IF($A82="","",SUMIFS(Assignments!$AK$2:$AK$769,Assignments!$A$2:$A$769,$A82,Assignments!$G$2:$G$769,"Active",Assignments!$AI$2:$AI$769,"&lt;="&amp;D$47,Assignments!$AJ$2:$AJ$769,"&gt;="&amp;D$47)+SUMIFS(Assignments!$AN$2:$AN$769,Assignments!$A$2:$A$769,$A82,Assignments!$G$2:$G$769,"Active",Assignments!$AL$2:$AL$769,"&lt;="&amp;D$47,Assignments!$AM$2:$AM$769,"&gt;="&amp;D$47))</f>
        <v/>
      </c>
      <c r="E82" s="11">
        <f>IF($A82="","",SUMIFS(Assignments!$AK$2:$AK$769,Assignments!$A$2:$A$769,$A82,Assignments!$G$2:$G$769,"Active",Assignments!$AI$2:$AI$769,"&lt;="&amp;E$47,Assignments!$AJ$2:$AJ$769,"&gt;="&amp;E$47)+SUMIFS(Assignments!$AN$2:$AN$769,Assignments!$A$2:$A$769,$A82,Assignments!$G$2:$G$769,"Active",Assignments!$AL$2:$AL$769,"&lt;="&amp;E$47,Assignments!$AM$2:$AM$769,"&gt;="&amp;E$47))</f>
        <v/>
      </c>
      <c r="F82" s="11">
        <f>IF($A82="","",SUMIFS(Assignments!$AK$2:$AK$769,Assignments!$A$2:$A$769,$A82,Assignments!$G$2:$G$769,"Active",Assignments!$AI$2:$AI$769,"&lt;="&amp;F$47,Assignments!$AJ$2:$AJ$769,"&gt;="&amp;F$47)+SUMIFS(Assignments!$AN$2:$AN$769,Assignments!$A$2:$A$769,$A82,Assignments!$G$2:$G$769,"Active",Assignments!$AL$2:$AL$769,"&lt;="&amp;F$47,Assignments!$AM$2:$AM$769,"&gt;="&amp;F$47))</f>
        <v/>
      </c>
      <c r="G82" s="11">
        <f>IF($A82="","",SUMIFS(Assignments!$AK$2:$AK$769,Assignments!$A$2:$A$769,$A82,Assignments!$G$2:$G$769,"Active",Assignments!$AI$2:$AI$769,"&lt;="&amp;G$47,Assignments!$AJ$2:$AJ$769,"&gt;="&amp;G$47)+SUMIFS(Assignments!$AN$2:$AN$769,Assignments!$A$2:$A$769,$A82,Assignments!$G$2:$G$769,"Active",Assignments!$AL$2:$AL$769,"&lt;="&amp;G$47,Assignments!$AM$2:$AM$769,"&gt;="&amp;G$47))</f>
        <v/>
      </c>
      <c r="H82" s="11">
        <f>IF($A82="","",SUMIFS(Assignments!$AK$2:$AK$769,Assignments!$A$2:$A$769,$A82,Assignments!$G$2:$G$769,"Active",Assignments!$AI$2:$AI$769,"&lt;="&amp;H$47,Assignments!$AJ$2:$AJ$769,"&gt;="&amp;H$47)+SUMIFS(Assignments!$AN$2:$AN$769,Assignments!$A$2:$A$769,$A82,Assignments!$G$2:$G$769,"Active",Assignments!$AL$2:$AL$769,"&lt;="&amp;H$47,Assignments!$AM$2:$AM$769,"&gt;="&amp;H$47))</f>
        <v/>
      </c>
      <c r="I82" s="11">
        <f>IF($A82="","",SUMIFS(Assignments!$AK$2:$AK$769,Assignments!$A$2:$A$769,$A82,Assignments!$G$2:$G$769,"Active",Assignments!$AI$2:$AI$769,"&lt;="&amp;I$47,Assignments!$AJ$2:$AJ$769,"&gt;="&amp;I$47)+SUMIFS(Assignments!$AN$2:$AN$769,Assignments!$A$2:$A$769,$A82,Assignments!$G$2:$G$769,"Active",Assignments!$AL$2:$AL$769,"&lt;="&amp;I$47,Assignments!$AM$2:$AM$769,"&gt;="&amp;I$47))</f>
        <v/>
      </c>
      <c r="J82" s="11">
        <f>IF($A82="","",SUMIFS(Assignments!$AK$2:$AK$769,Assignments!$A$2:$A$769,$A82,Assignments!$G$2:$G$769,"Active",Assignments!$AI$2:$AI$769,"&lt;="&amp;J$47,Assignments!$AJ$2:$AJ$769,"&gt;="&amp;J$47)+SUMIFS(Assignments!$AN$2:$AN$769,Assignments!$A$2:$A$769,$A82,Assignments!$G$2:$G$769,"Active",Assignments!$AL$2:$AL$769,"&lt;="&amp;J$47,Assignments!$AM$2:$AM$769,"&gt;="&amp;J$47))</f>
        <v/>
      </c>
      <c r="K82" s="11">
        <f>IF($A82="","",SUMIFS(Assignments!$AK$2:$AK$769,Assignments!$A$2:$A$769,$A82,Assignments!$G$2:$G$769,"Active",Assignments!$AI$2:$AI$769,"&lt;="&amp;K$47,Assignments!$AJ$2:$AJ$769,"&gt;="&amp;K$47)+SUMIFS(Assignments!$AN$2:$AN$769,Assignments!$A$2:$A$769,$A82,Assignments!$G$2:$G$769,"Active",Assignments!$AL$2:$AL$769,"&lt;="&amp;K$47,Assignments!$AM$2:$AM$769,"&gt;="&amp;K$47))</f>
        <v/>
      </c>
      <c r="L82" s="11">
        <f>IF($A82="","",SUMIFS(Assignments!$AK$2:$AK$769,Assignments!$A$2:$A$769,$A82,Assignments!$G$2:$G$769,"Active",Assignments!$AI$2:$AI$769,"&lt;="&amp;L$47,Assignments!$AJ$2:$AJ$769,"&gt;="&amp;L$47)+SUMIFS(Assignments!$AN$2:$AN$769,Assignments!$A$2:$A$769,$A82,Assignments!$G$2:$G$769,"Active",Assignments!$AL$2:$AL$769,"&lt;="&amp;L$47,Assignments!$AM$2:$AM$769,"&gt;="&amp;L$47))</f>
        <v/>
      </c>
      <c r="M82" s="11">
        <f>IF($A82="","",SUMIFS(Assignments!$AK$2:$AK$769,Assignments!$A$2:$A$769,$A82,Assignments!$G$2:$G$769,"Active",Assignments!$AI$2:$AI$769,"&lt;="&amp;M$47,Assignments!$AJ$2:$AJ$769,"&gt;="&amp;M$47)+SUMIFS(Assignments!$AN$2:$AN$769,Assignments!$A$2:$A$769,$A82,Assignments!$G$2:$G$769,"Active",Assignments!$AL$2:$AL$769,"&lt;="&amp;M$47,Assignments!$AM$2:$AM$769,"&gt;="&amp;M$47))</f>
        <v/>
      </c>
      <c r="N82" s="11">
        <f>IF($A82="","",SUMIFS(Assignments!$AK$2:$AK$769,Assignments!$A$2:$A$769,$A82,Assignments!$G$2:$G$769,"Active",Assignments!$AI$2:$AI$769,"&lt;="&amp;N$47,Assignments!$AJ$2:$AJ$769,"&gt;="&amp;N$47)+SUMIFS(Assignments!$AN$2:$AN$769,Assignments!$A$2:$A$769,$A82,Assignments!$G$2:$G$769,"Active",Assignments!$AL$2:$AL$769,"&lt;="&amp;N$47,Assignments!$AM$2:$AM$769,"&gt;="&amp;N$47))</f>
        <v/>
      </c>
      <c r="O82" s="11">
        <f>IF($A82="","",SUMIFS(Assignments!$AK$2:$AK$769,Assignments!$A$2:$A$769,$A82,Assignments!$G$2:$G$769,"Active",Assignments!$AI$2:$AI$769,"&lt;="&amp;O$47,Assignments!$AJ$2:$AJ$769,"&gt;="&amp;O$47)+SUMIFS(Assignments!$AN$2:$AN$769,Assignments!$A$2:$A$769,$A82,Assignments!$G$2:$G$769,"Active",Assignments!$AL$2:$AL$769,"&lt;="&amp;O$47,Assignments!$AM$2:$AM$769,"&gt;="&amp;O$47))</f>
        <v/>
      </c>
      <c r="P82" s="11">
        <f>IF($A82="","",SUMIFS(Assignments!$AK$2:$AK$769,Assignments!$A$2:$A$769,$A82,Assignments!$G$2:$G$769,"Active",Assignments!$AI$2:$AI$769,"&lt;="&amp;P$47,Assignments!$AJ$2:$AJ$769,"&gt;="&amp;P$47)+SUMIFS(Assignments!$AN$2:$AN$769,Assignments!$A$2:$A$769,$A82,Assignments!$G$2:$G$769,"Active",Assignments!$AL$2:$AL$769,"&lt;="&amp;P$47,Assignments!$AM$2:$AM$769,"&gt;="&amp;P$47))</f>
        <v/>
      </c>
      <c r="Q82" s="11">
        <f>IF($A82="","",SUMIFS(Assignments!$AK$2:$AK$769,Assignments!$A$2:$A$769,$A82,Assignments!$G$2:$G$769,"Active",Assignments!$AI$2:$AI$769,"&lt;="&amp;Q$47,Assignments!$AJ$2:$AJ$769,"&gt;="&amp;Q$47)+SUMIFS(Assignments!$AN$2:$AN$769,Assignments!$A$2:$A$769,$A82,Assignments!$G$2:$G$769,"Active",Assignments!$AL$2:$AL$769,"&lt;="&amp;Q$47,Assignments!$AM$2:$AM$769,"&gt;="&amp;Q$47))</f>
        <v/>
      </c>
      <c r="R82" s="11">
        <f>IF($A82="","",SUMIFS(Assignments!$AK$2:$AK$769,Assignments!$A$2:$A$769,$A82,Assignments!$G$2:$G$769,"Active",Assignments!$AI$2:$AI$769,"&lt;="&amp;R$47,Assignments!$AJ$2:$AJ$769,"&gt;="&amp;R$47)+SUMIFS(Assignments!$AN$2:$AN$769,Assignments!$A$2:$A$769,$A82,Assignments!$G$2:$G$769,"Active",Assignments!$AL$2:$AL$769,"&lt;="&amp;R$47,Assignments!$AM$2:$AM$769,"&gt;="&amp;R$47))</f>
        <v/>
      </c>
      <c r="S82" s="11">
        <f>IF($A82="","",SUMIFS(Assignments!$AK$2:$AK$769,Assignments!$A$2:$A$769,$A82,Assignments!$G$2:$G$769,"Active",Assignments!$AI$2:$AI$769,"&lt;="&amp;S$47,Assignments!$AJ$2:$AJ$769,"&gt;="&amp;S$47)+SUMIFS(Assignments!$AN$2:$AN$769,Assignments!$A$2:$A$769,$A82,Assignments!$G$2:$G$769,"Active",Assignments!$AL$2:$AL$769,"&lt;="&amp;S$47,Assignments!$AM$2:$AM$769,"&gt;="&amp;S$47))</f>
        <v/>
      </c>
      <c r="T82" s="11">
        <f>IF($A82="","",SUMIFS(Assignments!$AK$2:$AK$769,Assignments!$A$2:$A$769,$A82,Assignments!$G$2:$G$769,"Active",Assignments!$AI$2:$AI$769,"&lt;="&amp;T$47,Assignments!$AJ$2:$AJ$769,"&gt;="&amp;T$47)+SUMIFS(Assignments!$AN$2:$AN$769,Assignments!$A$2:$A$769,$A82,Assignments!$G$2:$G$769,"Active",Assignments!$AL$2:$AL$769,"&lt;="&amp;T$47,Assignments!$AM$2:$AM$769,"&gt;="&amp;T$47))</f>
        <v/>
      </c>
      <c r="U82" s="11">
        <f>IF($A82="","",SUMIFS(Assignments!$AK$2:$AK$769,Assignments!$A$2:$A$769,$A82,Assignments!$G$2:$G$769,"Active",Assignments!$AI$2:$AI$769,"&lt;="&amp;U$47,Assignments!$AJ$2:$AJ$769,"&gt;="&amp;U$47)+SUMIFS(Assignments!$AN$2:$AN$769,Assignments!$A$2:$A$769,$A82,Assignments!$G$2:$G$769,"Active",Assignments!$AL$2:$AL$769,"&lt;="&amp;U$47,Assignments!$AM$2:$AM$769,"&gt;="&amp;U$47))</f>
        <v/>
      </c>
      <c r="V82" s="11">
        <f>IF($A82="","",SUMIFS(Assignments!$AK$2:$AK$769,Assignments!$A$2:$A$769,$A82,Assignments!$G$2:$G$769,"Active",Assignments!$AI$2:$AI$769,"&lt;="&amp;V$47,Assignments!$AJ$2:$AJ$769,"&gt;="&amp;V$47)+SUMIFS(Assignments!$AN$2:$AN$769,Assignments!$A$2:$A$769,$A82,Assignments!$G$2:$G$769,"Active",Assignments!$AL$2:$AL$769,"&lt;="&amp;V$47,Assignments!$AM$2:$AM$769,"&gt;="&amp;V$47))</f>
        <v/>
      </c>
      <c r="W82" s="11">
        <f>IF($A82="","",SUMIFS(Assignments!$AK$2:$AK$769,Assignments!$A$2:$A$769,$A82,Assignments!$G$2:$G$769,"Active",Assignments!$AI$2:$AI$769,"&lt;="&amp;W$47,Assignments!$AJ$2:$AJ$769,"&gt;="&amp;W$47)+SUMIFS(Assignments!$AN$2:$AN$769,Assignments!$A$2:$A$769,$A82,Assignments!$G$2:$G$769,"Active",Assignments!$AL$2:$AL$769,"&lt;="&amp;W$47,Assignments!$AM$2:$AM$769,"&gt;="&amp;W$47))</f>
        <v/>
      </c>
      <c r="X82" s="11">
        <f>IF($A82="","",SUMIFS(Assignments!$AK$2:$AK$769,Assignments!$A$2:$A$769,$A82,Assignments!$G$2:$G$769,"Active",Assignments!$AI$2:$AI$769,"&lt;="&amp;X$47,Assignments!$AJ$2:$AJ$769,"&gt;="&amp;X$47)+SUMIFS(Assignments!$AN$2:$AN$769,Assignments!$A$2:$A$769,$A82,Assignments!$G$2:$G$769,"Active",Assignments!$AL$2:$AL$769,"&lt;="&amp;X$47,Assignments!$AM$2:$AM$769,"&gt;="&amp;X$47))</f>
        <v/>
      </c>
      <c r="Y82" s="11">
        <f>IF($A82="","",SUMIFS(Assignments!$AK$2:$AK$769,Assignments!$A$2:$A$769,$A82,Assignments!$G$2:$G$769,"Active",Assignments!$AI$2:$AI$769,"&lt;="&amp;Y$47,Assignments!$AJ$2:$AJ$769,"&gt;="&amp;Y$47)+SUMIFS(Assignments!$AN$2:$AN$769,Assignments!$A$2:$A$769,$A82,Assignments!$G$2:$G$769,"Active",Assignments!$AL$2:$AL$769,"&lt;="&amp;Y$47,Assignments!$AM$2:$AM$769,"&gt;="&amp;Y$47))</f>
        <v/>
      </c>
      <c r="Z82" s="11">
        <f>IF($A82="","",SUMIFS(Assignments!$AK$2:$AK$769,Assignments!$A$2:$A$769,$A82,Assignments!$G$2:$G$769,"Active",Assignments!$AI$2:$AI$769,"&lt;="&amp;Z$47,Assignments!$AJ$2:$AJ$769,"&gt;="&amp;Z$47)+SUMIFS(Assignments!$AN$2:$AN$769,Assignments!$A$2:$A$769,$A82,Assignments!$G$2:$G$769,"Active",Assignments!$AL$2:$AL$769,"&lt;="&amp;Z$47,Assignments!$AM$2:$AM$769,"&gt;="&amp;Z$47))</f>
        <v/>
      </c>
      <c r="AA82" s="11">
        <f>IF($A82="","",SUMIFS(Assignments!$AK$2:$AK$769,Assignments!$A$2:$A$769,$A82,Assignments!$G$2:$G$769,"Active",Assignments!$AI$2:$AI$769,"&lt;="&amp;AA$47,Assignments!$AJ$2:$AJ$769,"&gt;="&amp;AA$47)+SUMIFS(Assignments!$AN$2:$AN$769,Assignments!$A$2:$A$769,$A82,Assignments!$G$2:$G$769,"Active",Assignments!$AL$2:$AL$769,"&lt;="&amp;AA$47,Assignments!$AM$2:$AM$769,"&gt;="&amp;AA$47))</f>
        <v/>
      </c>
      <c r="AB82" s="11">
        <f>IF($A82="","",SUMIFS(Assignments!$AK$2:$AK$769,Assignments!$A$2:$A$769,$A82,Assignments!$G$2:$G$769,"Active",Assignments!$AI$2:$AI$769,"&lt;="&amp;AB$47,Assignments!$AJ$2:$AJ$769,"&gt;="&amp;AB$47)+SUMIFS(Assignments!$AN$2:$AN$769,Assignments!$A$2:$A$769,$A82,Assignments!$G$2:$G$769,"Active",Assignments!$AL$2:$AL$769,"&lt;="&amp;AB$47,Assignments!$AM$2:$AM$769,"&gt;="&amp;AB$47))</f>
        <v/>
      </c>
    </row>
    <row r="83">
      <c r="A83" s="9">
        <f>IF(Roster!$A37="","",Roster!$A37)</f>
        <v/>
      </c>
      <c r="B83" s="10">
        <f>IF($A83="","",IFERROR(INDEX(Roster!$D$2:$D$40,MATCH($A83,Roster!$A$2:$A$40,0)),""))</f>
        <v/>
      </c>
      <c r="C83" s="11">
        <f>IF($A83="","",SUMIFS(Assignments!$AK$2:$AK$769,Assignments!$A$2:$A$769,$A83,Assignments!$G$2:$G$769,"Active",Assignments!$AI$2:$AI$769,"&lt;="&amp;C$47,Assignments!$AJ$2:$AJ$769,"&gt;="&amp;C$47)+SUMIFS(Assignments!$AN$2:$AN$769,Assignments!$A$2:$A$769,$A83,Assignments!$G$2:$G$769,"Active",Assignments!$AL$2:$AL$769,"&lt;="&amp;C$47,Assignments!$AM$2:$AM$769,"&gt;="&amp;C$47))</f>
        <v/>
      </c>
      <c r="D83" s="11">
        <f>IF($A83="","",SUMIFS(Assignments!$AK$2:$AK$769,Assignments!$A$2:$A$769,$A83,Assignments!$G$2:$G$769,"Active",Assignments!$AI$2:$AI$769,"&lt;="&amp;D$47,Assignments!$AJ$2:$AJ$769,"&gt;="&amp;D$47)+SUMIFS(Assignments!$AN$2:$AN$769,Assignments!$A$2:$A$769,$A83,Assignments!$G$2:$G$769,"Active",Assignments!$AL$2:$AL$769,"&lt;="&amp;D$47,Assignments!$AM$2:$AM$769,"&gt;="&amp;D$47))</f>
        <v/>
      </c>
      <c r="E83" s="11">
        <f>IF($A83="","",SUMIFS(Assignments!$AK$2:$AK$769,Assignments!$A$2:$A$769,$A83,Assignments!$G$2:$G$769,"Active",Assignments!$AI$2:$AI$769,"&lt;="&amp;E$47,Assignments!$AJ$2:$AJ$769,"&gt;="&amp;E$47)+SUMIFS(Assignments!$AN$2:$AN$769,Assignments!$A$2:$A$769,$A83,Assignments!$G$2:$G$769,"Active",Assignments!$AL$2:$AL$769,"&lt;="&amp;E$47,Assignments!$AM$2:$AM$769,"&gt;="&amp;E$47))</f>
        <v/>
      </c>
      <c r="F83" s="11">
        <f>IF($A83="","",SUMIFS(Assignments!$AK$2:$AK$769,Assignments!$A$2:$A$769,$A83,Assignments!$G$2:$G$769,"Active",Assignments!$AI$2:$AI$769,"&lt;="&amp;F$47,Assignments!$AJ$2:$AJ$769,"&gt;="&amp;F$47)+SUMIFS(Assignments!$AN$2:$AN$769,Assignments!$A$2:$A$769,$A83,Assignments!$G$2:$G$769,"Active",Assignments!$AL$2:$AL$769,"&lt;="&amp;F$47,Assignments!$AM$2:$AM$769,"&gt;="&amp;F$47))</f>
        <v/>
      </c>
      <c r="G83" s="11">
        <f>IF($A83="","",SUMIFS(Assignments!$AK$2:$AK$769,Assignments!$A$2:$A$769,$A83,Assignments!$G$2:$G$769,"Active",Assignments!$AI$2:$AI$769,"&lt;="&amp;G$47,Assignments!$AJ$2:$AJ$769,"&gt;="&amp;G$47)+SUMIFS(Assignments!$AN$2:$AN$769,Assignments!$A$2:$A$769,$A83,Assignments!$G$2:$G$769,"Active",Assignments!$AL$2:$AL$769,"&lt;="&amp;G$47,Assignments!$AM$2:$AM$769,"&gt;="&amp;G$47))</f>
        <v/>
      </c>
      <c r="H83" s="11">
        <f>IF($A83="","",SUMIFS(Assignments!$AK$2:$AK$769,Assignments!$A$2:$A$769,$A83,Assignments!$G$2:$G$769,"Active",Assignments!$AI$2:$AI$769,"&lt;="&amp;H$47,Assignments!$AJ$2:$AJ$769,"&gt;="&amp;H$47)+SUMIFS(Assignments!$AN$2:$AN$769,Assignments!$A$2:$A$769,$A83,Assignments!$G$2:$G$769,"Active",Assignments!$AL$2:$AL$769,"&lt;="&amp;H$47,Assignments!$AM$2:$AM$769,"&gt;="&amp;H$47))</f>
        <v/>
      </c>
      <c r="I83" s="11">
        <f>IF($A83="","",SUMIFS(Assignments!$AK$2:$AK$769,Assignments!$A$2:$A$769,$A83,Assignments!$G$2:$G$769,"Active",Assignments!$AI$2:$AI$769,"&lt;="&amp;I$47,Assignments!$AJ$2:$AJ$769,"&gt;="&amp;I$47)+SUMIFS(Assignments!$AN$2:$AN$769,Assignments!$A$2:$A$769,$A83,Assignments!$G$2:$G$769,"Active",Assignments!$AL$2:$AL$769,"&lt;="&amp;I$47,Assignments!$AM$2:$AM$769,"&gt;="&amp;I$47))</f>
        <v/>
      </c>
      <c r="J83" s="11">
        <f>IF($A83="","",SUMIFS(Assignments!$AK$2:$AK$769,Assignments!$A$2:$A$769,$A83,Assignments!$G$2:$G$769,"Active",Assignments!$AI$2:$AI$769,"&lt;="&amp;J$47,Assignments!$AJ$2:$AJ$769,"&gt;="&amp;J$47)+SUMIFS(Assignments!$AN$2:$AN$769,Assignments!$A$2:$A$769,$A83,Assignments!$G$2:$G$769,"Active",Assignments!$AL$2:$AL$769,"&lt;="&amp;J$47,Assignments!$AM$2:$AM$769,"&gt;="&amp;J$47))</f>
        <v/>
      </c>
      <c r="K83" s="11">
        <f>IF($A83="","",SUMIFS(Assignments!$AK$2:$AK$769,Assignments!$A$2:$A$769,$A83,Assignments!$G$2:$G$769,"Active",Assignments!$AI$2:$AI$769,"&lt;="&amp;K$47,Assignments!$AJ$2:$AJ$769,"&gt;="&amp;K$47)+SUMIFS(Assignments!$AN$2:$AN$769,Assignments!$A$2:$A$769,$A83,Assignments!$G$2:$G$769,"Active",Assignments!$AL$2:$AL$769,"&lt;="&amp;K$47,Assignments!$AM$2:$AM$769,"&gt;="&amp;K$47))</f>
        <v/>
      </c>
      <c r="L83" s="11">
        <f>IF($A83="","",SUMIFS(Assignments!$AK$2:$AK$769,Assignments!$A$2:$A$769,$A83,Assignments!$G$2:$G$769,"Active",Assignments!$AI$2:$AI$769,"&lt;="&amp;L$47,Assignments!$AJ$2:$AJ$769,"&gt;="&amp;L$47)+SUMIFS(Assignments!$AN$2:$AN$769,Assignments!$A$2:$A$769,$A83,Assignments!$G$2:$G$769,"Active",Assignments!$AL$2:$AL$769,"&lt;="&amp;L$47,Assignments!$AM$2:$AM$769,"&gt;="&amp;L$47))</f>
        <v/>
      </c>
      <c r="M83" s="11">
        <f>IF($A83="","",SUMIFS(Assignments!$AK$2:$AK$769,Assignments!$A$2:$A$769,$A83,Assignments!$G$2:$G$769,"Active",Assignments!$AI$2:$AI$769,"&lt;="&amp;M$47,Assignments!$AJ$2:$AJ$769,"&gt;="&amp;M$47)+SUMIFS(Assignments!$AN$2:$AN$769,Assignments!$A$2:$A$769,$A83,Assignments!$G$2:$G$769,"Active",Assignments!$AL$2:$AL$769,"&lt;="&amp;M$47,Assignments!$AM$2:$AM$769,"&gt;="&amp;M$47))</f>
        <v/>
      </c>
      <c r="N83" s="11">
        <f>IF($A83="","",SUMIFS(Assignments!$AK$2:$AK$769,Assignments!$A$2:$A$769,$A83,Assignments!$G$2:$G$769,"Active",Assignments!$AI$2:$AI$769,"&lt;="&amp;N$47,Assignments!$AJ$2:$AJ$769,"&gt;="&amp;N$47)+SUMIFS(Assignments!$AN$2:$AN$769,Assignments!$A$2:$A$769,$A83,Assignments!$G$2:$G$769,"Active",Assignments!$AL$2:$AL$769,"&lt;="&amp;N$47,Assignments!$AM$2:$AM$769,"&gt;="&amp;N$47))</f>
        <v/>
      </c>
      <c r="O83" s="11">
        <f>IF($A83="","",SUMIFS(Assignments!$AK$2:$AK$769,Assignments!$A$2:$A$769,$A83,Assignments!$G$2:$G$769,"Active",Assignments!$AI$2:$AI$769,"&lt;="&amp;O$47,Assignments!$AJ$2:$AJ$769,"&gt;="&amp;O$47)+SUMIFS(Assignments!$AN$2:$AN$769,Assignments!$A$2:$A$769,$A83,Assignments!$G$2:$G$769,"Active",Assignments!$AL$2:$AL$769,"&lt;="&amp;O$47,Assignments!$AM$2:$AM$769,"&gt;="&amp;O$47))</f>
        <v/>
      </c>
      <c r="P83" s="11">
        <f>IF($A83="","",SUMIFS(Assignments!$AK$2:$AK$769,Assignments!$A$2:$A$769,$A83,Assignments!$G$2:$G$769,"Active",Assignments!$AI$2:$AI$769,"&lt;="&amp;P$47,Assignments!$AJ$2:$AJ$769,"&gt;="&amp;P$47)+SUMIFS(Assignments!$AN$2:$AN$769,Assignments!$A$2:$A$769,$A83,Assignments!$G$2:$G$769,"Active",Assignments!$AL$2:$AL$769,"&lt;="&amp;P$47,Assignments!$AM$2:$AM$769,"&gt;="&amp;P$47))</f>
        <v/>
      </c>
      <c r="Q83" s="11">
        <f>IF($A83="","",SUMIFS(Assignments!$AK$2:$AK$769,Assignments!$A$2:$A$769,$A83,Assignments!$G$2:$G$769,"Active",Assignments!$AI$2:$AI$769,"&lt;="&amp;Q$47,Assignments!$AJ$2:$AJ$769,"&gt;="&amp;Q$47)+SUMIFS(Assignments!$AN$2:$AN$769,Assignments!$A$2:$A$769,$A83,Assignments!$G$2:$G$769,"Active",Assignments!$AL$2:$AL$769,"&lt;="&amp;Q$47,Assignments!$AM$2:$AM$769,"&gt;="&amp;Q$47))</f>
        <v/>
      </c>
      <c r="R83" s="11">
        <f>IF($A83="","",SUMIFS(Assignments!$AK$2:$AK$769,Assignments!$A$2:$A$769,$A83,Assignments!$G$2:$G$769,"Active",Assignments!$AI$2:$AI$769,"&lt;="&amp;R$47,Assignments!$AJ$2:$AJ$769,"&gt;="&amp;R$47)+SUMIFS(Assignments!$AN$2:$AN$769,Assignments!$A$2:$A$769,$A83,Assignments!$G$2:$G$769,"Active",Assignments!$AL$2:$AL$769,"&lt;="&amp;R$47,Assignments!$AM$2:$AM$769,"&gt;="&amp;R$47))</f>
        <v/>
      </c>
      <c r="S83" s="11">
        <f>IF($A83="","",SUMIFS(Assignments!$AK$2:$AK$769,Assignments!$A$2:$A$769,$A83,Assignments!$G$2:$G$769,"Active",Assignments!$AI$2:$AI$769,"&lt;="&amp;S$47,Assignments!$AJ$2:$AJ$769,"&gt;="&amp;S$47)+SUMIFS(Assignments!$AN$2:$AN$769,Assignments!$A$2:$A$769,$A83,Assignments!$G$2:$G$769,"Active",Assignments!$AL$2:$AL$769,"&lt;="&amp;S$47,Assignments!$AM$2:$AM$769,"&gt;="&amp;S$47))</f>
        <v/>
      </c>
      <c r="T83" s="11">
        <f>IF($A83="","",SUMIFS(Assignments!$AK$2:$AK$769,Assignments!$A$2:$A$769,$A83,Assignments!$G$2:$G$769,"Active",Assignments!$AI$2:$AI$769,"&lt;="&amp;T$47,Assignments!$AJ$2:$AJ$769,"&gt;="&amp;T$47)+SUMIFS(Assignments!$AN$2:$AN$769,Assignments!$A$2:$A$769,$A83,Assignments!$G$2:$G$769,"Active",Assignments!$AL$2:$AL$769,"&lt;="&amp;T$47,Assignments!$AM$2:$AM$769,"&gt;="&amp;T$47))</f>
        <v/>
      </c>
      <c r="U83" s="11">
        <f>IF($A83="","",SUMIFS(Assignments!$AK$2:$AK$769,Assignments!$A$2:$A$769,$A83,Assignments!$G$2:$G$769,"Active",Assignments!$AI$2:$AI$769,"&lt;="&amp;U$47,Assignments!$AJ$2:$AJ$769,"&gt;="&amp;U$47)+SUMIFS(Assignments!$AN$2:$AN$769,Assignments!$A$2:$A$769,$A83,Assignments!$G$2:$G$769,"Active",Assignments!$AL$2:$AL$769,"&lt;="&amp;U$47,Assignments!$AM$2:$AM$769,"&gt;="&amp;U$47))</f>
        <v/>
      </c>
      <c r="V83" s="11">
        <f>IF($A83="","",SUMIFS(Assignments!$AK$2:$AK$769,Assignments!$A$2:$A$769,$A83,Assignments!$G$2:$G$769,"Active",Assignments!$AI$2:$AI$769,"&lt;="&amp;V$47,Assignments!$AJ$2:$AJ$769,"&gt;="&amp;V$47)+SUMIFS(Assignments!$AN$2:$AN$769,Assignments!$A$2:$A$769,$A83,Assignments!$G$2:$G$769,"Active",Assignments!$AL$2:$AL$769,"&lt;="&amp;V$47,Assignments!$AM$2:$AM$769,"&gt;="&amp;V$47))</f>
        <v/>
      </c>
      <c r="W83" s="11">
        <f>IF($A83="","",SUMIFS(Assignments!$AK$2:$AK$769,Assignments!$A$2:$A$769,$A83,Assignments!$G$2:$G$769,"Active",Assignments!$AI$2:$AI$769,"&lt;="&amp;W$47,Assignments!$AJ$2:$AJ$769,"&gt;="&amp;W$47)+SUMIFS(Assignments!$AN$2:$AN$769,Assignments!$A$2:$A$769,$A83,Assignments!$G$2:$G$769,"Active",Assignments!$AL$2:$AL$769,"&lt;="&amp;W$47,Assignments!$AM$2:$AM$769,"&gt;="&amp;W$47))</f>
        <v/>
      </c>
      <c r="X83" s="11">
        <f>IF($A83="","",SUMIFS(Assignments!$AK$2:$AK$769,Assignments!$A$2:$A$769,$A83,Assignments!$G$2:$G$769,"Active",Assignments!$AI$2:$AI$769,"&lt;="&amp;X$47,Assignments!$AJ$2:$AJ$769,"&gt;="&amp;X$47)+SUMIFS(Assignments!$AN$2:$AN$769,Assignments!$A$2:$A$769,$A83,Assignments!$G$2:$G$769,"Active",Assignments!$AL$2:$AL$769,"&lt;="&amp;X$47,Assignments!$AM$2:$AM$769,"&gt;="&amp;X$47))</f>
        <v/>
      </c>
      <c r="Y83" s="11">
        <f>IF($A83="","",SUMIFS(Assignments!$AK$2:$AK$769,Assignments!$A$2:$A$769,$A83,Assignments!$G$2:$G$769,"Active",Assignments!$AI$2:$AI$769,"&lt;="&amp;Y$47,Assignments!$AJ$2:$AJ$769,"&gt;="&amp;Y$47)+SUMIFS(Assignments!$AN$2:$AN$769,Assignments!$A$2:$A$769,$A83,Assignments!$G$2:$G$769,"Active",Assignments!$AL$2:$AL$769,"&lt;="&amp;Y$47,Assignments!$AM$2:$AM$769,"&gt;="&amp;Y$47))</f>
        <v/>
      </c>
      <c r="Z83" s="11">
        <f>IF($A83="","",SUMIFS(Assignments!$AK$2:$AK$769,Assignments!$A$2:$A$769,$A83,Assignments!$G$2:$G$769,"Active",Assignments!$AI$2:$AI$769,"&lt;="&amp;Z$47,Assignments!$AJ$2:$AJ$769,"&gt;="&amp;Z$47)+SUMIFS(Assignments!$AN$2:$AN$769,Assignments!$A$2:$A$769,$A83,Assignments!$G$2:$G$769,"Active",Assignments!$AL$2:$AL$769,"&lt;="&amp;Z$47,Assignments!$AM$2:$AM$769,"&gt;="&amp;Z$47))</f>
        <v/>
      </c>
      <c r="AA83" s="11">
        <f>IF($A83="","",SUMIFS(Assignments!$AK$2:$AK$769,Assignments!$A$2:$A$769,$A83,Assignments!$G$2:$G$769,"Active",Assignments!$AI$2:$AI$769,"&lt;="&amp;AA$47,Assignments!$AJ$2:$AJ$769,"&gt;="&amp;AA$47)+SUMIFS(Assignments!$AN$2:$AN$769,Assignments!$A$2:$A$769,$A83,Assignments!$G$2:$G$769,"Active",Assignments!$AL$2:$AL$769,"&lt;="&amp;AA$47,Assignments!$AM$2:$AM$769,"&gt;="&amp;AA$47))</f>
        <v/>
      </c>
      <c r="AB83" s="11">
        <f>IF($A83="","",SUMIFS(Assignments!$AK$2:$AK$769,Assignments!$A$2:$A$769,$A83,Assignments!$G$2:$G$769,"Active",Assignments!$AI$2:$AI$769,"&lt;="&amp;AB$47,Assignments!$AJ$2:$AJ$769,"&gt;="&amp;AB$47)+SUMIFS(Assignments!$AN$2:$AN$769,Assignments!$A$2:$A$769,$A83,Assignments!$G$2:$G$769,"Active",Assignments!$AL$2:$AL$769,"&lt;="&amp;AB$47,Assignments!$AM$2:$AM$769,"&gt;="&amp;AB$47))</f>
        <v/>
      </c>
    </row>
    <row r="84">
      <c r="A84" s="9">
        <f>IF(Roster!$A38="","",Roster!$A38)</f>
        <v/>
      </c>
      <c r="B84" s="10">
        <f>IF($A84="","",IFERROR(INDEX(Roster!$D$2:$D$40,MATCH($A84,Roster!$A$2:$A$40,0)),""))</f>
        <v/>
      </c>
      <c r="C84" s="11">
        <f>IF($A84="","",SUMIFS(Assignments!$AK$2:$AK$769,Assignments!$A$2:$A$769,$A84,Assignments!$G$2:$G$769,"Active",Assignments!$AI$2:$AI$769,"&lt;="&amp;C$47,Assignments!$AJ$2:$AJ$769,"&gt;="&amp;C$47)+SUMIFS(Assignments!$AN$2:$AN$769,Assignments!$A$2:$A$769,$A84,Assignments!$G$2:$G$769,"Active",Assignments!$AL$2:$AL$769,"&lt;="&amp;C$47,Assignments!$AM$2:$AM$769,"&gt;="&amp;C$47))</f>
        <v/>
      </c>
      <c r="D84" s="11">
        <f>IF($A84="","",SUMIFS(Assignments!$AK$2:$AK$769,Assignments!$A$2:$A$769,$A84,Assignments!$G$2:$G$769,"Active",Assignments!$AI$2:$AI$769,"&lt;="&amp;D$47,Assignments!$AJ$2:$AJ$769,"&gt;="&amp;D$47)+SUMIFS(Assignments!$AN$2:$AN$769,Assignments!$A$2:$A$769,$A84,Assignments!$G$2:$G$769,"Active",Assignments!$AL$2:$AL$769,"&lt;="&amp;D$47,Assignments!$AM$2:$AM$769,"&gt;="&amp;D$47))</f>
        <v/>
      </c>
      <c r="E84" s="11">
        <f>IF($A84="","",SUMIFS(Assignments!$AK$2:$AK$769,Assignments!$A$2:$A$769,$A84,Assignments!$G$2:$G$769,"Active",Assignments!$AI$2:$AI$769,"&lt;="&amp;E$47,Assignments!$AJ$2:$AJ$769,"&gt;="&amp;E$47)+SUMIFS(Assignments!$AN$2:$AN$769,Assignments!$A$2:$A$769,$A84,Assignments!$G$2:$G$769,"Active",Assignments!$AL$2:$AL$769,"&lt;="&amp;E$47,Assignments!$AM$2:$AM$769,"&gt;="&amp;E$47))</f>
        <v/>
      </c>
      <c r="F84" s="11">
        <f>IF($A84="","",SUMIFS(Assignments!$AK$2:$AK$769,Assignments!$A$2:$A$769,$A84,Assignments!$G$2:$G$769,"Active",Assignments!$AI$2:$AI$769,"&lt;="&amp;F$47,Assignments!$AJ$2:$AJ$769,"&gt;="&amp;F$47)+SUMIFS(Assignments!$AN$2:$AN$769,Assignments!$A$2:$A$769,$A84,Assignments!$G$2:$G$769,"Active",Assignments!$AL$2:$AL$769,"&lt;="&amp;F$47,Assignments!$AM$2:$AM$769,"&gt;="&amp;F$47))</f>
        <v/>
      </c>
      <c r="G84" s="11">
        <f>IF($A84="","",SUMIFS(Assignments!$AK$2:$AK$769,Assignments!$A$2:$A$769,$A84,Assignments!$G$2:$G$769,"Active",Assignments!$AI$2:$AI$769,"&lt;="&amp;G$47,Assignments!$AJ$2:$AJ$769,"&gt;="&amp;G$47)+SUMIFS(Assignments!$AN$2:$AN$769,Assignments!$A$2:$A$769,$A84,Assignments!$G$2:$G$769,"Active",Assignments!$AL$2:$AL$769,"&lt;="&amp;G$47,Assignments!$AM$2:$AM$769,"&gt;="&amp;G$47))</f>
        <v/>
      </c>
      <c r="H84" s="11">
        <f>IF($A84="","",SUMIFS(Assignments!$AK$2:$AK$769,Assignments!$A$2:$A$769,$A84,Assignments!$G$2:$G$769,"Active",Assignments!$AI$2:$AI$769,"&lt;="&amp;H$47,Assignments!$AJ$2:$AJ$769,"&gt;="&amp;H$47)+SUMIFS(Assignments!$AN$2:$AN$769,Assignments!$A$2:$A$769,$A84,Assignments!$G$2:$G$769,"Active",Assignments!$AL$2:$AL$769,"&lt;="&amp;H$47,Assignments!$AM$2:$AM$769,"&gt;="&amp;H$47))</f>
        <v/>
      </c>
      <c r="I84" s="11">
        <f>IF($A84="","",SUMIFS(Assignments!$AK$2:$AK$769,Assignments!$A$2:$A$769,$A84,Assignments!$G$2:$G$769,"Active",Assignments!$AI$2:$AI$769,"&lt;="&amp;I$47,Assignments!$AJ$2:$AJ$769,"&gt;="&amp;I$47)+SUMIFS(Assignments!$AN$2:$AN$769,Assignments!$A$2:$A$769,$A84,Assignments!$G$2:$G$769,"Active",Assignments!$AL$2:$AL$769,"&lt;="&amp;I$47,Assignments!$AM$2:$AM$769,"&gt;="&amp;I$47))</f>
        <v/>
      </c>
      <c r="J84" s="11">
        <f>IF($A84="","",SUMIFS(Assignments!$AK$2:$AK$769,Assignments!$A$2:$A$769,$A84,Assignments!$G$2:$G$769,"Active",Assignments!$AI$2:$AI$769,"&lt;="&amp;J$47,Assignments!$AJ$2:$AJ$769,"&gt;="&amp;J$47)+SUMIFS(Assignments!$AN$2:$AN$769,Assignments!$A$2:$A$769,$A84,Assignments!$G$2:$G$769,"Active",Assignments!$AL$2:$AL$769,"&lt;="&amp;J$47,Assignments!$AM$2:$AM$769,"&gt;="&amp;J$47))</f>
        <v/>
      </c>
      <c r="K84" s="11">
        <f>IF($A84="","",SUMIFS(Assignments!$AK$2:$AK$769,Assignments!$A$2:$A$769,$A84,Assignments!$G$2:$G$769,"Active",Assignments!$AI$2:$AI$769,"&lt;="&amp;K$47,Assignments!$AJ$2:$AJ$769,"&gt;="&amp;K$47)+SUMIFS(Assignments!$AN$2:$AN$769,Assignments!$A$2:$A$769,$A84,Assignments!$G$2:$G$769,"Active",Assignments!$AL$2:$AL$769,"&lt;="&amp;K$47,Assignments!$AM$2:$AM$769,"&gt;="&amp;K$47))</f>
        <v/>
      </c>
      <c r="L84" s="11">
        <f>IF($A84="","",SUMIFS(Assignments!$AK$2:$AK$769,Assignments!$A$2:$A$769,$A84,Assignments!$G$2:$G$769,"Active",Assignments!$AI$2:$AI$769,"&lt;="&amp;L$47,Assignments!$AJ$2:$AJ$769,"&gt;="&amp;L$47)+SUMIFS(Assignments!$AN$2:$AN$769,Assignments!$A$2:$A$769,$A84,Assignments!$G$2:$G$769,"Active",Assignments!$AL$2:$AL$769,"&lt;="&amp;L$47,Assignments!$AM$2:$AM$769,"&gt;="&amp;L$47))</f>
        <v/>
      </c>
      <c r="M84" s="11">
        <f>IF($A84="","",SUMIFS(Assignments!$AK$2:$AK$769,Assignments!$A$2:$A$769,$A84,Assignments!$G$2:$G$769,"Active",Assignments!$AI$2:$AI$769,"&lt;="&amp;M$47,Assignments!$AJ$2:$AJ$769,"&gt;="&amp;M$47)+SUMIFS(Assignments!$AN$2:$AN$769,Assignments!$A$2:$A$769,$A84,Assignments!$G$2:$G$769,"Active",Assignments!$AL$2:$AL$769,"&lt;="&amp;M$47,Assignments!$AM$2:$AM$769,"&gt;="&amp;M$47))</f>
        <v/>
      </c>
      <c r="N84" s="11">
        <f>IF($A84="","",SUMIFS(Assignments!$AK$2:$AK$769,Assignments!$A$2:$A$769,$A84,Assignments!$G$2:$G$769,"Active",Assignments!$AI$2:$AI$769,"&lt;="&amp;N$47,Assignments!$AJ$2:$AJ$769,"&gt;="&amp;N$47)+SUMIFS(Assignments!$AN$2:$AN$769,Assignments!$A$2:$A$769,$A84,Assignments!$G$2:$G$769,"Active",Assignments!$AL$2:$AL$769,"&lt;="&amp;N$47,Assignments!$AM$2:$AM$769,"&gt;="&amp;N$47))</f>
        <v/>
      </c>
      <c r="O84" s="11">
        <f>IF($A84="","",SUMIFS(Assignments!$AK$2:$AK$769,Assignments!$A$2:$A$769,$A84,Assignments!$G$2:$G$769,"Active",Assignments!$AI$2:$AI$769,"&lt;="&amp;O$47,Assignments!$AJ$2:$AJ$769,"&gt;="&amp;O$47)+SUMIFS(Assignments!$AN$2:$AN$769,Assignments!$A$2:$A$769,$A84,Assignments!$G$2:$G$769,"Active",Assignments!$AL$2:$AL$769,"&lt;="&amp;O$47,Assignments!$AM$2:$AM$769,"&gt;="&amp;O$47))</f>
        <v/>
      </c>
      <c r="P84" s="11">
        <f>IF($A84="","",SUMIFS(Assignments!$AK$2:$AK$769,Assignments!$A$2:$A$769,$A84,Assignments!$G$2:$G$769,"Active",Assignments!$AI$2:$AI$769,"&lt;="&amp;P$47,Assignments!$AJ$2:$AJ$769,"&gt;="&amp;P$47)+SUMIFS(Assignments!$AN$2:$AN$769,Assignments!$A$2:$A$769,$A84,Assignments!$G$2:$G$769,"Active",Assignments!$AL$2:$AL$769,"&lt;="&amp;P$47,Assignments!$AM$2:$AM$769,"&gt;="&amp;P$47))</f>
        <v/>
      </c>
      <c r="Q84" s="11">
        <f>IF($A84="","",SUMIFS(Assignments!$AK$2:$AK$769,Assignments!$A$2:$A$769,$A84,Assignments!$G$2:$G$769,"Active",Assignments!$AI$2:$AI$769,"&lt;="&amp;Q$47,Assignments!$AJ$2:$AJ$769,"&gt;="&amp;Q$47)+SUMIFS(Assignments!$AN$2:$AN$769,Assignments!$A$2:$A$769,$A84,Assignments!$G$2:$G$769,"Active",Assignments!$AL$2:$AL$769,"&lt;="&amp;Q$47,Assignments!$AM$2:$AM$769,"&gt;="&amp;Q$47))</f>
        <v/>
      </c>
      <c r="R84" s="11">
        <f>IF($A84="","",SUMIFS(Assignments!$AK$2:$AK$769,Assignments!$A$2:$A$769,$A84,Assignments!$G$2:$G$769,"Active",Assignments!$AI$2:$AI$769,"&lt;="&amp;R$47,Assignments!$AJ$2:$AJ$769,"&gt;="&amp;R$47)+SUMIFS(Assignments!$AN$2:$AN$769,Assignments!$A$2:$A$769,$A84,Assignments!$G$2:$G$769,"Active",Assignments!$AL$2:$AL$769,"&lt;="&amp;R$47,Assignments!$AM$2:$AM$769,"&gt;="&amp;R$47))</f>
        <v/>
      </c>
      <c r="S84" s="11">
        <f>IF($A84="","",SUMIFS(Assignments!$AK$2:$AK$769,Assignments!$A$2:$A$769,$A84,Assignments!$G$2:$G$769,"Active",Assignments!$AI$2:$AI$769,"&lt;="&amp;S$47,Assignments!$AJ$2:$AJ$769,"&gt;="&amp;S$47)+SUMIFS(Assignments!$AN$2:$AN$769,Assignments!$A$2:$A$769,$A84,Assignments!$G$2:$G$769,"Active",Assignments!$AL$2:$AL$769,"&lt;="&amp;S$47,Assignments!$AM$2:$AM$769,"&gt;="&amp;S$47))</f>
        <v/>
      </c>
      <c r="T84" s="11">
        <f>IF($A84="","",SUMIFS(Assignments!$AK$2:$AK$769,Assignments!$A$2:$A$769,$A84,Assignments!$G$2:$G$769,"Active",Assignments!$AI$2:$AI$769,"&lt;="&amp;T$47,Assignments!$AJ$2:$AJ$769,"&gt;="&amp;T$47)+SUMIFS(Assignments!$AN$2:$AN$769,Assignments!$A$2:$A$769,$A84,Assignments!$G$2:$G$769,"Active",Assignments!$AL$2:$AL$769,"&lt;="&amp;T$47,Assignments!$AM$2:$AM$769,"&gt;="&amp;T$47))</f>
        <v/>
      </c>
      <c r="U84" s="11">
        <f>IF($A84="","",SUMIFS(Assignments!$AK$2:$AK$769,Assignments!$A$2:$A$769,$A84,Assignments!$G$2:$G$769,"Active",Assignments!$AI$2:$AI$769,"&lt;="&amp;U$47,Assignments!$AJ$2:$AJ$769,"&gt;="&amp;U$47)+SUMIFS(Assignments!$AN$2:$AN$769,Assignments!$A$2:$A$769,$A84,Assignments!$G$2:$G$769,"Active",Assignments!$AL$2:$AL$769,"&lt;="&amp;U$47,Assignments!$AM$2:$AM$769,"&gt;="&amp;U$47))</f>
        <v/>
      </c>
      <c r="V84" s="11">
        <f>IF($A84="","",SUMIFS(Assignments!$AK$2:$AK$769,Assignments!$A$2:$A$769,$A84,Assignments!$G$2:$G$769,"Active",Assignments!$AI$2:$AI$769,"&lt;="&amp;V$47,Assignments!$AJ$2:$AJ$769,"&gt;="&amp;V$47)+SUMIFS(Assignments!$AN$2:$AN$769,Assignments!$A$2:$A$769,$A84,Assignments!$G$2:$G$769,"Active",Assignments!$AL$2:$AL$769,"&lt;="&amp;V$47,Assignments!$AM$2:$AM$769,"&gt;="&amp;V$47))</f>
        <v/>
      </c>
      <c r="W84" s="11">
        <f>IF($A84="","",SUMIFS(Assignments!$AK$2:$AK$769,Assignments!$A$2:$A$769,$A84,Assignments!$G$2:$G$769,"Active",Assignments!$AI$2:$AI$769,"&lt;="&amp;W$47,Assignments!$AJ$2:$AJ$769,"&gt;="&amp;W$47)+SUMIFS(Assignments!$AN$2:$AN$769,Assignments!$A$2:$A$769,$A84,Assignments!$G$2:$G$769,"Active",Assignments!$AL$2:$AL$769,"&lt;="&amp;W$47,Assignments!$AM$2:$AM$769,"&gt;="&amp;W$47))</f>
        <v/>
      </c>
      <c r="X84" s="11">
        <f>IF($A84="","",SUMIFS(Assignments!$AK$2:$AK$769,Assignments!$A$2:$A$769,$A84,Assignments!$G$2:$G$769,"Active",Assignments!$AI$2:$AI$769,"&lt;="&amp;X$47,Assignments!$AJ$2:$AJ$769,"&gt;="&amp;X$47)+SUMIFS(Assignments!$AN$2:$AN$769,Assignments!$A$2:$A$769,$A84,Assignments!$G$2:$G$769,"Active",Assignments!$AL$2:$AL$769,"&lt;="&amp;X$47,Assignments!$AM$2:$AM$769,"&gt;="&amp;X$47))</f>
        <v/>
      </c>
      <c r="Y84" s="11">
        <f>IF($A84="","",SUMIFS(Assignments!$AK$2:$AK$769,Assignments!$A$2:$A$769,$A84,Assignments!$G$2:$G$769,"Active",Assignments!$AI$2:$AI$769,"&lt;="&amp;Y$47,Assignments!$AJ$2:$AJ$769,"&gt;="&amp;Y$47)+SUMIFS(Assignments!$AN$2:$AN$769,Assignments!$A$2:$A$769,$A84,Assignments!$G$2:$G$769,"Active",Assignments!$AL$2:$AL$769,"&lt;="&amp;Y$47,Assignments!$AM$2:$AM$769,"&gt;="&amp;Y$47))</f>
        <v/>
      </c>
      <c r="Z84" s="11">
        <f>IF($A84="","",SUMIFS(Assignments!$AK$2:$AK$769,Assignments!$A$2:$A$769,$A84,Assignments!$G$2:$G$769,"Active",Assignments!$AI$2:$AI$769,"&lt;="&amp;Z$47,Assignments!$AJ$2:$AJ$769,"&gt;="&amp;Z$47)+SUMIFS(Assignments!$AN$2:$AN$769,Assignments!$A$2:$A$769,$A84,Assignments!$G$2:$G$769,"Active",Assignments!$AL$2:$AL$769,"&lt;="&amp;Z$47,Assignments!$AM$2:$AM$769,"&gt;="&amp;Z$47))</f>
        <v/>
      </c>
      <c r="AA84" s="11">
        <f>IF($A84="","",SUMIFS(Assignments!$AK$2:$AK$769,Assignments!$A$2:$A$769,$A84,Assignments!$G$2:$G$769,"Active",Assignments!$AI$2:$AI$769,"&lt;="&amp;AA$47,Assignments!$AJ$2:$AJ$769,"&gt;="&amp;AA$47)+SUMIFS(Assignments!$AN$2:$AN$769,Assignments!$A$2:$A$769,$A84,Assignments!$G$2:$G$769,"Active",Assignments!$AL$2:$AL$769,"&lt;="&amp;AA$47,Assignments!$AM$2:$AM$769,"&gt;="&amp;AA$47))</f>
        <v/>
      </c>
      <c r="AB84" s="11">
        <f>IF($A84="","",SUMIFS(Assignments!$AK$2:$AK$769,Assignments!$A$2:$A$769,$A84,Assignments!$G$2:$G$769,"Active",Assignments!$AI$2:$AI$769,"&lt;="&amp;AB$47,Assignments!$AJ$2:$AJ$769,"&gt;="&amp;AB$47)+SUMIFS(Assignments!$AN$2:$AN$769,Assignments!$A$2:$A$769,$A84,Assignments!$G$2:$G$769,"Active",Assignments!$AL$2:$AL$769,"&lt;="&amp;AB$47,Assignments!$AM$2:$AM$769,"&gt;="&amp;AB$47))</f>
        <v/>
      </c>
    </row>
    <row r="85">
      <c r="A85" s="9">
        <f>IF(Roster!$A39="","",Roster!$A39)</f>
        <v/>
      </c>
      <c r="B85" s="10">
        <f>IF($A85="","",IFERROR(INDEX(Roster!$D$2:$D$40,MATCH($A85,Roster!$A$2:$A$40,0)),""))</f>
        <v/>
      </c>
      <c r="C85" s="11">
        <f>IF($A85="","",SUMIFS(Assignments!$AK$2:$AK$769,Assignments!$A$2:$A$769,$A85,Assignments!$G$2:$G$769,"Active",Assignments!$AI$2:$AI$769,"&lt;="&amp;C$47,Assignments!$AJ$2:$AJ$769,"&gt;="&amp;C$47)+SUMIFS(Assignments!$AN$2:$AN$769,Assignments!$A$2:$A$769,$A85,Assignments!$G$2:$G$769,"Active",Assignments!$AL$2:$AL$769,"&lt;="&amp;C$47,Assignments!$AM$2:$AM$769,"&gt;="&amp;C$47))</f>
        <v/>
      </c>
      <c r="D85" s="11">
        <f>IF($A85="","",SUMIFS(Assignments!$AK$2:$AK$769,Assignments!$A$2:$A$769,$A85,Assignments!$G$2:$G$769,"Active",Assignments!$AI$2:$AI$769,"&lt;="&amp;D$47,Assignments!$AJ$2:$AJ$769,"&gt;="&amp;D$47)+SUMIFS(Assignments!$AN$2:$AN$769,Assignments!$A$2:$A$769,$A85,Assignments!$G$2:$G$769,"Active",Assignments!$AL$2:$AL$769,"&lt;="&amp;D$47,Assignments!$AM$2:$AM$769,"&gt;="&amp;D$47))</f>
        <v/>
      </c>
      <c r="E85" s="11">
        <f>IF($A85="","",SUMIFS(Assignments!$AK$2:$AK$769,Assignments!$A$2:$A$769,$A85,Assignments!$G$2:$G$769,"Active",Assignments!$AI$2:$AI$769,"&lt;="&amp;E$47,Assignments!$AJ$2:$AJ$769,"&gt;="&amp;E$47)+SUMIFS(Assignments!$AN$2:$AN$769,Assignments!$A$2:$A$769,$A85,Assignments!$G$2:$G$769,"Active",Assignments!$AL$2:$AL$769,"&lt;="&amp;E$47,Assignments!$AM$2:$AM$769,"&gt;="&amp;E$47))</f>
        <v/>
      </c>
      <c r="F85" s="11">
        <f>IF($A85="","",SUMIFS(Assignments!$AK$2:$AK$769,Assignments!$A$2:$A$769,$A85,Assignments!$G$2:$G$769,"Active",Assignments!$AI$2:$AI$769,"&lt;="&amp;F$47,Assignments!$AJ$2:$AJ$769,"&gt;="&amp;F$47)+SUMIFS(Assignments!$AN$2:$AN$769,Assignments!$A$2:$A$769,$A85,Assignments!$G$2:$G$769,"Active",Assignments!$AL$2:$AL$769,"&lt;="&amp;F$47,Assignments!$AM$2:$AM$769,"&gt;="&amp;F$47))</f>
        <v/>
      </c>
      <c r="G85" s="11">
        <f>IF($A85="","",SUMIFS(Assignments!$AK$2:$AK$769,Assignments!$A$2:$A$769,$A85,Assignments!$G$2:$G$769,"Active",Assignments!$AI$2:$AI$769,"&lt;="&amp;G$47,Assignments!$AJ$2:$AJ$769,"&gt;="&amp;G$47)+SUMIFS(Assignments!$AN$2:$AN$769,Assignments!$A$2:$A$769,$A85,Assignments!$G$2:$G$769,"Active",Assignments!$AL$2:$AL$769,"&lt;="&amp;G$47,Assignments!$AM$2:$AM$769,"&gt;="&amp;G$47))</f>
        <v/>
      </c>
      <c r="H85" s="11">
        <f>IF($A85="","",SUMIFS(Assignments!$AK$2:$AK$769,Assignments!$A$2:$A$769,$A85,Assignments!$G$2:$G$769,"Active",Assignments!$AI$2:$AI$769,"&lt;="&amp;H$47,Assignments!$AJ$2:$AJ$769,"&gt;="&amp;H$47)+SUMIFS(Assignments!$AN$2:$AN$769,Assignments!$A$2:$A$769,$A85,Assignments!$G$2:$G$769,"Active",Assignments!$AL$2:$AL$769,"&lt;="&amp;H$47,Assignments!$AM$2:$AM$769,"&gt;="&amp;H$47))</f>
        <v/>
      </c>
      <c r="I85" s="11">
        <f>IF($A85="","",SUMIFS(Assignments!$AK$2:$AK$769,Assignments!$A$2:$A$769,$A85,Assignments!$G$2:$G$769,"Active",Assignments!$AI$2:$AI$769,"&lt;="&amp;I$47,Assignments!$AJ$2:$AJ$769,"&gt;="&amp;I$47)+SUMIFS(Assignments!$AN$2:$AN$769,Assignments!$A$2:$A$769,$A85,Assignments!$G$2:$G$769,"Active",Assignments!$AL$2:$AL$769,"&lt;="&amp;I$47,Assignments!$AM$2:$AM$769,"&gt;="&amp;I$47))</f>
        <v/>
      </c>
      <c r="J85" s="11">
        <f>IF($A85="","",SUMIFS(Assignments!$AK$2:$AK$769,Assignments!$A$2:$A$769,$A85,Assignments!$G$2:$G$769,"Active",Assignments!$AI$2:$AI$769,"&lt;="&amp;J$47,Assignments!$AJ$2:$AJ$769,"&gt;="&amp;J$47)+SUMIFS(Assignments!$AN$2:$AN$769,Assignments!$A$2:$A$769,$A85,Assignments!$G$2:$G$769,"Active",Assignments!$AL$2:$AL$769,"&lt;="&amp;J$47,Assignments!$AM$2:$AM$769,"&gt;="&amp;J$47))</f>
        <v/>
      </c>
      <c r="K85" s="11">
        <f>IF($A85="","",SUMIFS(Assignments!$AK$2:$AK$769,Assignments!$A$2:$A$769,$A85,Assignments!$G$2:$G$769,"Active",Assignments!$AI$2:$AI$769,"&lt;="&amp;K$47,Assignments!$AJ$2:$AJ$769,"&gt;="&amp;K$47)+SUMIFS(Assignments!$AN$2:$AN$769,Assignments!$A$2:$A$769,$A85,Assignments!$G$2:$G$769,"Active",Assignments!$AL$2:$AL$769,"&lt;="&amp;K$47,Assignments!$AM$2:$AM$769,"&gt;="&amp;K$47))</f>
        <v/>
      </c>
      <c r="L85" s="11">
        <f>IF($A85="","",SUMIFS(Assignments!$AK$2:$AK$769,Assignments!$A$2:$A$769,$A85,Assignments!$G$2:$G$769,"Active",Assignments!$AI$2:$AI$769,"&lt;="&amp;L$47,Assignments!$AJ$2:$AJ$769,"&gt;="&amp;L$47)+SUMIFS(Assignments!$AN$2:$AN$769,Assignments!$A$2:$A$769,$A85,Assignments!$G$2:$G$769,"Active",Assignments!$AL$2:$AL$769,"&lt;="&amp;L$47,Assignments!$AM$2:$AM$769,"&gt;="&amp;L$47))</f>
        <v/>
      </c>
      <c r="M85" s="11">
        <f>IF($A85="","",SUMIFS(Assignments!$AK$2:$AK$769,Assignments!$A$2:$A$769,$A85,Assignments!$G$2:$G$769,"Active",Assignments!$AI$2:$AI$769,"&lt;="&amp;M$47,Assignments!$AJ$2:$AJ$769,"&gt;="&amp;M$47)+SUMIFS(Assignments!$AN$2:$AN$769,Assignments!$A$2:$A$769,$A85,Assignments!$G$2:$G$769,"Active",Assignments!$AL$2:$AL$769,"&lt;="&amp;M$47,Assignments!$AM$2:$AM$769,"&gt;="&amp;M$47))</f>
        <v/>
      </c>
      <c r="N85" s="11">
        <f>IF($A85="","",SUMIFS(Assignments!$AK$2:$AK$769,Assignments!$A$2:$A$769,$A85,Assignments!$G$2:$G$769,"Active",Assignments!$AI$2:$AI$769,"&lt;="&amp;N$47,Assignments!$AJ$2:$AJ$769,"&gt;="&amp;N$47)+SUMIFS(Assignments!$AN$2:$AN$769,Assignments!$A$2:$A$769,$A85,Assignments!$G$2:$G$769,"Active",Assignments!$AL$2:$AL$769,"&lt;="&amp;N$47,Assignments!$AM$2:$AM$769,"&gt;="&amp;N$47))</f>
        <v/>
      </c>
      <c r="O85" s="11">
        <f>IF($A85="","",SUMIFS(Assignments!$AK$2:$AK$769,Assignments!$A$2:$A$769,$A85,Assignments!$G$2:$G$769,"Active",Assignments!$AI$2:$AI$769,"&lt;="&amp;O$47,Assignments!$AJ$2:$AJ$769,"&gt;="&amp;O$47)+SUMIFS(Assignments!$AN$2:$AN$769,Assignments!$A$2:$A$769,$A85,Assignments!$G$2:$G$769,"Active",Assignments!$AL$2:$AL$769,"&lt;="&amp;O$47,Assignments!$AM$2:$AM$769,"&gt;="&amp;O$47))</f>
        <v/>
      </c>
      <c r="P85" s="11">
        <f>IF($A85="","",SUMIFS(Assignments!$AK$2:$AK$769,Assignments!$A$2:$A$769,$A85,Assignments!$G$2:$G$769,"Active",Assignments!$AI$2:$AI$769,"&lt;="&amp;P$47,Assignments!$AJ$2:$AJ$769,"&gt;="&amp;P$47)+SUMIFS(Assignments!$AN$2:$AN$769,Assignments!$A$2:$A$769,$A85,Assignments!$G$2:$G$769,"Active",Assignments!$AL$2:$AL$769,"&lt;="&amp;P$47,Assignments!$AM$2:$AM$769,"&gt;="&amp;P$47))</f>
        <v/>
      </c>
      <c r="Q85" s="11">
        <f>IF($A85="","",SUMIFS(Assignments!$AK$2:$AK$769,Assignments!$A$2:$A$769,$A85,Assignments!$G$2:$G$769,"Active",Assignments!$AI$2:$AI$769,"&lt;="&amp;Q$47,Assignments!$AJ$2:$AJ$769,"&gt;="&amp;Q$47)+SUMIFS(Assignments!$AN$2:$AN$769,Assignments!$A$2:$A$769,$A85,Assignments!$G$2:$G$769,"Active",Assignments!$AL$2:$AL$769,"&lt;="&amp;Q$47,Assignments!$AM$2:$AM$769,"&gt;="&amp;Q$47))</f>
        <v/>
      </c>
      <c r="R85" s="11">
        <f>IF($A85="","",SUMIFS(Assignments!$AK$2:$AK$769,Assignments!$A$2:$A$769,$A85,Assignments!$G$2:$G$769,"Active",Assignments!$AI$2:$AI$769,"&lt;="&amp;R$47,Assignments!$AJ$2:$AJ$769,"&gt;="&amp;R$47)+SUMIFS(Assignments!$AN$2:$AN$769,Assignments!$A$2:$A$769,$A85,Assignments!$G$2:$G$769,"Active",Assignments!$AL$2:$AL$769,"&lt;="&amp;R$47,Assignments!$AM$2:$AM$769,"&gt;="&amp;R$47))</f>
        <v/>
      </c>
      <c r="S85" s="11">
        <f>IF($A85="","",SUMIFS(Assignments!$AK$2:$AK$769,Assignments!$A$2:$A$769,$A85,Assignments!$G$2:$G$769,"Active",Assignments!$AI$2:$AI$769,"&lt;="&amp;S$47,Assignments!$AJ$2:$AJ$769,"&gt;="&amp;S$47)+SUMIFS(Assignments!$AN$2:$AN$769,Assignments!$A$2:$A$769,$A85,Assignments!$G$2:$G$769,"Active",Assignments!$AL$2:$AL$769,"&lt;="&amp;S$47,Assignments!$AM$2:$AM$769,"&gt;="&amp;S$47))</f>
        <v/>
      </c>
      <c r="T85" s="11">
        <f>IF($A85="","",SUMIFS(Assignments!$AK$2:$AK$769,Assignments!$A$2:$A$769,$A85,Assignments!$G$2:$G$769,"Active",Assignments!$AI$2:$AI$769,"&lt;="&amp;T$47,Assignments!$AJ$2:$AJ$769,"&gt;="&amp;T$47)+SUMIFS(Assignments!$AN$2:$AN$769,Assignments!$A$2:$A$769,$A85,Assignments!$G$2:$G$769,"Active",Assignments!$AL$2:$AL$769,"&lt;="&amp;T$47,Assignments!$AM$2:$AM$769,"&gt;="&amp;T$47))</f>
        <v/>
      </c>
      <c r="U85" s="11">
        <f>IF($A85="","",SUMIFS(Assignments!$AK$2:$AK$769,Assignments!$A$2:$A$769,$A85,Assignments!$G$2:$G$769,"Active",Assignments!$AI$2:$AI$769,"&lt;="&amp;U$47,Assignments!$AJ$2:$AJ$769,"&gt;="&amp;U$47)+SUMIFS(Assignments!$AN$2:$AN$769,Assignments!$A$2:$A$769,$A85,Assignments!$G$2:$G$769,"Active",Assignments!$AL$2:$AL$769,"&lt;="&amp;U$47,Assignments!$AM$2:$AM$769,"&gt;="&amp;U$47))</f>
        <v/>
      </c>
      <c r="V85" s="11">
        <f>IF($A85="","",SUMIFS(Assignments!$AK$2:$AK$769,Assignments!$A$2:$A$769,$A85,Assignments!$G$2:$G$769,"Active",Assignments!$AI$2:$AI$769,"&lt;="&amp;V$47,Assignments!$AJ$2:$AJ$769,"&gt;="&amp;V$47)+SUMIFS(Assignments!$AN$2:$AN$769,Assignments!$A$2:$A$769,$A85,Assignments!$G$2:$G$769,"Active",Assignments!$AL$2:$AL$769,"&lt;="&amp;V$47,Assignments!$AM$2:$AM$769,"&gt;="&amp;V$47))</f>
        <v/>
      </c>
      <c r="W85" s="11">
        <f>IF($A85="","",SUMIFS(Assignments!$AK$2:$AK$769,Assignments!$A$2:$A$769,$A85,Assignments!$G$2:$G$769,"Active",Assignments!$AI$2:$AI$769,"&lt;="&amp;W$47,Assignments!$AJ$2:$AJ$769,"&gt;="&amp;W$47)+SUMIFS(Assignments!$AN$2:$AN$769,Assignments!$A$2:$A$769,$A85,Assignments!$G$2:$G$769,"Active",Assignments!$AL$2:$AL$769,"&lt;="&amp;W$47,Assignments!$AM$2:$AM$769,"&gt;="&amp;W$47))</f>
        <v/>
      </c>
      <c r="X85" s="11">
        <f>IF($A85="","",SUMIFS(Assignments!$AK$2:$AK$769,Assignments!$A$2:$A$769,$A85,Assignments!$G$2:$G$769,"Active",Assignments!$AI$2:$AI$769,"&lt;="&amp;X$47,Assignments!$AJ$2:$AJ$769,"&gt;="&amp;X$47)+SUMIFS(Assignments!$AN$2:$AN$769,Assignments!$A$2:$A$769,$A85,Assignments!$G$2:$G$769,"Active",Assignments!$AL$2:$AL$769,"&lt;="&amp;X$47,Assignments!$AM$2:$AM$769,"&gt;="&amp;X$47))</f>
        <v/>
      </c>
      <c r="Y85" s="11">
        <f>IF($A85="","",SUMIFS(Assignments!$AK$2:$AK$769,Assignments!$A$2:$A$769,$A85,Assignments!$G$2:$G$769,"Active",Assignments!$AI$2:$AI$769,"&lt;="&amp;Y$47,Assignments!$AJ$2:$AJ$769,"&gt;="&amp;Y$47)+SUMIFS(Assignments!$AN$2:$AN$769,Assignments!$A$2:$A$769,$A85,Assignments!$G$2:$G$769,"Active",Assignments!$AL$2:$AL$769,"&lt;="&amp;Y$47,Assignments!$AM$2:$AM$769,"&gt;="&amp;Y$47))</f>
        <v/>
      </c>
      <c r="Z85" s="11">
        <f>IF($A85="","",SUMIFS(Assignments!$AK$2:$AK$769,Assignments!$A$2:$A$769,$A85,Assignments!$G$2:$G$769,"Active",Assignments!$AI$2:$AI$769,"&lt;="&amp;Z$47,Assignments!$AJ$2:$AJ$769,"&gt;="&amp;Z$47)+SUMIFS(Assignments!$AN$2:$AN$769,Assignments!$A$2:$A$769,$A85,Assignments!$G$2:$G$769,"Active",Assignments!$AL$2:$AL$769,"&lt;="&amp;Z$47,Assignments!$AM$2:$AM$769,"&gt;="&amp;Z$47))</f>
        <v/>
      </c>
      <c r="AA85" s="11">
        <f>IF($A85="","",SUMIFS(Assignments!$AK$2:$AK$769,Assignments!$A$2:$A$769,$A85,Assignments!$G$2:$G$769,"Active",Assignments!$AI$2:$AI$769,"&lt;="&amp;AA$47,Assignments!$AJ$2:$AJ$769,"&gt;="&amp;AA$47)+SUMIFS(Assignments!$AN$2:$AN$769,Assignments!$A$2:$A$769,$A85,Assignments!$G$2:$G$769,"Active",Assignments!$AL$2:$AL$769,"&lt;="&amp;AA$47,Assignments!$AM$2:$AM$769,"&gt;="&amp;AA$47))</f>
        <v/>
      </c>
      <c r="AB85" s="11">
        <f>IF($A85="","",SUMIFS(Assignments!$AK$2:$AK$769,Assignments!$A$2:$A$769,$A85,Assignments!$G$2:$G$769,"Active",Assignments!$AI$2:$AI$769,"&lt;="&amp;AB$47,Assignments!$AJ$2:$AJ$769,"&gt;="&amp;AB$47)+SUMIFS(Assignments!$AN$2:$AN$769,Assignments!$A$2:$A$769,$A85,Assignments!$G$2:$G$769,"Active",Assignments!$AL$2:$AL$769,"&lt;="&amp;AB$47,Assignments!$AM$2:$AM$769,"&gt;="&amp;AB$47))</f>
        <v/>
      </c>
    </row>
    <row r="86">
      <c r="A86" s="9">
        <f>IF(Roster!$A40="","",Roster!$A40)</f>
        <v/>
      </c>
      <c r="B86" s="10">
        <f>IF($A86="","",IFERROR(INDEX(Roster!$D$2:$D$40,MATCH($A86,Roster!$A$2:$A$40,0)),""))</f>
        <v/>
      </c>
      <c r="C86" s="11">
        <f>IF($A86="","",SUMIFS(Assignments!$AK$2:$AK$769,Assignments!$A$2:$A$769,$A86,Assignments!$G$2:$G$769,"Active",Assignments!$AI$2:$AI$769,"&lt;="&amp;C$47,Assignments!$AJ$2:$AJ$769,"&gt;="&amp;C$47)+SUMIFS(Assignments!$AN$2:$AN$769,Assignments!$A$2:$A$769,$A86,Assignments!$G$2:$G$769,"Active",Assignments!$AL$2:$AL$769,"&lt;="&amp;C$47,Assignments!$AM$2:$AM$769,"&gt;="&amp;C$47))</f>
        <v/>
      </c>
      <c r="D86" s="11">
        <f>IF($A86="","",SUMIFS(Assignments!$AK$2:$AK$769,Assignments!$A$2:$A$769,$A86,Assignments!$G$2:$G$769,"Active",Assignments!$AI$2:$AI$769,"&lt;="&amp;D$47,Assignments!$AJ$2:$AJ$769,"&gt;="&amp;D$47)+SUMIFS(Assignments!$AN$2:$AN$769,Assignments!$A$2:$A$769,$A86,Assignments!$G$2:$G$769,"Active",Assignments!$AL$2:$AL$769,"&lt;="&amp;D$47,Assignments!$AM$2:$AM$769,"&gt;="&amp;D$47))</f>
        <v/>
      </c>
      <c r="E86" s="11">
        <f>IF($A86="","",SUMIFS(Assignments!$AK$2:$AK$769,Assignments!$A$2:$A$769,$A86,Assignments!$G$2:$G$769,"Active",Assignments!$AI$2:$AI$769,"&lt;="&amp;E$47,Assignments!$AJ$2:$AJ$769,"&gt;="&amp;E$47)+SUMIFS(Assignments!$AN$2:$AN$769,Assignments!$A$2:$A$769,$A86,Assignments!$G$2:$G$769,"Active",Assignments!$AL$2:$AL$769,"&lt;="&amp;E$47,Assignments!$AM$2:$AM$769,"&gt;="&amp;E$47))</f>
        <v/>
      </c>
      <c r="F86" s="11">
        <f>IF($A86="","",SUMIFS(Assignments!$AK$2:$AK$769,Assignments!$A$2:$A$769,$A86,Assignments!$G$2:$G$769,"Active",Assignments!$AI$2:$AI$769,"&lt;="&amp;F$47,Assignments!$AJ$2:$AJ$769,"&gt;="&amp;F$47)+SUMIFS(Assignments!$AN$2:$AN$769,Assignments!$A$2:$A$769,$A86,Assignments!$G$2:$G$769,"Active",Assignments!$AL$2:$AL$769,"&lt;="&amp;F$47,Assignments!$AM$2:$AM$769,"&gt;="&amp;F$47))</f>
        <v/>
      </c>
      <c r="G86" s="11">
        <f>IF($A86="","",SUMIFS(Assignments!$AK$2:$AK$769,Assignments!$A$2:$A$769,$A86,Assignments!$G$2:$G$769,"Active",Assignments!$AI$2:$AI$769,"&lt;="&amp;G$47,Assignments!$AJ$2:$AJ$769,"&gt;="&amp;G$47)+SUMIFS(Assignments!$AN$2:$AN$769,Assignments!$A$2:$A$769,$A86,Assignments!$G$2:$G$769,"Active",Assignments!$AL$2:$AL$769,"&lt;="&amp;G$47,Assignments!$AM$2:$AM$769,"&gt;="&amp;G$47))</f>
        <v/>
      </c>
      <c r="H86" s="11">
        <f>IF($A86="","",SUMIFS(Assignments!$AK$2:$AK$769,Assignments!$A$2:$A$769,$A86,Assignments!$G$2:$G$769,"Active",Assignments!$AI$2:$AI$769,"&lt;="&amp;H$47,Assignments!$AJ$2:$AJ$769,"&gt;="&amp;H$47)+SUMIFS(Assignments!$AN$2:$AN$769,Assignments!$A$2:$A$769,$A86,Assignments!$G$2:$G$769,"Active",Assignments!$AL$2:$AL$769,"&lt;="&amp;H$47,Assignments!$AM$2:$AM$769,"&gt;="&amp;H$47))</f>
        <v/>
      </c>
      <c r="I86" s="11">
        <f>IF($A86="","",SUMIFS(Assignments!$AK$2:$AK$769,Assignments!$A$2:$A$769,$A86,Assignments!$G$2:$G$769,"Active",Assignments!$AI$2:$AI$769,"&lt;="&amp;I$47,Assignments!$AJ$2:$AJ$769,"&gt;="&amp;I$47)+SUMIFS(Assignments!$AN$2:$AN$769,Assignments!$A$2:$A$769,$A86,Assignments!$G$2:$G$769,"Active",Assignments!$AL$2:$AL$769,"&lt;="&amp;I$47,Assignments!$AM$2:$AM$769,"&gt;="&amp;I$47))</f>
        <v/>
      </c>
      <c r="J86" s="11">
        <f>IF($A86="","",SUMIFS(Assignments!$AK$2:$AK$769,Assignments!$A$2:$A$769,$A86,Assignments!$G$2:$G$769,"Active",Assignments!$AI$2:$AI$769,"&lt;="&amp;J$47,Assignments!$AJ$2:$AJ$769,"&gt;="&amp;J$47)+SUMIFS(Assignments!$AN$2:$AN$769,Assignments!$A$2:$A$769,$A86,Assignments!$G$2:$G$769,"Active",Assignments!$AL$2:$AL$769,"&lt;="&amp;J$47,Assignments!$AM$2:$AM$769,"&gt;="&amp;J$47))</f>
        <v/>
      </c>
      <c r="K86" s="11">
        <f>IF($A86="","",SUMIFS(Assignments!$AK$2:$AK$769,Assignments!$A$2:$A$769,$A86,Assignments!$G$2:$G$769,"Active",Assignments!$AI$2:$AI$769,"&lt;="&amp;K$47,Assignments!$AJ$2:$AJ$769,"&gt;="&amp;K$47)+SUMIFS(Assignments!$AN$2:$AN$769,Assignments!$A$2:$A$769,$A86,Assignments!$G$2:$G$769,"Active",Assignments!$AL$2:$AL$769,"&lt;="&amp;K$47,Assignments!$AM$2:$AM$769,"&gt;="&amp;K$47))</f>
        <v/>
      </c>
      <c r="L86" s="11">
        <f>IF($A86="","",SUMIFS(Assignments!$AK$2:$AK$769,Assignments!$A$2:$A$769,$A86,Assignments!$G$2:$G$769,"Active",Assignments!$AI$2:$AI$769,"&lt;="&amp;L$47,Assignments!$AJ$2:$AJ$769,"&gt;="&amp;L$47)+SUMIFS(Assignments!$AN$2:$AN$769,Assignments!$A$2:$A$769,$A86,Assignments!$G$2:$G$769,"Active",Assignments!$AL$2:$AL$769,"&lt;="&amp;L$47,Assignments!$AM$2:$AM$769,"&gt;="&amp;L$47))</f>
        <v/>
      </c>
      <c r="M86" s="11">
        <f>IF($A86="","",SUMIFS(Assignments!$AK$2:$AK$769,Assignments!$A$2:$A$769,$A86,Assignments!$G$2:$G$769,"Active",Assignments!$AI$2:$AI$769,"&lt;="&amp;M$47,Assignments!$AJ$2:$AJ$769,"&gt;="&amp;M$47)+SUMIFS(Assignments!$AN$2:$AN$769,Assignments!$A$2:$A$769,$A86,Assignments!$G$2:$G$769,"Active",Assignments!$AL$2:$AL$769,"&lt;="&amp;M$47,Assignments!$AM$2:$AM$769,"&gt;="&amp;M$47))</f>
        <v/>
      </c>
      <c r="N86" s="11">
        <f>IF($A86="","",SUMIFS(Assignments!$AK$2:$AK$769,Assignments!$A$2:$A$769,$A86,Assignments!$G$2:$G$769,"Active",Assignments!$AI$2:$AI$769,"&lt;="&amp;N$47,Assignments!$AJ$2:$AJ$769,"&gt;="&amp;N$47)+SUMIFS(Assignments!$AN$2:$AN$769,Assignments!$A$2:$A$769,$A86,Assignments!$G$2:$G$769,"Active",Assignments!$AL$2:$AL$769,"&lt;="&amp;N$47,Assignments!$AM$2:$AM$769,"&gt;="&amp;N$47))</f>
        <v/>
      </c>
      <c r="O86" s="11">
        <f>IF($A86="","",SUMIFS(Assignments!$AK$2:$AK$769,Assignments!$A$2:$A$769,$A86,Assignments!$G$2:$G$769,"Active",Assignments!$AI$2:$AI$769,"&lt;="&amp;O$47,Assignments!$AJ$2:$AJ$769,"&gt;="&amp;O$47)+SUMIFS(Assignments!$AN$2:$AN$769,Assignments!$A$2:$A$769,$A86,Assignments!$G$2:$G$769,"Active",Assignments!$AL$2:$AL$769,"&lt;="&amp;O$47,Assignments!$AM$2:$AM$769,"&gt;="&amp;O$47))</f>
        <v/>
      </c>
      <c r="P86" s="11">
        <f>IF($A86="","",SUMIFS(Assignments!$AK$2:$AK$769,Assignments!$A$2:$A$769,$A86,Assignments!$G$2:$G$769,"Active",Assignments!$AI$2:$AI$769,"&lt;="&amp;P$47,Assignments!$AJ$2:$AJ$769,"&gt;="&amp;P$47)+SUMIFS(Assignments!$AN$2:$AN$769,Assignments!$A$2:$A$769,$A86,Assignments!$G$2:$G$769,"Active",Assignments!$AL$2:$AL$769,"&lt;="&amp;P$47,Assignments!$AM$2:$AM$769,"&gt;="&amp;P$47))</f>
        <v/>
      </c>
      <c r="Q86" s="11">
        <f>IF($A86="","",SUMIFS(Assignments!$AK$2:$AK$769,Assignments!$A$2:$A$769,$A86,Assignments!$G$2:$G$769,"Active",Assignments!$AI$2:$AI$769,"&lt;="&amp;Q$47,Assignments!$AJ$2:$AJ$769,"&gt;="&amp;Q$47)+SUMIFS(Assignments!$AN$2:$AN$769,Assignments!$A$2:$A$769,$A86,Assignments!$G$2:$G$769,"Active",Assignments!$AL$2:$AL$769,"&lt;="&amp;Q$47,Assignments!$AM$2:$AM$769,"&gt;="&amp;Q$47))</f>
        <v/>
      </c>
      <c r="R86" s="11">
        <f>IF($A86="","",SUMIFS(Assignments!$AK$2:$AK$769,Assignments!$A$2:$A$769,$A86,Assignments!$G$2:$G$769,"Active",Assignments!$AI$2:$AI$769,"&lt;="&amp;R$47,Assignments!$AJ$2:$AJ$769,"&gt;="&amp;R$47)+SUMIFS(Assignments!$AN$2:$AN$769,Assignments!$A$2:$A$769,$A86,Assignments!$G$2:$G$769,"Active",Assignments!$AL$2:$AL$769,"&lt;="&amp;R$47,Assignments!$AM$2:$AM$769,"&gt;="&amp;R$47))</f>
        <v/>
      </c>
      <c r="S86" s="11">
        <f>IF($A86="","",SUMIFS(Assignments!$AK$2:$AK$769,Assignments!$A$2:$A$769,$A86,Assignments!$G$2:$G$769,"Active",Assignments!$AI$2:$AI$769,"&lt;="&amp;S$47,Assignments!$AJ$2:$AJ$769,"&gt;="&amp;S$47)+SUMIFS(Assignments!$AN$2:$AN$769,Assignments!$A$2:$A$769,$A86,Assignments!$G$2:$G$769,"Active",Assignments!$AL$2:$AL$769,"&lt;="&amp;S$47,Assignments!$AM$2:$AM$769,"&gt;="&amp;S$47))</f>
        <v/>
      </c>
      <c r="T86" s="11">
        <f>IF($A86="","",SUMIFS(Assignments!$AK$2:$AK$769,Assignments!$A$2:$A$769,$A86,Assignments!$G$2:$G$769,"Active",Assignments!$AI$2:$AI$769,"&lt;="&amp;T$47,Assignments!$AJ$2:$AJ$769,"&gt;="&amp;T$47)+SUMIFS(Assignments!$AN$2:$AN$769,Assignments!$A$2:$A$769,$A86,Assignments!$G$2:$G$769,"Active",Assignments!$AL$2:$AL$769,"&lt;="&amp;T$47,Assignments!$AM$2:$AM$769,"&gt;="&amp;T$47))</f>
        <v/>
      </c>
      <c r="U86" s="11">
        <f>IF($A86="","",SUMIFS(Assignments!$AK$2:$AK$769,Assignments!$A$2:$A$769,$A86,Assignments!$G$2:$G$769,"Active",Assignments!$AI$2:$AI$769,"&lt;="&amp;U$47,Assignments!$AJ$2:$AJ$769,"&gt;="&amp;U$47)+SUMIFS(Assignments!$AN$2:$AN$769,Assignments!$A$2:$A$769,$A86,Assignments!$G$2:$G$769,"Active",Assignments!$AL$2:$AL$769,"&lt;="&amp;U$47,Assignments!$AM$2:$AM$769,"&gt;="&amp;U$47))</f>
        <v/>
      </c>
      <c r="V86" s="11">
        <f>IF($A86="","",SUMIFS(Assignments!$AK$2:$AK$769,Assignments!$A$2:$A$769,$A86,Assignments!$G$2:$G$769,"Active",Assignments!$AI$2:$AI$769,"&lt;="&amp;V$47,Assignments!$AJ$2:$AJ$769,"&gt;="&amp;V$47)+SUMIFS(Assignments!$AN$2:$AN$769,Assignments!$A$2:$A$769,$A86,Assignments!$G$2:$G$769,"Active",Assignments!$AL$2:$AL$769,"&lt;="&amp;V$47,Assignments!$AM$2:$AM$769,"&gt;="&amp;V$47))</f>
        <v/>
      </c>
      <c r="W86" s="11">
        <f>IF($A86="","",SUMIFS(Assignments!$AK$2:$AK$769,Assignments!$A$2:$A$769,$A86,Assignments!$G$2:$G$769,"Active",Assignments!$AI$2:$AI$769,"&lt;="&amp;W$47,Assignments!$AJ$2:$AJ$769,"&gt;="&amp;W$47)+SUMIFS(Assignments!$AN$2:$AN$769,Assignments!$A$2:$A$769,$A86,Assignments!$G$2:$G$769,"Active",Assignments!$AL$2:$AL$769,"&lt;="&amp;W$47,Assignments!$AM$2:$AM$769,"&gt;="&amp;W$47))</f>
        <v/>
      </c>
      <c r="X86" s="11">
        <f>IF($A86="","",SUMIFS(Assignments!$AK$2:$AK$769,Assignments!$A$2:$A$769,$A86,Assignments!$G$2:$G$769,"Active",Assignments!$AI$2:$AI$769,"&lt;="&amp;X$47,Assignments!$AJ$2:$AJ$769,"&gt;="&amp;X$47)+SUMIFS(Assignments!$AN$2:$AN$769,Assignments!$A$2:$A$769,$A86,Assignments!$G$2:$G$769,"Active",Assignments!$AL$2:$AL$769,"&lt;="&amp;X$47,Assignments!$AM$2:$AM$769,"&gt;="&amp;X$47))</f>
        <v/>
      </c>
      <c r="Y86" s="11">
        <f>IF($A86="","",SUMIFS(Assignments!$AK$2:$AK$769,Assignments!$A$2:$A$769,$A86,Assignments!$G$2:$G$769,"Active",Assignments!$AI$2:$AI$769,"&lt;="&amp;Y$47,Assignments!$AJ$2:$AJ$769,"&gt;="&amp;Y$47)+SUMIFS(Assignments!$AN$2:$AN$769,Assignments!$A$2:$A$769,$A86,Assignments!$G$2:$G$769,"Active",Assignments!$AL$2:$AL$769,"&lt;="&amp;Y$47,Assignments!$AM$2:$AM$769,"&gt;="&amp;Y$47))</f>
        <v/>
      </c>
      <c r="Z86" s="11">
        <f>IF($A86="","",SUMIFS(Assignments!$AK$2:$AK$769,Assignments!$A$2:$A$769,$A86,Assignments!$G$2:$G$769,"Active",Assignments!$AI$2:$AI$769,"&lt;="&amp;Z$47,Assignments!$AJ$2:$AJ$769,"&gt;="&amp;Z$47)+SUMIFS(Assignments!$AN$2:$AN$769,Assignments!$A$2:$A$769,$A86,Assignments!$G$2:$G$769,"Active",Assignments!$AL$2:$AL$769,"&lt;="&amp;Z$47,Assignments!$AM$2:$AM$769,"&gt;="&amp;Z$47))</f>
        <v/>
      </c>
      <c r="AA86" s="11">
        <f>IF($A86="","",SUMIFS(Assignments!$AK$2:$AK$769,Assignments!$A$2:$A$769,$A86,Assignments!$G$2:$G$769,"Active",Assignments!$AI$2:$AI$769,"&lt;="&amp;AA$47,Assignments!$AJ$2:$AJ$769,"&gt;="&amp;AA$47)+SUMIFS(Assignments!$AN$2:$AN$769,Assignments!$A$2:$A$769,$A86,Assignments!$G$2:$G$769,"Active",Assignments!$AL$2:$AL$769,"&lt;="&amp;AA$47,Assignments!$AM$2:$AM$769,"&gt;="&amp;AA$47))</f>
        <v/>
      </c>
      <c r="AB86" s="11">
        <f>IF($A86="","",SUMIFS(Assignments!$AK$2:$AK$769,Assignments!$A$2:$A$769,$A86,Assignments!$G$2:$G$769,"Active",Assignments!$AI$2:$AI$769,"&lt;="&amp;AB$47,Assignments!$AJ$2:$AJ$769,"&gt;="&amp;AB$47)+SUMIFS(Assignments!$AN$2:$AN$769,Assignments!$A$2:$A$769,$A86,Assignments!$G$2:$G$769,"Active",Assignments!$AL$2:$AL$769,"&lt;="&amp;AB$47,Assignments!$AM$2:$AM$769,"&gt;="&amp;AB$47))</f>
        <v/>
      </c>
    </row>
    <row r="87"/>
    <row r="88">
      <c r="A88" s="12" t="inlineStr">
        <is>
          <t>Team planned (scenario)</t>
        </is>
      </c>
      <c r="C88" s="13">
        <f>SUM(C48:C86)</f>
        <v/>
      </c>
      <c r="D88" s="13">
        <f>SUM(D48:D86)</f>
        <v/>
      </c>
      <c r="E88" s="13">
        <f>SUM(E48:E86)</f>
        <v/>
      </c>
      <c r="F88" s="13">
        <f>SUM(F48:F86)</f>
        <v/>
      </c>
      <c r="G88" s="13">
        <f>SUM(G48:G86)</f>
        <v/>
      </c>
      <c r="H88" s="13">
        <f>SUM(H48:H86)</f>
        <v/>
      </c>
      <c r="I88" s="13">
        <f>SUM(I48:I86)</f>
        <v/>
      </c>
      <c r="J88" s="13">
        <f>SUM(J48:J86)</f>
        <v/>
      </c>
      <c r="K88" s="13">
        <f>SUM(K48:K86)</f>
        <v/>
      </c>
      <c r="L88" s="13">
        <f>SUM(L48:L86)</f>
        <v/>
      </c>
      <c r="M88" s="13">
        <f>SUM(M48:M86)</f>
        <v/>
      </c>
      <c r="N88" s="13">
        <f>SUM(N48:N86)</f>
        <v/>
      </c>
      <c r="O88" s="13">
        <f>SUM(O48:O86)</f>
        <v/>
      </c>
      <c r="P88" s="13">
        <f>SUM(P48:P86)</f>
        <v/>
      </c>
      <c r="Q88" s="13">
        <f>SUM(Q48:Q86)</f>
        <v/>
      </c>
      <c r="R88" s="13">
        <f>SUM(R48:R86)</f>
        <v/>
      </c>
      <c r="S88" s="13">
        <f>SUM(S48:S86)</f>
        <v/>
      </c>
      <c r="T88" s="13">
        <f>SUM(T48:T86)</f>
        <v/>
      </c>
      <c r="U88" s="13">
        <f>SUM(U48:U86)</f>
        <v/>
      </c>
      <c r="V88" s="13">
        <f>SUM(V48:V86)</f>
        <v/>
      </c>
      <c r="W88" s="13">
        <f>SUM(W48:W86)</f>
        <v/>
      </c>
      <c r="X88" s="13">
        <f>SUM(X48:X86)</f>
        <v/>
      </c>
      <c r="Y88" s="13">
        <f>SUM(Y48:Y86)</f>
        <v/>
      </c>
      <c r="Z88" s="13">
        <f>SUM(Z48:Z86)</f>
        <v/>
      </c>
      <c r="AA88" s="13">
        <f>SUM(AA48:AA86)</f>
        <v/>
      </c>
      <c r="AB88" s="13">
        <f>SUM(AB48:AB86)</f>
        <v/>
      </c>
    </row>
    <row r="89">
      <c r="A89" s="12" t="inlineStr">
        <is>
          <t>Team planned (live)</t>
        </is>
      </c>
      <c r="C89" s="10">
        <f>Capacity!C45</f>
        <v/>
      </c>
      <c r="D89" s="10">
        <f>Capacity!D45</f>
        <v/>
      </c>
      <c r="E89" s="10">
        <f>Capacity!E45</f>
        <v/>
      </c>
      <c r="F89" s="10">
        <f>Capacity!F45</f>
        <v/>
      </c>
      <c r="G89" s="10">
        <f>Capacity!G45</f>
        <v/>
      </c>
      <c r="H89" s="10">
        <f>Capacity!H45</f>
        <v/>
      </c>
      <c r="I89" s="10">
        <f>Capacity!I45</f>
        <v/>
      </c>
      <c r="J89" s="10">
        <f>Capacity!J45</f>
        <v/>
      </c>
      <c r="K89" s="10">
        <f>Capacity!K45</f>
        <v/>
      </c>
      <c r="L89" s="10">
        <f>Capacity!L45</f>
        <v/>
      </c>
      <c r="M89" s="10">
        <f>Capacity!M45</f>
        <v/>
      </c>
      <c r="N89" s="10">
        <f>Capacity!N45</f>
        <v/>
      </c>
      <c r="O89" s="10">
        <f>Capacity!O45</f>
        <v/>
      </c>
      <c r="P89" s="10">
        <f>Capacity!P45</f>
        <v/>
      </c>
      <c r="Q89" s="10">
        <f>Capacity!Q45</f>
        <v/>
      </c>
      <c r="R89" s="10">
        <f>Capacity!R45</f>
        <v/>
      </c>
      <c r="S89" s="10">
        <f>Capacity!S45</f>
        <v/>
      </c>
      <c r="T89" s="10">
        <f>Capacity!T45</f>
        <v/>
      </c>
      <c r="U89" s="10">
        <f>Capacity!U45</f>
        <v/>
      </c>
      <c r="V89" s="10">
        <f>Capacity!V45</f>
        <v/>
      </c>
      <c r="W89" s="10">
        <f>Capacity!W45</f>
        <v/>
      </c>
      <c r="X89" s="10">
        <f>Capacity!X45</f>
        <v/>
      </c>
      <c r="Y89" s="10">
        <f>Capacity!Y45</f>
        <v/>
      </c>
      <c r="Z89" s="10">
        <f>Capacity!Z45</f>
        <v/>
      </c>
      <c r="AA89" s="10">
        <f>Capacity!AA45</f>
        <v/>
      </c>
      <c r="AB89" s="10">
        <f>Capacity!AB45</f>
        <v/>
      </c>
    </row>
    <row r="90">
      <c r="A90" s="12" t="inlineStr">
        <is>
          <t>Change</t>
        </is>
      </c>
      <c r="C90" s="27">
        <f>C88-C89</f>
        <v/>
      </c>
      <c r="D90" s="27">
        <f>D88-D89</f>
        <v/>
      </c>
      <c r="E90" s="27">
        <f>E88-E89</f>
        <v/>
      </c>
      <c r="F90" s="27">
        <f>F88-F89</f>
        <v/>
      </c>
      <c r="G90" s="27">
        <f>G88-G89</f>
        <v/>
      </c>
      <c r="H90" s="27">
        <f>H88-H89</f>
        <v/>
      </c>
      <c r="I90" s="27">
        <f>I88-I89</f>
        <v/>
      </c>
      <c r="J90" s="27">
        <f>J88-J89</f>
        <v/>
      </c>
      <c r="K90" s="27">
        <f>K88-K89</f>
        <v/>
      </c>
      <c r="L90" s="27">
        <f>L88-L89</f>
        <v/>
      </c>
      <c r="M90" s="27">
        <f>M88-M89</f>
        <v/>
      </c>
      <c r="N90" s="27">
        <f>N88-N89</f>
        <v/>
      </c>
      <c r="O90" s="27">
        <f>O88-O89</f>
        <v/>
      </c>
      <c r="P90" s="27">
        <f>P88-P89</f>
        <v/>
      </c>
      <c r="Q90" s="27">
        <f>Q88-Q89</f>
        <v/>
      </c>
      <c r="R90" s="27">
        <f>R88-R89</f>
        <v/>
      </c>
      <c r="S90" s="27">
        <f>S88-S89</f>
        <v/>
      </c>
      <c r="T90" s="27">
        <f>T88-T89</f>
        <v/>
      </c>
      <c r="U90" s="27">
        <f>U88-U89</f>
        <v/>
      </c>
      <c r="V90" s="27">
        <f>V88-V89</f>
        <v/>
      </c>
      <c r="W90" s="27">
        <f>W88-W89</f>
        <v/>
      </c>
      <c r="X90" s="27">
        <f>X88-X89</f>
        <v/>
      </c>
      <c r="Y90" s="27">
        <f>Y88-Y89</f>
        <v/>
      </c>
      <c r="Z90" s="27">
        <f>Z88-Z89</f>
        <v/>
      </c>
      <c r="AA90" s="27">
        <f>AA88-AA89</f>
        <v/>
      </c>
      <c r="AB90" s="27">
        <f>AB88-AB89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6:G44">
    <cfRule type="expression" priority="1" dxfId="0" stopIfTrue="1">
      <formula>OR($G6="NEWLY OVER",$G6="over")</formula>
    </cfRule>
    <cfRule type="expression" priority="2" dxfId="3" stopIfTrue="1">
      <formula>$G6="eased"</formula>
    </cfRule>
  </conditionalFormatting>
  <conditionalFormatting sqref="E6:E44">
    <cfRule type="expression" priority="3" dxfId="4">
      <formula>AND(ISNUMBER($E6),$E6&lt;&gt;0)</formula>
    </cfRule>
  </conditionalFormatting>
  <conditionalFormatting sqref="C48:AB86">
    <cfRule type="expression" priority="4" dxfId="0" stopIfTrue="1">
      <formula>AND(ISNUMBER(C48),ISNUMBER($B48),C48&gt;$B48)</formula>
    </cfRule>
    <cfRule type="expression" priority="5" dxfId="1" stopIfTrue="1">
      <formula>AND(ISNUMBER(C48),ISNUMBER($B48),C48&gt;0.85*$B48)</formula>
    </cfRule>
  </conditionalFormatting>
  <conditionalFormatting sqref="C90:AB90">
    <cfRule type="expression" priority="6" dxfId="4">
      <formula>C90&lt;&gt;0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X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hidden="1" width="13" customWidth="1" min="11" max="11"/>
    <col hidden="1" width="13" customWidth="1" min="12" max="12"/>
    <col hidden="1" width="14" customWidth="1" min="13" max="13"/>
    <col hidden="1" width="14" customWidth="1" min="14" max="14"/>
    <col hidden="1" width="16" customWidth="1" min="15" max="15"/>
    <col hidden="1"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  <col width="14" customWidth="1" min="27" max="27"/>
    <col width="12" customWidth="1" min="28" max="28"/>
    <col width="12" customWidth="1" min="29" max="29"/>
    <col width="11" customWidth="1" min="30" max="30"/>
    <col width="12" customWidth="1" min="31" max="31"/>
    <col width="12" customWidth="1" min="32" max="32"/>
    <col width="14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</cols>
  <sheetData>
    <row r="1" ht="28" customHeight="1">
      <c r="A1" s="15" t="inlineStr">
        <is>
          <t>Project ID</t>
        </is>
      </c>
      <c r="B1" s="15" t="inlineStr">
        <is>
          <t>Client (as filed)</t>
        </is>
      </c>
      <c r="C1" s="15" t="inlineStr">
        <is>
          <t>Primary client</t>
        </is>
      </c>
      <c r="D1" s="15" t="inlineStr">
        <is>
          <t>End client / target</t>
        </is>
      </c>
      <c r="E1" s="15" t="inlineStr">
        <is>
          <t>Referral?</t>
        </is>
      </c>
      <c r="F1" s="15" t="inlineStr">
        <is>
          <t>Lifecycle</t>
        </is>
      </c>
      <c r="G1" s="15" t="inlineStr">
        <is>
          <t>Phase</t>
        </is>
      </c>
      <c r="H1" s="15" t="inlineStr">
        <is>
          <t>Probability</t>
        </is>
      </c>
      <c r="I1" s="15" t="inlineStr">
        <is>
          <t>Expected start</t>
        </is>
      </c>
      <c r="J1" s="15" t="inlineStr">
        <is>
          <t>Expected end</t>
        </is>
      </c>
      <c r="K1" s="15" t="inlineStr">
        <is>
          <t>(retired: workstream scoping -&gt;)</t>
        </is>
      </c>
      <c r="L1" s="15" t="inlineStr">
        <is>
          <t>(retired)</t>
        </is>
      </c>
      <c r="M1" s="15" t="inlineStr">
        <is>
          <t>(retired)</t>
        </is>
      </c>
      <c r="N1" s="15" t="inlineStr">
        <is>
          <t>(retired)</t>
        </is>
      </c>
      <c r="O1" s="15" t="inlineStr">
        <is>
          <t>(retired)</t>
        </is>
      </c>
      <c r="P1" s="15" t="inlineStr">
        <is>
          <t>(retired)</t>
        </is>
      </c>
      <c r="Q1" s="15" t="inlineStr">
        <is>
          <t># staffed</t>
        </is>
      </c>
      <c r="R1" s="15" t="inlineStr">
        <is>
          <t>Planned hrs/wk</t>
        </is>
      </c>
      <c r="S1" s="15" t="inlineStr">
        <is>
          <t>Source status (Jul 9)</t>
        </is>
      </c>
      <c r="T1" s="15" t="inlineStr">
        <is>
          <t>Notes</t>
        </is>
      </c>
      <c r="U1" s="15" t="inlineStr">
        <is>
          <t>Effort archetype (legacy)</t>
        </is>
      </c>
      <c r="V1" s="15" t="inlineStr">
        <is>
          <t>Front x (calc)</t>
        </is>
      </c>
      <c r="W1" s="15" t="inlineStr">
        <is>
          <t>Tail x (calc)</t>
        </is>
      </c>
      <c r="X1" s="15" t="inlineStr">
        <is>
          <t>Front frac (calc)</t>
        </is>
      </c>
      <c r="Y1" s="15" t="inlineStr">
        <is>
          <t>Phase split date (calc)</t>
        </is>
      </c>
      <c r="Z1" s="15" t="inlineStr">
        <is>
          <t>Added on</t>
        </is>
      </c>
      <c r="AA1" s="15" t="inlineStr">
        <is>
          <t>SCENARIO probability</t>
        </is>
      </c>
      <c r="AB1" s="15" t="inlineStr">
        <is>
          <t>SCENARIO start</t>
        </is>
      </c>
      <c r="AC1" s="15" t="inlineStr">
        <is>
          <t>SCENARIO end</t>
        </is>
      </c>
      <c r="AD1" s="15" t="inlineStr">
        <is>
          <t>Eff. scn prob (calc)</t>
        </is>
      </c>
      <c r="AE1" s="15" t="inlineStr">
        <is>
          <t>Eff. scn start (calc)</t>
        </is>
      </c>
      <c r="AF1" s="15" t="inlineStr">
        <is>
          <t>Eff. scn end (calc)</t>
        </is>
      </c>
      <c r="AG1" s="15" t="inlineStr">
        <is>
          <t>Scenario split (calc)</t>
        </is>
      </c>
      <c r="AH1" s="15" t="inlineStr">
        <is>
          <t>TDD deal type</t>
        </is>
      </c>
      <c r="AI1" s="15" t="inlineStr">
        <is>
          <t>Domestic only? (Y/N)</t>
        </is>
      </c>
      <c r="AJ1" s="15" t="inlineStr">
        <is>
          <t>TDD scope</t>
        </is>
      </c>
      <c r="AK1" s="15" t="inlineStr">
        <is>
          <t>Other TDD scoping</t>
        </is>
      </c>
      <c r="AL1" s="15" t="inlineStr">
        <is>
          <t>Modeling: Corporate tax modeling</t>
        </is>
      </c>
      <c r="AM1" s="15" t="inlineStr">
        <is>
          <t>Modeling: Tracking Model Review</t>
        </is>
      </c>
      <c r="AN1" s="15" t="inlineStr">
        <is>
          <t>Modeling: Property tax Modeling</t>
        </is>
      </c>
      <c r="AO1" s="15" t="inlineStr">
        <is>
          <t>Modeling: SALT Modeling</t>
        </is>
      </c>
      <c r="AP1" s="15" t="inlineStr">
        <is>
          <t>Modeling: Tax Credit Assumption Review</t>
        </is>
      </c>
      <c r="AQ1" s="15" t="inlineStr">
        <is>
          <t>Modeling: Step Up Calculation</t>
        </is>
      </c>
      <c r="AR1" s="15" t="inlineStr">
        <is>
          <t>Modeling: Section 382 limitation</t>
        </is>
      </c>
      <c r="AS1" s="15" t="inlineStr">
        <is>
          <t>Modeling: FIRPTA Modeling</t>
        </is>
      </c>
      <c r="AT1" s="15" t="inlineStr">
        <is>
          <t>Modeling: Other modeling complexities</t>
        </is>
      </c>
      <c r="AU1" s="15" t="inlineStr">
        <is>
          <t>Structuring: Strawman deck</t>
        </is>
      </c>
      <c r="AV1" s="15" t="inlineStr">
        <is>
          <t>Structuring: Structure paper</t>
        </is>
      </c>
      <c r="AW1" s="15" t="inlineStr">
        <is>
          <t>Structuring: Opinion</t>
        </is>
      </c>
      <c r="AX1" s="15" t="inlineStr">
        <is>
          <t>Legal docs review</t>
        </is>
      </c>
    </row>
    <row r="2">
      <c r="A2" s="28" t="inlineStr">
        <is>
          <t>EXAMPLE_0</t>
        </is>
      </c>
      <c r="B2" s="20" t="inlineStr">
        <is>
          <t>Example Client LLC : Example Target</t>
        </is>
      </c>
      <c r="C2" s="28" t="inlineStr">
        <is>
          <t>Example Client LLC</t>
        </is>
      </c>
      <c r="D2" s="28" t="inlineStr">
        <is>
          <t>Example Target</t>
        </is>
      </c>
      <c r="E2" s="28" t="inlineStr">
        <is>
          <t>No</t>
        </is>
      </c>
      <c r="F2" s="28" t="inlineStr">
        <is>
          <t>Active</t>
        </is>
      </c>
      <c r="G2" s="28" t="inlineStr">
        <is>
          <t>Diligence</t>
        </is>
      </c>
      <c r="H2" s="29" t="n">
        <v>1</v>
      </c>
      <c r="I2" s="30" t="n">
        <v>46223</v>
      </c>
      <c r="J2" s="30" t="n">
        <v>46325</v>
      </c>
      <c r="K2" s="31" t="n"/>
      <c r="L2" s="31" t="n"/>
      <c r="M2" s="31" t="n"/>
      <c r="N2" s="31" t="n"/>
      <c r="O2" s="31" t="n"/>
      <c r="P2" s="31" t="n"/>
      <c r="Q2" s="23">
        <f>IF($A2="","",COUNTIFS(Assignments!$C$2:$C$769,$A2,Assignments!$G$2:$G$769,"Active"))</f>
        <v/>
      </c>
      <c r="R2" s="32">
        <f>IF($A2="","",SUMIFS(Assignments!$I$2:$I$769,Assignments!$C$2:$C$769,$A2,Assignments!$G$2:$G$769,"Active"))</f>
        <v/>
      </c>
      <c r="S2" s="20" t="inlineStr">
        <is>
          <t>(example)</t>
        </is>
      </c>
      <c r="T2" s="33" t="inlineStr">
        <is>
          <t>EXAMPLE row - shows the expected formats; delete any time. Nobody is staffed on it.</t>
        </is>
      </c>
      <c r="U2" s="28" t="inlineStr">
        <is>
          <t>Buy-side TDD + Structuring</t>
        </is>
      </c>
      <c r="V2" s="34">
        <f>IF($U2="","",IFERROR(INDEX(Templates!$K$3:$K$10,MATCH($U2,Templates!$A$3:$A$10,0)),""))</f>
        <v/>
      </c>
      <c r="W2" s="34">
        <f>IF($U2="","",IFERROR(INDEX(Templates!$L$3:$L$10,MATCH($U2,Templates!$A$3:$A$10,0)),""))</f>
        <v/>
      </c>
      <c r="X2" s="21">
        <f>IF($U2="","",IFERROR(INDEX(Templates!$J$3:$J$10,MATCH($U2,Templates!$A$3:$A$10,0)),""))</f>
        <v/>
      </c>
      <c r="Y2" s="35">
        <f>IF(OR($U2="",$I2="",$J2="",$X2=""),"",$I2+$X2*($J2-$I2))</f>
        <v/>
      </c>
      <c r="Z2" s="30" t="n">
        <v>46212</v>
      </c>
      <c r="AA2" s="29" t="n"/>
      <c r="AB2" s="30" t="n"/>
      <c r="AC2" s="30" t="n"/>
      <c r="AD2" s="19">
        <f>IF($A2="","",IF($AA2="",$H2,$AA2))</f>
        <v/>
      </c>
      <c r="AE2" s="35">
        <f>IF($A2="","",IF($AB2="",$I2,$AB2))</f>
        <v/>
      </c>
      <c r="AF2" s="35">
        <f>IF($A2="","",IF($AC2="",$J2,$AC2))</f>
        <v/>
      </c>
      <c r="AG2" s="35">
        <f>IF(OR($U2="",$AE2="",$AF2="",$X2=""),"",$AE2+$X2*($AF2-$AE2))</f>
        <v/>
      </c>
      <c r="AH2" s="28" t="inlineStr">
        <is>
          <t>Asset Deal (or DRE)</t>
        </is>
      </c>
      <c r="AI2" s="28" t="inlineStr">
        <is>
          <t>Y</t>
        </is>
      </c>
      <c r="AJ2" s="28" t="inlineStr">
        <is>
          <t>Limited Procedures</t>
        </is>
      </c>
      <c r="AK2" s="28" t="inlineStr">
        <is>
          <t>Carve out</t>
        </is>
      </c>
      <c r="AL2" s="28" t="inlineStr">
        <is>
          <t>Building roll up</t>
        </is>
      </c>
      <c r="AM2" s="28" t="inlineStr"/>
      <c r="AN2" s="28" t="inlineStr"/>
      <c r="AO2" s="28" t="inlineStr">
        <is>
          <t>Y</t>
        </is>
      </c>
      <c r="AP2" s="28" t="inlineStr"/>
      <c r="AQ2" s="28" t="inlineStr">
        <is>
          <t>Y</t>
        </is>
      </c>
      <c r="AR2" s="28" t="inlineStr"/>
      <c r="AS2" s="28" t="inlineStr"/>
      <c r="AT2" s="28" t="inlineStr"/>
      <c r="AU2" s="28" t="inlineStr">
        <is>
          <t>Y</t>
        </is>
      </c>
      <c r="AV2" s="28" t="inlineStr"/>
      <c r="AW2" s="28" t="inlineStr"/>
      <c r="AX2" s="28" t="inlineStr">
        <is>
          <t>Y</t>
        </is>
      </c>
    </row>
    <row r="3">
      <c r="A3" s="28" t="inlineStr">
        <is>
          <t>2026 Structuring_1</t>
        </is>
      </c>
      <c r="B3" s="20" t="inlineStr">
        <is>
          <t>Torch Clean Energy</t>
        </is>
      </c>
      <c r="C3" s="28" t="inlineStr">
        <is>
          <t>Torch Clean Energy</t>
        </is>
      </c>
      <c r="D3" s="28" t="inlineStr"/>
      <c r="E3" s="28" t="inlineStr">
        <is>
          <t>No</t>
        </is>
      </c>
      <c r="F3" s="28" t="inlineStr">
        <is>
          <t>Active</t>
        </is>
      </c>
      <c r="G3" s="36" t="n"/>
      <c r="H3" s="29" t="n">
        <v>1</v>
      </c>
      <c r="I3" s="37" t="n"/>
      <c r="J3" s="37" t="n"/>
      <c r="K3" s="31" t="n"/>
      <c r="L3" s="31" t="n"/>
      <c r="M3" s="31" t="n"/>
      <c r="N3" s="31" t="n"/>
      <c r="O3" s="31" t="n"/>
      <c r="P3" s="31" t="n"/>
      <c r="Q3" s="23">
        <f>IF($A3="","",COUNTIFS(Assignments!$C$2:$C$769,$A3,Assignments!$G$2:$G$769,"Active"))</f>
        <v/>
      </c>
      <c r="R3" s="32">
        <f>IF($A3="","",SUMIFS(Assignments!$I$2:$I$769,Assignments!$C$2:$C$769,$A3,Assignments!$G$2:$G$769,"Active"))</f>
        <v/>
      </c>
      <c r="S3" s="20" t="inlineStr">
        <is>
          <t>WIP</t>
        </is>
      </c>
      <c r="T3" s="31" t="n"/>
      <c r="U3" s="36" t="n"/>
      <c r="V3" s="34">
        <f>IF($U3="","",IFERROR(INDEX(Templates!$K$3:$K$10,MATCH($U3,Templates!$A$3:$A$10,0)),""))</f>
        <v/>
      </c>
      <c r="W3" s="34">
        <f>IF($U3="","",IFERROR(INDEX(Templates!$L$3:$L$10,MATCH($U3,Templates!$A$3:$A$10,0)),""))</f>
        <v/>
      </c>
      <c r="X3" s="21">
        <f>IF($U3="","",IFERROR(INDEX(Templates!$J$3:$J$10,MATCH($U3,Templates!$A$3:$A$10,0)),""))</f>
        <v/>
      </c>
      <c r="Y3" s="35">
        <f>IF(OR($U3="",$I3="",$J3="",$X3=""),"",$I3+$X3*($J3-$I3))</f>
        <v/>
      </c>
      <c r="Z3" s="30" t="n">
        <v>46212</v>
      </c>
      <c r="AA3" s="38" t="n"/>
      <c r="AB3" s="39" t="n"/>
      <c r="AC3" s="39" t="n"/>
      <c r="AD3" s="19">
        <f>IF($A3="","",IF($AA3="",$H3,$AA3))</f>
        <v/>
      </c>
      <c r="AE3" s="35">
        <f>IF($A3="","",IF($AB3="",$I3,$AB3))</f>
        <v/>
      </c>
      <c r="AF3" s="35">
        <f>IF($A3="","",IF($AC3="",$J3,$AC3))</f>
        <v/>
      </c>
      <c r="AG3" s="35">
        <f>IF(OR($U3="",$AE3="",$AF3="",$X3=""),"",$AE3+$X3*($AF3-$AE3))</f>
        <v/>
      </c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6" t="n"/>
      <c r="AR3" s="36" t="n"/>
      <c r="AS3" s="36" t="n"/>
      <c r="AT3" s="36" t="n"/>
      <c r="AU3" s="36" t="n"/>
      <c r="AV3" s="36" t="n"/>
      <c r="AW3" s="36" t="n"/>
      <c r="AX3" s="36" t="n"/>
    </row>
    <row r="4">
      <c r="A4" s="28" t="inlineStr">
        <is>
          <t>360_2</t>
        </is>
      </c>
      <c r="B4" s="20" t="inlineStr">
        <is>
          <t>360 Behavioral Health</t>
        </is>
      </c>
      <c r="C4" s="28" t="inlineStr">
        <is>
          <t>360 Behavioral Health</t>
        </is>
      </c>
      <c r="D4" s="28" t="inlineStr"/>
      <c r="E4" s="28" t="inlineStr">
        <is>
          <t>No</t>
        </is>
      </c>
      <c r="F4" s="28" t="inlineStr">
        <is>
          <t>Active</t>
        </is>
      </c>
      <c r="G4" s="36" t="n"/>
      <c r="H4" s="29" t="n">
        <v>1</v>
      </c>
      <c r="I4" s="37" t="n"/>
      <c r="J4" s="37" t="n"/>
      <c r="K4" s="31" t="n"/>
      <c r="L4" s="31" t="n"/>
      <c r="M4" s="31" t="n"/>
      <c r="N4" s="31" t="n"/>
      <c r="O4" s="31" t="n"/>
      <c r="P4" s="31" t="n"/>
      <c r="Q4" s="23">
        <f>IF($A4="","",COUNTIFS(Assignments!$C$2:$C$769,$A4,Assignments!$G$2:$G$769,"Active"))</f>
        <v/>
      </c>
      <c r="R4" s="32">
        <f>IF($A4="","",SUMIFS(Assignments!$I$2:$I$769,Assignments!$C$2:$C$769,$A4,Assignments!$G$2:$G$769,"Active"))</f>
        <v/>
      </c>
      <c r="S4" s="20" t="inlineStr">
        <is>
          <t>WIP</t>
        </is>
      </c>
      <c r="T4" s="31" t="n"/>
      <c r="U4" s="36" t="n"/>
      <c r="V4" s="34">
        <f>IF($U4="","",IFERROR(INDEX(Templates!$K$3:$K$10,MATCH($U4,Templates!$A$3:$A$10,0)),""))</f>
        <v/>
      </c>
      <c r="W4" s="34">
        <f>IF($U4="","",IFERROR(INDEX(Templates!$L$3:$L$10,MATCH($U4,Templates!$A$3:$A$10,0)),""))</f>
        <v/>
      </c>
      <c r="X4" s="21">
        <f>IF($U4="","",IFERROR(INDEX(Templates!$J$3:$J$10,MATCH($U4,Templates!$A$3:$A$10,0)),""))</f>
        <v/>
      </c>
      <c r="Y4" s="35">
        <f>IF(OR($U4="",$I4="",$J4="",$X4=""),"",$I4+$X4*($J4-$I4))</f>
        <v/>
      </c>
      <c r="Z4" s="30" t="n">
        <v>46212</v>
      </c>
      <c r="AA4" s="38" t="n"/>
      <c r="AB4" s="39" t="n"/>
      <c r="AC4" s="39" t="n"/>
      <c r="AD4" s="19">
        <f>IF($A4="","",IF($AA4="",$H4,$AA4))</f>
        <v/>
      </c>
      <c r="AE4" s="35">
        <f>IF($A4="","",IF($AB4="",$I4,$AB4))</f>
        <v/>
      </c>
      <c r="AF4" s="35">
        <f>IF($A4="","",IF($AC4="",$J4,$AC4))</f>
        <v/>
      </c>
      <c r="AG4" s="35">
        <f>IF(OR($U4="",$AE4="",$AF4="",$X4=""),"",$AE4+$X4*($AF4-$AE4))</f>
        <v/>
      </c>
      <c r="AH4" s="36" t="n"/>
      <c r="AI4" s="36" t="n"/>
      <c r="AJ4" s="36" t="n"/>
      <c r="AK4" s="36" t="n"/>
      <c r="AL4" s="36" t="n"/>
      <c r="AM4" s="36" t="n"/>
      <c r="AN4" s="36" t="n"/>
      <c r="AO4" s="36" t="n"/>
      <c r="AP4" s="36" t="n"/>
      <c r="AQ4" s="36" t="n"/>
      <c r="AR4" s="36" t="n"/>
      <c r="AS4" s="36" t="n"/>
      <c r="AT4" s="36" t="n"/>
      <c r="AU4" s="36" t="n"/>
      <c r="AV4" s="36" t="n"/>
      <c r="AW4" s="36" t="n"/>
      <c r="AX4" s="36" t="n"/>
    </row>
    <row r="5">
      <c r="A5" s="28" t="inlineStr">
        <is>
          <t>5C Ocean_1</t>
        </is>
      </c>
      <c r="B5" s="20" t="inlineStr">
        <is>
          <t>5C AI Group Inc.</t>
        </is>
      </c>
      <c r="C5" s="28" t="inlineStr">
        <is>
          <t>5C AI Group Inc.</t>
        </is>
      </c>
      <c r="D5" s="28" t="inlineStr"/>
      <c r="E5" s="28" t="inlineStr">
        <is>
          <t>No</t>
        </is>
      </c>
      <c r="F5" s="28" t="inlineStr">
        <is>
          <t>Active</t>
        </is>
      </c>
      <c r="G5" s="36" t="n"/>
      <c r="H5" s="29" t="n">
        <v>1</v>
      </c>
      <c r="I5" s="37" t="n"/>
      <c r="J5" s="37" t="n"/>
      <c r="K5" s="31" t="n"/>
      <c r="L5" s="31" t="n"/>
      <c r="M5" s="31" t="n"/>
      <c r="N5" s="31" t="n"/>
      <c r="O5" s="31" t="n"/>
      <c r="P5" s="31" t="n"/>
      <c r="Q5" s="23">
        <f>IF($A5="","",COUNTIFS(Assignments!$C$2:$C$769,$A5,Assignments!$G$2:$G$769,"Active"))</f>
        <v/>
      </c>
      <c r="R5" s="32">
        <f>IF($A5="","",SUMIFS(Assignments!$I$2:$I$769,Assignments!$C$2:$C$769,$A5,Assignments!$G$2:$G$769,"Active"))</f>
        <v/>
      </c>
      <c r="S5" s="20" t="inlineStr">
        <is>
          <t>WIP</t>
        </is>
      </c>
      <c r="T5" s="31" t="n"/>
      <c r="U5" s="36" t="n"/>
      <c r="V5" s="34">
        <f>IF($U5="","",IFERROR(INDEX(Templates!$K$3:$K$10,MATCH($U5,Templates!$A$3:$A$10,0)),""))</f>
        <v/>
      </c>
      <c r="W5" s="34">
        <f>IF($U5="","",IFERROR(INDEX(Templates!$L$3:$L$10,MATCH($U5,Templates!$A$3:$A$10,0)),""))</f>
        <v/>
      </c>
      <c r="X5" s="21">
        <f>IF($U5="","",IFERROR(INDEX(Templates!$J$3:$J$10,MATCH($U5,Templates!$A$3:$A$10,0)),""))</f>
        <v/>
      </c>
      <c r="Y5" s="35">
        <f>IF(OR($U5="",$I5="",$J5="",$X5=""),"",$I5+$X5*($J5-$I5))</f>
        <v/>
      </c>
      <c r="Z5" s="30" t="n">
        <v>46212</v>
      </c>
      <c r="AA5" s="38" t="n"/>
      <c r="AB5" s="39" t="n"/>
      <c r="AC5" s="39" t="n"/>
      <c r="AD5" s="19">
        <f>IF($A5="","",IF($AA5="",$H5,$AA5))</f>
        <v/>
      </c>
      <c r="AE5" s="35">
        <f>IF($A5="","",IF($AB5="",$I5,$AB5))</f>
        <v/>
      </c>
      <c r="AF5" s="35">
        <f>IF($A5="","",IF($AC5="",$J5,$AC5))</f>
        <v/>
      </c>
      <c r="AG5" s="35">
        <f>IF(OR($U5="",$AE5="",$AF5="",$X5=""),"",$AE5+$X5*($AF5-$AE5))</f>
        <v/>
      </c>
      <c r="AH5" s="36" t="n"/>
      <c r="AI5" s="36" t="n"/>
      <c r="AJ5" s="36" t="n"/>
      <c r="AK5" s="36" t="n"/>
      <c r="AL5" s="36" t="n"/>
      <c r="AM5" s="36" t="n"/>
      <c r="AN5" s="36" t="n"/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</row>
    <row r="6">
      <c r="A6" s="28" t="inlineStr">
        <is>
          <t>80/20 Assistance_1</t>
        </is>
      </c>
      <c r="B6" s="20" t="inlineStr">
        <is>
          <t>CVC Capital Partners : DIF Capital Partners</t>
        </is>
      </c>
      <c r="C6" s="28" t="inlineStr">
        <is>
          <t>CVC Capital Partners</t>
        </is>
      </c>
      <c r="D6" s="28" t="inlineStr">
        <is>
          <t>DIF Capital Partners</t>
        </is>
      </c>
      <c r="E6" s="28" t="inlineStr">
        <is>
          <t>No</t>
        </is>
      </c>
      <c r="F6" s="28" t="inlineStr">
        <is>
          <t>Active</t>
        </is>
      </c>
      <c r="G6" s="36" t="n"/>
      <c r="H6" s="29" t="n">
        <v>1</v>
      </c>
      <c r="I6" s="37" t="n"/>
      <c r="J6" s="37" t="n"/>
      <c r="K6" s="31" t="n"/>
      <c r="L6" s="31" t="n"/>
      <c r="M6" s="31" t="n"/>
      <c r="N6" s="31" t="n"/>
      <c r="O6" s="31" t="n"/>
      <c r="P6" s="31" t="n"/>
      <c r="Q6" s="23">
        <f>IF($A6="","",COUNTIFS(Assignments!$C$2:$C$769,$A6,Assignments!$G$2:$G$769,"Active"))</f>
        <v/>
      </c>
      <c r="R6" s="32">
        <f>IF($A6="","",SUMIFS(Assignments!$I$2:$I$769,Assignments!$C$2:$C$769,$A6,Assignments!$G$2:$G$769,"Active"))</f>
        <v/>
      </c>
      <c r="S6" s="20" t="inlineStr">
        <is>
          <t>WIP</t>
        </is>
      </c>
      <c r="T6" s="31" t="n"/>
      <c r="U6" s="36" t="n"/>
      <c r="V6" s="34">
        <f>IF($U6="","",IFERROR(INDEX(Templates!$K$3:$K$10,MATCH($U6,Templates!$A$3:$A$10,0)),""))</f>
        <v/>
      </c>
      <c r="W6" s="34">
        <f>IF($U6="","",IFERROR(INDEX(Templates!$L$3:$L$10,MATCH($U6,Templates!$A$3:$A$10,0)),""))</f>
        <v/>
      </c>
      <c r="X6" s="21">
        <f>IF($U6="","",IFERROR(INDEX(Templates!$J$3:$J$10,MATCH($U6,Templates!$A$3:$A$10,0)),""))</f>
        <v/>
      </c>
      <c r="Y6" s="35">
        <f>IF(OR($U6="",$I6="",$J6="",$X6=""),"",$I6+$X6*($J6-$I6))</f>
        <v/>
      </c>
      <c r="Z6" s="30" t="n">
        <v>46212</v>
      </c>
      <c r="AA6" s="38" t="n"/>
      <c r="AB6" s="39" t="n"/>
      <c r="AC6" s="39" t="n"/>
      <c r="AD6" s="19">
        <f>IF($A6="","",IF($AA6="",$H6,$AA6))</f>
        <v/>
      </c>
      <c r="AE6" s="35">
        <f>IF($A6="","",IF($AB6="",$I6,$AB6))</f>
        <v/>
      </c>
      <c r="AF6" s="35">
        <f>IF($A6="","",IF($AC6="",$J6,$AC6))</f>
        <v/>
      </c>
      <c r="AG6" s="35">
        <f>IF(OR($U6="",$AE6="",$AF6="",$X6=""),"",$AE6+$X6*($AF6-$AE6))</f>
        <v/>
      </c>
      <c r="AH6" s="36" t="n"/>
      <c r="AI6" s="36" t="n"/>
      <c r="AJ6" s="36" t="n"/>
      <c r="AK6" s="36" t="n"/>
      <c r="AL6" s="36" t="n"/>
      <c r="AM6" s="36" t="n"/>
      <c r="AN6" s="36" t="n"/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</row>
    <row r="7">
      <c r="A7" s="28" t="inlineStr">
        <is>
          <t>Adanac_1</t>
        </is>
      </c>
      <c r="B7" s="20" t="inlineStr">
        <is>
          <t>Walk-On Capital</t>
        </is>
      </c>
      <c r="C7" s="28" t="inlineStr">
        <is>
          <t>Walk-On Capital</t>
        </is>
      </c>
      <c r="D7" s="28" t="inlineStr"/>
      <c r="E7" s="28" t="inlineStr">
        <is>
          <t>No</t>
        </is>
      </c>
      <c r="F7" s="28" t="inlineStr">
        <is>
          <t>Active</t>
        </is>
      </c>
      <c r="G7" s="36" t="n"/>
      <c r="H7" s="29" t="n">
        <v>1</v>
      </c>
      <c r="I7" s="37" t="n"/>
      <c r="J7" s="37" t="n"/>
      <c r="K7" s="31" t="n"/>
      <c r="L7" s="31" t="n"/>
      <c r="M7" s="31" t="n"/>
      <c r="N7" s="31" t="n"/>
      <c r="O7" s="31" t="n"/>
      <c r="P7" s="31" t="n"/>
      <c r="Q7" s="23">
        <f>IF($A7="","",COUNTIFS(Assignments!$C$2:$C$769,$A7,Assignments!$G$2:$G$769,"Active"))</f>
        <v/>
      </c>
      <c r="R7" s="32">
        <f>IF($A7="","",SUMIFS(Assignments!$I$2:$I$769,Assignments!$C$2:$C$769,$A7,Assignments!$G$2:$G$769,"Active"))</f>
        <v/>
      </c>
      <c r="S7" s="20" t="inlineStr">
        <is>
          <t>WIP</t>
        </is>
      </c>
      <c r="T7" s="31" t="n"/>
      <c r="U7" s="36" t="n"/>
      <c r="V7" s="34">
        <f>IF($U7="","",IFERROR(INDEX(Templates!$K$3:$K$10,MATCH($U7,Templates!$A$3:$A$10,0)),""))</f>
        <v/>
      </c>
      <c r="W7" s="34">
        <f>IF($U7="","",IFERROR(INDEX(Templates!$L$3:$L$10,MATCH($U7,Templates!$A$3:$A$10,0)),""))</f>
        <v/>
      </c>
      <c r="X7" s="21">
        <f>IF($U7="","",IFERROR(INDEX(Templates!$J$3:$J$10,MATCH($U7,Templates!$A$3:$A$10,0)),""))</f>
        <v/>
      </c>
      <c r="Y7" s="35">
        <f>IF(OR($U7="",$I7="",$J7="",$X7=""),"",$I7+$X7*($J7-$I7))</f>
        <v/>
      </c>
      <c r="Z7" s="30" t="n">
        <v>46212</v>
      </c>
      <c r="AA7" s="38" t="n"/>
      <c r="AB7" s="39" t="n"/>
      <c r="AC7" s="39" t="n"/>
      <c r="AD7" s="19">
        <f>IF($A7="","",IF($AA7="",$H7,$AA7))</f>
        <v/>
      </c>
      <c r="AE7" s="35">
        <f>IF($A7="","",IF($AB7="",$I7,$AB7))</f>
        <v/>
      </c>
      <c r="AF7" s="35">
        <f>IF($A7="","",IF($AC7="",$J7,$AC7))</f>
        <v/>
      </c>
      <c r="AG7" s="35">
        <f>IF(OR($U7="",$AE7="",$AF7="",$X7=""),"",$AE7+$X7*($AF7-$AE7))</f>
        <v/>
      </c>
      <c r="AH7" s="36" t="n"/>
      <c r="AI7" s="36" t="n"/>
      <c r="AJ7" s="36" t="n"/>
      <c r="AK7" s="36" t="n"/>
      <c r="AL7" s="36" t="n"/>
      <c r="AM7" s="36" t="n"/>
      <c r="AN7" s="36" t="n"/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</row>
    <row r="8">
      <c r="A8" s="28" t="inlineStr">
        <is>
          <t>Advantage_1</t>
        </is>
      </c>
      <c r="B8" s="20" t="inlineStr">
        <is>
          <t>Q-Energy Private Equity</t>
        </is>
      </c>
      <c r="C8" s="28" t="inlineStr">
        <is>
          <t>Q-Energy Private Equity</t>
        </is>
      </c>
      <c r="D8" s="28" t="inlineStr"/>
      <c r="E8" s="28" t="inlineStr">
        <is>
          <t>No</t>
        </is>
      </c>
      <c r="F8" s="28" t="inlineStr">
        <is>
          <t>Active</t>
        </is>
      </c>
      <c r="G8" s="36" t="n"/>
      <c r="H8" s="29" t="n">
        <v>1</v>
      </c>
      <c r="I8" s="37" t="n"/>
      <c r="J8" s="37" t="n"/>
      <c r="K8" s="31" t="n"/>
      <c r="L8" s="31" t="n"/>
      <c r="M8" s="31" t="n"/>
      <c r="N8" s="31" t="n"/>
      <c r="O8" s="31" t="n"/>
      <c r="P8" s="31" t="n"/>
      <c r="Q8" s="23">
        <f>IF($A8="","",COUNTIFS(Assignments!$C$2:$C$769,$A8,Assignments!$G$2:$G$769,"Active"))</f>
        <v/>
      </c>
      <c r="R8" s="32">
        <f>IF($A8="","",SUMIFS(Assignments!$I$2:$I$769,Assignments!$C$2:$C$769,$A8,Assignments!$G$2:$G$769,"Active"))</f>
        <v/>
      </c>
      <c r="S8" s="20" t="inlineStr">
        <is>
          <t>WIP</t>
        </is>
      </c>
      <c r="T8" s="31" t="n"/>
      <c r="U8" s="36" t="n"/>
      <c r="V8" s="34">
        <f>IF($U8="","",IFERROR(INDEX(Templates!$K$3:$K$10,MATCH($U8,Templates!$A$3:$A$10,0)),""))</f>
        <v/>
      </c>
      <c r="W8" s="34">
        <f>IF($U8="","",IFERROR(INDEX(Templates!$L$3:$L$10,MATCH($U8,Templates!$A$3:$A$10,0)),""))</f>
        <v/>
      </c>
      <c r="X8" s="21">
        <f>IF($U8="","",IFERROR(INDEX(Templates!$J$3:$J$10,MATCH($U8,Templates!$A$3:$A$10,0)),""))</f>
        <v/>
      </c>
      <c r="Y8" s="35">
        <f>IF(OR($U8="",$I8="",$J8="",$X8=""),"",$I8+$X8*($J8-$I8))</f>
        <v/>
      </c>
      <c r="Z8" s="30" t="n">
        <v>46212</v>
      </c>
      <c r="AA8" s="38" t="n"/>
      <c r="AB8" s="39" t="n"/>
      <c r="AC8" s="39" t="n"/>
      <c r="AD8" s="19">
        <f>IF($A8="","",IF($AA8="",$H8,$AA8))</f>
        <v/>
      </c>
      <c r="AE8" s="35">
        <f>IF($A8="","",IF($AB8="",$I8,$AB8))</f>
        <v/>
      </c>
      <c r="AF8" s="35">
        <f>IF($A8="","",IF($AC8="",$J8,$AC8))</f>
        <v/>
      </c>
      <c r="AG8" s="35">
        <f>IF(OR($U8="",$AE8="",$AF8="",$X8=""),"",$AE8+$X8*($AF8-$AE8))</f>
        <v/>
      </c>
      <c r="AH8" s="36" t="n"/>
      <c r="AI8" s="36" t="n"/>
      <c r="AJ8" s="36" t="n"/>
      <c r="AK8" s="36" t="n"/>
      <c r="AL8" s="36" t="n"/>
      <c r="AM8" s="36" t="n"/>
      <c r="AN8" s="36" t="n"/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</row>
    <row r="9">
      <c r="A9" s="28" t="inlineStr">
        <is>
          <t>AIM_5</t>
        </is>
      </c>
      <c r="B9" s="20" t="inlineStr">
        <is>
          <t>Eight Advisory</t>
        </is>
      </c>
      <c r="C9" s="28" t="inlineStr">
        <is>
          <t>Eight Advisory</t>
        </is>
      </c>
      <c r="D9" s="28" t="inlineStr"/>
      <c r="E9" s="28" t="inlineStr">
        <is>
          <t>No</t>
        </is>
      </c>
      <c r="F9" s="28" t="inlineStr">
        <is>
          <t>Active</t>
        </is>
      </c>
      <c r="G9" s="36" t="n"/>
      <c r="H9" s="29" t="n">
        <v>1</v>
      </c>
      <c r="I9" s="37" t="n"/>
      <c r="J9" s="37" t="n"/>
      <c r="K9" s="31" t="n"/>
      <c r="L9" s="31" t="n"/>
      <c r="M9" s="31" t="n"/>
      <c r="N9" s="31" t="n"/>
      <c r="O9" s="31" t="n"/>
      <c r="P9" s="31" t="n"/>
      <c r="Q9" s="23">
        <f>IF($A9="","",COUNTIFS(Assignments!$C$2:$C$769,$A9,Assignments!$G$2:$G$769,"Active"))</f>
        <v/>
      </c>
      <c r="R9" s="32">
        <f>IF($A9="","",SUMIFS(Assignments!$I$2:$I$769,Assignments!$C$2:$C$769,$A9,Assignments!$G$2:$G$769,"Active"))</f>
        <v/>
      </c>
      <c r="S9" s="20" t="inlineStr">
        <is>
          <t>WIP</t>
        </is>
      </c>
      <c r="T9" s="31" t="n"/>
      <c r="U9" s="36" t="n"/>
      <c r="V9" s="34">
        <f>IF($U9="","",IFERROR(INDEX(Templates!$K$3:$K$10,MATCH($U9,Templates!$A$3:$A$10,0)),""))</f>
        <v/>
      </c>
      <c r="W9" s="34">
        <f>IF($U9="","",IFERROR(INDEX(Templates!$L$3:$L$10,MATCH($U9,Templates!$A$3:$A$10,0)),""))</f>
        <v/>
      </c>
      <c r="X9" s="21">
        <f>IF($U9="","",IFERROR(INDEX(Templates!$J$3:$J$10,MATCH($U9,Templates!$A$3:$A$10,0)),""))</f>
        <v/>
      </c>
      <c r="Y9" s="35">
        <f>IF(OR($U9="",$I9="",$J9="",$X9=""),"",$I9+$X9*($J9-$I9))</f>
        <v/>
      </c>
      <c r="Z9" s="30" t="n">
        <v>46212</v>
      </c>
      <c r="AA9" s="38" t="n"/>
      <c r="AB9" s="39" t="n"/>
      <c r="AC9" s="39" t="n"/>
      <c r="AD9" s="19">
        <f>IF($A9="","",IF($AA9="",$H9,$AA9))</f>
        <v/>
      </c>
      <c r="AE9" s="35">
        <f>IF($A9="","",IF($AB9="",$I9,$AB9))</f>
        <v/>
      </c>
      <c r="AF9" s="35">
        <f>IF($A9="","",IF($AC9="",$J9,$AC9))</f>
        <v/>
      </c>
      <c r="AG9" s="35">
        <f>IF(OR($U9="",$AE9="",$AF9="",$X9=""),"",$AE9+$X9*($AF9-$AE9))</f>
        <v/>
      </c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</row>
    <row r="10">
      <c r="A10" s="28" t="inlineStr">
        <is>
          <t>Atlas_4</t>
        </is>
      </c>
      <c r="B10" s="20" t="inlineStr">
        <is>
          <t>Strattam Capital Management LLC</t>
        </is>
      </c>
      <c r="C10" s="28" t="inlineStr">
        <is>
          <t>Strattam Capital Management LLC</t>
        </is>
      </c>
      <c r="D10" s="28" t="inlineStr"/>
      <c r="E10" s="28" t="inlineStr">
        <is>
          <t>No</t>
        </is>
      </c>
      <c r="F10" s="28" t="inlineStr">
        <is>
          <t>Active</t>
        </is>
      </c>
      <c r="G10" s="36" t="n"/>
      <c r="H10" s="29" t="n">
        <v>1</v>
      </c>
      <c r="I10" s="37" t="n"/>
      <c r="J10" s="37" t="n"/>
      <c r="K10" s="31" t="n"/>
      <c r="L10" s="31" t="n"/>
      <c r="M10" s="31" t="n"/>
      <c r="N10" s="31" t="n"/>
      <c r="O10" s="31" t="n"/>
      <c r="P10" s="31" t="n"/>
      <c r="Q10" s="23">
        <f>IF($A10="","",COUNTIFS(Assignments!$C$2:$C$769,$A10,Assignments!$G$2:$G$769,"Active"))</f>
        <v/>
      </c>
      <c r="R10" s="32">
        <f>IF($A10="","",SUMIFS(Assignments!$I$2:$I$769,Assignments!$C$2:$C$769,$A10,Assignments!$G$2:$G$769,"Active"))</f>
        <v/>
      </c>
      <c r="S10" s="20" t="inlineStr">
        <is>
          <t>WIP</t>
        </is>
      </c>
      <c r="T10" s="31" t="n"/>
      <c r="U10" s="36" t="n"/>
      <c r="V10" s="34">
        <f>IF($U10="","",IFERROR(INDEX(Templates!$K$3:$K$10,MATCH($U10,Templates!$A$3:$A$10,0)),""))</f>
        <v/>
      </c>
      <c r="W10" s="34">
        <f>IF($U10="","",IFERROR(INDEX(Templates!$L$3:$L$10,MATCH($U10,Templates!$A$3:$A$10,0)),""))</f>
        <v/>
      </c>
      <c r="X10" s="21">
        <f>IF($U10="","",IFERROR(INDEX(Templates!$J$3:$J$10,MATCH($U10,Templates!$A$3:$A$10,0)),""))</f>
        <v/>
      </c>
      <c r="Y10" s="35">
        <f>IF(OR($U10="",$I10="",$J10="",$X10=""),"",$I10+$X10*($J10-$I10))</f>
        <v/>
      </c>
      <c r="Z10" s="30" t="n">
        <v>46212</v>
      </c>
      <c r="AA10" s="38" t="n"/>
      <c r="AB10" s="39" t="n"/>
      <c r="AC10" s="39" t="n"/>
      <c r="AD10" s="19">
        <f>IF($A10="","",IF($AA10="",$H10,$AA10))</f>
        <v/>
      </c>
      <c r="AE10" s="35">
        <f>IF($A10="","",IF($AB10="",$I10,$AB10))</f>
        <v/>
      </c>
      <c r="AF10" s="35">
        <f>IF($A10="","",IF($AC10="",$J10,$AC10))</f>
        <v/>
      </c>
      <c r="AG10" s="35">
        <f>IF(OR($U10="",$AE10="",$AF10="",$X10=""),"",$AE10+$X10*($AF10-$AE10))</f>
        <v/>
      </c>
      <c r="AH10" s="36" t="n"/>
      <c r="AI10" s="36" t="n"/>
      <c r="AJ10" s="36" t="n"/>
      <c r="AK10" s="36" t="n"/>
      <c r="AL10" s="36" t="n"/>
      <c r="AM10" s="36" t="n"/>
      <c r="AN10" s="36" t="n"/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</row>
    <row r="11">
      <c r="A11" s="28" t="inlineStr">
        <is>
          <t>Aypa_3</t>
        </is>
      </c>
      <c r="B11" s="20" t="inlineStr">
        <is>
          <t>The Blackstone Group : Aypa Power</t>
        </is>
      </c>
      <c r="C11" s="28" t="inlineStr">
        <is>
          <t>The Blackstone Group</t>
        </is>
      </c>
      <c r="D11" s="28" t="inlineStr">
        <is>
          <t>Aypa Power</t>
        </is>
      </c>
      <c r="E11" s="28" t="inlineStr">
        <is>
          <t>No</t>
        </is>
      </c>
      <c r="F11" s="28" t="inlineStr">
        <is>
          <t>Active</t>
        </is>
      </c>
      <c r="G11" s="36" t="n"/>
      <c r="H11" s="29" t="n">
        <v>1</v>
      </c>
      <c r="I11" s="37" t="n"/>
      <c r="J11" s="37" t="n"/>
      <c r="K11" s="31" t="n"/>
      <c r="L11" s="31" t="n"/>
      <c r="M11" s="31" t="n"/>
      <c r="N11" s="31" t="n"/>
      <c r="O11" s="31" t="n"/>
      <c r="P11" s="31" t="n"/>
      <c r="Q11" s="23">
        <f>IF($A11="","",COUNTIFS(Assignments!$C$2:$C$769,$A11,Assignments!$G$2:$G$769,"Active"))</f>
        <v/>
      </c>
      <c r="R11" s="32">
        <f>IF($A11="","",SUMIFS(Assignments!$I$2:$I$769,Assignments!$C$2:$C$769,$A11,Assignments!$G$2:$G$769,"Active"))</f>
        <v/>
      </c>
      <c r="S11" s="20" t="inlineStr">
        <is>
          <t>WIP</t>
        </is>
      </c>
      <c r="T11" s="31" t="n"/>
      <c r="U11" s="36" t="n"/>
      <c r="V11" s="34">
        <f>IF($U11="","",IFERROR(INDEX(Templates!$K$3:$K$10,MATCH($U11,Templates!$A$3:$A$10,0)),""))</f>
        <v/>
      </c>
      <c r="W11" s="34">
        <f>IF($U11="","",IFERROR(INDEX(Templates!$L$3:$L$10,MATCH($U11,Templates!$A$3:$A$10,0)),""))</f>
        <v/>
      </c>
      <c r="X11" s="21">
        <f>IF($U11="","",IFERROR(INDEX(Templates!$J$3:$J$10,MATCH($U11,Templates!$A$3:$A$10,0)),""))</f>
        <v/>
      </c>
      <c r="Y11" s="35">
        <f>IF(OR($U11="",$I11="",$J11="",$X11=""),"",$I11+$X11*($J11-$I11))</f>
        <v/>
      </c>
      <c r="Z11" s="30" t="n">
        <v>46212</v>
      </c>
      <c r="AA11" s="38" t="n"/>
      <c r="AB11" s="39" t="n"/>
      <c r="AC11" s="39" t="n"/>
      <c r="AD11" s="19">
        <f>IF($A11="","",IF($AA11="",$H11,$AA11))</f>
        <v/>
      </c>
      <c r="AE11" s="35">
        <f>IF($A11="","",IF($AB11="",$I11,$AB11))</f>
        <v/>
      </c>
      <c r="AF11" s="35">
        <f>IF($A11="","",IF($AC11="",$J11,$AC11))</f>
        <v/>
      </c>
      <c r="AG11" s="35">
        <f>IF(OR($U11="",$AE11="",$AF11="",$X11=""),"",$AE11+$X11*($AF11-$AE11))</f>
        <v/>
      </c>
      <c r="AH11" s="36" t="n"/>
      <c r="AI11" s="36" t="n"/>
      <c r="AJ11" s="36" t="n"/>
      <c r="AK11" s="36" t="n"/>
      <c r="AL11" s="36" t="n"/>
      <c r="AM11" s="36" t="n"/>
      <c r="AN11" s="36" t="n"/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</row>
    <row r="12">
      <c r="A12" s="28" t="inlineStr">
        <is>
          <t>B2V_1</t>
        </is>
      </c>
      <c r="B12" s="20" t="inlineStr">
        <is>
          <t>Ares Management Corporation : AwayDay</t>
        </is>
      </c>
      <c r="C12" s="28" t="inlineStr">
        <is>
          <t>Ares Management Corporation</t>
        </is>
      </c>
      <c r="D12" s="28" t="inlineStr">
        <is>
          <t>AwayDay</t>
        </is>
      </c>
      <c r="E12" s="28" t="inlineStr">
        <is>
          <t>No</t>
        </is>
      </c>
      <c r="F12" s="28" t="inlineStr">
        <is>
          <t>Active</t>
        </is>
      </c>
      <c r="G12" s="36" t="n"/>
      <c r="H12" s="29" t="n">
        <v>1</v>
      </c>
      <c r="I12" s="37" t="n"/>
      <c r="J12" s="37" t="n"/>
      <c r="K12" s="31" t="n"/>
      <c r="L12" s="31" t="n"/>
      <c r="M12" s="31" t="n"/>
      <c r="N12" s="31" t="n"/>
      <c r="O12" s="31" t="n"/>
      <c r="P12" s="31" t="n"/>
      <c r="Q12" s="23">
        <f>IF($A12="","",COUNTIFS(Assignments!$C$2:$C$769,$A12,Assignments!$G$2:$G$769,"Active"))</f>
        <v/>
      </c>
      <c r="R12" s="32">
        <f>IF($A12="","",SUMIFS(Assignments!$I$2:$I$769,Assignments!$C$2:$C$769,$A12,Assignments!$G$2:$G$769,"Active"))</f>
        <v/>
      </c>
      <c r="S12" s="20" t="inlineStr">
        <is>
          <t>WIP</t>
        </is>
      </c>
      <c r="T12" s="31" t="n"/>
      <c r="U12" s="36" t="n"/>
      <c r="V12" s="34">
        <f>IF($U12="","",IFERROR(INDEX(Templates!$K$3:$K$10,MATCH($U12,Templates!$A$3:$A$10,0)),""))</f>
        <v/>
      </c>
      <c r="W12" s="34">
        <f>IF($U12="","",IFERROR(INDEX(Templates!$L$3:$L$10,MATCH($U12,Templates!$A$3:$A$10,0)),""))</f>
        <v/>
      </c>
      <c r="X12" s="21">
        <f>IF($U12="","",IFERROR(INDEX(Templates!$J$3:$J$10,MATCH($U12,Templates!$A$3:$A$10,0)),""))</f>
        <v/>
      </c>
      <c r="Y12" s="35">
        <f>IF(OR($U12="",$I12="",$J12="",$X12=""),"",$I12+$X12*($J12-$I12))</f>
        <v/>
      </c>
      <c r="Z12" s="30" t="n">
        <v>46212</v>
      </c>
      <c r="AA12" s="38" t="n"/>
      <c r="AB12" s="39" t="n"/>
      <c r="AC12" s="39" t="n"/>
      <c r="AD12" s="19">
        <f>IF($A12="","",IF($AA12="",$H12,$AA12))</f>
        <v/>
      </c>
      <c r="AE12" s="35">
        <f>IF($A12="","",IF($AB12="",$I12,$AB12))</f>
        <v/>
      </c>
      <c r="AF12" s="35">
        <f>IF($A12="","",IF($AC12="",$J12,$AC12))</f>
        <v/>
      </c>
      <c r="AG12" s="35">
        <f>IF(OR($U12="",$AE12="",$AF12="",$X12=""),"",$AE12+$X12*($AF12-$AE12))</f>
        <v/>
      </c>
      <c r="AH12" s="36" t="n"/>
      <c r="AI12" s="36" t="n"/>
      <c r="AJ12" s="36" t="n"/>
      <c r="AK12" s="36" t="n"/>
      <c r="AL12" s="36" t="n"/>
      <c r="AM12" s="36" t="n"/>
      <c r="AN12" s="36" t="n"/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</row>
    <row r="13">
      <c r="A13" s="28" t="inlineStr">
        <is>
          <t>Bay_2</t>
        </is>
      </c>
      <c r="B13" s="20" t="inlineStr">
        <is>
          <t>Manulife : John Hancock</t>
        </is>
      </c>
      <c r="C13" s="28" t="inlineStr">
        <is>
          <t>Manulife</t>
        </is>
      </c>
      <c r="D13" s="28" t="inlineStr">
        <is>
          <t>John Hancock</t>
        </is>
      </c>
      <c r="E13" s="28" t="inlineStr">
        <is>
          <t>No</t>
        </is>
      </c>
      <c r="F13" s="28" t="inlineStr">
        <is>
          <t>Active</t>
        </is>
      </c>
      <c r="G13" s="36" t="n"/>
      <c r="H13" s="29" t="n">
        <v>1</v>
      </c>
      <c r="I13" s="37" t="n"/>
      <c r="J13" s="37" t="n"/>
      <c r="K13" s="31" t="n"/>
      <c r="L13" s="31" t="n"/>
      <c r="M13" s="31" t="n"/>
      <c r="N13" s="31" t="n"/>
      <c r="O13" s="31" t="n"/>
      <c r="P13" s="31" t="n"/>
      <c r="Q13" s="23">
        <f>IF($A13="","",COUNTIFS(Assignments!$C$2:$C$769,$A13,Assignments!$G$2:$G$769,"Active"))</f>
        <v/>
      </c>
      <c r="R13" s="32">
        <f>IF($A13="","",SUMIFS(Assignments!$I$2:$I$769,Assignments!$C$2:$C$769,$A13,Assignments!$G$2:$G$769,"Active"))</f>
        <v/>
      </c>
      <c r="S13" s="20" t="inlineStr">
        <is>
          <t>WIP</t>
        </is>
      </c>
      <c r="T13" s="31" t="n"/>
      <c r="U13" s="36" t="n"/>
      <c r="V13" s="34">
        <f>IF($U13="","",IFERROR(INDEX(Templates!$K$3:$K$10,MATCH($U13,Templates!$A$3:$A$10,0)),""))</f>
        <v/>
      </c>
      <c r="W13" s="34">
        <f>IF($U13="","",IFERROR(INDEX(Templates!$L$3:$L$10,MATCH($U13,Templates!$A$3:$A$10,0)),""))</f>
        <v/>
      </c>
      <c r="X13" s="21">
        <f>IF($U13="","",IFERROR(INDEX(Templates!$J$3:$J$10,MATCH($U13,Templates!$A$3:$A$10,0)),""))</f>
        <v/>
      </c>
      <c r="Y13" s="35">
        <f>IF(OR($U13="",$I13="",$J13="",$X13=""),"",$I13+$X13*($J13-$I13))</f>
        <v/>
      </c>
      <c r="Z13" s="30" t="n">
        <v>46212</v>
      </c>
      <c r="AA13" s="38" t="n"/>
      <c r="AB13" s="39" t="n"/>
      <c r="AC13" s="39" t="n"/>
      <c r="AD13" s="19">
        <f>IF($A13="","",IF($AA13="",$H13,$AA13))</f>
        <v/>
      </c>
      <c r="AE13" s="35">
        <f>IF($A13="","",IF($AB13="",$I13,$AB13))</f>
        <v/>
      </c>
      <c r="AF13" s="35">
        <f>IF($A13="","",IF($AC13="",$J13,$AC13))</f>
        <v/>
      </c>
      <c r="AG13" s="35">
        <f>IF(OR($U13="",$AE13="",$AF13="",$X13=""),"",$AE13+$X13*($AF13-$AE13))</f>
        <v/>
      </c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</row>
    <row r="14">
      <c r="A14" s="28" t="inlineStr">
        <is>
          <t>Bernhard_3</t>
        </is>
      </c>
      <c r="B14" s="20" t="inlineStr">
        <is>
          <t>DIF Capital Partners</t>
        </is>
      </c>
      <c r="C14" s="28" t="inlineStr">
        <is>
          <t>DIF Capital Partners</t>
        </is>
      </c>
      <c r="D14" s="28" t="inlineStr"/>
      <c r="E14" s="28" t="inlineStr">
        <is>
          <t>No</t>
        </is>
      </c>
      <c r="F14" s="28" t="inlineStr">
        <is>
          <t>Active</t>
        </is>
      </c>
      <c r="G14" s="36" t="n"/>
      <c r="H14" s="29" t="n">
        <v>1</v>
      </c>
      <c r="I14" s="37" t="n"/>
      <c r="J14" s="37" t="n"/>
      <c r="K14" s="31" t="n"/>
      <c r="L14" s="31" t="n"/>
      <c r="M14" s="31" t="n"/>
      <c r="N14" s="31" t="n"/>
      <c r="O14" s="31" t="n"/>
      <c r="P14" s="31" t="n"/>
      <c r="Q14" s="23">
        <f>IF($A14="","",COUNTIFS(Assignments!$C$2:$C$769,$A14,Assignments!$G$2:$G$769,"Active"))</f>
        <v/>
      </c>
      <c r="R14" s="32">
        <f>IF($A14="","",SUMIFS(Assignments!$I$2:$I$769,Assignments!$C$2:$C$769,$A14,Assignments!$G$2:$G$769,"Active"))</f>
        <v/>
      </c>
      <c r="S14" s="20" t="inlineStr">
        <is>
          <t>WIP</t>
        </is>
      </c>
      <c r="T14" s="31" t="n"/>
      <c r="U14" s="36" t="n"/>
      <c r="V14" s="34">
        <f>IF($U14="","",IFERROR(INDEX(Templates!$K$3:$K$10,MATCH($U14,Templates!$A$3:$A$10,0)),""))</f>
        <v/>
      </c>
      <c r="W14" s="34">
        <f>IF($U14="","",IFERROR(INDEX(Templates!$L$3:$L$10,MATCH($U14,Templates!$A$3:$A$10,0)),""))</f>
        <v/>
      </c>
      <c r="X14" s="21">
        <f>IF($U14="","",IFERROR(INDEX(Templates!$J$3:$J$10,MATCH($U14,Templates!$A$3:$A$10,0)),""))</f>
        <v/>
      </c>
      <c r="Y14" s="35">
        <f>IF(OR($U14="",$I14="",$J14="",$X14=""),"",$I14+$X14*($J14-$I14))</f>
        <v/>
      </c>
      <c r="Z14" s="30" t="n">
        <v>46212</v>
      </c>
      <c r="AA14" s="38" t="n"/>
      <c r="AB14" s="39" t="n"/>
      <c r="AC14" s="39" t="n"/>
      <c r="AD14" s="19">
        <f>IF($A14="","",IF($AA14="",$H14,$AA14))</f>
        <v/>
      </c>
      <c r="AE14" s="35">
        <f>IF($A14="","",IF($AB14="",$I14,$AB14))</f>
        <v/>
      </c>
      <c r="AF14" s="35">
        <f>IF($A14="","",IF($AC14="",$J14,$AC14))</f>
        <v/>
      </c>
      <c r="AG14" s="35">
        <f>IF(OR($U14="",$AE14="",$AF14="",$X14=""),"",$AE14+$X14*($AF14-$AE14))</f>
        <v/>
      </c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</row>
    <row r="15">
      <c r="A15" s="28" t="inlineStr">
        <is>
          <t>Big_4</t>
        </is>
      </c>
      <c r="B15" s="20" t="inlineStr">
        <is>
          <t>Ethos Specialty Insurance Services</t>
        </is>
      </c>
      <c r="C15" s="28" t="inlineStr">
        <is>
          <t>Ethos Specialty Insurance Services</t>
        </is>
      </c>
      <c r="D15" s="28" t="inlineStr"/>
      <c r="E15" s="28" t="inlineStr">
        <is>
          <t>No</t>
        </is>
      </c>
      <c r="F15" s="28" t="inlineStr">
        <is>
          <t>Active</t>
        </is>
      </c>
      <c r="G15" s="36" t="n"/>
      <c r="H15" s="29" t="n">
        <v>1</v>
      </c>
      <c r="I15" s="37" t="n"/>
      <c r="J15" s="37" t="n"/>
      <c r="K15" s="31" t="n"/>
      <c r="L15" s="31" t="n"/>
      <c r="M15" s="31" t="n"/>
      <c r="N15" s="31" t="n"/>
      <c r="O15" s="31" t="n"/>
      <c r="P15" s="31" t="n"/>
      <c r="Q15" s="23">
        <f>IF($A15="","",COUNTIFS(Assignments!$C$2:$C$769,$A15,Assignments!$G$2:$G$769,"Active"))</f>
        <v/>
      </c>
      <c r="R15" s="32">
        <f>IF($A15="","",SUMIFS(Assignments!$I$2:$I$769,Assignments!$C$2:$C$769,$A15,Assignments!$G$2:$G$769,"Active"))</f>
        <v/>
      </c>
      <c r="S15" s="20" t="inlineStr">
        <is>
          <t>WIP</t>
        </is>
      </c>
      <c r="T15" s="31" t="n"/>
      <c r="U15" s="36" t="n"/>
      <c r="V15" s="34">
        <f>IF($U15="","",IFERROR(INDEX(Templates!$K$3:$K$10,MATCH($U15,Templates!$A$3:$A$10,0)),""))</f>
        <v/>
      </c>
      <c r="W15" s="34">
        <f>IF($U15="","",IFERROR(INDEX(Templates!$L$3:$L$10,MATCH($U15,Templates!$A$3:$A$10,0)),""))</f>
        <v/>
      </c>
      <c r="X15" s="21">
        <f>IF($U15="","",IFERROR(INDEX(Templates!$J$3:$J$10,MATCH($U15,Templates!$A$3:$A$10,0)),""))</f>
        <v/>
      </c>
      <c r="Y15" s="35">
        <f>IF(OR($U15="",$I15="",$J15="",$X15=""),"",$I15+$X15*($J15-$I15))</f>
        <v/>
      </c>
      <c r="Z15" s="30" t="n">
        <v>46212</v>
      </c>
      <c r="AA15" s="38" t="n"/>
      <c r="AB15" s="39" t="n"/>
      <c r="AC15" s="39" t="n"/>
      <c r="AD15" s="19">
        <f>IF($A15="","",IF($AA15="",$H15,$AA15))</f>
        <v/>
      </c>
      <c r="AE15" s="35">
        <f>IF($A15="","",IF($AB15="",$I15,$AB15))</f>
        <v/>
      </c>
      <c r="AF15" s="35">
        <f>IF($A15="","",IF($AC15="",$J15,$AC15))</f>
        <v/>
      </c>
      <c r="AG15" s="35">
        <f>IF(OR($U15="",$AE15="",$AF15="",$X15=""),"",$AE15+$X15*($AF15-$AE15))</f>
        <v/>
      </c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</row>
    <row r="16">
      <c r="A16" s="28" t="inlineStr">
        <is>
          <t>Bishopville_1</t>
        </is>
      </c>
      <c r="B16" s="20" t="inlineStr">
        <is>
          <t>Volante Transaction Services, North America</t>
        </is>
      </c>
      <c r="C16" s="28" t="inlineStr">
        <is>
          <t>Volante Transaction Services, North America</t>
        </is>
      </c>
      <c r="D16" s="28" t="inlineStr"/>
      <c r="E16" s="28" t="inlineStr">
        <is>
          <t>No</t>
        </is>
      </c>
      <c r="F16" s="28" t="inlineStr">
        <is>
          <t>Active</t>
        </is>
      </c>
      <c r="G16" s="36" t="n"/>
      <c r="H16" s="29" t="n">
        <v>1</v>
      </c>
      <c r="I16" s="37" t="n"/>
      <c r="J16" s="37" t="n"/>
      <c r="K16" s="31" t="n"/>
      <c r="L16" s="31" t="n"/>
      <c r="M16" s="31" t="n"/>
      <c r="N16" s="31" t="n"/>
      <c r="O16" s="31" t="n"/>
      <c r="P16" s="31" t="n"/>
      <c r="Q16" s="23">
        <f>IF($A16="","",COUNTIFS(Assignments!$C$2:$C$769,$A16,Assignments!$G$2:$G$769,"Active"))</f>
        <v/>
      </c>
      <c r="R16" s="32">
        <f>IF($A16="","",SUMIFS(Assignments!$I$2:$I$769,Assignments!$C$2:$C$769,$A16,Assignments!$G$2:$G$769,"Active"))</f>
        <v/>
      </c>
      <c r="S16" s="20" t="inlineStr">
        <is>
          <t>WIP</t>
        </is>
      </c>
      <c r="T16" s="31" t="n"/>
      <c r="U16" s="36" t="n"/>
      <c r="V16" s="34">
        <f>IF($U16="","",IFERROR(INDEX(Templates!$K$3:$K$10,MATCH($U16,Templates!$A$3:$A$10,0)),""))</f>
        <v/>
      </c>
      <c r="W16" s="34">
        <f>IF($U16="","",IFERROR(INDEX(Templates!$L$3:$L$10,MATCH($U16,Templates!$A$3:$A$10,0)),""))</f>
        <v/>
      </c>
      <c r="X16" s="21">
        <f>IF($U16="","",IFERROR(INDEX(Templates!$J$3:$J$10,MATCH($U16,Templates!$A$3:$A$10,0)),""))</f>
        <v/>
      </c>
      <c r="Y16" s="35">
        <f>IF(OR($U16="",$I16="",$J16="",$X16=""),"",$I16+$X16*($J16-$I16))</f>
        <v/>
      </c>
      <c r="Z16" s="30" t="n">
        <v>46212</v>
      </c>
      <c r="AA16" s="38" t="n"/>
      <c r="AB16" s="39" t="n"/>
      <c r="AC16" s="39" t="n"/>
      <c r="AD16" s="19">
        <f>IF($A16="","",IF($AA16="",$H16,$AA16))</f>
        <v/>
      </c>
      <c r="AE16" s="35">
        <f>IF($A16="","",IF($AB16="",$I16,$AB16))</f>
        <v/>
      </c>
      <c r="AF16" s="35">
        <f>IF($A16="","",IF($AC16="",$J16,$AC16))</f>
        <v/>
      </c>
      <c r="AG16" s="35">
        <f>IF(OR($U16="",$AE16="",$AF16="",$X16=""),"",$AE16+$X16*($AF16-$AE16))</f>
        <v/>
      </c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</row>
    <row r="17">
      <c r="A17" s="28" t="inlineStr">
        <is>
          <t>Bledsoe_1</t>
        </is>
      </c>
      <c r="B17" s="20" t="inlineStr">
        <is>
          <t>Manulife : Manulife Infrastructure Fund III AIV Holdings B LP</t>
        </is>
      </c>
      <c r="C17" s="28" t="inlineStr">
        <is>
          <t>Manulife</t>
        </is>
      </c>
      <c r="D17" s="28" t="inlineStr">
        <is>
          <t>Manulife Infrastructure Fund III AIV Holdings B LP</t>
        </is>
      </c>
      <c r="E17" s="28" t="inlineStr">
        <is>
          <t>No</t>
        </is>
      </c>
      <c r="F17" s="28" t="inlineStr">
        <is>
          <t>Active</t>
        </is>
      </c>
      <c r="G17" s="36" t="n"/>
      <c r="H17" s="29" t="n">
        <v>1</v>
      </c>
      <c r="I17" s="37" t="n"/>
      <c r="J17" s="37" t="n"/>
      <c r="K17" s="31" t="n"/>
      <c r="L17" s="31" t="n"/>
      <c r="M17" s="31" t="n"/>
      <c r="N17" s="31" t="n"/>
      <c r="O17" s="31" t="n"/>
      <c r="P17" s="31" t="n"/>
      <c r="Q17" s="23">
        <f>IF($A17="","",COUNTIFS(Assignments!$C$2:$C$769,$A17,Assignments!$G$2:$G$769,"Active"))</f>
        <v/>
      </c>
      <c r="R17" s="32">
        <f>IF($A17="","",SUMIFS(Assignments!$I$2:$I$769,Assignments!$C$2:$C$769,$A17,Assignments!$G$2:$G$769,"Active"))</f>
        <v/>
      </c>
      <c r="S17" s="20" t="inlineStr">
        <is>
          <t>WIP</t>
        </is>
      </c>
      <c r="T17" s="31" t="n"/>
      <c r="U17" s="36" t="n"/>
      <c r="V17" s="34">
        <f>IF($U17="","",IFERROR(INDEX(Templates!$K$3:$K$10,MATCH($U17,Templates!$A$3:$A$10,0)),""))</f>
        <v/>
      </c>
      <c r="W17" s="34">
        <f>IF($U17="","",IFERROR(INDEX(Templates!$L$3:$L$10,MATCH($U17,Templates!$A$3:$A$10,0)),""))</f>
        <v/>
      </c>
      <c r="X17" s="21">
        <f>IF($U17="","",IFERROR(INDEX(Templates!$J$3:$J$10,MATCH($U17,Templates!$A$3:$A$10,0)),""))</f>
        <v/>
      </c>
      <c r="Y17" s="35">
        <f>IF(OR($U17="",$I17="",$J17="",$X17=""),"",$I17+$X17*($J17-$I17))</f>
        <v/>
      </c>
      <c r="Z17" s="30" t="n">
        <v>46212</v>
      </c>
      <c r="AA17" s="38" t="n"/>
      <c r="AB17" s="39" t="n"/>
      <c r="AC17" s="39" t="n"/>
      <c r="AD17" s="19">
        <f>IF($A17="","",IF($AA17="",$H17,$AA17))</f>
        <v/>
      </c>
      <c r="AE17" s="35">
        <f>IF($A17="","",IF($AB17="",$I17,$AB17))</f>
        <v/>
      </c>
      <c r="AF17" s="35">
        <f>IF($A17="","",IF($AC17="",$J17,$AC17))</f>
        <v/>
      </c>
      <c r="AG17" s="35">
        <f>IF(OR($U17="",$AE17="",$AF17="",$X17=""),"",$AE17+$X17*($AF17-$AE17))</f>
        <v/>
      </c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</row>
    <row r="18">
      <c r="A18" s="28" t="inlineStr">
        <is>
          <t>Blue_6</t>
        </is>
      </c>
      <c r="B18" s="20" t="inlineStr">
        <is>
          <t>Repsol Renewables NA</t>
        </is>
      </c>
      <c r="C18" s="28" t="inlineStr">
        <is>
          <t>Repsol Renewables NA</t>
        </is>
      </c>
      <c r="D18" s="28" t="inlineStr"/>
      <c r="E18" s="28" t="inlineStr">
        <is>
          <t>No</t>
        </is>
      </c>
      <c r="F18" s="28" t="inlineStr">
        <is>
          <t>Active</t>
        </is>
      </c>
      <c r="G18" s="36" t="n"/>
      <c r="H18" s="29" t="n">
        <v>1</v>
      </c>
      <c r="I18" s="37" t="n"/>
      <c r="J18" s="37" t="n"/>
      <c r="K18" s="31" t="n"/>
      <c r="L18" s="31" t="n"/>
      <c r="M18" s="31" t="n"/>
      <c r="N18" s="31" t="n"/>
      <c r="O18" s="31" t="n"/>
      <c r="P18" s="31" t="n"/>
      <c r="Q18" s="23">
        <f>IF($A18="","",COUNTIFS(Assignments!$C$2:$C$769,$A18,Assignments!$G$2:$G$769,"Active"))</f>
        <v/>
      </c>
      <c r="R18" s="32">
        <f>IF($A18="","",SUMIFS(Assignments!$I$2:$I$769,Assignments!$C$2:$C$769,$A18,Assignments!$G$2:$G$769,"Active"))</f>
        <v/>
      </c>
      <c r="S18" s="20" t="inlineStr">
        <is>
          <t>WIP</t>
        </is>
      </c>
      <c r="T18" s="31" t="n"/>
      <c r="U18" s="36" t="n"/>
      <c r="V18" s="34">
        <f>IF($U18="","",IFERROR(INDEX(Templates!$K$3:$K$10,MATCH($U18,Templates!$A$3:$A$10,0)),""))</f>
        <v/>
      </c>
      <c r="W18" s="34">
        <f>IF($U18="","",IFERROR(INDEX(Templates!$L$3:$L$10,MATCH($U18,Templates!$A$3:$A$10,0)),""))</f>
        <v/>
      </c>
      <c r="X18" s="21">
        <f>IF($U18="","",IFERROR(INDEX(Templates!$J$3:$J$10,MATCH($U18,Templates!$A$3:$A$10,0)),""))</f>
        <v/>
      </c>
      <c r="Y18" s="35">
        <f>IF(OR($U18="",$I18="",$J18="",$X18=""),"",$I18+$X18*($J18-$I18))</f>
        <v/>
      </c>
      <c r="Z18" s="30" t="n">
        <v>46212</v>
      </c>
      <c r="AA18" s="38" t="n"/>
      <c r="AB18" s="39" t="n"/>
      <c r="AC18" s="39" t="n"/>
      <c r="AD18" s="19">
        <f>IF($A18="","",IF($AA18="",$H18,$AA18))</f>
        <v/>
      </c>
      <c r="AE18" s="35">
        <f>IF($A18="","",IF($AB18="",$I18,$AB18))</f>
        <v/>
      </c>
      <c r="AF18" s="35">
        <f>IF($A18="","",IF($AC18="",$J18,$AC18))</f>
        <v/>
      </c>
      <c r="AG18" s="35">
        <f>IF(OR($U18="",$AE18="",$AF18="",$X18=""),"",$AE18+$X18*($AF18-$AE18))</f>
        <v/>
      </c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</row>
    <row r="19">
      <c r="A19" s="28" t="inlineStr">
        <is>
          <t>Blue_8</t>
        </is>
      </c>
      <c r="B19" s="20" t="inlineStr">
        <is>
          <t>Ares Management Corporation</t>
        </is>
      </c>
      <c r="C19" s="28" t="inlineStr">
        <is>
          <t>Ares Management Corporation</t>
        </is>
      </c>
      <c r="D19" s="28" t="inlineStr"/>
      <c r="E19" s="28" t="inlineStr">
        <is>
          <t>No</t>
        </is>
      </c>
      <c r="F19" s="28" t="inlineStr">
        <is>
          <t>Active</t>
        </is>
      </c>
      <c r="G19" s="36" t="n"/>
      <c r="H19" s="29" t="n">
        <v>1</v>
      </c>
      <c r="I19" s="37" t="n"/>
      <c r="J19" s="37" t="n"/>
      <c r="K19" s="31" t="n"/>
      <c r="L19" s="31" t="n"/>
      <c r="M19" s="31" t="n"/>
      <c r="N19" s="31" t="n"/>
      <c r="O19" s="31" t="n"/>
      <c r="P19" s="31" t="n"/>
      <c r="Q19" s="23">
        <f>IF($A19="","",COUNTIFS(Assignments!$C$2:$C$769,$A19,Assignments!$G$2:$G$769,"Active"))</f>
        <v/>
      </c>
      <c r="R19" s="32">
        <f>IF($A19="","",SUMIFS(Assignments!$I$2:$I$769,Assignments!$C$2:$C$769,$A19,Assignments!$G$2:$G$769,"Active"))</f>
        <v/>
      </c>
      <c r="S19" s="20" t="inlineStr">
        <is>
          <t>WIP</t>
        </is>
      </c>
      <c r="T19" s="31" t="n"/>
      <c r="U19" s="36" t="n"/>
      <c r="V19" s="34">
        <f>IF($U19="","",IFERROR(INDEX(Templates!$K$3:$K$10,MATCH($U19,Templates!$A$3:$A$10,0)),""))</f>
        <v/>
      </c>
      <c r="W19" s="34">
        <f>IF($U19="","",IFERROR(INDEX(Templates!$L$3:$L$10,MATCH($U19,Templates!$A$3:$A$10,0)),""))</f>
        <v/>
      </c>
      <c r="X19" s="21">
        <f>IF($U19="","",IFERROR(INDEX(Templates!$J$3:$J$10,MATCH($U19,Templates!$A$3:$A$10,0)),""))</f>
        <v/>
      </c>
      <c r="Y19" s="35">
        <f>IF(OR($U19="",$I19="",$J19="",$X19=""),"",$I19+$X19*($J19-$I19))</f>
        <v/>
      </c>
      <c r="Z19" s="30" t="n">
        <v>46212</v>
      </c>
      <c r="AA19" s="38" t="n"/>
      <c r="AB19" s="39" t="n"/>
      <c r="AC19" s="39" t="n"/>
      <c r="AD19" s="19">
        <f>IF($A19="","",IF($AA19="",$H19,$AA19))</f>
        <v/>
      </c>
      <c r="AE19" s="35">
        <f>IF($A19="","",IF($AB19="",$I19,$AB19))</f>
        <v/>
      </c>
      <c r="AF19" s="35">
        <f>IF($A19="","",IF($AC19="",$J19,$AC19))</f>
        <v/>
      </c>
      <c r="AG19" s="35">
        <f>IF(OR($U19="",$AE19="",$AF19="",$X19=""),"",$AE19+$X19*($AF19-$AE19))</f>
        <v/>
      </c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</row>
    <row r="20">
      <c r="A20" s="28" t="inlineStr">
        <is>
          <t>Bocce_2</t>
        </is>
      </c>
      <c r="B20" s="20" t="inlineStr">
        <is>
          <t>Certa</t>
        </is>
      </c>
      <c r="C20" s="28" t="inlineStr">
        <is>
          <t>Certa</t>
        </is>
      </c>
      <c r="D20" s="28" t="inlineStr"/>
      <c r="E20" s="28" t="inlineStr">
        <is>
          <t>No</t>
        </is>
      </c>
      <c r="F20" s="28" t="inlineStr">
        <is>
          <t>Active</t>
        </is>
      </c>
      <c r="G20" s="36" t="n"/>
      <c r="H20" s="29" t="n">
        <v>1</v>
      </c>
      <c r="I20" s="37" t="n"/>
      <c r="J20" s="37" t="n"/>
      <c r="K20" s="31" t="n"/>
      <c r="L20" s="31" t="n"/>
      <c r="M20" s="31" t="n"/>
      <c r="N20" s="31" t="n"/>
      <c r="O20" s="31" t="n"/>
      <c r="P20" s="31" t="n"/>
      <c r="Q20" s="23">
        <f>IF($A20="","",COUNTIFS(Assignments!$C$2:$C$769,$A20,Assignments!$G$2:$G$769,"Active"))</f>
        <v/>
      </c>
      <c r="R20" s="32">
        <f>IF($A20="","",SUMIFS(Assignments!$I$2:$I$769,Assignments!$C$2:$C$769,$A20,Assignments!$G$2:$G$769,"Active"))</f>
        <v/>
      </c>
      <c r="S20" s="20" t="inlineStr">
        <is>
          <t>WIP</t>
        </is>
      </c>
      <c r="T20" s="31" t="n"/>
      <c r="U20" s="36" t="n"/>
      <c r="V20" s="34">
        <f>IF($U20="","",IFERROR(INDEX(Templates!$K$3:$K$10,MATCH($U20,Templates!$A$3:$A$10,0)),""))</f>
        <v/>
      </c>
      <c r="W20" s="34">
        <f>IF($U20="","",IFERROR(INDEX(Templates!$L$3:$L$10,MATCH($U20,Templates!$A$3:$A$10,0)),""))</f>
        <v/>
      </c>
      <c r="X20" s="21">
        <f>IF($U20="","",IFERROR(INDEX(Templates!$J$3:$J$10,MATCH($U20,Templates!$A$3:$A$10,0)),""))</f>
        <v/>
      </c>
      <c r="Y20" s="35">
        <f>IF(OR($U20="",$I20="",$J20="",$X20=""),"",$I20+$X20*($J20-$I20))</f>
        <v/>
      </c>
      <c r="Z20" s="30" t="n">
        <v>46212</v>
      </c>
      <c r="AA20" s="38" t="n"/>
      <c r="AB20" s="39" t="n"/>
      <c r="AC20" s="39" t="n"/>
      <c r="AD20" s="19">
        <f>IF($A20="","",IF($AA20="",$H20,$AA20))</f>
        <v/>
      </c>
      <c r="AE20" s="35">
        <f>IF($A20="","",IF($AB20="",$I20,$AB20))</f>
        <v/>
      </c>
      <c r="AF20" s="35">
        <f>IF($A20="","",IF($AC20="",$J20,$AC20))</f>
        <v/>
      </c>
      <c r="AG20" s="35">
        <f>IF(OR($U20="",$AE20="",$AF20="",$X20=""),"",$AE20+$X20*($AF20-$AE20))</f>
        <v/>
      </c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</row>
    <row r="21">
      <c r="A21" s="28" t="inlineStr">
        <is>
          <t>Bolt_2</t>
        </is>
      </c>
      <c r="B21" s="20" t="inlineStr">
        <is>
          <t>Brookfield</t>
        </is>
      </c>
      <c r="C21" s="28" t="inlineStr">
        <is>
          <t>Brookfield</t>
        </is>
      </c>
      <c r="D21" s="28" t="inlineStr"/>
      <c r="E21" s="28" t="inlineStr">
        <is>
          <t>No</t>
        </is>
      </c>
      <c r="F21" s="28" t="inlineStr">
        <is>
          <t>Active</t>
        </is>
      </c>
      <c r="G21" s="36" t="n"/>
      <c r="H21" s="29" t="n">
        <v>1</v>
      </c>
      <c r="I21" s="37" t="n"/>
      <c r="J21" s="37" t="n"/>
      <c r="K21" s="31" t="n"/>
      <c r="L21" s="31" t="n"/>
      <c r="M21" s="31" t="n"/>
      <c r="N21" s="31" t="n"/>
      <c r="O21" s="31" t="n"/>
      <c r="P21" s="31" t="n"/>
      <c r="Q21" s="23">
        <f>IF($A21="","",COUNTIFS(Assignments!$C$2:$C$769,$A21,Assignments!$G$2:$G$769,"Active"))</f>
        <v/>
      </c>
      <c r="R21" s="32">
        <f>IF($A21="","",SUMIFS(Assignments!$I$2:$I$769,Assignments!$C$2:$C$769,$A21,Assignments!$G$2:$G$769,"Active"))</f>
        <v/>
      </c>
      <c r="S21" s="20" t="inlineStr">
        <is>
          <t>Summary tab only (WIP)</t>
        </is>
      </c>
      <c r="T21" s="31" t="n"/>
      <c r="U21" s="36" t="n"/>
      <c r="V21" s="34">
        <f>IF($U21="","",IFERROR(INDEX(Templates!$K$3:$K$10,MATCH($U21,Templates!$A$3:$A$10,0)),""))</f>
        <v/>
      </c>
      <c r="W21" s="34">
        <f>IF($U21="","",IFERROR(INDEX(Templates!$L$3:$L$10,MATCH($U21,Templates!$A$3:$A$10,0)),""))</f>
        <v/>
      </c>
      <c r="X21" s="21">
        <f>IF($U21="","",IFERROR(INDEX(Templates!$J$3:$J$10,MATCH($U21,Templates!$A$3:$A$10,0)),""))</f>
        <v/>
      </c>
      <c r="Y21" s="35">
        <f>IF(OR($U21="",$I21="",$J21="",$X21=""),"",$I21+$X21*($J21-$I21))</f>
        <v/>
      </c>
      <c r="Z21" s="30" t="n">
        <v>46212</v>
      </c>
      <c r="AA21" s="38" t="n"/>
      <c r="AB21" s="39" t="n"/>
      <c r="AC21" s="39" t="n"/>
      <c r="AD21" s="19">
        <f>IF($A21="","",IF($AA21="",$H21,$AA21))</f>
        <v/>
      </c>
      <c r="AE21" s="35">
        <f>IF($A21="","",IF($AB21="",$I21,$AB21))</f>
        <v/>
      </c>
      <c r="AF21" s="35">
        <f>IF($A21="","",IF($AC21="",$J21,$AC21))</f>
        <v/>
      </c>
      <c r="AG21" s="35">
        <f>IF(OR($U21="",$AE21="",$AF21="",$X21=""),"",$AE21+$X21*($AF21-$AE21))</f>
        <v/>
      </c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</row>
    <row r="22">
      <c r="A22" s="28" t="inlineStr">
        <is>
          <t>BPF_1</t>
        </is>
      </c>
      <c r="B22" s="20" t="inlineStr">
        <is>
          <t>BPF Acquisition Co Series 11, LLC</t>
        </is>
      </c>
      <c r="C22" s="28" t="inlineStr">
        <is>
          <t>BPF Acquisition Co Series 11, LLC</t>
        </is>
      </c>
      <c r="D22" s="28" t="inlineStr"/>
      <c r="E22" s="28" t="inlineStr">
        <is>
          <t>No</t>
        </is>
      </c>
      <c r="F22" s="28" t="inlineStr">
        <is>
          <t>Active</t>
        </is>
      </c>
      <c r="G22" s="36" t="n"/>
      <c r="H22" s="29" t="n">
        <v>1</v>
      </c>
      <c r="I22" s="37" t="n"/>
      <c r="J22" s="37" t="n"/>
      <c r="K22" s="31" t="n"/>
      <c r="L22" s="31" t="n"/>
      <c r="M22" s="31" t="n"/>
      <c r="N22" s="31" t="n"/>
      <c r="O22" s="31" t="n"/>
      <c r="P22" s="31" t="n"/>
      <c r="Q22" s="23">
        <f>IF($A22="","",COUNTIFS(Assignments!$C$2:$C$769,$A22,Assignments!$G$2:$G$769,"Active"))</f>
        <v/>
      </c>
      <c r="R22" s="32">
        <f>IF($A22="","",SUMIFS(Assignments!$I$2:$I$769,Assignments!$C$2:$C$769,$A22,Assignments!$G$2:$G$769,"Active"))</f>
        <v/>
      </c>
      <c r="S22" s="20" t="inlineStr">
        <is>
          <t>WIP</t>
        </is>
      </c>
      <c r="T22" s="31" t="n"/>
      <c r="U22" s="36" t="n"/>
      <c r="V22" s="34">
        <f>IF($U22="","",IFERROR(INDEX(Templates!$K$3:$K$10,MATCH($U22,Templates!$A$3:$A$10,0)),""))</f>
        <v/>
      </c>
      <c r="W22" s="34">
        <f>IF($U22="","",IFERROR(INDEX(Templates!$L$3:$L$10,MATCH($U22,Templates!$A$3:$A$10,0)),""))</f>
        <v/>
      </c>
      <c r="X22" s="21">
        <f>IF($U22="","",IFERROR(INDEX(Templates!$J$3:$J$10,MATCH($U22,Templates!$A$3:$A$10,0)),""))</f>
        <v/>
      </c>
      <c r="Y22" s="35">
        <f>IF(OR($U22="",$I22="",$J22="",$X22=""),"",$I22+$X22*($J22-$I22))</f>
        <v/>
      </c>
      <c r="Z22" s="30" t="n">
        <v>46212</v>
      </c>
      <c r="AA22" s="38" t="n"/>
      <c r="AB22" s="39" t="n"/>
      <c r="AC22" s="39" t="n"/>
      <c r="AD22" s="19">
        <f>IF($A22="","",IF($AA22="",$H22,$AA22))</f>
        <v/>
      </c>
      <c r="AE22" s="35">
        <f>IF($A22="","",IF($AB22="",$I22,$AB22))</f>
        <v/>
      </c>
      <c r="AF22" s="35">
        <f>IF($A22="","",IF($AC22="",$J22,$AC22))</f>
        <v/>
      </c>
      <c r="AG22" s="35">
        <f>IF(OR($U22="",$AE22="",$AF22="",$X22=""),"",$AE22+$X22*($AF22-$AE22))</f>
        <v/>
      </c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</row>
    <row r="23">
      <c r="A23" s="28" t="inlineStr">
        <is>
          <t>BPF_2</t>
        </is>
      </c>
      <c r="B23" s="20" t="inlineStr">
        <is>
          <t>BPF Acquisition Co Series 11, LLC</t>
        </is>
      </c>
      <c r="C23" s="28" t="inlineStr">
        <is>
          <t>BPF Acquisition Co Series 11, LLC</t>
        </is>
      </c>
      <c r="D23" s="28" t="inlineStr"/>
      <c r="E23" s="28" t="inlineStr">
        <is>
          <t>No</t>
        </is>
      </c>
      <c r="F23" s="28" t="inlineStr">
        <is>
          <t>Active</t>
        </is>
      </c>
      <c r="G23" s="36" t="n"/>
      <c r="H23" s="29" t="n">
        <v>1</v>
      </c>
      <c r="I23" s="37" t="n"/>
      <c r="J23" s="37" t="n"/>
      <c r="K23" s="31" t="n"/>
      <c r="L23" s="31" t="n"/>
      <c r="M23" s="31" t="n"/>
      <c r="N23" s="31" t="n"/>
      <c r="O23" s="31" t="n"/>
      <c r="P23" s="31" t="n"/>
      <c r="Q23" s="23">
        <f>IF($A23="","",COUNTIFS(Assignments!$C$2:$C$769,$A23,Assignments!$G$2:$G$769,"Active"))</f>
        <v/>
      </c>
      <c r="R23" s="32">
        <f>IF($A23="","",SUMIFS(Assignments!$I$2:$I$769,Assignments!$C$2:$C$769,$A23,Assignments!$G$2:$G$769,"Active"))</f>
        <v/>
      </c>
      <c r="S23" s="20" t="inlineStr">
        <is>
          <t>WIP</t>
        </is>
      </c>
      <c r="T23" s="31" t="n"/>
      <c r="U23" s="36" t="n"/>
      <c r="V23" s="34">
        <f>IF($U23="","",IFERROR(INDEX(Templates!$K$3:$K$10,MATCH($U23,Templates!$A$3:$A$10,0)),""))</f>
        <v/>
      </c>
      <c r="W23" s="34">
        <f>IF($U23="","",IFERROR(INDEX(Templates!$L$3:$L$10,MATCH($U23,Templates!$A$3:$A$10,0)),""))</f>
        <v/>
      </c>
      <c r="X23" s="21">
        <f>IF($U23="","",IFERROR(INDEX(Templates!$J$3:$J$10,MATCH($U23,Templates!$A$3:$A$10,0)),""))</f>
        <v/>
      </c>
      <c r="Y23" s="35">
        <f>IF(OR($U23="",$I23="",$J23="",$X23=""),"",$I23+$X23*($J23-$I23))</f>
        <v/>
      </c>
      <c r="Z23" s="30" t="n">
        <v>46212</v>
      </c>
      <c r="AA23" s="38" t="n"/>
      <c r="AB23" s="39" t="n"/>
      <c r="AC23" s="39" t="n"/>
      <c r="AD23" s="19">
        <f>IF($A23="","",IF($AA23="",$H23,$AA23))</f>
        <v/>
      </c>
      <c r="AE23" s="35">
        <f>IF($A23="","",IF($AB23="",$I23,$AB23))</f>
        <v/>
      </c>
      <c r="AF23" s="35">
        <f>IF($A23="","",IF($AC23="",$J23,$AC23))</f>
        <v/>
      </c>
      <c r="AG23" s="35">
        <f>IF(OR($U23="",$AE23="",$AF23="",$X23=""),"",$AE23+$X23*($AF23-$AE23))</f>
        <v/>
      </c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</row>
    <row r="24">
      <c r="A24" s="28" t="inlineStr">
        <is>
          <t>Brass_2</t>
        </is>
      </c>
      <c r="B24" s="20" t="inlineStr">
        <is>
          <t>BlueChip Underwriting Services</t>
        </is>
      </c>
      <c r="C24" s="28" t="inlineStr">
        <is>
          <t>BlueChip Underwriting Services</t>
        </is>
      </c>
      <c r="D24" s="28" t="inlineStr"/>
      <c r="E24" s="28" t="inlineStr">
        <is>
          <t>No</t>
        </is>
      </c>
      <c r="F24" s="28" t="inlineStr">
        <is>
          <t>Active</t>
        </is>
      </c>
      <c r="G24" s="36" t="n"/>
      <c r="H24" s="29" t="n">
        <v>1</v>
      </c>
      <c r="I24" s="37" t="n"/>
      <c r="J24" s="37" t="n"/>
      <c r="K24" s="31" t="n"/>
      <c r="L24" s="31" t="n"/>
      <c r="M24" s="31" t="n"/>
      <c r="N24" s="31" t="n"/>
      <c r="O24" s="31" t="n"/>
      <c r="P24" s="31" t="n"/>
      <c r="Q24" s="23">
        <f>IF($A24="","",COUNTIFS(Assignments!$C$2:$C$769,$A24,Assignments!$G$2:$G$769,"Active"))</f>
        <v/>
      </c>
      <c r="R24" s="32">
        <f>IF($A24="","",SUMIFS(Assignments!$I$2:$I$769,Assignments!$C$2:$C$769,$A24,Assignments!$G$2:$G$769,"Active"))</f>
        <v/>
      </c>
      <c r="S24" s="20" t="inlineStr">
        <is>
          <t>WIP</t>
        </is>
      </c>
      <c r="T24" s="31" t="n"/>
      <c r="U24" s="36" t="n"/>
      <c r="V24" s="34">
        <f>IF($U24="","",IFERROR(INDEX(Templates!$K$3:$K$10,MATCH($U24,Templates!$A$3:$A$10,0)),""))</f>
        <v/>
      </c>
      <c r="W24" s="34">
        <f>IF($U24="","",IFERROR(INDEX(Templates!$L$3:$L$10,MATCH($U24,Templates!$A$3:$A$10,0)),""))</f>
        <v/>
      </c>
      <c r="X24" s="21">
        <f>IF($U24="","",IFERROR(INDEX(Templates!$J$3:$J$10,MATCH($U24,Templates!$A$3:$A$10,0)),""))</f>
        <v/>
      </c>
      <c r="Y24" s="35">
        <f>IF(OR($U24="",$I24="",$J24="",$X24=""),"",$I24+$X24*($J24-$I24))</f>
        <v/>
      </c>
      <c r="Z24" s="30" t="n">
        <v>46212</v>
      </c>
      <c r="AA24" s="38" t="n"/>
      <c r="AB24" s="39" t="n"/>
      <c r="AC24" s="39" t="n"/>
      <c r="AD24" s="19">
        <f>IF($A24="","",IF($AA24="",$H24,$AA24))</f>
        <v/>
      </c>
      <c r="AE24" s="35">
        <f>IF($A24="","",IF($AB24="",$I24,$AB24))</f>
        <v/>
      </c>
      <c r="AF24" s="35">
        <f>IF($A24="","",IF($AC24="",$J24,$AC24))</f>
        <v/>
      </c>
      <c r="AG24" s="35">
        <f>IF(OR($U24="",$AE24="",$AF24="",$X24=""),"",$AE24+$X24*($AF24-$AE24))</f>
        <v/>
      </c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</row>
    <row r="25">
      <c r="A25" s="28" t="inlineStr">
        <is>
          <t>Breakaway_1</t>
        </is>
      </c>
      <c r="B25" s="20" t="inlineStr">
        <is>
          <t>Ares Management Corporation : AwayDay</t>
        </is>
      </c>
      <c r="C25" s="28" t="inlineStr">
        <is>
          <t>Ares Management Corporation</t>
        </is>
      </c>
      <c r="D25" s="28" t="inlineStr">
        <is>
          <t>AwayDay</t>
        </is>
      </c>
      <c r="E25" s="28" t="inlineStr">
        <is>
          <t>No</t>
        </is>
      </c>
      <c r="F25" s="28" t="inlineStr">
        <is>
          <t>Active</t>
        </is>
      </c>
      <c r="G25" s="36" t="n"/>
      <c r="H25" s="29" t="n">
        <v>1</v>
      </c>
      <c r="I25" s="37" t="n"/>
      <c r="J25" s="37" t="n"/>
      <c r="K25" s="31" t="n"/>
      <c r="L25" s="31" t="n"/>
      <c r="M25" s="31" t="n"/>
      <c r="N25" s="31" t="n"/>
      <c r="O25" s="31" t="n"/>
      <c r="P25" s="31" t="n"/>
      <c r="Q25" s="23">
        <f>IF($A25="","",COUNTIFS(Assignments!$C$2:$C$769,$A25,Assignments!$G$2:$G$769,"Active"))</f>
        <v/>
      </c>
      <c r="R25" s="32">
        <f>IF($A25="","",SUMIFS(Assignments!$I$2:$I$769,Assignments!$C$2:$C$769,$A25,Assignments!$G$2:$G$769,"Active"))</f>
        <v/>
      </c>
      <c r="S25" s="20" t="inlineStr">
        <is>
          <t>WIP</t>
        </is>
      </c>
      <c r="T25" s="31" t="n"/>
      <c r="U25" s="36" t="n"/>
      <c r="V25" s="34">
        <f>IF($U25="","",IFERROR(INDEX(Templates!$K$3:$K$10,MATCH($U25,Templates!$A$3:$A$10,0)),""))</f>
        <v/>
      </c>
      <c r="W25" s="34">
        <f>IF($U25="","",IFERROR(INDEX(Templates!$L$3:$L$10,MATCH($U25,Templates!$A$3:$A$10,0)),""))</f>
        <v/>
      </c>
      <c r="X25" s="21">
        <f>IF($U25="","",IFERROR(INDEX(Templates!$J$3:$J$10,MATCH($U25,Templates!$A$3:$A$10,0)),""))</f>
        <v/>
      </c>
      <c r="Y25" s="35">
        <f>IF(OR($U25="",$I25="",$J25="",$X25=""),"",$I25+$X25*($J25-$I25))</f>
        <v/>
      </c>
      <c r="Z25" s="30" t="n">
        <v>46212</v>
      </c>
      <c r="AA25" s="38" t="n"/>
      <c r="AB25" s="39" t="n"/>
      <c r="AC25" s="39" t="n"/>
      <c r="AD25" s="19">
        <f>IF($A25="","",IF($AA25="",$H25,$AA25))</f>
        <v/>
      </c>
      <c r="AE25" s="35">
        <f>IF($A25="","",IF($AB25="",$I25,$AB25))</f>
        <v/>
      </c>
      <c r="AF25" s="35">
        <f>IF($A25="","",IF($AC25="",$J25,$AC25))</f>
        <v/>
      </c>
      <c r="AG25" s="35">
        <f>IF(OR($U25="",$AE25="",$AF25="",$X25=""),"",$AE25+$X25*($AF25-$AE25))</f>
        <v/>
      </c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</row>
    <row r="26">
      <c r="A26" s="28" t="inlineStr">
        <is>
          <t>Brick_1</t>
        </is>
      </c>
      <c r="B26" s="20" t="inlineStr">
        <is>
          <t>Fengate</t>
        </is>
      </c>
      <c r="C26" s="28" t="inlineStr">
        <is>
          <t>Fengate</t>
        </is>
      </c>
      <c r="D26" s="28" t="inlineStr"/>
      <c r="E26" s="28" t="inlineStr">
        <is>
          <t>No</t>
        </is>
      </c>
      <c r="F26" s="28" t="inlineStr">
        <is>
          <t>Active</t>
        </is>
      </c>
      <c r="G26" s="36" t="n"/>
      <c r="H26" s="29" t="n">
        <v>1</v>
      </c>
      <c r="I26" s="37" t="n"/>
      <c r="J26" s="37" t="n"/>
      <c r="K26" s="31" t="n"/>
      <c r="L26" s="31" t="n"/>
      <c r="M26" s="31" t="n"/>
      <c r="N26" s="31" t="n"/>
      <c r="O26" s="31" t="n"/>
      <c r="P26" s="31" t="n"/>
      <c r="Q26" s="23">
        <f>IF($A26="","",COUNTIFS(Assignments!$C$2:$C$769,$A26,Assignments!$G$2:$G$769,"Active"))</f>
        <v/>
      </c>
      <c r="R26" s="32">
        <f>IF($A26="","",SUMIFS(Assignments!$I$2:$I$769,Assignments!$C$2:$C$769,$A26,Assignments!$G$2:$G$769,"Active"))</f>
        <v/>
      </c>
      <c r="S26" s="20" t="inlineStr">
        <is>
          <t>Summary tab only (WIP)</t>
        </is>
      </c>
      <c r="T26" s="31" t="n"/>
      <c r="U26" s="36" t="n"/>
      <c r="V26" s="34">
        <f>IF($U26="","",IFERROR(INDEX(Templates!$K$3:$K$10,MATCH($U26,Templates!$A$3:$A$10,0)),""))</f>
        <v/>
      </c>
      <c r="W26" s="34">
        <f>IF($U26="","",IFERROR(INDEX(Templates!$L$3:$L$10,MATCH($U26,Templates!$A$3:$A$10,0)),""))</f>
        <v/>
      </c>
      <c r="X26" s="21">
        <f>IF($U26="","",IFERROR(INDEX(Templates!$J$3:$J$10,MATCH($U26,Templates!$A$3:$A$10,0)),""))</f>
        <v/>
      </c>
      <c r="Y26" s="35">
        <f>IF(OR($U26="",$I26="",$J26="",$X26=""),"",$I26+$X26*($J26-$I26))</f>
        <v/>
      </c>
      <c r="Z26" s="30" t="n">
        <v>46212</v>
      </c>
      <c r="AA26" s="38" t="n"/>
      <c r="AB26" s="39" t="n"/>
      <c r="AC26" s="39" t="n"/>
      <c r="AD26" s="19">
        <f>IF($A26="","",IF($AA26="",$H26,$AA26))</f>
        <v/>
      </c>
      <c r="AE26" s="35">
        <f>IF($A26="","",IF($AB26="",$I26,$AB26))</f>
        <v/>
      </c>
      <c r="AF26" s="35">
        <f>IF($A26="","",IF($AC26="",$J26,$AC26))</f>
        <v/>
      </c>
      <c r="AG26" s="35">
        <f>IF(OR($U26="",$AE26="",$AF26="",$X26=""),"",$AE26+$X26*($AF26-$AE26))</f>
        <v/>
      </c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</row>
    <row r="27">
      <c r="A27" s="28" t="inlineStr">
        <is>
          <t>Camaro_1</t>
        </is>
      </c>
      <c r="B27" s="20" t="inlineStr">
        <is>
          <t>Mechhi Infrastructure Partners</t>
        </is>
      </c>
      <c r="C27" s="28" t="inlineStr">
        <is>
          <t>Mechhi Infrastructure Partners</t>
        </is>
      </c>
      <c r="D27" s="28" t="inlineStr"/>
      <c r="E27" s="28" t="inlineStr">
        <is>
          <t>No</t>
        </is>
      </c>
      <c r="F27" s="28" t="inlineStr">
        <is>
          <t>Active</t>
        </is>
      </c>
      <c r="G27" s="36" t="n"/>
      <c r="H27" s="29" t="n">
        <v>1</v>
      </c>
      <c r="I27" s="37" t="n"/>
      <c r="J27" s="37" t="n"/>
      <c r="K27" s="31" t="n"/>
      <c r="L27" s="31" t="n"/>
      <c r="M27" s="31" t="n"/>
      <c r="N27" s="31" t="n"/>
      <c r="O27" s="31" t="n"/>
      <c r="P27" s="31" t="n"/>
      <c r="Q27" s="23">
        <f>IF($A27="","",COUNTIFS(Assignments!$C$2:$C$769,$A27,Assignments!$G$2:$G$769,"Active"))</f>
        <v/>
      </c>
      <c r="R27" s="32">
        <f>IF($A27="","",SUMIFS(Assignments!$I$2:$I$769,Assignments!$C$2:$C$769,$A27,Assignments!$G$2:$G$769,"Active"))</f>
        <v/>
      </c>
      <c r="S27" s="20" t="inlineStr">
        <is>
          <t>WIP</t>
        </is>
      </c>
      <c r="T27" s="31" t="n"/>
      <c r="U27" s="36" t="n"/>
      <c r="V27" s="34">
        <f>IF($U27="","",IFERROR(INDEX(Templates!$K$3:$K$10,MATCH($U27,Templates!$A$3:$A$10,0)),""))</f>
        <v/>
      </c>
      <c r="W27" s="34">
        <f>IF($U27="","",IFERROR(INDEX(Templates!$L$3:$L$10,MATCH($U27,Templates!$A$3:$A$10,0)),""))</f>
        <v/>
      </c>
      <c r="X27" s="21">
        <f>IF($U27="","",IFERROR(INDEX(Templates!$J$3:$J$10,MATCH($U27,Templates!$A$3:$A$10,0)),""))</f>
        <v/>
      </c>
      <c r="Y27" s="35">
        <f>IF(OR($U27="",$I27="",$J27="",$X27=""),"",$I27+$X27*($J27-$I27))</f>
        <v/>
      </c>
      <c r="Z27" s="30" t="n">
        <v>46212</v>
      </c>
      <c r="AA27" s="38" t="n"/>
      <c r="AB27" s="39" t="n"/>
      <c r="AC27" s="39" t="n"/>
      <c r="AD27" s="19">
        <f>IF($A27="","",IF($AA27="",$H27,$AA27))</f>
        <v/>
      </c>
      <c r="AE27" s="35">
        <f>IF($A27="","",IF($AB27="",$I27,$AB27))</f>
        <v/>
      </c>
      <c r="AF27" s="35">
        <f>IF($A27="","",IF($AC27="",$J27,$AC27))</f>
        <v/>
      </c>
      <c r="AG27" s="35">
        <f>IF(OR($U27="",$AE27="",$AF27="",$X27=""),"",$AE27+$X27*($AF27-$AE27))</f>
        <v/>
      </c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</row>
    <row r="28">
      <c r="A28" s="28" t="inlineStr">
        <is>
          <t>Canyon_2</t>
        </is>
      </c>
      <c r="B28" s="20" t="inlineStr">
        <is>
          <t>EQT Group</t>
        </is>
      </c>
      <c r="C28" s="28" t="inlineStr">
        <is>
          <t>EQT Group</t>
        </is>
      </c>
      <c r="D28" s="28" t="inlineStr"/>
      <c r="E28" s="28" t="inlineStr">
        <is>
          <t>No</t>
        </is>
      </c>
      <c r="F28" s="28" t="inlineStr">
        <is>
          <t>Active</t>
        </is>
      </c>
      <c r="G28" s="36" t="n"/>
      <c r="H28" s="29" t="n">
        <v>1</v>
      </c>
      <c r="I28" s="37" t="n"/>
      <c r="J28" s="37" t="n"/>
      <c r="K28" s="31" t="n"/>
      <c r="L28" s="31" t="n"/>
      <c r="M28" s="31" t="n"/>
      <c r="N28" s="31" t="n"/>
      <c r="O28" s="31" t="n"/>
      <c r="P28" s="31" t="n"/>
      <c r="Q28" s="23">
        <f>IF($A28="","",COUNTIFS(Assignments!$C$2:$C$769,$A28,Assignments!$G$2:$G$769,"Active"))</f>
        <v/>
      </c>
      <c r="R28" s="32">
        <f>IF($A28="","",SUMIFS(Assignments!$I$2:$I$769,Assignments!$C$2:$C$769,$A28,Assignments!$G$2:$G$769,"Active"))</f>
        <v/>
      </c>
      <c r="S28" s="20" t="inlineStr">
        <is>
          <t>WIP</t>
        </is>
      </c>
      <c r="T28" s="31" t="n"/>
      <c r="U28" s="36" t="n"/>
      <c r="V28" s="34">
        <f>IF($U28="","",IFERROR(INDEX(Templates!$K$3:$K$10,MATCH($U28,Templates!$A$3:$A$10,0)),""))</f>
        <v/>
      </c>
      <c r="W28" s="34">
        <f>IF($U28="","",IFERROR(INDEX(Templates!$L$3:$L$10,MATCH($U28,Templates!$A$3:$A$10,0)),""))</f>
        <v/>
      </c>
      <c r="X28" s="21">
        <f>IF($U28="","",IFERROR(INDEX(Templates!$J$3:$J$10,MATCH($U28,Templates!$A$3:$A$10,0)),""))</f>
        <v/>
      </c>
      <c r="Y28" s="35">
        <f>IF(OR($U28="",$I28="",$J28="",$X28=""),"",$I28+$X28*($J28-$I28))</f>
        <v/>
      </c>
      <c r="Z28" s="30" t="n">
        <v>46212</v>
      </c>
      <c r="AA28" s="38" t="n"/>
      <c r="AB28" s="39" t="n"/>
      <c r="AC28" s="39" t="n"/>
      <c r="AD28" s="19">
        <f>IF($A28="","",IF($AA28="",$H28,$AA28))</f>
        <v/>
      </c>
      <c r="AE28" s="35">
        <f>IF($A28="","",IF($AB28="",$I28,$AB28))</f>
        <v/>
      </c>
      <c r="AF28" s="35">
        <f>IF($A28="","",IF($AC28="",$J28,$AC28))</f>
        <v/>
      </c>
      <c r="AG28" s="35">
        <f>IF(OR($U28="",$AE28="",$AF28="",$X28=""),"",$AE28+$X28*($AF28-$AE28))</f>
        <v/>
      </c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</row>
    <row r="29">
      <c r="A29" s="28" t="inlineStr">
        <is>
          <t>Care_1</t>
        </is>
      </c>
      <c r="B29" s="20" t="inlineStr">
        <is>
          <t>CrossCountry Consulting</t>
        </is>
      </c>
      <c r="C29" s="28" t="inlineStr">
        <is>
          <t>CrossCountry Consulting</t>
        </is>
      </c>
      <c r="D29" s="28" t="inlineStr"/>
      <c r="E29" s="28" t="inlineStr">
        <is>
          <t>No</t>
        </is>
      </c>
      <c r="F29" s="28" t="inlineStr">
        <is>
          <t>Active</t>
        </is>
      </c>
      <c r="G29" s="36" t="n"/>
      <c r="H29" s="29" t="n">
        <v>1</v>
      </c>
      <c r="I29" s="37" t="n"/>
      <c r="J29" s="37" t="n"/>
      <c r="K29" s="31" t="n"/>
      <c r="L29" s="31" t="n"/>
      <c r="M29" s="31" t="n"/>
      <c r="N29" s="31" t="n"/>
      <c r="O29" s="31" t="n"/>
      <c r="P29" s="31" t="n"/>
      <c r="Q29" s="23">
        <f>IF($A29="","",COUNTIFS(Assignments!$C$2:$C$769,$A29,Assignments!$G$2:$G$769,"Active"))</f>
        <v/>
      </c>
      <c r="R29" s="32">
        <f>IF($A29="","",SUMIFS(Assignments!$I$2:$I$769,Assignments!$C$2:$C$769,$A29,Assignments!$G$2:$G$769,"Active"))</f>
        <v/>
      </c>
      <c r="S29" s="20" t="inlineStr">
        <is>
          <t>WIP</t>
        </is>
      </c>
      <c r="T29" s="31" t="n"/>
      <c r="U29" s="36" t="n"/>
      <c r="V29" s="34">
        <f>IF($U29="","",IFERROR(INDEX(Templates!$K$3:$K$10,MATCH($U29,Templates!$A$3:$A$10,0)),""))</f>
        <v/>
      </c>
      <c r="W29" s="34">
        <f>IF($U29="","",IFERROR(INDEX(Templates!$L$3:$L$10,MATCH($U29,Templates!$A$3:$A$10,0)),""))</f>
        <v/>
      </c>
      <c r="X29" s="21">
        <f>IF($U29="","",IFERROR(INDEX(Templates!$J$3:$J$10,MATCH($U29,Templates!$A$3:$A$10,0)),""))</f>
        <v/>
      </c>
      <c r="Y29" s="35">
        <f>IF(OR($U29="",$I29="",$J29="",$X29=""),"",$I29+$X29*($J29-$I29))</f>
        <v/>
      </c>
      <c r="Z29" s="30" t="n">
        <v>46212</v>
      </c>
      <c r="AA29" s="38" t="n"/>
      <c r="AB29" s="39" t="n"/>
      <c r="AC29" s="39" t="n"/>
      <c r="AD29" s="19">
        <f>IF($A29="","",IF($AA29="",$H29,$AA29))</f>
        <v/>
      </c>
      <c r="AE29" s="35">
        <f>IF($A29="","",IF($AB29="",$I29,$AB29))</f>
        <v/>
      </c>
      <c r="AF29" s="35">
        <f>IF($A29="","",IF($AC29="",$J29,$AC29))</f>
        <v/>
      </c>
      <c r="AG29" s="35">
        <f>IF(OR($U29="",$AE29="",$AF29="",$X29=""),"",$AE29+$X29*($AF29-$AE29))</f>
        <v/>
      </c>
      <c r="AH29" s="36" t="n"/>
      <c r="AI29" s="36" t="n"/>
      <c r="AJ29" s="36" t="n"/>
      <c r="AK29" s="36" t="n"/>
      <c r="AL29" s="36" t="n"/>
      <c r="AM29" s="36" t="n"/>
      <c r="AN29" s="36" t="n"/>
      <c r="AO29" s="36" t="n"/>
      <c r="AP29" s="36" t="n"/>
      <c r="AQ29" s="36" t="n"/>
      <c r="AR29" s="36" t="n"/>
      <c r="AS29" s="36" t="n"/>
      <c r="AT29" s="36" t="n"/>
      <c r="AU29" s="36" t="n"/>
      <c r="AV29" s="36" t="n"/>
      <c r="AW29" s="36" t="n"/>
      <c r="AX29" s="36" t="n"/>
    </row>
    <row r="30">
      <c r="A30" s="28" t="inlineStr">
        <is>
          <t>Celestial_1</t>
        </is>
      </c>
      <c r="B30" s="20" t="inlineStr">
        <is>
          <t>ConTeras Industrial Group</t>
        </is>
      </c>
      <c r="C30" s="28" t="inlineStr">
        <is>
          <t>ConTeras Industrial Group</t>
        </is>
      </c>
      <c r="D30" s="28" t="inlineStr"/>
      <c r="E30" s="28" t="inlineStr">
        <is>
          <t>No</t>
        </is>
      </c>
      <c r="F30" s="28" t="inlineStr">
        <is>
          <t>Active</t>
        </is>
      </c>
      <c r="G30" s="36" t="n"/>
      <c r="H30" s="29" t="n">
        <v>1</v>
      </c>
      <c r="I30" s="37" t="n"/>
      <c r="J30" s="37" t="n"/>
      <c r="K30" s="31" t="n"/>
      <c r="L30" s="31" t="n"/>
      <c r="M30" s="31" t="n"/>
      <c r="N30" s="31" t="n"/>
      <c r="O30" s="31" t="n"/>
      <c r="P30" s="31" t="n"/>
      <c r="Q30" s="23">
        <f>IF($A30="","",COUNTIFS(Assignments!$C$2:$C$769,$A30,Assignments!$G$2:$G$769,"Active"))</f>
        <v/>
      </c>
      <c r="R30" s="32">
        <f>IF($A30="","",SUMIFS(Assignments!$I$2:$I$769,Assignments!$C$2:$C$769,$A30,Assignments!$G$2:$G$769,"Active"))</f>
        <v/>
      </c>
      <c r="S30" s="20" t="inlineStr">
        <is>
          <t>WIP</t>
        </is>
      </c>
      <c r="T30" s="31" t="n"/>
      <c r="U30" s="36" t="n"/>
      <c r="V30" s="34">
        <f>IF($U30="","",IFERROR(INDEX(Templates!$K$3:$K$10,MATCH($U30,Templates!$A$3:$A$10,0)),""))</f>
        <v/>
      </c>
      <c r="W30" s="34">
        <f>IF($U30="","",IFERROR(INDEX(Templates!$L$3:$L$10,MATCH($U30,Templates!$A$3:$A$10,0)),""))</f>
        <v/>
      </c>
      <c r="X30" s="21">
        <f>IF($U30="","",IFERROR(INDEX(Templates!$J$3:$J$10,MATCH($U30,Templates!$A$3:$A$10,0)),""))</f>
        <v/>
      </c>
      <c r="Y30" s="35">
        <f>IF(OR($U30="",$I30="",$J30="",$X30=""),"",$I30+$X30*($J30-$I30))</f>
        <v/>
      </c>
      <c r="Z30" s="30" t="n">
        <v>46212</v>
      </c>
      <c r="AA30" s="38" t="n"/>
      <c r="AB30" s="39" t="n"/>
      <c r="AC30" s="39" t="n"/>
      <c r="AD30" s="19">
        <f>IF($A30="","",IF($AA30="",$H30,$AA30))</f>
        <v/>
      </c>
      <c r="AE30" s="35">
        <f>IF($A30="","",IF($AB30="",$I30,$AB30))</f>
        <v/>
      </c>
      <c r="AF30" s="35">
        <f>IF($A30="","",IF($AC30="",$J30,$AC30))</f>
        <v/>
      </c>
      <c r="AG30" s="35">
        <f>IF(OR($U30="",$AE30="",$AF30="",$X30=""),"",$AE30+$X30*($AF30-$AE30))</f>
        <v/>
      </c>
      <c r="AH30" s="36" t="n"/>
      <c r="AI30" s="36" t="n"/>
      <c r="AJ30" s="36" t="n"/>
      <c r="AK30" s="36" t="n"/>
      <c r="AL30" s="36" t="n"/>
      <c r="AM30" s="36" t="n"/>
      <c r="AN30" s="36" t="n"/>
      <c r="AO30" s="36" t="n"/>
      <c r="AP30" s="36" t="n"/>
      <c r="AQ30" s="36" t="n"/>
      <c r="AR30" s="36" t="n"/>
      <c r="AS30" s="36" t="n"/>
      <c r="AT30" s="36" t="n"/>
      <c r="AU30" s="36" t="n"/>
      <c r="AV30" s="36" t="n"/>
      <c r="AW30" s="36" t="n"/>
      <c r="AX30" s="36" t="n"/>
    </row>
    <row r="31">
      <c r="A31" s="28" t="inlineStr">
        <is>
          <t>CFlats_1</t>
        </is>
      </c>
      <c r="B31" s="20" t="inlineStr">
        <is>
          <t>Ethos Specialty Insurance Services</t>
        </is>
      </c>
      <c r="C31" s="28" t="inlineStr">
        <is>
          <t>Ethos Specialty Insurance Services</t>
        </is>
      </c>
      <c r="D31" s="28" t="inlineStr"/>
      <c r="E31" s="28" t="inlineStr">
        <is>
          <t>No</t>
        </is>
      </c>
      <c r="F31" s="28" t="inlineStr">
        <is>
          <t>Active</t>
        </is>
      </c>
      <c r="G31" s="36" t="n"/>
      <c r="H31" s="29" t="n">
        <v>1</v>
      </c>
      <c r="I31" s="37" t="n"/>
      <c r="J31" s="37" t="n"/>
      <c r="K31" s="31" t="n"/>
      <c r="L31" s="31" t="n"/>
      <c r="M31" s="31" t="n"/>
      <c r="N31" s="31" t="n"/>
      <c r="O31" s="31" t="n"/>
      <c r="P31" s="31" t="n"/>
      <c r="Q31" s="23">
        <f>IF($A31="","",COUNTIFS(Assignments!$C$2:$C$769,$A31,Assignments!$G$2:$G$769,"Active"))</f>
        <v/>
      </c>
      <c r="R31" s="32">
        <f>IF($A31="","",SUMIFS(Assignments!$I$2:$I$769,Assignments!$C$2:$C$769,$A31,Assignments!$G$2:$G$769,"Active"))</f>
        <v/>
      </c>
      <c r="S31" s="20" t="inlineStr">
        <is>
          <t>WIP</t>
        </is>
      </c>
      <c r="T31" s="31" t="n"/>
      <c r="U31" s="36" t="n"/>
      <c r="V31" s="34">
        <f>IF($U31="","",IFERROR(INDEX(Templates!$K$3:$K$10,MATCH($U31,Templates!$A$3:$A$10,0)),""))</f>
        <v/>
      </c>
      <c r="W31" s="34">
        <f>IF($U31="","",IFERROR(INDEX(Templates!$L$3:$L$10,MATCH($U31,Templates!$A$3:$A$10,0)),""))</f>
        <v/>
      </c>
      <c r="X31" s="21">
        <f>IF($U31="","",IFERROR(INDEX(Templates!$J$3:$J$10,MATCH($U31,Templates!$A$3:$A$10,0)),""))</f>
        <v/>
      </c>
      <c r="Y31" s="35">
        <f>IF(OR($U31="",$I31="",$J31="",$X31=""),"",$I31+$X31*($J31-$I31))</f>
        <v/>
      </c>
      <c r="Z31" s="30" t="n">
        <v>46212</v>
      </c>
      <c r="AA31" s="38" t="n"/>
      <c r="AB31" s="39" t="n"/>
      <c r="AC31" s="39" t="n"/>
      <c r="AD31" s="19">
        <f>IF($A31="","",IF($AA31="",$H31,$AA31))</f>
        <v/>
      </c>
      <c r="AE31" s="35">
        <f>IF($A31="","",IF($AB31="",$I31,$AB31))</f>
        <v/>
      </c>
      <c r="AF31" s="35">
        <f>IF($A31="","",IF($AC31="",$J31,$AC31))</f>
        <v/>
      </c>
      <c r="AG31" s="35">
        <f>IF(OR($U31="",$AE31="",$AF31="",$X31=""),"",$AE31+$X31*($AF31-$AE31))</f>
        <v/>
      </c>
      <c r="AH31" s="36" t="n"/>
      <c r="AI31" s="36" t="n"/>
      <c r="AJ31" s="36" t="n"/>
      <c r="AK31" s="36" t="n"/>
      <c r="AL31" s="36" t="n"/>
      <c r="AM31" s="36" t="n"/>
      <c r="AN31" s="36" t="n"/>
      <c r="AO31" s="36" t="n"/>
      <c r="AP31" s="36" t="n"/>
      <c r="AQ31" s="36" t="n"/>
      <c r="AR31" s="36" t="n"/>
      <c r="AS31" s="36" t="n"/>
      <c r="AT31" s="36" t="n"/>
      <c r="AU31" s="36" t="n"/>
      <c r="AV31" s="36" t="n"/>
      <c r="AW31" s="36" t="n"/>
      <c r="AX31" s="36" t="n"/>
    </row>
    <row r="32">
      <c r="A32" s="28" t="inlineStr">
        <is>
          <t>Challenger_1</t>
        </is>
      </c>
      <c r="B32" s="20" t="inlineStr">
        <is>
          <t>Fengate</t>
        </is>
      </c>
      <c r="C32" s="28" t="inlineStr">
        <is>
          <t>Fengate</t>
        </is>
      </c>
      <c r="D32" s="28" t="inlineStr"/>
      <c r="E32" s="28" t="inlineStr">
        <is>
          <t>No</t>
        </is>
      </c>
      <c r="F32" s="28" t="inlineStr">
        <is>
          <t>Active</t>
        </is>
      </c>
      <c r="G32" s="36" t="n"/>
      <c r="H32" s="29" t="n">
        <v>1</v>
      </c>
      <c r="I32" s="37" t="n"/>
      <c r="J32" s="37" t="n"/>
      <c r="K32" s="31" t="n"/>
      <c r="L32" s="31" t="n"/>
      <c r="M32" s="31" t="n"/>
      <c r="N32" s="31" t="n"/>
      <c r="O32" s="31" t="n"/>
      <c r="P32" s="31" t="n"/>
      <c r="Q32" s="23">
        <f>IF($A32="","",COUNTIFS(Assignments!$C$2:$C$769,$A32,Assignments!$G$2:$G$769,"Active"))</f>
        <v/>
      </c>
      <c r="R32" s="32">
        <f>IF($A32="","",SUMIFS(Assignments!$I$2:$I$769,Assignments!$C$2:$C$769,$A32,Assignments!$G$2:$G$769,"Active"))</f>
        <v/>
      </c>
      <c r="S32" s="20" t="inlineStr">
        <is>
          <t>WIP</t>
        </is>
      </c>
      <c r="T32" s="31" t="n"/>
      <c r="U32" s="36" t="n"/>
      <c r="V32" s="34">
        <f>IF($U32="","",IFERROR(INDEX(Templates!$K$3:$K$10,MATCH($U32,Templates!$A$3:$A$10,0)),""))</f>
        <v/>
      </c>
      <c r="W32" s="34">
        <f>IF($U32="","",IFERROR(INDEX(Templates!$L$3:$L$10,MATCH($U32,Templates!$A$3:$A$10,0)),""))</f>
        <v/>
      </c>
      <c r="X32" s="21">
        <f>IF($U32="","",IFERROR(INDEX(Templates!$J$3:$J$10,MATCH($U32,Templates!$A$3:$A$10,0)),""))</f>
        <v/>
      </c>
      <c r="Y32" s="35">
        <f>IF(OR($U32="",$I32="",$J32="",$X32=""),"",$I32+$X32*($J32-$I32))</f>
        <v/>
      </c>
      <c r="Z32" s="30" t="n">
        <v>46212</v>
      </c>
      <c r="AA32" s="38" t="n"/>
      <c r="AB32" s="39" t="n"/>
      <c r="AC32" s="39" t="n"/>
      <c r="AD32" s="19">
        <f>IF($A32="","",IF($AA32="",$H32,$AA32))</f>
        <v/>
      </c>
      <c r="AE32" s="35">
        <f>IF($A32="","",IF($AB32="",$I32,$AB32))</f>
        <v/>
      </c>
      <c r="AF32" s="35">
        <f>IF($A32="","",IF($AC32="",$J32,$AC32))</f>
        <v/>
      </c>
      <c r="AG32" s="35">
        <f>IF(OR($U32="",$AE32="",$AF32="",$X32=""),"",$AE32+$X32*($AF32-$AE32))</f>
        <v/>
      </c>
      <c r="AH32" s="36" t="n"/>
      <c r="AI32" s="36" t="n"/>
      <c r="AJ32" s="36" t="n"/>
      <c r="AK32" s="36" t="n"/>
      <c r="AL32" s="36" t="n"/>
      <c r="AM32" s="36" t="n"/>
      <c r="AN32" s="36" t="n"/>
      <c r="AO32" s="36" t="n"/>
      <c r="AP32" s="36" t="n"/>
      <c r="AQ32" s="36" t="n"/>
      <c r="AR32" s="36" t="n"/>
      <c r="AS32" s="36" t="n"/>
      <c r="AT32" s="36" t="n"/>
      <c r="AU32" s="36" t="n"/>
      <c r="AV32" s="36" t="n"/>
      <c r="AW32" s="36" t="n"/>
      <c r="AX32" s="36" t="n"/>
    </row>
    <row r="33">
      <c r="A33" s="28" t="inlineStr">
        <is>
          <t>Chicago RE_1</t>
        </is>
      </c>
      <c r="B33" s="20" t="inlineStr">
        <is>
          <t>Fengate</t>
        </is>
      </c>
      <c r="C33" s="28" t="inlineStr">
        <is>
          <t>Fengate</t>
        </is>
      </c>
      <c r="D33" s="28" t="inlineStr"/>
      <c r="E33" s="28" t="inlineStr">
        <is>
          <t>No</t>
        </is>
      </c>
      <c r="F33" s="28" t="inlineStr">
        <is>
          <t>Active</t>
        </is>
      </c>
      <c r="G33" s="36" t="n"/>
      <c r="H33" s="29" t="n">
        <v>1</v>
      </c>
      <c r="I33" s="37" t="n"/>
      <c r="J33" s="37" t="n"/>
      <c r="K33" s="31" t="n"/>
      <c r="L33" s="31" t="n"/>
      <c r="M33" s="31" t="n"/>
      <c r="N33" s="31" t="n"/>
      <c r="O33" s="31" t="n"/>
      <c r="P33" s="31" t="n"/>
      <c r="Q33" s="23">
        <f>IF($A33="","",COUNTIFS(Assignments!$C$2:$C$769,$A33,Assignments!$G$2:$G$769,"Active"))</f>
        <v/>
      </c>
      <c r="R33" s="32">
        <f>IF($A33="","",SUMIFS(Assignments!$I$2:$I$769,Assignments!$C$2:$C$769,$A33,Assignments!$G$2:$G$769,"Active"))</f>
        <v/>
      </c>
      <c r="S33" s="20" t="inlineStr">
        <is>
          <t>WIP</t>
        </is>
      </c>
      <c r="T33" s="31" t="n"/>
      <c r="U33" s="36" t="n"/>
      <c r="V33" s="34">
        <f>IF($U33="","",IFERROR(INDEX(Templates!$K$3:$K$10,MATCH($U33,Templates!$A$3:$A$10,0)),""))</f>
        <v/>
      </c>
      <c r="W33" s="34">
        <f>IF($U33="","",IFERROR(INDEX(Templates!$L$3:$L$10,MATCH($U33,Templates!$A$3:$A$10,0)),""))</f>
        <v/>
      </c>
      <c r="X33" s="21">
        <f>IF($U33="","",IFERROR(INDEX(Templates!$J$3:$J$10,MATCH($U33,Templates!$A$3:$A$10,0)),""))</f>
        <v/>
      </c>
      <c r="Y33" s="35">
        <f>IF(OR($U33="",$I33="",$J33="",$X33=""),"",$I33+$X33*($J33-$I33))</f>
        <v/>
      </c>
      <c r="Z33" s="30" t="n">
        <v>46212</v>
      </c>
      <c r="AA33" s="38" t="n"/>
      <c r="AB33" s="39" t="n"/>
      <c r="AC33" s="39" t="n"/>
      <c r="AD33" s="19">
        <f>IF($A33="","",IF($AA33="",$H33,$AA33))</f>
        <v/>
      </c>
      <c r="AE33" s="35">
        <f>IF($A33="","",IF($AB33="",$I33,$AB33))</f>
        <v/>
      </c>
      <c r="AF33" s="35">
        <f>IF($A33="","",IF($AC33="",$J33,$AC33))</f>
        <v/>
      </c>
      <c r="AG33" s="35">
        <f>IF(OR($U33="",$AE33="",$AF33="",$X33=""),"",$AE33+$X33*($AF33-$AE33))</f>
        <v/>
      </c>
      <c r="AH33" s="36" t="n"/>
      <c r="AI33" s="36" t="n"/>
      <c r="AJ33" s="36" t="n"/>
      <c r="AK33" s="36" t="n"/>
      <c r="AL33" s="36" t="n"/>
      <c r="AM33" s="36" t="n"/>
      <c r="AN33" s="36" t="n"/>
      <c r="AO33" s="36" t="n"/>
      <c r="AP33" s="36" t="n"/>
      <c r="AQ33" s="36" t="n"/>
      <c r="AR33" s="36" t="n"/>
      <c r="AS33" s="36" t="n"/>
      <c r="AT33" s="36" t="n"/>
      <c r="AU33" s="36" t="n"/>
      <c r="AV33" s="36" t="n"/>
      <c r="AW33" s="36" t="n"/>
      <c r="AX33" s="36" t="n"/>
    </row>
    <row r="34">
      <c r="A34" s="28" t="inlineStr">
        <is>
          <t>Chile_1</t>
        </is>
      </c>
      <c r="B34" s="20" t="inlineStr">
        <is>
          <t>Inn-Flow</t>
        </is>
      </c>
      <c r="C34" s="28" t="inlineStr">
        <is>
          <t>Inn-Flow</t>
        </is>
      </c>
      <c r="D34" s="28" t="inlineStr"/>
      <c r="E34" s="28" t="inlineStr">
        <is>
          <t>No</t>
        </is>
      </c>
      <c r="F34" s="28" t="inlineStr">
        <is>
          <t>Active</t>
        </is>
      </c>
      <c r="G34" s="36" t="n"/>
      <c r="H34" s="29" t="n">
        <v>1</v>
      </c>
      <c r="I34" s="37" t="n"/>
      <c r="J34" s="37" t="n"/>
      <c r="K34" s="31" t="n"/>
      <c r="L34" s="31" t="n"/>
      <c r="M34" s="31" t="n"/>
      <c r="N34" s="31" t="n"/>
      <c r="O34" s="31" t="n"/>
      <c r="P34" s="31" t="n"/>
      <c r="Q34" s="23">
        <f>IF($A34="","",COUNTIFS(Assignments!$C$2:$C$769,$A34,Assignments!$G$2:$G$769,"Active"))</f>
        <v/>
      </c>
      <c r="R34" s="32">
        <f>IF($A34="","",SUMIFS(Assignments!$I$2:$I$769,Assignments!$C$2:$C$769,$A34,Assignments!$G$2:$G$769,"Active"))</f>
        <v/>
      </c>
      <c r="S34" s="20" t="inlineStr">
        <is>
          <t>Summary tab only (WIP)</t>
        </is>
      </c>
      <c r="T34" s="31" t="n"/>
      <c r="U34" s="36" t="n"/>
      <c r="V34" s="34">
        <f>IF($U34="","",IFERROR(INDEX(Templates!$K$3:$K$10,MATCH($U34,Templates!$A$3:$A$10,0)),""))</f>
        <v/>
      </c>
      <c r="W34" s="34">
        <f>IF($U34="","",IFERROR(INDEX(Templates!$L$3:$L$10,MATCH($U34,Templates!$A$3:$A$10,0)),""))</f>
        <v/>
      </c>
      <c r="X34" s="21">
        <f>IF($U34="","",IFERROR(INDEX(Templates!$J$3:$J$10,MATCH($U34,Templates!$A$3:$A$10,0)),""))</f>
        <v/>
      </c>
      <c r="Y34" s="35">
        <f>IF(OR($U34="",$I34="",$J34="",$X34=""),"",$I34+$X34*($J34-$I34))</f>
        <v/>
      </c>
      <c r="Z34" s="30" t="n">
        <v>46212</v>
      </c>
      <c r="AA34" s="38" t="n"/>
      <c r="AB34" s="39" t="n"/>
      <c r="AC34" s="39" t="n"/>
      <c r="AD34" s="19">
        <f>IF($A34="","",IF($AA34="",$H34,$AA34))</f>
        <v/>
      </c>
      <c r="AE34" s="35">
        <f>IF($A34="","",IF($AB34="",$I34,$AB34))</f>
        <v/>
      </c>
      <c r="AF34" s="35">
        <f>IF($A34="","",IF($AC34="",$J34,$AC34))</f>
        <v/>
      </c>
      <c r="AG34" s="35">
        <f>IF(OR($U34="",$AE34="",$AF34="",$X34=""),"",$AE34+$X34*($AF34-$AE34))</f>
        <v/>
      </c>
      <c r="AH34" s="36" t="n"/>
      <c r="AI34" s="36" t="n"/>
      <c r="AJ34" s="36" t="n"/>
      <c r="AK34" s="36" t="n"/>
      <c r="AL34" s="36" t="n"/>
      <c r="AM34" s="36" t="n"/>
      <c r="AN34" s="36" t="n"/>
      <c r="AO34" s="36" t="n"/>
      <c r="AP34" s="36" t="n"/>
      <c r="AQ34" s="36" t="n"/>
      <c r="AR34" s="36" t="n"/>
      <c r="AS34" s="36" t="n"/>
      <c r="AT34" s="36" t="n"/>
      <c r="AU34" s="36" t="n"/>
      <c r="AV34" s="36" t="n"/>
      <c r="AW34" s="36" t="n"/>
      <c r="AX34" s="36" t="n"/>
    </row>
    <row r="35">
      <c r="A35" s="28" t="inlineStr">
        <is>
          <t>Circuit_1</t>
        </is>
      </c>
      <c r="B35" s="20" t="inlineStr">
        <is>
          <t>LS Power</t>
        </is>
      </c>
      <c r="C35" s="28" t="inlineStr">
        <is>
          <t>LS Power</t>
        </is>
      </c>
      <c r="D35" s="28" t="inlineStr"/>
      <c r="E35" s="28" t="inlineStr">
        <is>
          <t>No</t>
        </is>
      </c>
      <c r="F35" s="28" t="inlineStr">
        <is>
          <t>Active</t>
        </is>
      </c>
      <c r="G35" s="36" t="n"/>
      <c r="H35" s="29" t="n">
        <v>1</v>
      </c>
      <c r="I35" s="37" t="n"/>
      <c r="J35" s="37" t="n"/>
      <c r="K35" s="31" t="n"/>
      <c r="L35" s="31" t="n"/>
      <c r="M35" s="31" t="n"/>
      <c r="N35" s="31" t="n"/>
      <c r="O35" s="31" t="n"/>
      <c r="P35" s="31" t="n"/>
      <c r="Q35" s="23">
        <f>IF($A35="","",COUNTIFS(Assignments!$C$2:$C$769,$A35,Assignments!$G$2:$G$769,"Active"))</f>
        <v/>
      </c>
      <c r="R35" s="32">
        <f>IF($A35="","",SUMIFS(Assignments!$I$2:$I$769,Assignments!$C$2:$C$769,$A35,Assignments!$G$2:$G$769,"Active"))</f>
        <v/>
      </c>
      <c r="S35" s="20" t="inlineStr">
        <is>
          <t>WIP</t>
        </is>
      </c>
      <c r="T35" s="31" t="n"/>
      <c r="U35" s="36" t="n"/>
      <c r="V35" s="34">
        <f>IF($U35="","",IFERROR(INDEX(Templates!$K$3:$K$10,MATCH($U35,Templates!$A$3:$A$10,0)),""))</f>
        <v/>
      </c>
      <c r="W35" s="34">
        <f>IF($U35="","",IFERROR(INDEX(Templates!$L$3:$L$10,MATCH($U35,Templates!$A$3:$A$10,0)),""))</f>
        <v/>
      </c>
      <c r="X35" s="21">
        <f>IF($U35="","",IFERROR(INDEX(Templates!$J$3:$J$10,MATCH($U35,Templates!$A$3:$A$10,0)),""))</f>
        <v/>
      </c>
      <c r="Y35" s="35">
        <f>IF(OR($U35="",$I35="",$J35="",$X35=""),"",$I35+$X35*($J35-$I35))</f>
        <v/>
      </c>
      <c r="Z35" s="30" t="n">
        <v>46212</v>
      </c>
      <c r="AA35" s="38" t="n"/>
      <c r="AB35" s="39" t="n"/>
      <c r="AC35" s="39" t="n"/>
      <c r="AD35" s="19">
        <f>IF($A35="","",IF($AA35="",$H35,$AA35))</f>
        <v/>
      </c>
      <c r="AE35" s="35">
        <f>IF($A35="","",IF($AB35="",$I35,$AB35))</f>
        <v/>
      </c>
      <c r="AF35" s="35">
        <f>IF($A35="","",IF($AC35="",$J35,$AC35))</f>
        <v/>
      </c>
      <c r="AG35" s="35">
        <f>IF(OR($U35="",$AE35="",$AF35="",$X35=""),"",$AE35+$X35*($AF35-$AE35))</f>
        <v/>
      </c>
      <c r="AH35" s="36" t="n"/>
      <c r="AI35" s="36" t="n"/>
      <c r="AJ35" s="36" t="n"/>
      <c r="AK35" s="36" t="n"/>
      <c r="AL35" s="36" t="n"/>
      <c r="AM35" s="36" t="n"/>
      <c r="AN35" s="36" t="n"/>
      <c r="AO35" s="36" t="n"/>
      <c r="AP35" s="36" t="n"/>
      <c r="AQ35" s="36" t="n"/>
      <c r="AR35" s="36" t="n"/>
      <c r="AS35" s="36" t="n"/>
      <c r="AT35" s="36" t="n"/>
      <c r="AU35" s="36" t="n"/>
      <c r="AV35" s="36" t="n"/>
      <c r="AW35" s="36" t="n"/>
      <c r="AX35" s="36" t="n"/>
    </row>
    <row r="36">
      <c r="A36" s="28" t="inlineStr">
        <is>
          <t>CLS_1</t>
        </is>
      </c>
      <c r="B36" s="20" t="inlineStr">
        <is>
          <t>Embark</t>
        </is>
      </c>
      <c r="C36" s="28" t="inlineStr">
        <is>
          <t>Embark</t>
        </is>
      </c>
      <c r="D36" s="28" t="inlineStr"/>
      <c r="E36" s="28" t="inlineStr">
        <is>
          <t>No</t>
        </is>
      </c>
      <c r="F36" s="28" t="inlineStr">
        <is>
          <t>Active</t>
        </is>
      </c>
      <c r="G36" s="36" t="n"/>
      <c r="H36" s="29" t="n">
        <v>1</v>
      </c>
      <c r="I36" s="37" t="n"/>
      <c r="J36" s="37" t="n"/>
      <c r="K36" s="31" t="n"/>
      <c r="L36" s="31" t="n"/>
      <c r="M36" s="31" t="n"/>
      <c r="N36" s="31" t="n"/>
      <c r="O36" s="31" t="n"/>
      <c r="P36" s="31" t="n"/>
      <c r="Q36" s="23">
        <f>IF($A36="","",COUNTIFS(Assignments!$C$2:$C$769,$A36,Assignments!$G$2:$G$769,"Active"))</f>
        <v/>
      </c>
      <c r="R36" s="32">
        <f>IF($A36="","",SUMIFS(Assignments!$I$2:$I$769,Assignments!$C$2:$C$769,$A36,Assignments!$G$2:$G$769,"Active"))</f>
        <v/>
      </c>
      <c r="S36" s="20" t="inlineStr">
        <is>
          <t>WIP</t>
        </is>
      </c>
      <c r="T36" s="31" t="n"/>
      <c r="U36" s="36" t="n"/>
      <c r="V36" s="34">
        <f>IF($U36="","",IFERROR(INDEX(Templates!$K$3:$K$10,MATCH($U36,Templates!$A$3:$A$10,0)),""))</f>
        <v/>
      </c>
      <c r="W36" s="34">
        <f>IF($U36="","",IFERROR(INDEX(Templates!$L$3:$L$10,MATCH($U36,Templates!$A$3:$A$10,0)),""))</f>
        <v/>
      </c>
      <c r="X36" s="21">
        <f>IF($U36="","",IFERROR(INDEX(Templates!$J$3:$J$10,MATCH($U36,Templates!$A$3:$A$10,0)),""))</f>
        <v/>
      </c>
      <c r="Y36" s="35">
        <f>IF(OR($U36="",$I36="",$J36="",$X36=""),"",$I36+$X36*($J36-$I36))</f>
        <v/>
      </c>
      <c r="Z36" s="30" t="n">
        <v>46212</v>
      </c>
      <c r="AA36" s="38" t="n"/>
      <c r="AB36" s="39" t="n"/>
      <c r="AC36" s="39" t="n"/>
      <c r="AD36" s="19">
        <f>IF($A36="","",IF($AA36="",$H36,$AA36))</f>
        <v/>
      </c>
      <c r="AE36" s="35">
        <f>IF($A36="","",IF($AB36="",$I36,$AB36))</f>
        <v/>
      </c>
      <c r="AF36" s="35">
        <f>IF($A36="","",IF($AC36="",$J36,$AC36))</f>
        <v/>
      </c>
      <c r="AG36" s="35">
        <f>IF(OR($U36="",$AE36="",$AF36="",$X36=""),"",$AE36+$X36*($AF36-$AE36))</f>
        <v/>
      </c>
      <c r="AH36" s="36" t="n"/>
      <c r="AI36" s="36" t="n"/>
      <c r="AJ36" s="36" t="n"/>
      <c r="AK36" s="36" t="n"/>
      <c r="AL36" s="36" t="n"/>
      <c r="AM36" s="36" t="n"/>
      <c r="AN36" s="36" t="n"/>
      <c r="AO36" s="36" t="n"/>
      <c r="AP36" s="36" t="n"/>
      <c r="AQ36" s="36" t="n"/>
      <c r="AR36" s="36" t="n"/>
      <c r="AS36" s="36" t="n"/>
      <c r="AT36" s="36" t="n"/>
      <c r="AU36" s="36" t="n"/>
      <c r="AV36" s="36" t="n"/>
      <c r="AW36" s="36" t="n"/>
      <c r="AX36" s="36" t="n"/>
    </row>
    <row r="37">
      <c r="A37" s="28" t="inlineStr">
        <is>
          <t>Cohost_1</t>
        </is>
      </c>
      <c r="B37" s="20" t="inlineStr">
        <is>
          <t>AwayDay</t>
        </is>
      </c>
      <c r="C37" s="28" t="inlineStr">
        <is>
          <t>AwayDay</t>
        </is>
      </c>
      <c r="D37" s="28" t="inlineStr"/>
      <c r="E37" s="28" t="inlineStr">
        <is>
          <t>No</t>
        </is>
      </c>
      <c r="F37" s="28" t="inlineStr">
        <is>
          <t>Active</t>
        </is>
      </c>
      <c r="G37" s="36" t="n"/>
      <c r="H37" s="29" t="n">
        <v>1</v>
      </c>
      <c r="I37" s="37" t="n"/>
      <c r="J37" s="37" t="n"/>
      <c r="K37" s="31" t="n"/>
      <c r="L37" s="31" t="n"/>
      <c r="M37" s="31" t="n"/>
      <c r="N37" s="31" t="n"/>
      <c r="O37" s="31" t="n"/>
      <c r="P37" s="31" t="n"/>
      <c r="Q37" s="23">
        <f>IF($A37="","",COUNTIFS(Assignments!$C$2:$C$769,$A37,Assignments!$G$2:$G$769,"Active"))</f>
        <v/>
      </c>
      <c r="R37" s="32">
        <f>IF($A37="","",SUMIFS(Assignments!$I$2:$I$769,Assignments!$C$2:$C$769,$A37,Assignments!$G$2:$G$769,"Active"))</f>
        <v/>
      </c>
      <c r="S37" s="20" t="inlineStr">
        <is>
          <t>WIP</t>
        </is>
      </c>
      <c r="T37" s="31" t="n"/>
      <c r="U37" s="36" t="n"/>
      <c r="V37" s="34">
        <f>IF($U37="","",IFERROR(INDEX(Templates!$K$3:$K$10,MATCH($U37,Templates!$A$3:$A$10,0)),""))</f>
        <v/>
      </c>
      <c r="W37" s="34">
        <f>IF($U37="","",IFERROR(INDEX(Templates!$L$3:$L$10,MATCH($U37,Templates!$A$3:$A$10,0)),""))</f>
        <v/>
      </c>
      <c r="X37" s="21">
        <f>IF($U37="","",IFERROR(INDEX(Templates!$J$3:$J$10,MATCH($U37,Templates!$A$3:$A$10,0)),""))</f>
        <v/>
      </c>
      <c r="Y37" s="35">
        <f>IF(OR($U37="",$I37="",$J37="",$X37=""),"",$I37+$X37*($J37-$I37))</f>
        <v/>
      </c>
      <c r="Z37" s="30" t="n">
        <v>46212</v>
      </c>
      <c r="AA37" s="38" t="n"/>
      <c r="AB37" s="39" t="n"/>
      <c r="AC37" s="39" t="n"/>
      <c r="AD37" s="19">
        <f>IF($A37="","",IF($AA37="",$H37,$AA37))</f>
        <v/>
      </c>
      <c r="AE37" s="35">
        <f>IF($A37="","",IF($AB37="",$I37,$AB37))</f>
        <v/>
      </c>
      <c r="AF37" s="35">
        <f>IF($A37="","",IF($AC37="",$J37,$AC37))</f>
        <v/>
      </c>
      <c r="AG37" s="35">
        <f>IF(OR($U37="",$AE37="",$AF37="",$X37=""),"",$AE37+$X37*($AF37-$AE37))</f>
        <v/>
      </c>
      <c r="AH37" s="36" t="n"/>
      <c r="AI37" s="36" t="n"/>
      <c r="AJ37" s="36" t="n"/>
      <c r="AK37" s="36" t="n"/>
      <c r="AL37" s="36" t="n"/>
      <c r="AM37" s="36" t="n"/>
      <c r="AN37" s="36" t="n"/>
      <c r="AO37" s="36" t="n"/>
      <c r="AP37" s="36" t="n"/>
      <c r="AQ37" s="36" t="n"/>
      <c r="AR37" s="36" t="n"/>
      <c r="AS37" s="36" t="n"/>
      <c r="AT37" s="36" t="n"/>
      <c r="AU37" s="36" t="n"/>
      <c r="AV37" s="36" t="n"/>
      <c r="AW37" s="36" t="n"/>
      <c r="AX37" s="36" t="n"/>
    </row>
    <row r="38">
      <c r="A38" s="28" t="inlineStr">
        <is>
          <t>Colt_2</t>
        </is>
      </c>
      <c r="B38" s="20" t="inlineStr">
        <is>
          <t>Blackstone Management Partners LLC</t>
        </is>
      </c>
      <c r="C38" s="28" t="inlineStr">
        <is>
          <t>Blackstone Management Partners LLC</t>
        </is>
      </c>
      <c r="D38" s="28" t="inlineStr"/>
      <c r="E38" s="28" t="inlineStr">
        <is>
          <t>No</t>
        </is>
      </c>
      <c r="F38" s="28" t="inlineStr">
        <is>
          <t>Active</t>
        </is>
      </c>
      <c r="G38" s="36" t="n"/>
      <c r="H38" s="29" t="n">
        <v>1</v>
      </c>
      <c r="I38" s="37" t="n"/>
      <c r="J38" s="37" t="n"/>
      <c r="K38" s="31" t="n"/>
      <c r="L38" s="31" t="n"/>
      <c r="M38" s="31" t="n"/>
      <c r="N38" s="31" t="n"/>
      <c r="O38" s="31" t="n"/>
      <c r="P38" s="31" t="n"/>
      <c r="Q38" s="23">
        <f>IF($A38="","",COUNTIFS(Assignments!$C$2:$C$769,$A38,Assignments!$G$2:$G$769,"Active"))</f>
        <v/>
      </c>
      <c r="R38" s="32">
        <f>IF($A38="","",SUMIFS(Assignments!$I$2:$I$769,Assignments!$C$2:$C$769,$A38,Assignments!$G$2:$G$769,"Active"))</f>
        <v/>
      </c>
      <c r="S38" s="20" t="inlineStr">
        <is>
          <t>WIP</t>
        </is>
      </c>
      <c r="T38" s="31" t="n"/>
      <c r="U38" s="36" t="n"/>
      <c r="V38" s="34">
        <f>IF($U38="","",IFERROR(INDEX(Templates!$K$3:$K$10,MATCH($U38,Templates!$A$3:$A$10,0)),""))</f>
        <v/>
      </c>
      <c r="W38" s="34">
        <f>IF($U38="","",IFERROR(INDEX(Templates!$L$3:$L$10,MATCH($U38,Templates!$A$3:$A$10,0)),""))</f>
        <v/>
      </c>
      <c r="X38" s="21">
        <f>IF($U38="","",IFERROR(INDEX(Templates!$J$3:$J$10,MATCH($U38,Templates!$A$3:$A$10,0)),""))</f>
        <v/>
      </c>
      <c r="Y38" s="35">
        <f>IF(OR($U38="",$I38="",$J38="",$X38=""),"",$I38+$X38*($J38-$I38))</f>
        <v/>
      </c>
      <c r="Z38" s="30" t="n">
        <v>46212</v>
      </c>
      <c r="AA38" s="38" t="n"/>
      <c r="AB38" s="39" t="n"/>
      <c r="AC38" s="39" t="n"/>
      <c r="AD38" s="19">
        <f>IF($A38="","",IF($AA38="",$H38,$AA38))</f>
        <v/>
      </c>
      <c r="AE38" s="35">
        <f>IF($A38="","",IF($AB38="",$I38,$AB38))</f>
        <v/>
      </c>
      <c r="AF38" s="35">
        <f>IF($A38="","",IF($AC38="",$J38,$AC38))</f>
        <v/>
      </c>
      <c r="AG38" s="35">
        <f>IF(OR($U38="",$AE38="",$AF38="",$X38=""),"",$AE38+$X38*($AF38-$AE38))</f>
        <v/>
      </c>
      <c r="AH38" s="36" t="n"/>
      <c r="AI38" s="36" t="n"/>
      <c r="AJ38" s="36" t="n"/>
      <c r="AK38" s="36" t="n"/>
      <c r="AL38" s="36" t="n"/>
      <c r="AM38" s="36" t="n"/>
      <c r="AN38" s="36" t="n"/>
      <c r="AO38" s="36" t="n"/>
      <c r="AP38" s="36" t="n"/>
      <c r="AQ38" s="36" t="n"/>
      <c r="AR38" s="36" t="n"/>
      <c r="AS38" s="36" t="n"/>
      <c r="AT38" s="36" t="n"/>
      <c r="AU38" s="36" t="n"/>
      <c r="AV38" s="36" t="n"/>
      <c r="AW38" s="36" t="n"/>
      <c r="AX38" s="36" t="n"/>
    </row>
    <row r="39">
      <c r="A39" s="28" t="inlineStr">
        <is>
          <t>Concrete_1</t>
        </is>
      </c>
      <c r="B39" s="20" t="inlineStr">
        <is>
          <t>Lime Rock New Energy L.P.</t>
        </is>
      </c>
      <c r="C39" s="28" t="inlineStr">
        <is>
          <t>Lime Rock New Energy L.P.</t>
        </is>
      </c>
      <c r="D39" s="28" t="inlineStr"/>
      <c r="E39" s="28" t="inlineStr">
        <is>
          <t>No</t>
        </is>
      </c>
      <c r="F39" s="28" t="inlineStr">
        <is>
          <t>Active</t>
        </is>
      </c>
      <c r="G39" s="36" t="n"/>
      <c r="H39" s="29" t="n">
        <v>1</v>
      </c>
      <c r="I39" s="37" t="n"/>
      <c r="J39" s="37" t="n"/>
      <c r="K39" s="31" t="n"/>
      <c r="L39" s="31" t="n"/>
      <c r="M39" s="31" t="n"/>
      <c r="N39" s="31" t="n"/>
      <c r="O39" s="31" t="n"/>
      <c r="P39" s="31" t="n"/>
      <c r="Q39" s="23">
        <f>IF($A39="","",COUNTIFS(Assignments!$C$2:$C$769,$A39,Assignments!$G$2:$G$769,"Active"))</f>
        <v/>
      </c>
      <c r="R39" s="32">
        <f>IF($A39="","",SUMIFS(Assignments!$I$2:$I$769,Assignments!$C$2:$C$769,$A39,Assignments!$G$2:$G$769,"Active"))</f>
        <v/>
      </c>
      <c r="S39" s="20" t="inlineStr">
        <is>
          <t>WIP</t>
        </is>
      </c>
      <c r="T39" s="31" t="n"/>
      <c r="U39" s="36" t="n"/>
      <c r="V39" s="34">
        <f>IF($U39="","",IFERROR(INDEX(Templates!$K$3:$K$10,MATCH($U39,Templates!$A$3:$A$10,0)),""))</f>
        <v/>
      </c>
      <c r="W39" s="34">
        <f>IF($U39="","",IFERROR(INDEX(Templates!$L$3:$L$10,MATCH($U39,Templates!$A$3:$A$10,0)),""))</f>
        <v/>
      </c>
      <c r="X39" s="21">
        <f>IF($U39="","",IFERROR(INDEX(Templates!$J$3:$J$10,MATCH($U39,Templates!$A$3:$A$10,0)),""))</f>
        <v/>
      </c>
      <c r="Y39" s="35">
        <f>IF(OR($U39="",$I39="",$J39="",$X39=""),"",$I39+$X39*($J39-$I39))</f>
        <v/>
      </c>
      <c r="Z39" s="30" t="n">
        <v>46212</v>
      </c>
      <c r="AA39" s="38" t="n"/>
      <c r="AB39" s="39" t="n"/>
      <c r="AC39" s="39" t="n"/>
      <c r="AD39" s="19">
        <f>IF($A39="","",IF($AA39="",$H39,$AA39))</f>
        <v/>
      </c>
      <c r="AE39" s="35">
        <f>IF($A39="","",IF($AB39="",$I39,$AB39))</f>
        <v/>
      </c>
      <c r="AF39" s="35">
        <f>IF($A39="","",IF($AC39="",$J39,$AC39))</f>
        <v/>
      </c>
      <c r="AG39" s="35">
        <f>IF(OR($U39="",$AE39="",$AF39="",$X39=""),"",$AE39+$X39*($AF39-$AE39))</f>
        <v/>
      </c>
      <c r="AH39" s="36" t="n"/>
      <c r="AI39" s="36" t="n"/>
      <c r="AJ39" s="36" t="n"/>
      <c r="AK39" s="36" t="n"/>
      <c r="AL39" s="36" t="n"/>
      <c r="AM39" s="36" t="n"/>
      <c r="AN39" s="36" t="n"/>
      <c r="AO39" s="36" t="n"/>
      <c r="AP39" s="36" t="n"/>
      <c r="AQ39" s="36" t="n"/>
      <c r="AR39" s="36" t="n"/>
      <c r="AS39" s="36" t="n"/>
      <c r="AT39" s="36" t="n"/>
      <c r="AU39" s="36" t="n"/>
      <c r="AV39" s="36" t="n"/>
      <c r="AW39" s="36" t="n"/>
      <c r="AX39" s="36" t="n"/>
    </row>
    <row r="40">
      <c r="A40" s="28" t="inlineStr">
        <is>
          <t>Copia_3</t>
        </is>
      </c>
      <c r="B40" s="20" t="inlineStr">
        <is>
          <t>Copia Power</t>
        </is>
      </c>
      <c r="C40" s="28" t="inlineStr">
        <is>
          <t>Copia Power</t>
        </is>
      </c>
      <c r="D40" s="28" t="inlineStr"/>
      <c r="E40" s="28" t="inlineStr">
        <is>
          <t>No</t>
        </is>
      </c>
      <c r="F40" s="28" t="inlineStr">
        <is>
          <t>Active</t>
        </is>
      </c>
      <c r="G40" s="36" t="n"/>
      <c r="H40" s="29" t="n">
        <v>1</v>
      </c>
      <c r="I40" s="37" t="n"/>
      <c r="J40" s="37" t="n"/>
      <c r="K40" s="31" t="n"/>
      <c r="L40" s="31" t="n"/>
      <c r="M40" s="31" t="n"/>
      <c r="N40" s="31" t="n"/>
      <c r="O40" s="31" t="n"/>
      <c r="P40" s="31" t="n"/>
      <c r="Q40" s="23">
        <f>IF($A40="","",COUNTIFS(Assignments!$C$2:$C$769,$A40,Assignments!$G$2:$G$769,"Active"))</f>
        <v/>
      </c>
      <c r="R40" s="32">
        <f>IF($A40="","",SUMIFS(Assignments!$I$2:$I$769,Assignments!$C$2:$C$769,$A40,Assignments!$G$2:$G$769,"Active"))</f>
        <v/>
      </c>
      <c r="S40" s="20" t="inlineStr">
        <is>
          <t>WIP</t>
        </is>
      </c>
      <c r="T40" s="31" t="n"/>
      <c r="U40" s="36" t="n"/>
      <c r="V40" s="34">
        <f>IF($U40="","",IFERROR(INDEX(Templates!$K$3:$K$10,MATCH($U40,Templates!$A$3:$A$10,0)),""))</f>
        <v/>
      </c>
      <c r="W40" s="34">
        <f>IF($U40="","",IFERROR(INDEX(Templates!$L$3:$L$10,MATCH($U40,Templates!$A$3:$A$10,0)),""))</f>
        <v/>
      </c>
      <c r="X40" s="21">
        <f>IF($U40="","",IFERROR(INDEX(Templates!$J$3:$J$10,MATCH($U40,Templates!$A$3:$A$10,0)),""))</f>
        <v/>
      </c>
      <c r="Y40" s="35">
        <f>IF(OR($U40="",$I40="",$J40="",$X40=""),"",$I40+$X40*($J40-$I40))</f>
        <v/>
      </c>
      <c r="Z40" s="30" t="n">
        <v>46212</v>
      </c>
      <c r="AA40" s="38" t="n"/>
      <c r="AB40" s="39" t="n"/>
      <c r="AC40" s="39" t="n"/>
      <c r="AD40" s="19">
        <f>IF($A40="","",IF($AA40="",$H40,$AA40))</f>
        <v/>
      </c>
      <c r="AE40" s="35">
        <f>IF($A40="","",IF($AB40="",$I40,$AB40))</f>
        <v/>
      </c>
      <c r="AF40" s="35">
        <f>IF($A40="","",IF($AC40="",$J40,$AC40))</f>
        <v/>
      </c>
      <c r="AG40" s="35">
        <f>IF(OR($U40="",$AE40="",$AF40="",$X40=""),"",$AE40+$X40*($AF40-$AE40))</f>
        <v/>
      </c>
      <c r="AH40" s="36" t="n"/>
      <c r="AI40" s="36" t="n"/>
      <c r="AJ40" s="36" t="n"/>
      <c r="AK40" s="36" t="n"/>
      <c r="AL40" s="36" t="n"/>
      <c r="AM40" s="36" t="n"/>
      <c r="AN40" s="36" t="n"/>
      <c r="AO40" s="36" t="n"/>
      <c r="AP40" s="36" t="n"/>
      <c r="AQ40" s="36" t="n"/>
      <c r="AR40" s="36" t="n"/>
      <c r="AS40" s="36" t="n"/>
      <c r="AT40" s="36" t="n"/>
      <c r="AU40" s="36" t="n"/>
      <c r="AV40" s="36" t="n"/>
      <c r="AW40" s="36" t="n"/>
      <c r="AX40" s="36" t="n"/>
    </row>
    <row r="41">
      <c r="A41" s="28" t="inlineStr">
        <is>
          <t>CopiaAdHoc_1</t>
        </is>
      </c>
      <c r="B41" s="20" t="inlineStr">
        <is>
          <t>Copia Power</t>
        </is>
      </c>
      <c r="C41" s="28" t="inlineStr">
        <is>
          <t>Copia Power</t>
        </is>
      </c>
      <c r="D41" s="28" t="inlineStr"/>
      <c r="E41" s="28" t="inlineStr">
        <is>
          <t>No</t>
        </is>
      </c>
      <c r="F41" s="28" t="inlineStr">
        <is>
          <t>Active</t>
        </is>
      </c>
      <c r="G41" s="36" t="n"/>
      <c r="H41" s="29" t="n">
        <v>1</v>
      </c>
      <c r="I41" s="37" t="n"/>
      <c r="J41" s="37" t="n"/>
      <c r="K41" s="31" t="n"/>
      <c r="L41" s="31" t="n"/>
      <c r="M41" s="31" t="n"/>
      <c r="N41" s="31" t="n"/>
      <c r="O41" s="31" t="n"/>
      <c r="P41" s="31" t="n"/>
      <c r="Q41" s="23">
        <f>IF($A41="","",COUNTIFS(Assignments!$C$2:$C$769,$A41,Assignments!$G$2:$G$769,"Active"))</f>
        <v/>
      </c>
      <c r="R41" s="32">
        <f>IF($A41="","",SUMIFS(Assignments!$I$2:$I$769,Assignments!$C$2:$C$769,$A41,Assignments!$G$2:$G$769,"Active"))</f>
        <v/>
      </c>
      <c r="S41" s="20" t="inlineStr">
        <is>
          <t>WIP</t>
        </is>
      </c>
      <c r="T41" s="31" t="n"/>
      <c r="U41" s="36" t="n"/>
      <c r="V41" s="34">
        <f>IF($U41="","",IFERROR(INDEX(Templates!$K$3:$K$10,MATCH($U41,Templates!$A$3:$A$10,0)),""))</f>
        <v/>
      </c>
      <c r="W41" s="34">
        <f>IF($U41="","",IFERROR(INDEX(Templates!$L$3:$L$10,MATCH($U41,Templates!$A$3:$A$10,0)),""))</f>
        <v/>
      </c>
      <c r="X41" s="21">
        <f>IF($U41="","",IFERROR(INDEX(Templates!$J$3:$J$10,MATCH($U41,Templates!$A$3:$A$10,0)),""))</f>
        <v/>
      </c>
      <c r="Y41" s="35">
        <f>IF(OR($U41="",$I41="",$J41="",$X41=""),"",$I41+$X41*($J41-$I41))</f>
        <v/>
      </c>
      <c r="Z41" s="30" t="n">
        <v>46212</v>
      </c>
      <c r="AA41" s="38" t="n"/>
      <c r="AB41" s="39" t="n"/>
      <c r="AC41" s="39" t="n"/>
      <c r="AD41" s="19">
        <f>IF($A41="","",IF($AA41="",$H41,$AA41))</f>
        <v/>
      </c>
      <c r="AE41" s="35">
        <f>IF($A41="","",IF($AB41="",$I41,$AB41))</f>
        <v/>
      </c>
      <c r="AF41" s="35">
        <f>IF($A41="","",IF($AC41="",$J41,$AC41))</f>
        <v/>
      </c>
      <c r="AG41" s="35">
        <f>IF(OR($U41="",$AE41="",$AF41="",$X41=""),"",$AE41+$X41*($AF41-$AE41))</f>
        <v/>
      </c>
      <c r="AH41" s="36" t="n"/>
      <c r="AI41" s="36" t="n"/>
      <c r="AJ41" s="36" t="n"/>
      <c r="AK41" s="36" t="n"/>
      <c r="AL41" s="36" t="n"/>
      <c r="AM41" s="36" t="n"/>
      <c r="AN41" s="36" t="n"/>
      <c r="AO41" s="36" t="n"/>
      <c r="AP41" s="36" t="n"/>
      <c r="AQ41" s="36" t="n"/>
      <c r="AR41" s="36" t="n"/>
      <c r="AS41" s="36" t="n"/>
      <c r="AT41" s="36" t="n"/>
      <c r="AU41" s="36" t="n"/>
      <c r="AV41" s="36" t="n"/>
      <c r="AW41" s="36" t="n"/>
      <c r="AX41" s="36" t="n"/>
    </row>
    <row r="42">
      <c r="A42" s="28" t="inlineStr">
        <is>
          <t>Coral II_1</t>
        </is>
      </c>
      <c r="B42" s="20" t="inlineStr">
        <is>
          <t>John Laing</t>
        </is>
      </c>
      <c r="C42" s="28" t="inlineStr">
        <is>
          <t>John Laing</t>
        </is>
      </c>
      <c r="D42" s="28" t="inlineStr"/>
      <c r="E42" s="28" t="inlineStr">
        <is>
          <t>No</t>
        </is>
      </c>
      <c r="F42" s="28" t="inlineStr">
        <is>
          <t>Active</t>
        </is>
      </c>
      <c r="G42" s="36" t="n"/>
      <c r="H42" s="29" t="n">
        <v>1</v>
      </c>
      <c r="I42" s="37" t="n"/>
      <c r="J42" s="37" t="n"/>
      <c r="K42" s="31" t="n"/>
      <c r="L42" s="31" t="n"/>
      <c r="M42" s="31" t="n"/>
      <c r="N42" s="31" t="n"/>
      <c r="O42" s="31" t="n"/>
      <c r="P42" s="31" t="n"/>
      <c r="Q42" s="23">
        <f>IF($A42="","",COUNTIFS(Assignments!$C$2:$C$769,$A42,Assignments!$G$2:$G$769,"Active"))</f>
        <v/>
      </c>
      <c r="R42" s="32">
        <f>IF($A42="","",SUMIFS(Assignments!$I$2:$I$769,Assignments!$C$2:$C$769,$A42,Assignments!$G$2:$G$769,"Active"))</f>
        <v/>
      </c>
      <c r="S42" s="20" t="inlineStr">
        <is>
          <t>WIP</t>
        </is>
      </c>
      <c r="T42" s="31" t="n"/>
      <c r="U42" s="36" t="n"/>
      <c r="V42" s="34">
        <f>IF($U42="","",IFERROR(INDEX(Templates!$K$3:$K$10,MATCH($U42,Templates!$A$3:$A$10,0)),""))</f>
        <v/>
      </c>
      <c r="W42" s="34">
        <f>IF($U42="","",IFERROR(INDEX(Templates!$L$3:$L$10,MATCH($U42,Templates!$A$3:$A$10,0)),""))</f>
        <v/>
      </c>
      <c r="X42" s="21">
        <f>IF($U42="","",IFERROR(INDEX(Templates!$J$3:$J$10,MATCH($U42,Templates!$A$3:$A$10,0)),""))</f>
        <v/>
      </c>
      <c r="Y42" s="35">
        <f>IF(OR($U42="",$I42="",$J42="",$X42=""),"",$I42+$X42*($J42-$I42))</f>
        <v/>
      </c>
      <c r="Z42" s="30" t="n">
        <v>46212</v>
      </c>
      <c r="AA42" s="38" t="n"/>
      <c r="AB42" s="39" t="n"/>
      <c r="AC42" s="39" t="n"/>
      <c r="AD42" s="19">
        <f>IF($A42="","",IF($AA42="",$H42,$AA42))</f>
        <v/>
      </c>
      <c r="AE42" s="35">
        <f>IF($A42="","",IF($AB42="",$I42,$AB42))</f>
        <v/>
      </c>
      <c r="AF42" s="35">
        <f>IF($A42="","",IF($AC42="",$J42,$AC42))</f>
        <v/>
      </c>
      <c r="AG42" s="35">
        <f>IF(OR($U42="",$AE42="",$AF42="",$X42=""),"",$AE42+$X42*($AF42-$AE42))</f>
        <v/>
      </c>
      <c r="AH42" s="36" t="n"/>
      <c r="AI42" s="36" t="n"/>
      <c r="AJ42" s="36" t="n"/>
      <c r="AK42" s="36" t="n"/>
      <c r="AL42" s="36" t="n"/>
      <c r="AM42" s="36" t="n"/>
      <c r="AN42" s="36" t="n"/>
      <c r="AO42" s="36" t="n"/>
      <c r="AP42" s="36" t="n"/>
      <c r="AQ42" s="36" t="n"/>
      <c r="AR42" s="36" t="n"/>
      <c r="AS42" s="36" t="n"/>
      <c r="AT42" s="36" t="n"/>
      <c r="AU42" s="36" t="n"/>
      <c r="AV42" s="36" t="n"/>
      <c r="AW42" s="36" t="n"/>
      <c r="AX42" s="36" t="n"/>
    </row>
    <row r="43">
      <c r="A43" s="28" t="inlineStr">
        <is>
          <t>Cosmetic _1</t>
        </is>
      </c>
      <c r="B43" s="20" t="inlineStr">
        <is>
          <t>Taxand Global : Arsene TaxAnd</t>
        </is>
      </c>
      <c r="C43" s="28" t="inlineStr">
        <is>
          <t>Taxand Global</t>
        </is>
      </c>
      <c r="D43" s="28" t="inlineStr">
        <is>
          <t>Arsene TaxAnd</t>
        </is>
      </c>
      <c r="E43" s="28" t="inlineStr">
        <is>
          <t>No</t>
        </is>
      </c>
      <c r="F43" s="28" t="inlineStr">
        <is>
          <t>Active</t>
        </is>
      </c>
      <c r="G43" s="36" t="n"/>
      <c r="H43" s="29" t="n">
        <v>1</v>
      </c>
      <c r="I43" s="37" t="n"/>
      <c r="J43" s="37" t="n"/>
      <c r="K43" s="31" t="n"/>
      <c r="L43" s="31" t="n"/>
      <c r="M43" s="31" t="n"/>
      <c r="N43" s="31" t="n"/>
      <c r="O43" s="31" t="n"/>
      <c r="P43" s="31" t="n"/>
      <c r="Q43" s="23">
        <f>IF($A43="","",COUNTIFS(Assignments!$C$2:$C$769,$A43,Assignments!$G$2:$G$769,"Active"))</f>
        <v/>
      </c>
      <c r="R43" s="32">
        <f>IF($A43="","",SUMIFS(Assignments!$I$2:$I$769,Assignments!$C$2:$C$769,$A43,Assignments!$G$2:$G$769,"Active"))</f>
        <v/>
      </c>
      <c r="S43" s="20" t="inlineStr">
        <is>
          <t>Proposal + WIP (duplicate rows merged)</t>
        </is>
      </c>
      <c r="T43" s="31" t="n"/>
      <c r="U43" s="36" t="n"/>
      <c r="V43" s="34">
        <f>IF($U43="","",IFERROR(INDEX(Templates!$K$3:$K$10,MATCH($U43,Templates!$A$3:$A$10,0)),""))</f>
        <v/>
      </c>
      <c r="W43" s="34">
        <f>IF($U43="","",IFERROR(INDEX(Templates!$L$3:$L$10,MATCH($U43,Templates!$A$3:$A$10,0)),""))</f>
        <v/>
      </c>
      <c r="X43" s="21">
        <f>IF($U43="","",IFERROR(INDEX(Templates!$J$3:$J$10,MATCH($U43,Templates!$A$3:$A$10,0)),""))</f>
        <v/>
      </c>
      <c r="Y43" s="35">
        <f>IF(OR($U43="",$I43="",$J43="",$X43=""),"",$I43+$X43*($J43-$I43))</f>
        <v/>
      </c>
      <c r="Z43" s="30" t="n">
        <v>46212</v>
      </c>
      <c r="AA43" s="38" t="n"/>
      <c r="AB43" s="39" t="n"/>
      <c r="AC43" s="39" t="n"/>
      <c r="AD43" s="19">
        <f>IF($A43="","",IF($AA43="",$H43,$AA43))</f>
        <v/>
      </c>
      <c r="AE43" s="35">
        <f>IF($A43="","",IF($AB43="",$I43,$AB43))</f>
        <v/>
      </c>
      <c r="AF43" s="35">
        <f>IF($A43="","",IF($AC43="",$J43,$AC43))</f>
        <v/>
      </c>
      <c r="AG43" s="35">
        <f>IF(OR($U43="",$AE43="",$AF43="",$X43=""),"",$AE43+$X43*($AF43-$AE43))</f>
        <v/>
      </c>
      <c r="AH43" s="36" t="n"/>
      <c r="AI43" s="36" t="n"/>
      <c r="AJ43" s="36" t="n"/>
      <c r="AK43" s="36" t="n"/>
      <c r="AL43" s="36" t="n"/>
      <c r="AM43" s="36" t="n"/>
      <c r="AN43" s="36" t="n"/>
      <c r="AO43" s="36" t="n"/>
      <c r="AP43" s="36" t="n"/>
      <c r="AQ43" s="36" t="n"/>
      <c r="AR43" s="36" t="n"/>
      <c r="AS43" s="36" t="n"/>
      <c r="AT43" s="36" t="n"/>
      <c r="AU43" s="36" t="n"/>
      <c r="AV43" s="36" t="n"/>
      <c r="AW43" s="36" t="n"/>
      <c r="AX43" s="36" t="n"/>
    </row>
    <row r="44">
      <c r="A44" s="28" t="inlineStr">
        <is>
          <t>Cotton_1</t>
        </is>
      </c>
      <c r="B44" s="20" t="inlineStr">
        <is>
          <t>Northleaf Capital Partners</t>
        </is>
      </c>
      <c r="C44" s="28" t="inlineStr">
        <is>
          <t>Northleaf Capital Partners</t>
        </is>
      </c>
      <c r="D44" s="28" t="inlineStr"/>
      <c r="E44" s="28" t="inlineStr">
        <is>
          <t>No</t>
        </is>
      </c>
      <c r="F44" s="28" t="inlineStr">
        <is>
          <t>Active</t>
        </is>
      </c>
      <c r="G44" s="36" t="n"/>
      <c r="H44" s="29" t="n">
        <v>1</v>
      </c>
      <c r="I44" s="37" t="n"/>
      <c r="J44" s="37" t="n"/>
      <c r="K44" s="31" t="n"/>
      <c r="L44" s="31" t="n"/>
      <c r="M44" s="31" t="n"/>
      <c r="N44" s="31" t="n"/>
      <c r="O44" s="31" t="n"/>
      <c r="P44" s="31" t="n"/>
      <c r="Q44" s="23">
        <f>IF($A44="","",COUNTIFS(Assignments!$C$2:$C$769,$A44,Assignments!$G$2:$G$769,"Active"))</f>
        <v/>
      </c>
      <c r="R44" s="32">
        <f>IF($A44="","",SUMIFS(Assignments!$I$2:$I$769,Assignments!$C$2:$C$769,$A44,Assignments!$G$2:$G$769,"Active"))</f>
        <v/>
      </c>
      <c r="S44" s="20" t="inlineStr">
        <is>
          <t>WIP</t>
        </is>
      </c>
      <c r="T44" s="31" t="n"/>
      <c r="U44" s="36" t="n"/>
      <c r="V44" s="34">
        <f>IF($U44="","",IFERROR(INDEX(Templates!$K$3:$K$10,MATCH($U44,Templates!$A$3:$A$10,0)),""))</f>
        <v/>
      </c>
      <c r="W44" s="34">
        <f>IF($U44="","",IFERROR(INDEX(Templates!$L$3:$L$10,MATCH($U44,Templates!$A$3:$A$10,0)),""))</f>
        <v/>
      </c>
      <c r="X44" s="21">
        <f>IF($U44="","",IFERROR(INDEX(Templates!$J$3:$J$10,MATCH($U44,Templates!$A$3:$A$10,0)),""))</f>
        <v/>
      </c>
      <c r="Y44" s="35">
        <f>IF(OR($U44="",$I44="",$J44="",$X44=""),"",$I44+$X44*($J44-$I44))</f>
        <v/>
      </c>
      <c r="Z44" s="30" t="n">
        <v>46212</v>
      </c>
      <c r="AA44" s="38" t="n"/>
      <c r="AB44" s="39" t="n"/>
      <c r="AC44" s="39" t="n"/>
      <c r="AD44" s="19">
        <f>IF($A44="","",IF($AA44="",$H44,$AA44))</f>
        <v/>
      </c>
      <c r="AE44" s="35">
        <f>IF($A44="","",IF($AB44="",$I44,$AB44))</f>
        <v/>
      </c>
      <c r="AF44" s="35">
        <f>IF($A44="","",IF($AC44="",$J44,$AC44))</f>
        <v/>
      </c>
      <c r="AG44" s="35">
        <f>IF(OR($U44="",$AE44="",$AF44="",$X44=""),"",$AE44+$X44*($AF44-$AE44))</f>
        <v/>
      </c>
      <c r="AH44" s="36" t="n"/>
      <c r="AI44" s="36" t="n"/>
      <c r="AJ44" s="36" t="n"/>
      <c r="AK44" s="36" t="n"/>
      <c r="AL44" s="36" t="n"/>
      <c r="AM44" s="36" t="n"/>
      <c r="AN44" s="36" t="n"/>
      <c r="AO44" s="36" t="n"/>
      <c r="AP44" s="36" t="n"/>
      <c r="AQ44" s="36" t="n"/>
      <c r="AR44" s="36" t="n"/>
      <c r="AS44" s="36" t="n"/>
      <c r="AT44" s="36" t="n"/>
      <c r="AU44" s="36" t="n"/>
      <c r="AV44" s="36" t="n"/>
      <c r="AW44" s="36" t="n"/>
      <c r="AX44" s="36" t="n"/>
    </row>
    <row r="45">
      <c r="A45" s="28" t="inlineStr">
        <is>
          <t>Cowboy_1</t>
        </is>
      </c>
      <c r="B45" s="20" t="inlineStr">
        <is>
          <t>Enbridge</t>
        </is>
      </c>
      <c r="C45" s="28" t="inlineStr">
        <is>
          <t>Enbridge</t>
        </is>
      </c>
      <c r="D45" s="28" t="inlineStr"/>
      <c r="E45" s="28" t="inlineStr">
        <is>
          <t>No</t>
        </is>
      </c>
      <c r="F45" s="28" t="inlineStr">
        <is>
          <t>Active</t>
        </is>
      </c>
      <c r="G45" s="36" t="n"/>
      <c r="H45" s="29" t="n">
        <v>1</v>
      </c>
      <c r="I45" s="37" t="n"/>
      <c r="J45" s="37" t="n"/>
      <c r="K45" s="31" t="n"/>
      <c r="L45" s="31" t="n"/>
      <c r="M45" s="31" t="n"/>
      <c r="N45" s="31" t="n"/>
      <c r="O45" s="31" t="n"/>
      <c r="P45" s="31" t="n"/>
      <c r="Q45" s="23">
        <f>IF($A45="","",COUNTIFS(Assignments!$C$2:$C$769,$A45,Assignments!$G$2:$G$769,"Active"))</f>
        <v/>
      </c>
      <c r="R45" s="32">
        <f>IF($A45="","",SUMIFS(Assignments!$I$2:$I$769,Assignments!$C$2:$C$769,$A45,Assignments!$G$2:$G$769,"Active"))</f>
        <v/>
      </c>
      <c r="S45" s="20" t="inlineStr">
        <is>
          <t>WIP</t>
        </is>
      </c>
      <c r="T45" s="31" t="n"/>
      <c r="U45" s="36" t="n"/>
      <c r="V45" s="34">
        <f>IF($U45="","",IFERROR(INDEX(Templates!$K$3:$K$10,MATCH($U45,Templates!$A$3:$A$10,0)),""))</f>
        <v/>
      </c>
      <c r="W45" s="34">
        <f>IF($U45="","",IFERROR(INDEX(Templates!$L$3:$L$10,MATCH($U45,Templates!$A$3:$A$10,0)),""))</f>
        <v/>
      </c>
      <c r="X45" s="21">
        <f>IF($U45="","",IFERROR(INDEX(Templates!$J$3:$J$10,MATCH($U45,Templates!$A$3:$A$10,0)),""))</f>
        <v/>
      </c>
      <c r="Y45" s="35">
        <f>IF(OR($U45="",$I45="",$J45="",$X45=""),"",$I45+$X45*($J45-$I45))</f>
        <v/>
      </c>
      <c r="Z45" s="30" t="n">
        <v>46212</v>
      </c>
      <c r="AA45" s="38" t="n"/>
      <c r="AB45" s="39" t="n"/>
      <c r="AC45" s="39" t="n"/>
      <c r="AD45" s="19">
        <f>IF($A45="","",IF($AA45="",$H45,$AA45))</f>
        <v/>
      </c>
      <c r="AE45" s="35">
        <f>IF($A45="","",IF($AB45="",$I45,$AB45))</f>
        <v/>
      </c>
      <c r="AF45" s="35">
        <f>IF($A45="","",IF($AC45="",$J45,$AC45))</f>
        <v/>
      </c>
      <c r="AG45" s="35">
        <f>IF(OR($U45="",$AE45="",$AF45="",$X45=""),"",$AE45+$X45*($AF45-$AE45))</f>
        <v/>
      </c>
      <c r="AH45" s="36" t="n"/>
      <c r="AI45" s="36" t="n"/>
      <c r="AJ45" s="36" t="n"/>
      <c r="AK45" s="36" t="n"/>
      <c r="AL45" s="36" t="n"/>
      <c r="AM45" s="36" t="n"/>
      <c r="AN45" s="36" t="n"/>
      <c r="AO45" s="36" t="n"/>
      <c r="AP45" s="36" t="n"/>
      <c r="AQ45" s="36" t="n"/>
      <c r="AR45" s="36" t="n"/>
      <c r="AS45" s="36" t="n"/>
      <c r="AT45" s="36" t="n"/>
      <c r="AU45" s="36" t="n"/>
      <c r="AV45" s="36" t="n"/>
      <c r="AW45" s="36" t="n"/>
      <c r="AX45" s="36" t="n"/>
    </row>
    <row r="46">
      <c r="A46" s="28" t="inlineStr">
        <is>
          <t>Cross_1</t>
        </is>
      </c>
      <c r="B46" s="20" t="inlineStr">
        <is>
          <t>Solertia MGA Ltd.</t>
        </is>
      </c>
      <c r="C46" s="28" t="inlineStr">
        <is>
          <t>Solertia MGA Ltd.</t>
        </is>
      </c>
      <c r="D46" s="28" t="inlineStr"/>
      <c r="E46" s="28" t="inlineStr">
        <is>
          <t>No</t>
        </is>
      </c>
      <c r="F46" s="28" t="inlineStr">
        <is>
          <t>Active</t>
        </is>
      </c>
      <c r="G46" s="36" t="n"/>
      <c r="H46" s="29" t="n">
        <v>1</v>
      </c>
      <c r="I46" s="37" t="n"/>
      <c r="J46" s="37" t="n"/>
      <c r="K46" s="31" t="n"/>
      <c r="L46" s="31" t="n"/>
      <c r="M46" s="31" t="n"/>
      <c r="N46" s="31" t="n"/>
      <c r="O46" s="31" t="n"/>
      <c r="P46" s="31" t="n"/>
      <c r="Q46" s="23">
        <f>IF($A46="","",COUNTIFS(Assignments!$C$2:$C$769,$A46,Assignments!$G$2:$G$769,"Active"))</f>
        <v/>
      </c>
      <c r="R46" s="32">
        <f>IF($A46="","",SUMIFS(Assignments!$I$2:$I$769,Assignments!$C$2:$C$769,$A46,Assignments!$G$2:$G$769,"Active"))</f>
        <v/>
      </c>
      <c r="S46" s="20" t="inlineStr">
        <is>
          <t>WIP</t>
        </is>
      </c>
      <c r="T46" s="31" t="n"/>
      <c r="U46" s="36" t="n"/>
      <c r="V46" s="34">
        <f>IF($U46="","",IFERROR(INDEX(Templates!$K$3:$K$10,MATCH($U46,Templates!$A$3:$A$10,0)),""))</f>
        <v/>
      </c>
      <c r="W46" s="34">
        <f>IF($U46="","",IFERROR(INDEX(Templates!$L$3:$L$10,MATCH($U46,Templates!$A$3:$A$10,0)),""))</f>
        <v/>
      </c>
      <c r="X46" s="21">
        <f>IF($U46="","",IFERROR(INDEX(Templates!$J$3:$J$10,MATCH($U46,Templates!$A$3:$A$10,0)),""))</f>
        <v/>
      </c>
      <c r="Y46" s="35">
        <f>IF(OR($U46="",$I46="",$J46="",$X46=""),"",$I46+$X46*($J46-$I46))</f>
        <v/>
      </c>
      <c r="Z46" s="30" t="n">
        <v>46212</v>
      </c>
      <c r="AA46" s="38" t="n"/>
      <c r="AB46" s="39" t="n"/>
      <c r="AC46" s="39" t="n"/>
      <c r="AD46" s="19">
        <f>IF($A46="","",IF($AA46="",$H46,$AA46))</f>
        <v/>
      </c>
      <c r="AE46" s="35">
        <f>IF($A46="","",IF($AB46="",$I46,$AB46))</f>
        <v/>
      </c>
      <c r="AF46" s="35">
        <f>IF($A46="","",IF($AC46="",$J46,$AC46))</f>
        <v/>
      </c>
      <c r="AG46" s="35">
        <f>IF(OR($U46="",$AE46="",$AF46="",$X46=""),"",$AE46+$X46*($AF46-$AE46))</f>
        <v/>
      </c>
      <c r="AH46" s="36" t="n"/>
      <c r="AI46" s="36" t="n"/>
      <c r="AJ46" s="36" t="n"/>
      <c r="AK46" s="36" t="n"/>
      <c r="AL46" s="36" t="n"/>
      <c r="AM46" s="36" t="n"/>
      <c r="AN46" s="36" t="n"/>
      <c r="AO46" s="36" t="n"/>
      <c r="AP46" s="36" t="n"/>
      <c r="AQ46" s="36" t="n"/>
      <c r="AR46" s="36" t="n"/>
      <c r="AS46" s="36" t="n"/>
      <c r="AT46" s="36" t="n"/>
      <c r="AU46" s="36" t="n"/>
      <c r="AV46" s="36" t="n"/>
      <c r="AW46" s="36" t="n"/>
      <c r="AX46" s="36" t="n"/>
    </row>
    <row r="47">
      <c r="A47" s="28" t="inlineStr">
        <is>
          <t>Dawn_1</t>
        </is>
      </c>
      <c r="B47" s="20" t="inlineStr">
        <is>
          <t>Liberty GTS</t>
        </is>
      </c>
      <c r="C47" s="28" t="inlineStr">
        <is>
          <t>Liberty GTS</t>
        </is>
      </c>
      <c r="D47" s="28" t="inlineStr"/>
      <c r="E47" s="28" t="inlineStr">
        <is>
          <t>No</t>
        </is>
      </c>
      <c r="F47" s="28" t="inlineStr">
        <is>
          <t>Active</t>
        </is>
      </c>
      <c r="G47" s="36" t="n"/>
      <c r="H47" s="29" t="n">
        <v>1</v>
      </c>
      <c r="I47" s="37" t="n"/>
      <c r="J47" s="37" t="n"/>
      <c r="K47" s="31" t="n"/>
      <c r="L47" s="31" t="n"/>
      <c r="M47" s="31" t="n"/>
      <c r="N47" s="31" t="n"/>
      <c r="O47" s="31" t="n"/>
      <c r="P47" s="31" t="n"/>
      <c r="Q47" s="23">
        <f>IF($A47="","",COUNTIFS(Assignments!$C$2:$C$769,$A47,Assignments!$G$2:$G$769,"Active"))</f>
        <v/>
      </c>
      <c r="R47" s="32">
        <f>IF($A47="","",SUMIFS(Assignments!$I$2:$I$769,Assignments!$C$2:$C$769,$A47,Assignments!$G$2:$G$769,"Active"))</f>
        <v/>
      </c>
      <c r="S47" s="20" t="inlineStr">
        <is>
          <t>WIP</t>
        </is>
      </c>
      <c r="T47" s="31" t="n"/>
      <c r="U47" s="36" t="n"/>
      <c r="V47" s="34">
        <f>IF($U47="","",IFERROR(INDEX(Templates!$K$3:$K$10,MATCH($U47,Templates!$A$3:$A$10,0)),""))</f>
        <v/>
      </c>
      <c r="W47" s="34">
        <f>IF($U47="","",IFERROR(INDEX(Templates!$L$3:$L$10,MATCH($U47,Templates!$A$3:$A$10,0)),""))</f>
        <v/>
      </c>
      <c r="X47" s="21">
        <f>IF($U47="","",IFERROR(INDEX(Templates!$J$3:$J$10,MATCH($U47,Templates!$A$3:$A$10,0)),""))</f>
        <v/>
      </c>
      <c r="Y47" s="35">
        <f>IF(OR($U47="",$I47="",$J47="",$X47=""),"",$I47+$X47*($J47-$I47))</f>
        <v/>
      </c>
      <c r="Z47" s="30" t="n">
        <v>46212</v>
      </c>
      <c r="AA47" s="38" t="n"/>
      <c r="AB47" s="39" t="n"/>
      <c r="AC47" s="39" t="n"/>
      <c r="AD47" s="19">
        <f>IF($A47="","",IF($AA47="",$H47,$AA47))</f>
        <v/>
      </c>
      <c r="AE47" s="35">
        <f>IF($A47="","",IF($AB47="",$I47,$AB47))</f>
        <v/>
      </c>
      <c r="AF47" s="35">
        <f>IF($A47="","",IF($AC47="",$J47,$AC47))</f>
        <v/>
      </c>
      <c r="AG47" s="35">
        <f>IF(OR($U47="",$AE47="",$AF47="",$X47=""),"",$AE47+$X47*($AF47-$AE47))</f>
        <v/>
      </c>
      <c r="AH47" s="36" t="n"/>
      <c r="AI47" s="36" t="n"/>
      <c r="AJ47" s="36" t="n"/>
      <c r="AK47" s="36" t="n"/>
      <c r="AL47" s="36" t="n"/>
      <c r="AM47" s="36" t="n"/>
      <c r="AN47" s="36" t="n"/>
      <c r="AO47" s="36" t="n"/>
      <c r="AP47" s="36" t="n"/>
      <c r="AQ47" s="36" t="n"/>
      <c r="AR47" s="36" t="n"/>
      <c r="AS47" s="36" t="n"/>
      <c r="AT47" s="36" t="n"/>
      <c r="AU47" s="36" t="n"/>
      <c r="AV47" s="36" t="n"/>
      <c r="AW47" s="36" t="n"/>
      <c r="AX47" s="36" t="n"/>
    </row>
    <row r="48">
      <c r="A48" s="28" t="inlineStr">
        <is>
          <t>DEBT analysis_1</t>
        </is>
      </c>
      <c r="B48" s="20" t="inlineStr">
        <is>
          <t>Arsene TaxAnd</t>
        </is>
      </c>
      <c r="C48" s="28" t="inlineStr">
        <is>
          <t>Arsene TaxAnd</t>
        </is>
      </c>
      <c r="D48" s="28" t="inlineStr"/>
      <c r="E48" s="28" t="inlineStr">
        <is>
          <t>No</t>
        </is>
      </c>
      <c r="F48" s="28" t="inlineStr">
        <is>
          <t>Active</t>
        </is>
      </c>
      <c r="G48" s="36" t="n"/>
      <c r="H48" s="29" t="n">
        <v>1</v>
      </c>
      <c r="I48" s="37" t="n"/>
      <c r="J48" s="37" t="n"/>
      <c r="K48" s="31" t="n"/>
      <c r="L48" s="31" t="n"/>
      <c r="M48" s="31" t="n"/>
      <c r="N48" s="31" t="n"/>
      <c r="O48" s="31" t="n"/>
      <c r="P48" s="31" t="n"/>
      <c r="Q48" s="23">
        <f>IF($A48="","",COUNTIFS(Assignments!$C$2:$C$769,$A48,Assignments!$G$2:$G$769,"Active"))</f>
        <v/>
      </c>
      <c r="R48" s="32">
        <f>IF($A48="","",SUMIFS(Assignments!$I$2:$I$769,Assignments!$C$2:$C$769,$A48,Assignments!$G$2:$G$769,"Active"))</f>
        <v/>
      </c>
      <c r="S48" s="20" t="inlineStr">
        <is>
          <t>WIP</t>
        </is>
      </c>
      <c r="T48" s="31" t="n"/>
      <c r="U48" s="36" t="n"/>
      <c r="V48" s="34">
        <f>IF($U48="","",IFERROR(INDEX(Templates!$K$3:$K$10,MATCH($U48,Templates!$A$3:$A$10,0)),""))</f>
        <v/>
      </c>
      <c r="W48" s="34">
        <f>IF($U48="","",IFERROR(INDEX(Templates!$L$3:$L$10,MATCH($U48,Templates!$A$3:$A$10,0)),""))</f>
        <v/>
      </c>
      <c r="X48" s="21">
        <f>IF($U48="","",IFERROR(INDEX(Templates!$J$3:$J$10,MATCH($U48,Templates!$A$3:$A$10,0)),""))</f>
        <v/>
      </c>
      <c r="Y48" s="35">
        <f>IF(OR($U48="",$I48="",$J48="",$X48=""),"",$I48+$X48*($J48-$I48))</f>
        <v/>
      </c>
      <c r="Z48" s="30" t="n">
        <v>46212</v>
      </c>
      <c r="AA48" s="38" t="n"/>
      <c r="AB48" s="39" t="n"/>
      <c r="AC48" s="39" t="n"/>
      <c r="AD48" s="19">
        <f>IF($A48="","",IF($AA48="",$H48,$AA48))</f>
        <v/>
      </c>
      <c r="AE48" s="35">
        <f>IF($A48="","",IF($AB48="",$I48,$AB48))</f>
        <v/>
      </c>
      <c r="AF48" s="35">
        <f>IF($A48="","",IF($AC48="",$J48,$AC48))</f>
        <v/>
      </c>
      <c r="AG48" s="35">
        <f>IF(OR($U48="",$AE48="",$AF48="",$X48=""),"",$AE48+$X48*($AF48-$AE48))</f>
        <v/>
      </c>
      <c r="AH48" s="36" t="n"/>
      <c r="AI48" s="36" t="n"/>
      <c r="AJ48" s="36" t="n"/>
      <c r="AK48" s="36" t="n"/>
      <c r="AL48" s="36" t="n"/>
      <c r="AM48" s="36" t="n"/>
      <c r="AN48" s="36" t="n"/>
      <c r="AO48" s="36" t="n"/>
      <c r="AP48" s="36" t="n"/>
      <c r="AQ48" s="36" t="n"/>
      <c r="AR48" s="36" t="n"/>
      <c r="AS48" s="36" t="n"/>
      <c r="AT48" s="36" t="n"/>
      <c r="AU48" s="36" t="n"/>
      <c r="AV48" s="36" t="n"/>
      <c r="AW48" s="36" t="n"/>
      <c r="AX48" s="36" t="n"/>
    </row>
    <row r="49">
      <c r="A49" s="28" t="inlineStr">
        <is>
          <t>Delaware_1</t>
        </is>
      </c>
      <c r="B49" s="20" t="inlineStr">
        <is>
          <t>CDS</t>
        </is>
      </c>
      <c r="C49" s="28" t="inlineStr">
        <is>
          <t>CDS</t>
        </is>
      </c>
      <c r="D49" s="28" t="inlineStr"/>
      <c r="E49" s="28" t="inlineStr">
        <is>
          <t>No</t>
        </is>
      </c>
      <c r="F49" s="28" t="inlineStr">
        <is>
          <t>Active</t>
        </is>
      </c>
      <c r="G49" s="36" t="n"/>
      <c r="H49" s="29" t="n">
        <v>1</v>
      </c>
      <c r="I49" s="37" t="n"/>
      <c r="J49" s="37" t="n"/>
      <c r="K49" s="31" t="n"/>
      <c r="L49" s="31" t="n"/>
      <c r="M49" s="31" t="n"/>
      <c r="N49" s="31" t="n"/>
      <c r="O49" s="31" t="n"/>
      <c r="P49" s="31" t="n"/>
      <c r="Q49" s="23">
        <f>IF($A49="","",COUNTIFS(Assignments!$C$2:$C$769,$A49,Assignments!$G$2:$G$769,"Active"))</f>
        <v/>
      </c>
      <c r="R49" s="32">
        <f>IF($A49="","",SUMIFS(Assignments!$I$2:$I$769,Assignments!$C$2:$C$769,$A49,Assignments!$G$2:$G$769,"Active"))</f>
        <v/>
      </c>
      <c r="S49" s="20" t="inlineStr">
        <is>
          <t>WIP</t>
        </is>
      </c>
      <c r="T49" s="31" t="n"/>
      <c r="U49" s="36" t="n"/>
      <c r="V49" s="34">
        <f>IF($U49="","",IFERROR(INDEX(Templates!$K$3:$K$10,MATCH($U49,Templates!$A$3:$A$10,0)),""))</f>
        <v/>
      </c>
      <c r="W49" s="34">
        <f>IF($U49="","",IFERROR(INDEX(Templates!$L$3:$L$10,MATCH($U49,Templates!$A$3:$A$10,0)),""))</f>
        <v/>
      </c>
      <c r="X49" s="21">
        <f>IF($U49="","",IFERROR(INDEX(Templates!$J$3:$J$10,MATCH($U49,Templates!$A$3:$A$10,0)),""))</f>
        <v/>
      </c>
      <c r="Y49" s="35">
        <f>IF(OR($U49="",$I49="",$J49="",$X49=""),"",$I49+$X49*($J49-$I49))</f>
        <v/>
      </c>
      <c r="Z49" s="30" t="n">
        <v>46212</v>
      </c>
      <c r="AA49" s="38" t="n"/>
      <c r="AB49" s="39" t="n"/>
      <c r="AC49" s="39" t="n"/>
      <c r="AD49" s="19">
        <f>IF($A49="","",IF($AA49="",$H49,$AA49))</f>
        <v/>
      </c>
      <c r="AE49" s="35">
        <f>IF($A49="","",IF($AB49="",$I49,$AB49))</f>
        <v/>
      </c>
      <c r="AF49" s="35">
        <f>IF($A49="","",IF($AC49="",$J49,$AC49))</f>
        <v/>
      </c>
      <c r="AG49" s="35">
        <f>IF(OR($U49="",$AE49="",$AF49="",$X49=""),"",$AE49+$X49*($AF49-$AE49))</f>
        <v/>
      </c>
      <c r="AH49" s="36" t="n"/>
      <c r="AI49" s="36" t="n"/>
      <c r="AJ49" s="36" t="n"/>
      <c r="AK49" s="36" t="n"/>
      <c r="AL49" s="36" t="n"/>
      <c r="AM49" s="36" t="n"/>
      <c r="AN49" s="36" t="n"/>
      <c r="AO49" s="36" t="n"/>
      <c r="AP49" s="36" t="n"/>
      <c r="AQ49" s="36" t="n"/>
      <c r="AR49" s="36" t="n"/>
      <c r="AS49" s="36" t="n"/>
      <c r="AT49" s="36" t="n"/>
      <c r="AU49" s="36" t="n"/>
      <c r="AV49" s="36" t="n"/>
      <c r="AW49" s="36" t="n"/>
      <c r="AX49" s="36" t="n"/>
    </row>
    <row r="50">
      <c r="A50" s="28" t="inlineStr">
        <is>
          <t>Denali_3</t>
        </is>
      </c>
      <c r="B50" s="20" t="inlineStr">
        <is>
          <t>ECP</t>
        </is>
      </c>
      <c r="C50" s="28" t="inlineStr">
        <is>
          <t>ECP</t>
        </is>
      </c>
      <c r="D50" s="28" t="inlineStr"/>
      <c r="E50" s="28" t="inlineStr">
        <is>
          <t>No</t>
        </is>
      </c>
      <c r="F50" s="28" t="inlineStr">
        <is>
          <t>Active</t>
        </is>
      </c>
      <c r="G50" s="36" t="n"/>
      <c r="H50" s="29" t="n">
        <v>1</v>
      </c>
      <c r="I50" s="37" t="n"/>
      <c r="J50" s="37" t="n"/>
      <c r="K50" s="31" t="n"/>
      <c r="L50" s="31" t="n"/>
      <c r="M50" s="31" t="n"/>
      <c r="N50" s="31" t="n"/>
      <c r="O50" s="31" t="n"/>
      <c r="P50" s="31" t="n"/>
      <c r="Q50" s="23">
        <f>IF($A50="","",COUNTIFS(Assignments!$C$2:$C$769,$A50,Assignments!$G$2:$G$769,"Active"))</f>
        <v/>
      </c>
      <c r="R50" s="32">
        <f>IF($A50="","",SUMIFS(Assignments!$I$2:$I$769,Assignments!$C$2:$C$769,$A50,Assignments!$G$2:$G$769,"Active"))</f>
        <v/>
      </c>
      <c r="S50" s="20" t="inlineStr">
        <is>
          <t>WIP</t>
        </is>
      </c>
      <c r="T50" s="31" t="n"/>
      <c r="U50" s="36" t="n"/>
      <c r="V50" s="34">
        <f>IF($U50="","",IFERROR(INDEX(Templates!$K$3:$K$10,MATCH($U50,Templates!$A$3:$A$10,0)),""))</f>
        <v/>
      </c>
      <c r="W50" s="34">
        <f>IF($U50="","",IFERROR(INDEX(Templates!$L$3:$L$10,MATCH($U50,Templates!$A$3:$A$10,0)),""))</f>
        <v/>
      </c>
      <c r="X50" s="21">
        <f>IF($U50="","",IFERROR(INDEX(Templates!$J$3:$J$10,MATCH($U50,Templates!$A$3:$A$10,0)),""))</f>
        <v/>
      </c>
      <c r="Y50" s="35">
        <f>IF(OR($U50="",$I50="",$J50="",$X50=""),"",$I50+$X50*($J50-$I50))</f>
        <v/>
      </c>
      <c r="Z50" s="30" t="n">
        <v>46212</v>
      </c>
      <c r="AA50" s="38" t="n"/>
      <c r="AB50" s="39" t="n"/>
      <c r="AC50" s="39" t="n"/>
      <c r="AD50" s="19">
        <f>IF($A50="","",IF($AA50="",$H50,$AA50))</f>
        <v/>
      </c>
      <c r="AE50" s="35">
        <f>IF($A50="","",IF($AB50="",$I50,$AB50))</f>
        <v/>
      </c>
      <c r="AF50" s="35">
        <f>IF($A50="","",IF($AC50="",$J50,$AC50))</f>
        <v/>
      </c>
      <c r="AG50" s="35">
        <f>IF(OR($U50="",$AE50="",$AF50="",$X50=""),"",$AE50+$X50*($AF50-$AE50))</f>
        <v/>
      </c>
      <c r="AH50" s="36" t="n"/>
      <c r="AI50" s="36" t="n"/>
      <c r="AJ50" s="36" t="n"/>
      <c r="AK50" s="36" t="n"/>
      <c r="AL50" s="36" t="n"/>
      <c r="AM50" s="36" t="n"/>
      <c r="AN50" s="36" t="n"/>
      <c r="AO50" s="36" t="n"/>
      <c r="AP50" s="36" t="n"/>
      <c r="AQ50" s="36" t="n"/>
      <c r="AR50" s="36" t="n"/>
      <c r="AS50" s="36" t="n"/>
      <c r="AT50" s="36" t="n"/>
      <c r="AU50" s="36" t="n"/>
      <c r="AV50" s="36" t="n"/>
      <c r="AW50" s="36" t="n"/>
      <c r="AX50" s="36" t="n"/>
    </row>
    <row r="51">
      <c r="A51" s="28" t="inlineStr">
        <is>
          <t>Denergy_1</t>
        </is>
      </c>
      <c r="B51" s="20" t="inlineStr">
        <is>
          <t>Denrgy LLC</t>
        </is>
      </c>
      <c r="C51" s="28" t="inlineStr">
        <is>
          <t>Denrgy LLC</t>
        </is>
      </c>
      <c r="D51" s="28" t="inlineStr"/>
      <c r="E51" s="28" t="inlineStr">
        <is>
          <t>No</t>
        </is>
      </c>
      <c r="F51" s="28" t="inlineStr">
        <is>
          <t>Active</t>
        </is>
      </c>
      <c r="G51" s="36" t="n"/>
      <c r="H51" s="29" t="n">
        <v>1</v>
      </c>
      <c r="I51" s="37" t="n"/>
      <c r="J51" s="37" t="n"/>
      <c r="K51" s="31" t="n"/>
      <c r="L51" s="31" t="n"/>
      <c r="M51" s="31" t="n"/>
      <c r="N51" s="31" t="n"/>
      <c r="O51" s="31" t="n"/>
      <c r="P51" s="31" t="n"/>
      <c r="Q51" s="23">
        <f>IF($A51="","",COUNTIFS(Assignments!$C$2:$C$769,$A51,Assignments!$G$2:$G$769,"Active"))</f>
        <v/>
      </c>
      <c r="R51" s="32">
        <f>IF($A51="","",SUMIFS(Assignments!$I$2:$I$769,Assignments!$C$2:$C$769,$A51,Assignments!$G$2:$G$769,"Active"))</f>
        <v/>
      </c>
      <c r="S51" s="20" t="inlineStr">
        <is>
          <t>WIP</t>
        </is>
      </c>
      <c r="T51" s="31" t="n"/>
      <c r="U51" s="36" t="n"/>
      <c r="V51" s="34">
        <f>IF($U51="","",IFERROR(INDEX(Templates!$K$3:$K$10,MATCH($U51,Templates!$A$3:$A$10,0)),""))</f>
        <v/>
      </c>
      <c r="W51" s="34">
        <f>IF($U51="","",IFERROR(INDEX(Templates!$L$3:$L$10,MATCH($U51,Templates!$A$3:$A$10,0)),""))</f>
        <v/>
      </c>
      <c r="X51" s="21">
        <f>IF($U51="","",IFERROR(INDEX(Templates!$J$3:$J$10,MATCH($U51,Templates!$A$3:$A$10,0)),""))</f>
        <v/>
      </c>
      <c r="Y51" s="35">
        <f>IF(OR($U51="",$I51="",$J51="",$X51=""),"",$I51+$X51*($J51-$I51))</f>
        <v/>
      </c>
      <c r="Z51" s="30" t="n">
        <v>46212</v>
      </c>
      <c r="AA51" s="38" t="n"/>
      <c r="AB51" s="39" t="n"/>
      <c r="AC51" s="39" t="n"/>
      <c r="AD51" s="19">
        <f>IF($A51="","",IF($AA51="",$H51,$AA51))</f>
        <v/>
      </c>
      <c r="AE51" s="35">
        <f>IF($A51="","",IF($AB51="",$I51,$AB51))</f>
        <v/>
      </c>
      <c r="AF51" s="35">
        <f>IF($A51="","",IF($AC51="",$J51,$AC51))</f>
        <v/>
      </c>
      <c r="AG51" s="35">
        <f>IF(OR($U51="",$AE51="",$AF51="",$X51=""),"",$AE51+$X51*($AF51-$AE51))</f>
        <v/>
      </c>
      <c r="AH51" s="36" t="n"/>
      <c r="AI51" s="36" t="n"/>
      <c r="AJ51" s="36" t="n"/>
      <c r="AK51" s="36" t="n"/>
      <c r="AL51" s="36" t="n"/>
      <c r="AM51" s="36" t="n"/>
      <c r="AN51" s="36" t="n"/>
      <c r="AO51" s="36" t="n"/>
      <c r="AP51" s="36" t="n"/>
      <c r="AQ51" s="36" t="n"/>
      <c r="AR51" s="36" t="n"/>
      <c r="AS51" s="36" t="n"/>
      <c r="AT51" s="36" t="n"/>
      <c r="AU51" s="36" t="n"/>
      <c r="AV51" s="36" t="n"/>
      <c r="AW51" s="36" t="n"/>
      <c r="AX51" s="36" t="n"/>
    </row>
    <row r="52">
      <c r="A52" s="28" t="inlineStr">
        <is>
          <t>Dental_1</t>
        </is>
      </c>
      <c r="B52" s="20" t="inlineStr">
        <is>
          <t>Thurston Group, LLC</t>
        </is>
      </c>
      <c r="C52" s="28" t="inlineStr">
        <is>
          <t>Thurston Group, LLC</t>
        </is>
      </c>
      <c r="D52" s="28" t="inlineStr"/>
      <c r="E52" s="28" t="inlineStr">
        <is>
          <t>No</t>
        </is>
      </c>
      <c r="F52" s="28" t="inlineStr">
        <is>
          <t>Active</t>
        </is>
      </c>
      <c r="G52" s="36" t="n"/>
      <c r="H52" s="29" t="n">
        <v>1</v>
      </c>
      <c r="I52" s="37" t="n"/>
      <c r="J52" s="37" t="n"/>
      <c r="K52" s="31" t="n"/>
      <c r="L52" s="31" t="n"/>
      <c r="M52" s="31" t="n"/>
      <c r="N52" s="31" t="n"/>
      <c r="O52" s="31" t="n"/>
      <c r="P52" s="31" t="n"/>
      <c r="Q52" s="23">
        <f>IF($A52="","",COUNTIFS(Assignments!$C$2:$C$769,$A52,Assignments!$G$2:$G$769,"Active"))</f>
        <v/>
      </c>
      <c r="R52" s="32">
        <f>IF($A52="","",SUMIFS(Assignments!$I$2:$I$769,Assignments!$C$2:$C$769,$A52,Assignments!$G$2:$G$769,"Active"))</f>
        <v/>
      </c>
      <c r="S52" s="20" t="inlineStr">
        <is>
          <t>WIP</t>
        </is>
      </c>
      <c r="T52" s="31" t="n"/>
      <c r="U52" s="36" t="n"/>
      <c r="V52" s="34">
        <f>IF($U52="","",IFERROR(INDEX(Templates!$K$3:$K$10,MATCH($U52,Templates!$A$3:$A$10,0)),""))</f>
        <v/>
      </c>
      <c r="W52" s="34">
        <f>IF($U52="","",IFERROR(INDEX(Templates!$L$3:$L$10,MATCH($U52,Templates!$A$3:$A$10,0)),""))</f>
        <v/>
      </c>
      <c r="X52" s="21">
        <f>IF($U52="","",IFERROR(INDEX(Templates!$J$3:$J$10,MATCH($U52,Templates!$A$3:$A$10,0)),""))</f>
        <v/>
      </c>
      <c r="Y52" s="35">
        <f>IF(OR($U52="",$I52="",$J52="",$X52=""),"",$I52+$X52*($J52-$I52))</f>
        <v/>
      </c>
      <c r="Z52" s="30" t="n">
        <v>46212</v>
      </c>
      <c r="AA52" s="38" t="n"/>
      <c r="AB52" s="39" t="n"/>
      <c r="AC52" s="39" t="n"/>
      <c r="AD52" s="19">
        <f>IF($A52="","",IF($AA52="",$H52,$AA52))</f>
        <v/>
      </c>
      <c r="AE52" s="35">
        <f>IF($A52="","",IF($AB52="",$I52,$AB52))</f>
        <v/>
      </c>
      <c r="AF52" s="35">
        <f>IF($A52="","",IF($AC52="",$J52,$AC52))</f>
        <v/>
      </c>
      <c r="AG52" s="35">
        <f>IF(OR($U52="",$AE52="",$AF52="",$X52=""),"",$AE52+$X52*($AF52-$AE52))</f>
        <v/>
      </c>
      <c r="AH52" s="36" t="n"/>
      <c r="AI52" s="36" t="n"/>
      <c r="AJ52" s="36" t="n"/>
      <c r="AK52" s="36" t="n"/>
      <c r="AL52" s="36" t="n"/>
      <c r="AM52" s="36" t="n"/>
      <c r="AN52" s="36" t="n"/>
      <c r="AO52" s="36" t="n"/>
      <c r="AP52" s="36" t="n"/>
      <c r="AQ52" s="36" t="n"/>
      <c r="AR52" s="36" t="n"/>
      <c r="AS52" s="36" t="n"/>
      <c r="AT52" s="36" t="n"/>
      <c r="AU52" s="36" t="n"/>
      <c r="AV52" s="36" t="n"/>
      <c r="AW52" s="36" t="n"/>
      <c r="AX52" s="36" t="n"/>
    </row>
    <row r="53">
      <c r="A53" s="28" t="inlineStr">
        <is>
          <t>Destiny_1</t>
        </is>
      </c>
      <c r="B53" s="20" t="inlineStr">
        <is>
          <t>Euclid Transactional</t>
        </is>
      </c>
      <c r="C53" s="28" t="inlineStr">
        <is>
          <t>Euclid Transactional</t>
        </is>
      </c>
      <c r="D53" s="28" t="inlineStr"/>
      <c r="E53" s="28" t="inlineStr">
        <is>
          <t>No</t>
        </is>
      </c>
      <c r="F53" s="28" t="inlineStr">
        <is>
          <t>Active</t>
        </is>
      </c>
      <c r="G53" s="36" t="n"/>
      <c r="H53" s="29" t="n">
        <v>1</v>
      </c>
      <c r="I53" s="37" t="n"/>
      <c r="J53" s="37" t="n"/>
      <c r="K53" s="31" t="n"/>
      <c r="L53" s="31" t="n"/>
      <c r="M53" s="31" t="n"/>
      <c r="N53" s="31" t="n"/>
      <c r="O53" s="31" t="n"/>
      <c r="P53" s="31" t="n"/>
      <c r="Q53" s="23">
        <f>IF($A53="","",COUNTIFS(Assignments!$C$2:$C$769,$A53,Assignments!$G$2:$G$769,"Active"))</f>
        <v/>
      </c>
      <c r="R53" s="32">
        <f>IF($A53="","",SUMIFS(Assignments!$I$2:$I$769,Assignments!$C$2:$C$769,$A53,Assignments!$G$2:$G$769,"Active"))</f>
        <v/>
      </c>
      <c r="S53" s="20" t="inlineStr">
        <is>
          <t>WIP</t>
        </is>
      </c>
      <c r="T53" s="31" t="n"/>
      <c r="U53" s="36" t="n"/>
      <c r="V53" s="34">
        <f>IF($U53="","",IFERROR(INDEX(Templates!$K$3:$K$10,MATCH($U53,Templates!$A$3:$A$10,0)),""))</f>
        <v/>
      </c>
      <c r="W53" s="34">
        <f>IF($U53="","",IFERROR(INDEX(Templates!$L$3:$L$10,MATCH($U53,Templates!$A$3:$A$10,0)),""))</f>
        <v/>
      </c>
      <c r="X53" s="21">
        <f>IF($U53="","",IFERROR(INDEX(Templates!$J$3:$J$10,MATCH($U53,Templates!$A$3:$A$10,0)),""))</f>
        <v/>
      </c>
      <c r="Y53" s="35">
        <f>IF(OR($U53="",$I53="",$J53="",$X53=""),"",$I53+$X53*($J53-$I53))</f>
        <v/>
      </c>
      <c r="Z53" s="30" t="n">
        <v>46212</v>
      </c>
      <c r="AA53" s="38" t="n"/>
      <c r="AB53" s="39" t="n"/>
      <c r="AC53" s="39" t="n"/>
      <c r="AD53" s="19">
        <f>IF($A53="","",IF($AA53="",$H53,$AA53))</f>
        <v/>
      </c>
      <c r="AE53" s="35">
        <f>IF($A53="","",IF($AB53="",$I53,$AB53))</f>
        <v/>
      </c>
      <c r="AF53" s="35">
        <f>IF($A53="","",IF($AC53="",$J53,$AC53))</f>
        <v/>
      </c>
      <c r="AG53" s="35">
        <f>IF(OR($U53="",$AE53="",$AF53="",$X53=""),"",$AE53+$X53*($AF53-$AE53))</f>
        <v/>
      </c>
      <c r="AH53" s="36" t="n"/>
      <c r="AI53" s="36" t="n"/>
      <c r="AJ53" s="36" t="n"/>
      <c r="AK53" s="36" t="n"/>
      <c r="AL53" s="36" t="n"/>
      <c r="AM53" s="36" t="n"/>
      <c r="AN53" s="36" t="n"/>
      <c r="AO53" s="36" t="n"/>
      <c r="AP53" s="36" t="n"/>
      <c r="AQ53" s="36" t="n"/>
      <c r="AR53" s="36" t="n"/>
      <c r="AS53" s="36" t="n"/>
      <c r="AT53" s="36" t="n"/>
      <c r="AU53" s="36" t="n"/>
      <c r="AV53" s="36" t="n"/>
      <c r="AW53" s="36" t="n"/>
      <c r="AX53" s="36" t="n"/>
    </row>
    <row r="54">
      <c r="A54" s="28" t="inlineStr">
        <is>
          <t>DIF - Diverso_1</t>
        </is>
      </c>
      <c r="B54" s="20" t="inlineStr">
        <is>
          <t>CVC Capital Partners : DIF Capital Partners : Diverso Energy</t>
        </is>
      </c>
      <c r="C54" s="28" t="inlineStr">
        <is>
          <t>CVC Capital Partners</t>
        </is>
      </c>
      <c r="D54" s="28" t="inlineStr">
        <is>
          <t>Diverso Energy</t>
        </is>
      </c>
      <c r="E54" s="28" t="inlineStr">
        <is>
          <t>No</t>
        </is>
      </c>
      <c r="F54" s="28" t="inlineStr">
        <is>
          <t>Active</t>
        </is>
      </c>
      <c r="G54" s="36" t="n"/>
      <c r="H54" s="29" t="n">
        <v>1</v>
      </c>
      <c r="I54" s="37" t="n"/>
      <c r="J54" s="37" t="n"/>
      <c r="K54" s="31" t="n"/>
      <c r="L54" s="31" t="n"/>
      <c r="M54" s="31" t="n"/>
      <c r="N54" s="31" t="n"/>
      <c r="O54" s="31" t="n"/>
      <c r="P54" s="31" t="n"/>
      <c r="Q54" s="23">
        <f>IF($A54="","",COUNTIFS(Assignments!$C$2:$C$769,$A54,Assignments!$G$2:$G$769,"Active"))</f>
        <v/>
      </c>
      <c r="R54" s="32">
        <f>IF($A54="","",SUMIFS(Assignments!$I$2:$I$769,Assignments!$C$2:$C$769,$A54,Assignments!$G$2:$G$769,"Active"))</f>
        <v/>
      </c>
      <c r="S54" s="20" t="inlineStr">
        <is>
          <t>WIP</t>
        </is>
      </c>
      <c r="T54" s="31" t="n"/>
      <c r="U54" s="36" t="n"/>
      <c r="V54" s="34">
        <f>IF($U54="","",IFERROR(INDEX(Templates!$K$3:$K$10,MATCH($U54,Templates!$A$3:$A$10,0)),""))</f>
        <v/>
      </c>
      <c r="W54" s="34">
        <f>IF($U54="","",IFERROR(INDEX(Templates!$L$3:$L$10,MATCH($U54,Templates!$A$3:$A$10,0)),""))</f>
        <v/>
      </c>
      <c r="X54" s="21">
        <f>IF($U54="","",IFERROR(INDEX(Templates!$J$3:$J$10,MATCH($U54,Templates!$A$3:$A$10,0)),""))</f>
        <v/>
      </c>
      <c r="Y54" s="35">
        <f>IF(OR($U54="",$I54="",$J54="",$X54=""),"",$I54+$X54*($J54-$I54))</f>
        <v/>
      </c>
      <c r="Z54" s="30" t="n">
        <v>46212</v>
      </c>
      <c r="AA54" s="38" t="n"/>
      <c r="AB54" s="39" t="n"/>
      <c r="AC54" s="39" t="n"/>
      <c r="AD54" s="19">
        <f>IF($A54="","",IF($AA54="",$H54,$AA54))</f>
        <v/>
      </c>
      <c r="AE54" s="35">
        <f>IF($A54="","",IF($AB54="",$I54,$AB54))</f>
        <v/>
      </c>
      <c r="AF54" s="35">
        <f>IF($A54="","",IF($AC54="",$J54,$AC54))</f>
        <v/>
      </c>
      <c r="AG54" s="35">
        <f>IF(OR($U54="",$AE54="",$AF54="",$X54=""),"",$AE54+$X54*($AF54-$AE54))</f>
        <v/>
      </c>
      <c r="AH54" s="36" t="n"/>
      <c r="AI54" s="36" t="n"/>
      <c r="AJ54" s="36" t="n"/>
      <c r="AK54" s="36" t="n"/>
      <c r="AL54" s="36" t="n"/>
      <c r="AM54" s="36" t="n"/>
      <c r="AN54" s="36" t="n"/>
      <c r="AO54" s="36" t="n"/>
      <c r="AP54" s="36" t="n"/>
      <c r="AQ54" s="36" t="n"/>
      <c r="AR54" s="36" t="n"/>
      <c r="AS54" s="36" t="n"/>
      <c r="AT54" s="36" t="n"/>
      <c r="AU54" s="36" t="n"/>
      <c r="AV54" s="36" t="n"/>
      <c r="AW54" s="36" t="n"/>
      <c r="AX54" s="36" t="n"/>
    </row>
    <row r="55">
      <c r="A55" s="28" t="inlineStr">
        <is>
          <t>DIF Brahms_1</t>
        </is>
      </c>
      <c r="B55" s="20" t="inlineStr">
        <is>
          <t>CVC Capital Partners : DIF Capital Partners</t>
        </is>
      </c>
      <c r="C55" s="28" t="inlineStr">
        <is>
          <t>CVC Capital Partners</t>
        </is>
      </c>
      <c r="D55" s="28" t="inlineStr">
        <is>
          <t>DIF Capital Partners</t>
        </is>
      </c>
      <c r="E55" s="28" t="inlineStr">
        <is>
          <t>No</t>
        </is>
      </c>
      <c r="F55" s="28" t="inlineStr">
        <is>
          <t>Active</t>
        </is>
      </c>
      <c r="G55" s="36" t="n"/>
      <c r="H55" s="29" t="n">
        <v>1</v>
      </c>
      <c r="I55" s="37" t="n"/>
      <c r="J55" s="37" t="n"/>
      <c r="K55" s="31" t="n"/>
      <c r="L55" s="31" t="n"/>
      <c r="M55" s="31" t="n"/>
      <c r="N55" s="31" t="n"/>
      <c r="O55" s="31" t="n"/>
      <c r="P55" s="31" t="n"/>
      <c r="Q55" s="23">
        <f>IF($A55="","",COUNTIFS(Assignments!$C$2:$C$769,$A55,Assignments!$G$2:$G$769,"Active"))</f>
        <v/>
      </c>
      <c r="R55" s="32">
        <f>IF($A55="","",SUMIFS(Assignments!$I$2:$I$769,Assignments!$C$2:$C$769,$A55,Assignments!$G$2:$G$769,"Active"))</f>
        <v/>
      </c>
      <c r="S55" s="20" t="inlineStr">
        <is>
          <t>WIP</t>
        </is>
      </c>
      <c r="T55" s="31" t="n"/>
      <c r="U55" s="36" t="n"/>
      <c r="V55" s="34">
        <f>IF($U55="","",IFERROR(INDEX(Templates!$K$3:$K$10,MATCH($U55,Templates!$A$3:$A$10,0)),""))</f>
        <v/>
      </c>
      <c r="W55" s="34">
        <f>IF($U55="","",IFERROR(INDEX(Templates!$L$3:$L$10,MATCH($U55,Templates!$A$3:$A$10,0)),""))</f>
        <v/>
      </c>
      <c r="X55" s="21">
        <f>IF($U55="","",IFERROR(INDEX(Templates!$J$3:$J$10,MATCH($U55,Templates!$A$3:$A$10,0)),""))</f>
        <v/>
      </c>
      <c r="Y55" s="35">
        <f>IF(OR($U55="",$I55="",$J55="",$X55=""),"",$I55+$X55*($J55-$I55))</f>
        <v/>
      </c>
      <c r="Z55" s="30" t="n">
        <v>46212</v>
      </c>
      <c r="AA55" s="38" t="n"/>
      <c r="AB55" s="39" t="n"/>
      <c r="AC55" s="39" t="n"/>
      <c r="AD55" s="19">
        <f>IF($A55="","",IF($AA55="",$H55,$AA55))</f>
        <v/>
      </c>
      <c r="AE55" s="35">
        <f>IF($A55="","",IF($AB55="",$I55,$AB55))</f>
        <v/>
      </c>
      <c r="AF55" s="35">
        <f>IF($A55="","",IF($AC55="",$J55,$AC55))</f>
        <v/>
      </c>
      <c r="AG55" s="35">
        <f>IF(OR($U55="",$AE55="",$AF55="",$X55=""),"",$AE55+$X55*($AF55-$AE55))</f>
        <v/>
      </c>
      <c r="AH55" s="36" t="n"/>
      <c r="AI55" s="36" t="n"/>
      <c r="AJ55" s="36" t="n"/>
      <c r="AK55" s="36" t="n"/>
      <c r="AL55" s="36" t="n"/>
      <c r="AM55" s="36" t="n"/>
      <c r="AN55" s="36" t="n"/>
      <c r="AO55" s="36" t="n"/>
      <c r="AP55" s="36" t="n"/>
      <c r="AQ55" s="36" t="n"/>
      <c r="AR55" s="36" t="n"/>
      <c r="AS55" s="36" t="n"/>
      <c r="AT55" s="36" t="n"/>
      <c r="AU55" s="36" t="n"/>
      <c r="AV55" s="36" t="n"/>
      <c r="AW55" s="36" t="n"/>
      <c r="AX55" s="36" t="n"/>
    </row>
    <row r="56">
      <c r="A56" s="28" t="inlineStr">
        <is>
          <t>DIF Twister_2</t>
        </is>
      </c>
      <c r="B56" s="20" t="inlineStr">
        <is>
          <t>DIF Infra 4 US LLC</t>
        </is>
      </c>
      <c r="C56" s="28" t="inlineStr">
        <is>
          <t>DIF Infra 4 US LLC</t>
        </is>
      </c>
      <c r="D56" s="28" t="inlineStr"/>
      <c r="E56" s="28" t="inlineStr">
        <is>
          <t>No</t>
        </is>
      </c>
      <c r="F56" s="28" t="inlineStr">
        <is>
          <t>Active</t>
        </is>
      </c>
      <c r="G56" s="36" t="n"/>
      <c r="H56" s="29" t="n">
        <v>1</v>
      </c>
      <c r="I56" s="37" t="n"/>
      <c r="J56" s="37" t="n"/>
      <c r="K56" s="31" t="n"/>
      <c r="L56" s="31" t="n"/>
      <c r="M56" s="31" t="n"/>
      <c r="N56" s="31" t="n"/>
      <c r="O56" s="31" t="n"/>
      <c r="P56" s="31" t="n"/>
      <c r="Q56" s="23">
        <f>IF($A56="","",COUNTIFS(Assignments!$C$2:$C$769,$A56,Assignments!$G$2:$G$769,"Active"))</f>
        <v/>
      </c>
      <c r="R56" s="32">
        <f>IF($A56="","",SUMIFS(Assignments!$I$2:$I$769,Assignments!$C$2:$C$769,$A56,Assignments!$G$2:$G$769,"Active"))</f>
        <v/>
      </c>
      <c r="S56" s="20" t="inlineStr">
        <is>
          <t>WIP</t>
        </is>
      </c>
      <c r="T56" s="31" t="n"/>
      <c r="U56" s="36" t="n"/>
      <c r="V56" s="34">
        <f>IF($U56="","",IFERROR(INDEX(Templates!$K$3:$K$10,MATCH($U56,Templates!$A$3:$A$10,0)),""))</f>
        <v/>
      </c>
      <c r="W56" s="34">
        <f>IF($U56="","",IFERROR(INDEX(Templates!$L$3:$L$10,MATCH($U56,Templates!$A$3:$A$10,0)),""))</f>
        <v/>
      </c>
      <c r="X56" s="21">
        <f>IF($U56="","",IFERROR(INDEX(Templates!$J$3:$J$10,MATCH($U56,Templates!$A$3:$A$10,0)),""))</f>
        <v/>
      </c>
      <c r="Y56" s="35">
        <f>IF(OR($U56="",$I56="",$J56="",$X56=""),"",$I56+$X56*($J56-$I56))</f>
        <v/>
      </c>
      <c r="Z56" s="30" t="n">
        <v>46212</v>
      </c>
      <c r="AA56" s="38" t="n"/>
      <c r="AB56" s="39" t="n"/>
      <c r="AC56" s="39" t="n"/>
      <c r="AD56" s="19">
        <f>IF($A56="","",IF($AA56="",$H56,$AA56))</f>
        <v/>
      </c>
      <c r="AE56" s="35">
        <f>IF($A56="","",IF($AB56="",$I56,$AB56))</f>
        <v/>
      </c>
      <c r="AF56" s="35">
        <f>IF($A56="","",IF($AC56="",$J56,$AC56))</f>
        <v/>
      </c>
      <c r="AG56" s="35">
        <f>IF(OR($U56="",$AE56="",$AF56="",$X56=""),"",$AE56+$X56*($AF56-$AE56))</f>
        <v/>
      </c>
      <c r="AH56" s="36" t="n"/>
      <c r="AI56" s="36" t="n"/>
      <c r="AJ56" s="36" t="n"/>
      <c r="AK56" s="36" t="n"/>
      <c r="AL56" s="36" t="n"/>
      <c r="AM56" s="36" t="n"/>
      <c r="AN56" s="36" t="n"/>
      <c r="AO56" s="36" t="n"/>
      <c r="AP56" s="36" t="n"/>
      <c r="AQ56" s="36" t="n"/>
      <c r="AR56" s="36" t="n"/>
      <c r="AS56" s="36" t="n"/>
      <c r="AT56" s="36" t="n"/>
      <c r="AU56" s="36" t="n"/>
      <c r="AV56" s="36" t="n"/>
      <c r="AW56" s="36" t="n"/>
      <c r="AX56" s="36" t="n"/>
    </row>
    <row r="57">
      <c r="A57" s="28" t="inlineStr">
        <is>
          <t>Diploma_1</t>
        </is>
      </c>
      <c r="B57" s="20" t="inlineStr">
        <is>
          <t>Beacon Software, Inc.</t>
        </is>
      </c>
      <c r="C57" s="28" t="inlineStr">
        <is>
          <t>Beacon Software, Inc.</t>
        </is>
      </c>
      <c r="D57" s="28" t="inlineStr"/>
      <c r="E57" s="28" t="inlineStr">
        <is>
          <t>No</t>
        </is>
      </c>
      <c r="F57" s="28" t="inlineStr">
        <is>
          <t>Active</t>
        </is>
      </c>
      <c r="G57" s="36" t="n"/>
      <c r="H57" s="29" t="n">
        <v>1</v>
      </c>
      <c r="I57" s="37" t="n"/>
      <c r="J57" s="37" t="n"/>
      <c r="K57" s="31" t="n"/>
      <c r="L57" s="31" t="n"/>
      <c r="M57" s="31" t="n"/>
      <c r="N57" s="31" t="n"/>
      <c r="O57" s="31" t="n"/>
      <c r="P57" s="31" t="n"/>
      <c r="Q57" s="23">
        <f>IF($A57="","",COUNTIFS(Assignments!$C$2:$C$769,$A57,Assignments!$G$2:$G$769,"Active"))</f>
        <v/>
      </c>
      <c r="R57" s="32">
        <f>IF($A57="","",SUMIFS(Assignments!$I$2:$I$769,Assignments!$C$2:$C$769,$A57,Assignments!$G$2:$G$769,"Active"))</f>
        <v/>
      </c>
      <c r="S57" s="20" t="inlineStr">
        <is>
          <t>WIP</t>
        </is>
      </c>
      <c r="T57" s="31" t="n"/>
      <c r="U57" s="36" t="n"/>
      <c r="V57" s="34">
        <f>IF($U57="","",IFERROR(INDEX(Templates!$K$3:$K$10,MATCH($U57,Templates!$A$3:$A$10,0)),""))</f>
        <v/>
      </c>
      <c r="W57" s="34">
        <f>IF($U57="","",IFERROR(INDEX(Templates!$L$3:$L$10,MATCH($U57,Templates!$A$3:$A$10,0)),""))</f>
        <v/>
      </c>
      <c r="X57" s="21">
        <f>IF($U57="","",IFERROR(INDEX(Templates!$J$3:$J$10,MATCH($U57,Templates!$A$3:$A$10,0)),""))</f>
        <v/>
      </c>
      <c r="Y57" s="35">
        <f>IF(OR($U57="",$I57="",$J57="",$X57=""),"",$I57+$X57*($J57-$I57))</f>
        <v/>
      </c>
      <c r="Z57" s="30" t="n">
        <v>46212</v>
      </c>
      <c r="AA57" s="38" t="n"/>
      <c r="AB57" s="39" t="n"/>
      <c r="AC57" s="39" t="n"/>
      <c r="AD57" s="19">
        <f>IF($A57="","",IF($AA57="",$H57,$AA57))</f>
        <v/>
      </c>
      <c r="AE57" s="35">
        <f>IF($A57="","",IF($AB57="",$I57,$AB57))</f>
        <v/>
      </c>
      <c r="AF57" s="35">
        <f>IF($A57="","",IF($AC57="",$J57,$AC57))</f>
        <v/>
      </c>
      <c r="AG57" s="35">
        <f>IF(OR($U57="",$AE57="",$AF57="",$X57=""),"",$AE57+$X57*($AF57-$AE57))</f>
        <v/>
      </c>
      <c r="AH57" s="36" t="n"/>
      <c r="AI57" s="36" t="n"/>
      <c r="AJ57" s="36" t="n"/>
      <c r="AK57" s="36" t="n"/>
      <c r="AL57" s="36" t="n"/>
      <c r="AM57" s="36" t="n"/>
      <c r="AN57" s="36" t="n"/>
      <c r="AO57" s="36" t="n"/>
      <c r="AP57" s="36" t="n"/>
      <c r="AQ57" s="36" t="n"/>
      <c r="AR57" s="36" t="n"/>
      <c r="AS57" s="36" t="n"/>
      <c r="AT57" s="36" t="n"/>
      <c r="AU57" s="36" t="n"/>
      <c r="AV57" s="36" t="n"/>
      <c r="AW57" s="36" t="n"/>
      <c r="AX57" s="36" t="n"/>
    </row>
    <row r="58">
      <c r="A58" s="28" t="inlineStr">
        <is>
          <t>Doc_1</t>
        </is>
      </c>
      <c r="B58" s="20" t="inlineStr">
        <is>
          <t>Ethos Specialty Insurance Services</t>
        </is>
      </c>
      <c r="C58" s="28" t="inlineStr">
        <is>
          <t>Ethos Specialty Insurance Services</t>
        </is>
      </c>
      <c r="D58" s="28" t="inlineStr"/>
      <c r="E58" s="28" t="inlineStr">
        <is>
          <t>No</t>
        </is>
      </c>
      <c r="F58" s="28" t="inlineStr">
        <is>
          <t>Active</t>
        </is>
      </c>
      <c r="G58" s="36" t="n"/>
      <c r="H58" s="29" t="n">
        <v>1</v>
      </c>
      <c r="I58" s="37" t="n"/>
      <c r="J58" s="37" t="n"/>
      <c r="K58" s="31" t="n"/>
      <c r="L58" s="31" t="n"/>
      <c r="M58" s="31" t="n"/>
      <c r="N58" s="31" t="n"/>
      <c r="O58" s="31" t="n"/>
      <c r="P58" s="31" t="n"/>
      <c r="Q58" s="23">
        <f>IF($A58="","",COUNTIFS(Assignments!$C$2:$C$769,$A58,Assignments!$G$2:$G$769,"Active"))</f>
        <v/>
      </c>
      <c r="R58" s="32">
        <f>IF($A58="","",SUMIFS(Assignments!$I$2:$I$769,Assignments!$C$2:$C$769,$A58,Assignments!$G$2:$G$769,"Active"))</f>
        <v/>
      </c>
      <c r="S58" s="20" t="inlineStr">
        <is>
          <t>WIP</t>
        </is>
      </c>
      <c r="T58" s="31" t="n"/>
      <c r="U58" s="36" t="n"/>
      <c r="V58" s="34">
        <f>IF($U58="","",IFERROR(INDEX(Templates!$K$3:$K$10,MATCH($U58,Templates!$A$3:$A$10,0)),""))</f>
        <v/>
      </c>
      <c r="W58" s="34">
        <f>IF($U58="","",IFERROR(INDEX(Templates!$L$3:$L$10,MATCH($U58,Templates!$A$3:$A$10,0)),""))</f>
        <v/>
      </c>
      <c r="X58" s="21">
        <f>IF($U58="","",IFERROR(INDEX(Templates!$J$3:$J$10,MATCH($U58,Templates!$A$3:$A$10,0)),""))</f>
        <v/>
      </c>
      <c r="Y58" s="35">
        <f>IF(OR($U58="",$I58="",$J58="",$X58=""),"",$I58+$X58*($J58-$I58))</f>
        <v/>
      </c>
      <c r="Z58" s="30" t="n">
        <v>46212</v>
      </c>
      <c r="AA58" s="38" t="n"/>
      <c r="AB58" s="39" t="n"/>
      <c r="AC58" s="39" t="n"/>
      <c r="AD58" s="19">
        <f>IF($A58="","",IF($AA58="",$H58,$AA58))</f>
        <v/>
      </c>
      <c r="AE58" s="35">
        <f>IF($A58="","",IF($AB58="",$I58,$AB58))</f>
        <v/>
      </c>
      <c r="AF58" s="35">
        <f>IF($A58="","",IF($AC58="",$J58,$AC58))</f>
        <v/>
      </c>
      <c r="AG58" s="35">
        <f>IF(OR($U58="",$AE58="",$AF58="",$X58=""),"",$AE58+$X58*($AF58-$AE58))</f>
        <v/>
      </c>
      <c r="AH58" s="36" t="n"/>
      <c r="AI58" s="36" t="n"/>
      <c r="AJ58" s="36" t="n"/>
      <c r="AK58" s="36" t="n"/>
      <c r="AL58" s="36" t="n"/>
      <c r="AM58" s="36" t="n"/>
      <c r="AN58" s="36" t="n"/>
      <c r="AO58" s="36" t="n"/>
      <c r="AP58" s="36" t="n"/>
      <c r="AQ58" s="36" t="n"/>
      <c r="AR58" s="36" t="n"/>
      <c r="AS58" s="36" t="n"/>
      <c r="AT58" s="36" t="n"/>
      <c r="AU58" s="36" t="n"/>
      <c r="AV58" s="36" t="n"/>
      <c r="AW58" s="36" t="n"/>
      <c r="AX58" s="36" t="n"/>
    </row>
    <row r="59">
      <c r="A59" s="28" t="inlineStr">
        <is>
          <t>Dorsia_1</t>
        </is>
      </c>
      <c r="B59" s="20" t="inlineStr">
        <is>
          <t>Fengate</t>
        </is>
      </c>
      <c r="C59" s="28" t="inlineStr">
        <is>
          <t>Fengate</t>
        </is>
      </c>
      <c r="D59" s="28" t="inlineStr"/>
      <c r="E59" s="28" t="inlineStr">
        <is>
          <t>No</t>
        </is>
      </c>
      <c r="F59" s="28" t="inlineStr">
        <is>
          <t>Active</t>
        </is>
      </c>
      <c r="G59" s="36" t="n"/>
      <c r="H59" s="29" t="n">
        <v>1</v>
      </c>
      <c r="I59" s="37" t="n"/>
      <c r="J59" s="37" t="n"/>
      <c r="K59" s="31" t="n"/>
      <c r="L59" s="31" t="n"/>
      <c r="M59" s="31" t="n"/>
      <c r="N59" s="31" t="n"/>
      <c r="O59" s="31" t="n"/>
      <c r="P59" s="31" t="n"/>
      <c r="Q59" s="23">
        <f>IF($A59="","",COUNTIFS(Assignments!$C$2:$C$769,$A59,Assignments!$G$2:$G$769,"Active"))</f>
        <v/>
      </c>
      <c r="R59" s="32">
        <f>IF($A59="","",SUMIFS(Assignments!$I$2:$I$769,Assignments!$C$2:$C$769,$A59,Assignments!$G$2:$G$769,"Active"))</f>
        <v/>
      </c>
      <c r="S59" s="20" t="inlineStr">
        <is>
          <t>WIP</t>
        </is>
      </c>
      <c r="T59" s="31" t="n"/>
      <c r="U59" s="36" t="n"/>
      <c r="V59" s="34">
        <f>IF($U59="","",IFERROR(INDEX(Templates!$K$3:$K$10,MATCH($U59,Templates!$A$3:$A$10,0)),""))</f>
        <v/>
      </c>
      <c r="W59" s="34">
        <f>IF($U59="","",IFERROR(INDEX(Templates!$L$3:$L$10,MATCH($U59,Templates!$A$3:$A$10,0)),""))</f>
        <v/>
      </c>
      <c r="X59" s="21">
        <f>IF($U59="","",IFERROR(INDEX(Templates!$J$3:$J$10,MATCH($U59,Templates!$A$3:$A$10,0)),""))</f>
        <v/>
      </c>
      <c r="Y59" s="35">
        <f>IF(OR($U59="",$I59="",$J59="",$X59=""),"",$I59+$X59*($J59-$I59))</f>
        <v/>
      </c>
      <c r="Z59" s="30" t="n">
        <v>46212</v>
      </c>
      <c r="AA59" s="38" t="n"/>
      <c r="AB59" s="39" t="n"/>
      <c r="AC59" s="39" t="n"/>
      <c r="AD59" s="19">
        <f>IF($A59="","",IF($AA59="",$H59,$AA59))</f>
        <v/>
      </c>
      <c r="AE59" s="35">
        <f>IF($A59="","",IF($AB59="",$I59,$AB59))</f>
        <v/>
      </c>
      <c r="AF59" s="35">
        <f>IF($A59="","",IF($AC59="",$J59,$AC59))</f>
        <v/>
      </c>
      <c r="AG59" s="35">
        <f>IF(OR($U59="",$AE59="",$AF59="",$X59=""),"",$AE59+$X59*($AF59-$AE59))</f>
        <v/>
      </c>
      <c r="AH59" s="36" t="n"/>
      <c r="AI59" s="36" t="n"/>
      <c r="AJ59" s="36" t="n"/>
      <c r="AK59" s="36" t="n"/>
      <c r="AL59" s="36" t="n"/>
      <c r="AM59" s="36" t="n"/>
      <c r="AN59" s="36" t="n"/>
      <c r="AO59" s="36" t="n"/>
      <c r="AP59" s="36" t="n"/>
      <c r="AQ59" s="36" t="n"/>
      <c r="AR59" s="36" t="n"/>
      <c r="AS59" s="36" t="n"/>
      <c r="AT59" s="36" t="n"/>
      <c r="AU59" s="36" t="n"/>
      <c r="AV59" s="36" t="n"/>
      <c r="AW59" s="36" t="n"/>
      <c r="AX59" s="36" t="n"/>
    </row>
    <row r="60">
      <c r="A60" s="28" t="inlineStr">
        <is>
          <t>Dupont_1</t>
        </is>
      </c>
      <c r="B60" s="20" t="inlineStr">
        <is>
          <t>Ares Management Corporation</t>
        </is>
      </c>
      <c r="C60" s="28" t="inlineStr">
        <is>
          <t>Ares Management Corporation</t>
        </is>
      </c>
      <c r="D60" s="28" t="inlineStr"/>
      <c r="E60" s="28" t="inlineStr">
        <is>
          <t>No</t>
        </is>
      </c>
      <c r="F60" s="28" t="inlineStr">
        <is>
          <t>Active</t>
        </is>
      </c>
      <c r="G60" s="36" t="n"/>
      <c r="H60" s="29" t="n">
        <v>1</v>
      </c>
      <c r="I60" s="37" t="n"/>
      <c r="J60" s="37" t="n"/>
      <c r="K60" s="31" t="n"/>
      <c r="L60" s="31" t="n"/>
      <c r="M60" s="31" t="n"/>
      <c r="N60" s="31" t="n"/>
      <c r="O60" s="31" t="n"/>
      <c r="P60" s="31" t="n"/>
      <c r="Q60" s="23">
        <f>IF($A60="","",COUNTIFS(Assignments!$C$2:$C$769,$A60,Assignments!$G$2:$G$769,"Active"))</f>
        <v/>
      </c>
      <c r="R60" s="32">
        <f>IF($A60="","",SUMIFS(Assignments!$I$2:$I$769,Assignments!$C$2:$C$769,$A60,Assignments!$G$2:$G$769,"Active"))</f>
        <v/>
      </c>
      <c r="S60" s="20" t="inlineStr">
        <is>
          <t>WIP</t>
        </is>
      </c>
      <c r="T60" s="31" t="n"/>
      <c r="U60" s="36" t="n"/>
      <c r="V60" s="34">
        <f>IF($U60="","",IFERROR(INDEX(Templates!$K$3:$K$10,MATCH($U60,Templates!$A$3:$A$10,0)),""))</f>
        <v/>
      </c>
      <c r="W60" s="34">
        <f>IF($U60="","",IFERROR(INDEX(Templates!$L$3:$L$10,MATCH($U60,Templates!$A$3:$A$10,0)),""))</f>
        <v/>
      </c>
      <c r="X60" s="21">
        <f>IF($U60="","",IFERROR(INDEX(Templates!$J$3:$J$10,MATCH($U60,Templates!$A$3:$A$10,0)),""))</f>
        <v/>
      </c>
      <c r="Y60" s="35">
        <f>IF(OR($U60="",$I60="",$J60="",$X60=""),"",$I60+$X60*($J60-$I60))</f>
        <v/>
      </c>
      <c r="Z60" s="30" t="n">
        <v>46212</v>
      </c>
      <c r="AA60" s="38" t="n"/>
      <c r="AB60" s="39" t="n"/>
      <c r="AC60" s="39" t="n"/>
      <c r="AD60" s="19">
        <f>IF($A60="","",IF($AA60="",$H60,$AA60))</f>
        <v/>
      </c>
      <c r="AE60" s="35">
        <f>IF($A60="","",IF($AB60="",$I60,$AB60))</f>
        <v/>
      </c>
      <c r="AF60" s="35">
        <f>IF($A60="","",IF($AC60="",$J60,$AC60))</f>
        <v/>
      </c>
      <c r="AG60" s="35">
        <f>IF(OR($U60="",$AE60="",$AF60="",$X60=""),"",$AE60+$X60*($AF60-$AE60))</f>
        <v/>
      </c>
      <c r="AH60" s="36" t="n"/>
      <c r="AI60" s="36" t="n"/>
      <c r="AJ60" s="36" t="n"/>
      <c r="AK60" s="36" t="n"/>
      <c r="AL60" s="36" t="n"/>
      <c r="AM60" s="36" t="n"/>
      <c r="AN60" s="36" t="n"/>
      <c r="AO60" s="36" t="n"/>
      <c r="AP60" s="36" t="n"/>
      <c r="AQ60" s="36" t="n"/>
      <c r="AR60" s="36" t="n"/>
      <c r="AS60" s="36" t="n"/>
      <c r="AT60" s="36" t="n"/>
      <c r="AU60" s="36" t="n"/>
      <c r="AV60" s="36" t="n"/>
      <c r="AW60" s="36" t="n"/>
      <c r="AX60" s="36" t="n"/>
    </row>
    <row r="61">
      <c r="A61" s="28" t="inlineStr">
        <is>
          <t>Eagle_5</t>
        </is>
      </c>
      <c r="B61" s="20" t="inlineStr">
        <is>
          <t>Infrared Capital Partners</t>
        </is>
      </c>
      <c r="C61" s="28" t="inlineStr">
        <is>
          <t>Infrared Capital Partners</t>
        </is>
      </c>
      <c r="D61" s="28" t="inlineStr"/>
      <c r="E61" s="28" t="inlineStr">
        <is>
          <t>No</t>
        </is>
      </c>
      <c r="F61" s="28" t="inlineStr">
        <is>
          <t>Active</t>
        </is>
      </c>
      <c r="G61" s="36" t="n"/>
      <c r="H61" s="29" t="n">
        <v>1</v>
      </c>
      <c r="I61" s="37" t="n"/>
      <c r="J61" s="37" t="n"/>
      <c r="K61" s="31" t="n"/>
      <c r="L61" s="31" t="n"/>
      <c r="M61" s="31" t="n"/>
      <c r="N61" s="31" t="n"/>
      <c r="O61" s="31" t="n"/>
      <c r="P61" s="31" t="n"/>
      <c r="Q61" s="23">
        <f>IF($A61="","",COUNTIFS(Assignments!$C$2:$C$769,$A61,Assignments!$G$2:$G$769,"Active"))</f>
        <v/>
      </c>
      <c r="R61" s="32">
        <f>IF($A61="","",SUMIFS(Assignments!$I$2:$I$769,Assignments!$C$2:$C$769,$A61,Assignments!$G$2:$G$769,"Active"))</f>
        <v/>
      </c>
      <c r="S61" s="20" t="inlineStr">
        <is>
          <t>WIP</t>
        </is>
      </c>
      <c r="T61" s="31" t="n"/>
      <c r="U61" s="36" t="n"/>
      <c r="V61" s="34">
        <f>IF($U61="","",IFERROR(INDEX(Templates!$K$3:$K$10,MATCH($U61,Templates!$A$3:$A$10,0)),""))</f>
        <v/>
      </c>
      <c r="W61" s="34">
        <f>IF($U61="","",IFERROR(INDEX(Templates!$L$3:$L$10,MATCH($U61,Templates!$A$3:$A$10,0)),""))</f>
        <v/>
      </c>
      <c r="X61" s="21">
        <f>IF($U61="","",IFERROR(INDEX(Templates!$J$3:$J$10,MATCH($U61,Templates!$A$3:$A$10,0)),""))</f>
        <v/>
      </c>
      <c r="Y61" s="35">
        <f>IF(OR($U61="",$I61="",$J61="",$X61=""),"",$I61+$X61*($J61-$I61))</f>
        <v/>
      </c>
      <c r="Z61" s="30" t="n">
        <v>46212</v>
      </c>
      <c r="AA61" s="38" t="n"/>
      <c r="AB61" s="39" t="n"/>
      <c r="AC61" s="39" t="n"/>
      <c r="AD61" s="19">
        <f>IF($A61="","",IF($AA61="",$H61,$AA61))</f>
        <v/>
      </c>
      <c r="AE61" s="35">
        <f>IF($A61="","",IF($AB61="",$I61,$AB61))</f>
        <v/>
      </c>
      <c r="AF61" s="35">
        <f>IF($A61="","",IF($AC61="",$J61,$AC61))</f>
        <v/>
      </c>
      <c r="AG61" s="35">
        <f>IF(OR($U61="",$AE61="",$AF61="",$X61=""),"",$AE61+$X61*($AF61-$AE61))</f>
        <v/>
      </c>
      <c r="AH61" s="36" t="n"/>
      <c r="AI61" s="36" t="n"/>
      <c r="AJ61" s="36" t="n"/>
      <c r="AK61" s="36" t="n"/>
      <c r="AL61" s="36" t="n"/>
      <c r="AM61" s="36" t="n"/>
      <c r="AN61" s="36" t="n"/>
      <c r="AO61" s="36" t="n"/>
      <c r="AP61" s="36" t="n"/>
      <c r="AQ61" s="36" t="n"/>
      <c r="AR61" s="36" t="n"/>
      <c r="AS61" s="36" t="n"/>
      <c r="AT61" s="36" t="n"/>
      <c r="AU61" s="36" t="n"/>
      <c r="AV61" s="36" t="n"/>
      <c r="AW61" s="36" t="n"/>
      <c r="AX61" s="36" t="n"/>
    </row>
    <row r="62">
      <c r="A62" s="28" t="inlineStr">
        <is>
          <t>Eagle_7</t>
        </is>
      </c>
      <c r="B62" s="20" t="inlineStr">
        <is>
          <t>LS Power</t>
        </is>
      </c>
      <c r="C62" s="28" t="inlineStr">
        <is>
          <t>LS Power</t>
        </is>
      </c>
      <c r="D62" s="28" t="inlineStr"/>
      <c r="E62" s="28" t="inlineStr">
        <is>
          <t>No</t>
        </is>
      </c>
      <c r="F62" s="28" t="inlineStr">
        <is>
          <t>Active</t>
        </is>
      </c>
      <c r="G62" s="36" t="n"/>
      <c r="H62" s="29" t="n">
        <v>1</v>
      </c>
      <c r="I62" s="37" t="n"/>
      <c r="J62" s="37" t="n"/>
      <c r="K62" s="31" t="n"/>
      <c r="L62" s="31" t="n"/>
      <c r="M62" s="31" t="n"/>
      <c r="N62" s="31" t="n"/>
      <c r="O62" s="31" t="n"/>
      <c r="P62" s="31" t="n"/>
      <c r="Q62" s="23">
        <f>IF($A62="","",COUNTIFS(Assignments!$C$2:$C$769,$A62,Assignments!$G$2:$G$769,"Active"))</f>
        <v/>
      </c>
      <c r="R62" s="32">
        <f>IF($A62="","",SUMIFS(Assignments!$I$2:$I$769,Assignments!$C$2:$C$769,$A62,Assignments!$G$2:$G$769,"Active"))</f>
        <v/>
      </c>
      <c r="S62" s="20" t="inlineStr">
        <is>
          <t>WIP</t>
        </is>
      </c>
      <c r="T62" s="31" t="n"/>
      <c r="U62" s="36" t="n"/>
      <c r="V62" s="34">
        <f>IF($U62="","",IFERROR(INDEX(Templates!$K$3:$K$10,MATCH($U62,Templates!$A$3:$A$10,0)),""))</f>
        <v/>
      </c>
      <c r="W62" s="34">
        <f>IF($U62="","",IFERROR(INDEX(Templates!$L$3:$L$10,MATCH($U62,Templates!$A$3:$A$10,0)),""))</f>
        <v/>
      </c>
      <c r="X62" s="21">
        <f>IF($U62="","",IFERROR(INDEX(Templates!$J$3:$J$10,MATCH($U62,Templates!$A$3:$A$10,0)),""))</f>
        <v/>
      </c>
      <c r="Y62" s="35">
        <f>IF(OR($U62="",$I62="",$J62="",$X62=""),"",$I62+$X62*($J62-$I62))</f>
        <v/>
      </c>
      <c r="Z62" s="30" t="n">
        <v>46212</v>
      </c>
      <c r="AA62" s="38" t="n"/>
      <c r="AB62" s="39" t="n"/>
      <c r="AC62" s="39" t="n"/>
      <c r="AD62" s="19">
        <f>IF($A62="","",IF($AA62="",$H62,$AA62))</f>
        <v/>
      </c>
      <c r="AE62" s="35">
        <f>IF($A62="","",IF($AB62="",$I62,$AB62))</f>
        <v/>
      </c>
      <c r="AF62" s="35">
        <f>IF($A62="","",IF($AC62="",$J62,$AC62))</f>
        <v/>
      </c>
      <c r="AG62" s="35">
        <f>IF(OR($U62="",$AE62="",$AF62="",$X62=""),"",$AE62+$X62*($AF62-$AE62))</f>
        <v/>
      </c>
      <c r="AH62" s="36" t="n"/>
      <c r="AI62" s="36" t="n"/>
      <c r="AJ62" s="36" t="n"/>
      <c r="AK62" s="36" t="n"/>
      <c r="AL62" s="36" t="n"/>
      <c r="AM62" s="36" t="n"/>
      <c r="AN62" s="36" t="n"/>
      <c r="AO62" s="36" t="n"/>
      <c r="AP62" s="36" t="n"/>
      <c r="AQ62" s="36" t="n"/>
      <c r="AR62" s="36" t="n"/>
      <c r="AS62" s="36" t="n"/>
      <c r="AT62" s="36" t="n"/>
      <c r="AU62" s="36" t="n"/>
      <c r="AV62" s="36" t="n"/>
      <c r="AW62" s="36" t="n"/>
      <c r="AX62" s="36" t="n"/>
    </row>
    <row r="63">
      <c r="A63" s="28" t="inlineStr">
        <is>
          <t>Earthshine_2</t>
        </is>
      </c>
      <c r="B63" s="20" t="inlineStr">
        <is>
          <t>Mosaic Insurance</t>
        </is>
      </c>
      <c r="C63" s="28" t="inlineStr">
        <is>
          <t>Mosaic Insurance</t>
        </is>
      </c>
      <c r="D63" s="28" t="inlineStr"/>
      <c r="E63" s="28" t="inlineStr">
        <is>
          <t>No</t>
        </is>
      </c>
      <c r="F63" s="28" t="inlineStr">
        <is>
          <t>Active</t>
        </is>
      </c>
      <c r="G63" s="36" t="n"/>
      <c r="H63" s="29" t="n">
        <v>1</v>
      </c>
      <c r="I63" s="37" t="n"/>
      <c r="J63" s="37" t="n"/>
      <c r="K63" s="31" t="n"/>
      <c r="L63" s="31" t="n"/>
      <c r="M63" s="31" t="n"/>
      <c r="N63" s="31" t="n"/>
      <c r="O63" s="31" t="n"/>
      <c r="P63" s="31" t="n"/>
      <c r="Q63" s="23">
        <f>IF($A63="","",COUNTIFS(Assignments!$C$2:$C$769,$A63,Assignments!$G$2:$G$769,"Active"))</f>
        <v/>
      </c>
      <c r="R63" s="32">
        <f>IF($A63="","",SUMIFS(Assignments!$I$2:$I$769,Assignments!$C$2:$C$769,$A63,Assignments!$G$2:$G$769,"Active"))</f>
        <v/>
      </c>
      <c r="S63" s="20" t="inlineStr">
        <is>
          <t>WIP</t>
        </is>
      </c>
      <c r="T63" s="31" t="n"/>
      <c r="U63" s="36" t="n"/>
      <c r="V63" s="34">
        <f>IF($U63="","",IFERROR(INDEX(Templates!$K$3:$K$10,MATCH($U63,Templates!$A$3:$A$10,0)),""))</f>
        <v/>
      </c>
      <c r="W63" s="34">
        <f>IF($U63="","",IFERROR(INDEX(Templates!$L$3:$L$10,MATCH($U63,Templates!$A$3:$A$10,0)),""))</f>
        <v/>
      </c>
      <c r="X63" s="21">
        <f>IF($U63="","",IFERROR(INDEX(Templates!$J$3:$J$10,MATCH($U63,Templates!$A$3:$A$10,0)),""))</f>
        <v/>
      </c>
      <c r="Y63" s="35">
        <f>IF(OR($U63="",$I63="",$J63="",$X63=""),"",$I63+$X63*($J63-$I63))</f>
        <v/>
      </c>
      <c r="Z63" s="30" t="n">
        <v>46212</v>
      </c>
      <c r="AA63" s="38" t="n"/>
      <c r="AB63" s="39" t="n"/>
      <c r="AC63" s="39" t="n"/>
      <c r="AD63" s="19">
        <f>IF($A63="","",IF($AA63="",$H63,$AA63))</f>
        <v/>
      </c>
      <c r="AE63" s="35">
        <f>IF($A63="","",IF($AB63="",$I63,$AB63))</f>
        <v/>
      </c>
      <c r="AF63" s="35">
        <f>IF($A63="","",IF($AC63="",$J63,$AC63))</f>
        <v/>
      </c>
      <c r="AG63" s="35">
        <f>IF(OR($U63="",$AE63="",$AF63="",$X63=""),"",$AE63+$X63*($AF63-$AE63))</f>
        <v/>
      </c>
      <c r="AH63" s="36" t="n"/>
      <c r="AI63" s="36" t="n"/>
      <c r="AJ63" s="36" t="n"/>
      <c r="AK63" s="36" t="n"/>
      <c r="AL63" s="36" t="n"/>
      <c r="AM63" s="36" t="n"/>
      <c r="AN63" s="36" t="n"/>
      <c r="AO63" s="36" t="n"/>
      <c r="AP63" s="36" t="n"/>
      <c r="AQ63" s="36" t="n"/>
      <c r="AR63" s="36" t="n"/>
      <c r="AS63" s="36" t="n"/>
      <c r="AT63" s="36" t="n"/>
      <c r="AU63" s="36" t="n"/>
      <c r="AV63" s="36" t="n"/>
      <c r="AW63" s="36" t="n"/>
      <c r="AX63" s="36" t="n"/>
    </row>
    <row r="64">
      <c r="A64" s="28" t="inlineStr">
        <is>
          <t>Elektron_1</t>
        </is>
      </c>
      <c r="B64" s="20" t="inlineStr">
        <is>
          <t>Ethos Specialty Insurance Services</t>
        </is>
      </c>
      <c r="C64" s="28" t="inlineStr">
        <is>
          <t>Ethos Specialty Insurance Services</t>
        </is>
      </c>
      <c r="D64" s="28" t="inlineStr"/>
      <c r="E64" s="28" t="inlineStr">
        <is>
          <t>No</t>
        </is>
      </c>
      <c r="F64" s="28" t="inlineStr">
        <is>
          <t>Active</t>
        </is>
      </c>
      <c r="G64" s="36" t="n"/>
      <c r="H64" s="29" t="n">
        <v>1</v>
      </c>
      <c r="I64" s="37" t="n"/>
      <c r="J64" s="37" t="n"/>
      <c r="K64" s="31" t="n"/>
      <c r="L64" s="31" t="n"/>
      <c r="M64" s="31" t="n"/>
      <c r="N64" s="31" t="n"/>
      <c r="O64" s="31" t="n"/>
      <c r="P64" s="31" t="n"/>
      <c r="Q64" s="23">
        <f>IF($A64="","",COUNTIFS(Assignments!$C$2:$C$769,$A64,Assignments!$G$2:$G$769,"Active"))</f>
        <v/>
      </c>
      <c r="R64" s="32">
        <f>IF($A64="","",SUMIFS(Assignments!$I$2:$I$769,Assignments!$C$2:$C$769,$A64,Assignments!$G$2:$G$769,"Active"))</f>
        <v/>
      </c>
      <c r="S64" s="20" t="inlineStr">
        <is>
          <t>WIP</t>
        </is>
      </c>
      <c r="T64" s="31" t="n"/>
      <c r="U64" s="36" t="n"/>
      <c r="V64" s="34">
        <f>IF($U64="","",IFERROR(INDEX(Templates!$K$3:$K$10,MATCH($U64,Templates!$A$3:$A$10,0)),""))</f>
        <v/>
      </c>
      <c r="W64" s="34">
        <f>IF($U64="","",IFERROR(INDEX(Templates!$L$3:$L$10,MATCH($U64,Templates!$A$3:$A$10,0)),""))</f>
        <v/>
      </c>
      <c r="X64" s="21">
        <f>IF($U64="","",IFERROR(INDEX(Templates!$J$3:$J$10,MATCH($U64,Templates!$A$3:$A$10,0)),""))</f>
        <v/>
      </c>
      <c r="Y64" s="35">
        <f>IF(OR($U64="",$I64="",$J64="",$X64=""),"",$I64+$X64*($J64-$I64))</f>
        <v/>
      </c>
      <c r="Z64" s="30" t="n">
        <v>46212</v>
      </c>
      <c r="AA64" s="38" t="n"/>
      <c r="AB64" s="39" t="n"/>
      <c r="AC64" s="39" t="n"/>
      <c r="AD64" s="19">
        <f>IF($A64="","",IF($AA64="",$H64,$AA64))</f>
        <v/>
      </c>
      <c r="AE64" s="35">
        <f>IF($A64="","",IF($AB64="",$I64,$AB64))</f>
        <v/>
      </c>
      <c r="AF64" s="35">
        <f>IF($A64="","",IF($AC64="",$J64,$AC64))</f>
        <v/>
      </c>
      <c r="AG64" s="35">
        <f>IF(OR($U64="",$AE64="",$AF64="",$X64=""),"",$AE64+$X64*($AF64-$AE64))</f>
        <v/>
      </c>
      <c r="AH64" s="36" t="n"/>
      <c r="AI64" s="36" t="n"/>
      <c r="AJ64" s="36" t="n"/>
      <c r="AK64" s="36" t="n"/>
      <c r="AL64" s="36" t="n"/>
      <c r="AM64" s="36" t="n"/>
      <c r="AN64" s="36" t="n"/>
      <c r="AO64" s="36" t="n"/>
      <c r="AP64" s="36" t="n"/>
      <c r="AQ64" s="36" t="n"/>
      <c r="AR64" s="36" t="n"/>
      <c r="AS64" s="36" t="n"/>
      <c r="AT64" s="36" t="n"/>
      <c r="AU64" s="36" t="n"/>
      <c r="AV64" s="36" t="n"/>
      <c r="AW64" s="36" t="n"/>
      <c r="AX64" s="36" t="n"/>
    </row>
    <row r="65">
      <c r="A65" s="28" t="inlineStr">
        <is>
          <t>Emerald_6</t>
        </is>
      </c>
      <c r="B65" s="20" t="inlineStr">
        <is>
          <t>Repsol Renewables NA</t>
        </is>
      </c>
      <c r="C65" s="28" t="inlineStr">
        <is>
          <t>Repsol Renewables NA</t>
        </is>
      </c>
      <c r="D65" s="28" t="inlineStr"/>
      <c r="E65" s="28" t="inlineStr">
        <is>
          <t>No</t>
        </is>
      </c>
      <c r="F65" s="28" t="inlineStr">
        <is>
          <t>Active</t>
        </is>
      </c>
      <c r="G65" s="36" t="n"/>
      <c r="H65" s="29" t="n">
        <v>1</v>
      </c>
      <c r="I65" s="37" t="n"/>
      <c r="J65" s="37" t="n"/>
      <c r="K65" s="31" t="n"/>
      <c r="L65" s="31" t="n"/>
      <c r="M65" s="31" t="n"/>
      <c r="N65" s="31" t="n"/>
      <c r="O65" s="31" t="n"/>
      <c r="P65" s="31" t="n"/>
      <c r="Q65" s="23">
        <f>IF($A65="","",COUNTIFS(Assignments!$C$2:$C$769,$A65,Assignments!$G$2:$G$769,"Active"))</f>
        <v/>
      </c>
      <c r="R65" s="32">
        <f>IF($A65="","",SUMIFS(Assignments!$I$2:$I$769,Assignments!$C$2:$C$769,$A65,Assignments!$G$2:$G$769,"Active"))</f>
        <v/>
      </c>
      <c r="S65" s="20" t="inlineStr">
        <is>
          <t>WIP</t>
        </is>
      </c>
      <c r="T65" s="31" t="n"/>
      <c r="U65" s="36" t="n"/>
      <c r="V65" s="34">
        <f>IF($U65="","",IFERROR(INDEX(Templates!$K$3:$K$10,MATCH($U65,Templates!$A$3:$A$10,0)),""))</f>
        <v/>
      </c>
      <c r="W65" s="34">
        <f>IF($U65="","",IFERROR(INDEX(Templates!$L$3:$L$10,MATCH($U65,Templates!$A$3:$A$10,0)),""))</f>
        <v/>
      </c>
      <c r="X65" s="21">
        <f>IF($U65="","",IFERROR(INDEX(Templates!$J$3:$J$10,MATCH($U65,Templates!$A$3:$A$10,0)),""))</f>
        <v/>
      </c>
      <c r="Y65" s="35">
        <f>IF(OR($U65="",$I65="",$J65="",$X65=""),"",$I65+$X65*($J65-$I65))</f>
        <v/>
      </c>
      <c r="Z65" s="30" t="n">
        <v>46212</v>
      </c>
      <c r="AA65" s="38" t="n"/>
      <c r="AB65" s="39" t="n"/>
      <c r="AC65" s="39" t="n"/>
      <c r="AD65" s="19">
        <f>IF($A65="","",IF($AA65="",$H65,$AA65))</f>
        <v/>
      </c>
      <c r="AE65" s="35">
        <f>IF($A65="","",IF($AB65="",$I65,$AB65))</f>
        <v/>
      </c>
      <c r="AF65" s="35">
        <f>IF($A65="","",IF($AC65="",$J65,$AC65))</f>
        <v/>
      </c>
      <c r="AG65" s="35">
        <f>IF(OR($U65="",$AE65="",$AF65="",$X65=""),"",$AE65+$X65*($AF65-$AE65))</f>
        <v/>
      </c>
      <c r="AH65" s="36" t="n"/>
      <c r="AI65" s="36" t="n"/>
      <c r="AJ65" s="36" t="n"/>
      <c r="AK65" s="36" t="n"/>
      <c r="AL65" s="36" t="n"/>
      <c r="AM65" s="36" t="n"/>
      <c r="AN65" s="36" t="n"/>
      <c r="AO65" s="36" t="n"/>
      <c r="AP65" s="36" t="n"/>
      <c r="AQ65" s="36" t="n"/>
      <c r="AR65" s="36" t="n"/>
      <c r="AS65" s="36" t="n"/>
      <c r="AT65" s="36" t="n"/>
      <c r="AU65" s="36" t="n"/>
      <c r="AV65" s="36" t="n"/>
      <c r="AW65" s="36" t="n"/>
      <c r="AX65" s="36" t="n"/>
    </row>
    <row r="66">
      <c r="A66" s="28" t="inlineStr">
        <is>
          <t>Enterprise_1</t>
        </is>
      </c>
      <c r="B66" s="20" t="inlineStr">
        <is>
          <t>Link 1 IT Solutions, LLC</t>
        </is>
      </c>
      <c r="C66" s="28" t="inlineStr">
        <is>
          <t>Link 1 IT Solutions, LLC</t>
        </is>
      </c>
      <c r="D66" s="28" t="inlineStr"/>
      <c r="E66" s="28" t="inlineStr">
        <is>
          <t>No</t>
        </is>
      </c>
      <c r="F66" s="28" t="inlineStr">
        <is>
          <t>Active</t>
        </is>
      </c>
      <c r="G66" s="36" t="n"/>
      <c r="H66" s="29" t="n">
        <v>1</v>
      </c>
      <c r="I66" s="37" t="n"/>
      <c r="J66" s="37" t="n"/>
      <c r="K66" s="31" t="n"/>
      <c r="L66" s="31" t="n"/>
      <c r="M66" s="31" t="n"/>
      <c r="N66" s="31" t="n"/>
      <c r="O66" s="31" t="n"/>
      <c r="P66" s="31" t="n"/>
      <c r="Q66" s="23">
        <f>IF($A66="","",COUNTIFS(Assignments!$C$2:$C$769,$A66,Assignments!$G$2:$G$769,"Active"))</f>
        <v/>
      </c>
      <c r="R66" s="32">
        <f>IF($A66="","",SUMIFS(Assignments!$I$2:$I$769,Assignments!$C$2:$C$769,$A66,Assignments!$G$2:$G$769,"Active"))</f>
        <v/>
      </c>
      <c r="S66" s="20" t="inlineStr">
        <is>
          <t>WIP</t>
        </is>
      </c>
      <c r="T66" s="31" t="n"/>
      <c r="U66" s="36" t="n"/>
      <c r="V66" s="34">
        <f>IF($U66="","",IFERROR(INDEX(Templates!$K$3:$K$10,MATCH($U66,Templates!$A$3:$A$10,0)),""))</f>
        <v/>
      </c>
      <c r="W66" s="34">
        <f>IF($U66="","",IFERROR(INDEX(Templates!$L$3:$L$10,MATCH($U66,Templates!$A$3:$A$10,0)),""))</f>
        <v/>
      </c>
      <c r="X66" s="21">
        <f>IF($U66="","",IFERROR(INDEX(Templates!$J$3:$J$10,MATCH($U66,Templates!$A$3:$A$10,0)),""))</f>
        <v/>
      </c>
      <c r="Y66" s="35">
        <f>IF(OR($U66="",$I66="",$J66="",$X66=""),"",$I66+$X66*($J66-$I66))</f>
        <v/>
      </c>
      <c r="Z66" s="30" t="n">
        <v>46212</v>
      </c>
      <c r="AA66" s="38" t="n"/>
      <c r="AB66" s="39" t="n"/>
      <c r="AC66" s="39" t="n"/>
      <c r="AD66" s="19">
        <f>IF($A66="","",IF($AA66="",$H66,$AA66))</f>
        <v/>
      </c>
      <c r="AE66" s="35">
        <f>IF($A66="","",IF($AB66="",$I66,$AB66))</f>
        <v/>
      </c>
      <c r="AF66" s="35">
        <f>IF($A66="","",IF($AC66="",$J66,$AC66))</f>
        <v/>
      </c>
      <c r="AG66" s="35">
        <f>IF(OR($U66="",$AE66="",$AF66="",$X66=""),"",$AE66+$X66*($AF66-$AE66))</f>
        <v/>
      </c>
      <c r="AH66" s="36" t="n"/>
      <c r="AI66" s="36" t="n"/>
      <c r="AJ66" s="36" t="n"/>
      <c r="AK66" s="36" t="n"/>
      <c r="AL66" s="36" t="n"/>
      <c r="AM66" s="36" t="n"/>
      <c r="AN66" s="36" t="n"/>
      <c r="AO66" s="36" t="n"/>
      <c r="AP66" s="36" t="n"/>
      <c r="AQ66" s="36" t="n"/>
      <c r="AR66" s="36" t="n"/>
      <c r="AS66" s="36" t="n"/>
      <c r="AT66" s="36" t="n"/>
      <c r="AU66" s="36" t="n"/>
      <c r="AV66" s="36" t="n"/>
      <c r="AW66" s="36" t="n"/>
      <c r="AX66" s="36" t="n"/>
    </row>
    <row r="67">
      <c r="A67" s="28" t="inlineStr">
        <is>
          <t>EOS</t>
        </is>
      </c>
      <c r="B67" s="20" t="inlineStr">
        <is>
          <t>Eight Advisory</t>
        </is>
      </c>
      <c r="C67" s="28" t="inlineStr">
        <is>
          <t>Eight Advisory</t>
        </is>
      </c>
      <c r="D67" s="28" t="inlineStr"/>
      <c r="E67" s="28" t="inlineStr">
        <is>
          <t>No</t>
        </is>
      </c>
      <c r="F67" s="28" t="inlineStr">
        <is>
          <t>Active</t>
        </is>
      </c>
      <c r="G67" s="36" t="n"/>
      <c r="H67" s="29" t="n">
        <v>1</v>
      </c>
      <c r="I67" s="37" t="n"/>
      <c r="J67" s="37" t="n"/>
      <c r="K67" s="31" t="n"/>
      <c r="L67" s="31" t="n"/>
      <c r="M67" s="31" t="n"/>
      <c r="N67" s="31" t="n"/>
      <c r="O67" s="31" t="n"/>
      <c r="P67" s="31" t="n"/>
      <c r="Q67" s="23">
        <f>IF($A67="","",COUNTIFS(Assignments!$C$2:$C$769,$A67,Assignments!$G$2:$G$769,"Active"))</f>
        <v/>
      </c>
      <c r="R67" s="32">
        <f>IF($A67="","",SUMIFS(Assignments!$I$2:$I$769,Assignments!$C$2:$C$769,$A67,Assignments!$G$2:$G$769,"Active"))</f>
        <v/>
      </c>
      <c r="S67" s="20" t="inlineStr">
        <is>
          <t>Summary tab only (WIP)</t>
        </is>
      </c>
      <c r="T67" s="31" t="n"/>
      <c r="U67" s="36" t="n"/>
      <c r="V67" s="34">
        <f>IF($U67="","",IFERROR(INDEX(Templates!$K$3:$K$10,MATCH($U67,Templates!$A$3:$A$10,0)),""))</f>
        <v/>
      </c>
      <c r="W67" s="34">
        <f>IF($U67="","",IFERROR(INDEX(Templates!$L$3:$L$10,MATCH($U67,Templates!$A$3:$A$10,0)),""))</f>
        <v/>
      </c>
      <c r="X67" s="21">
        <f>IF($U67="","",IFERROR(INDEX(Templates!$J$3:$J$10,MATCH($U67,Templates!$A$3:$A$10,0)),""))</f>
        <v/>
      </c>
      <c r="Y67" s="35">
        <f>IF(OR($U67="",$I67="",$J67="",$X67=""),"",$I67+$X67*($J67-$I67))</f>
        <v/>
      </c>
      <c r="Z67" s="30" t="n">
        <v>46212</v>
      </c>
      <c r="AA67" s="38" t="n"/>
      <c r="AB67" s="39" t="n"/>
      <c r="AC67" s="39" t="n"/>
      <c r="AD67" s="19">
        <f>IF($A67="","",IF($AA67="",$H67,$AA67))</f>
        <v/>
      </c>
      <c r="AE67" s="35">
        <f>IF($A67="","",IF($AB67="",$I67,$AB67))</f>
        <v/>
      </c>
      <c r="AF67" s="35">
        <f>IF($A67="","",IF($AC67="",$J67,$AC67))</f>
        <v/>
      </c>
      <c r="AG67" s="35">
        <f>IF(OR($U67="",$AE67="",$AF67="",$X67=""),"",$AE67+$X67*($AF67-$AE67))</f>
        <v/>
      </c>
      <c r="AH67" s="36" t="n"/>
      <c r="AI67" s="36" t="n"/>
      <c r="AJ67" s="36" t="n"/>
      <c r="AK67" s="36" t="n"/>
      <c r="AL67" s="36" t="n"/>
      <c r="AM67" s="36" t="n"/>
      <c r="AN67" s="36" t="n"/>
      <c r="AO67" s="36" t="n"/>
      <c r="AP67" s="36" t="n"/>
      <c r="AQ67" s="36" t="n"/>
      <c r="AR67" s="36" t="n"/>
      <c r="AS67" s="36" t="n"/>
      <c r="AT67" s="36" t="n"/>
      <c r="AU67" s="36" t="n"/>
      <c r="AV67" s="36" t="n"/>
      <c r="AW67" s="36" t="n"/>
      <c r="AX67" s="36" t="n"/>
    </row>
    <row r="68">
      <c r="A68" s="28" t="inlineStr">
        <is>
          <t>EOS VDD_1</t>
        </is>
      </c>
      <c r="B68" s="20" t="inlineStr">
        <is>
          <t>Eight Advisory</t>
        </is>
      </c>
      <c r="C68" s="28" t="inlineStr">
        <is>
          <t>Eight Advisory</t>
        </is>
      </c>
      <c r="D68" s="28" t="inlineStr"/>
      <c r="E68" s="28" t="inlineStr">
        <is>
          <t>No</t>
        </is>
      </c>
      <c r="F68" s="28" t="inlineStr">
        <is>
          <t>Active</t>
        </is>
      </c>
      <c r="G68" s="36" t="n"/>
      <c r="H68" s="29" t="n">
        <v>1</v>
      </c>
      <c r="I68" s="37" t="n"/>
      <c r="J68" s="37" t="n"/>
      <c r="K68" s="31" t="n"/>
      <c r="L68" s="31" t="n"/>
      <c r="M68" s="31" t="n"/>
      <c r="N68" s="31" t="n"/>
      <c r="O68" s="31" t="n"/>
      <c r="P68" s="31" t="n"/>
      <c r="Q68" s="23">
        <f>IF($A68="","",COUNTIFS(Assignments!$C$2:$C$769,$A68,Assignments!$G$2:$G$769,"Active"))</f>
        <v/>
      </c>
      <c r="R68" s="32">
        <f>IF($A68="","",SUMIFS(Assignments!$I$2:$I$769,Assignments!$C$2:$C$769,$A68,Assignments!$G$2:$G$769,"Active"))</f>
        <v/>
      </c>
      <c r="S68" s="20" t="inlineStr">
        <is>
          <t>Summary tab only (WIP)</t>
        </is>
      </c>
      <c r="T68" s="31" t="n"/>
      <c r="U68" s="36" t="n"/>
      <c r="V68" s="34">
        <f>IF($U68="","",IFERROR(INDEX(Templates!$K$3:$K$10,MATCH($U68,Templates!$A$3:$A$10,0)),""))</f>
        <v/>
      </c>
      <c r="W68" s="34">
        <f>IF($U68="","",IFERROR(INDEX(Templates!$L$3:$L$10,MATCH($U68,Templates!$A$3:$A$10,0)),""))</f>
        <v/>
      </c>
      <c r="X68" s="21">
        <f>IF($U68="","",IFERROR(INDEX(Templates!$J$3:$J$10,MATCH($U68,Templates!$A$3:$A$10,0)),""))</f>
        <v/>
      </c>
      <c r="Y68" s="35">
        <f>IF(OR($U68="",$I68="",$J68="",$X68=""),"",$I68+$X68*($J68-$I68))</f>
        <v/>
      </c>
      <c r="Z68" s="30" t="n">
        <v>46212</v>
      </c>
      <c r="AA68" s="38" t="n"/>
      <c r="AB68" s="39" t="n"/>
      <c r="AC68" s="39" t="n"/>
      <c r="AD68" s="19">
        <f>IF($A68="","",IF($AA68="",$H68,$AA68))</f>
        <v/>
      </c>
      <c r="AE68" s="35">
        <f>IF($A68="","",IF($AB68="",$I68,$AB68))</f>
        <v/>
      </c>
      <c r="AF68" s="35">
        <f>IF($A68="","",IF($AC68="",$J68,$AC68))</f>
        <v/>
      </c>
      <c r="AG68" s="35">
        <f>IF(OR($U68="",$AE68="",$AF68="",$X68=""),"",$AE68+$X68*($AF68-$AE68))</f>
        <v/>
      </c>
      <c r="AH68" s="36" t="n"/>
      <c r="AI68" s="36" t="n"/>
      <c r="AJ68" s="36" t="n"/>
      <c r="AK68" s="36" t="n"/>
      <c r="AL68" s="36" t="n"/>
      <c r="AM68" s="36" t="n"/>
      <c r="AN68" s="36" t="n"/>
      <c r="AO68" s="36" t="n"/>
      <c r="AP68" s="36" t="n"/>
      <c r="AQ68" s="36" t="n"/>
      <c r="AR68" s="36" t="n"/>
      <c r="AS68" s="36" t="n"/>
      <c r="AT68" s="36" t="n"/>
      <c r="AU68" s="36" t="n"/>
      <c r="AV68" s="36" t="n"/>
      <c r="AW68" s="36" t="n"/>
      <c r="AX68" s="36" t="n"/>
    </row>
    <row r="69">
      <c r="A69" s="28" t="inlineStr">
        <is>
          <t>Etonia_1</t>
        </is>
      </c>
      <c r="B69" s="20" t="inlineStr">
        <is>
          <t>Ethos Specialty Insurance Services</t>
        </is>
      </c>
      <c r="C69" s="28" t="inlineStr">
        <is>
          <t>Ethos Specialty Insurance Services</t>
        </is>
      </c>
      <c r="D69" s="28" t="inlineStr"/>
      <c r="E69" s="28" t="inlineStr">
        <is>
          <t>No</t>
        </is>
      </c>
      <c r="F69" s="28" t="inlineStr">
        <is>
          <t>Active</t>
        </is>
      </c>
      <c r="G69" s="36" t="n"/>
      <c r="H69" s="29" t="n">
        <v>1</v>
      </c>
      <c r="I69" s="37" t="n"/>
      <c r="J69" s="37" t="n"/>
      <c r="K69" s="31" t="n"/>
      <c r="L69" s="31" t="n"/>
      <c r="M69" s="31" t="n"/>
      <c r="N69" s="31" t="n"/>
      <c r="O69" s="31" t="n"/>
      <c r="P69" s="31" t="n"/>
      <c r="Q69" s="23">
        <f>IF($A69="","",COUNTIFS(Assignments!$C$2:$C$769,$A69,Assignments!$G$2:$G$769,"Active"))</f>
        <v/>
      </c>
      <c r="R69" s="32">
        <f>IF($A69="","",SUMIFS(Assignments!$I$2:$I$769,Assignments!$C$2:$C$769,$A69,Assignments!$G$2:$G$769,"Active"))</f>
        <v/>
      </c>
      <c r="S69" s="20" t="inlineStr">
        <is>
          <t>WIP</t>
        </is>
      </c>
      <c r="T69" s="31" t="n"/>
      <c r="U69" s="36" t="n"/>
      <c r="V69" s="34">
        <f>IF($U69="","",IFERROR(INDEX(Templates!$K$3:$K$10,MATCH($U69,Templates!$A$3:$A$10,0)),""))</f>
        <v/>
      </c>
      <c r="W69" s="34">
        <f>IF($U69="","",IFERROR(INDEX(Templates!$L$3:$L$10,MATCH($U69,Templates!$A$3:$A$10,0)),""))</f>
        <v/>
      </c>
      <c r="X69" s="21">
        <f>IF($U69="","",IFERROR(INDEX(Templates!$J$3:$J$10,MATCH($U69,Templates!$A$3:$A$10,0)),""))</f>
        <v/>
      </c>
      <c r="Y69" s="35">
        <f>IF(OR($U69="",$I69="",$J69="",$X69=""),"",$I69+$X69*($J69-$I69))</f>
        <v/>
      </c>
      <c r="Z69" s="30" t="n">
        <v>46212</v>
      </c>
      <c r="AA69" s="38" t="n"/>
      <c r="AB69" s="39" t="n"/>
      <c r="AC69" s="39" t="n"/>
      <c r="AD69" s="19">
        <f>IF($A69="","",IF($AA69="",$H69,$AA69))</f>
        <v/>
      </c>
      <c r="AE69" s="35">
        <f>IF($A69="","",IF($AB69="",$I69,$AB69))</f>
        <v/>
      </c>
      <c r="AF69" s="35">
        <f>IF($A69="","",IF($AC69="",$J69,$AC69))</f>
        <v/>
      </c>
      <c r="AG69" s="35">
        <f>IF(OR($U69="",$AE69="",$AF69="",$X69=""),"",$AE69+$X69*($AF69-$AE69))</f>
        <v/>
      </c>
      <c r="AH69" s="36" t="n"/>
      <c r="AI69" s="36" t="n"/>
      <c r="AJ69" s="36" t="n"/>
      <c r="AK69" s="36" t="n"/>
      <c r="AL69" s="36" t="n"/>
      <c r="AM69" s="36" t="n"/>
      <c r="AN69" s="36" t="n"/>
      <c r="AO69" s="36" t="n"/>
      <c r="AP69" s="36" t="n"/>
      <c r="AQ69" s="36" t="n"/>
      <c r="AR69" s="36" t="n"/>
      <c r="AS69" s="36" t="n"/>
      <c r="AT69" s="36" t="n"/>
      <c r="AU69" s="36" t="n"/>
      <c r="AV69" s="36" t="n"/>
      <c r="AW69" s="36" t="n"/>
      <c r="AX69" s="36" t="n"/>
    </row>
    <row r="70">
      <c r="A70" s="28" t="inlineStr">
        <is>
          <t>Etude_2</t>
        </is>
      </c>
      <c r="B70" s="20" t="inlineStr">
        <is>
          <t>Liberty GTS</t>
        </is>
      </c>
      <c r="C70" s="28" t="inlineStr">
        <is>
          <t>Liberty GTS</t>
        </is>
      </c>
      <c r="D70" s="28" t="inlineStr"/>
      <c r="E70" s="28" t="inlineStr">
        <is>
          <t>No</t>
        </is>
      </c>
      <c r="F70" s="28" t="inlineStr">
        <is>
          <t>Active</t>
        </is>
      </c>
      <c r="G70" s="36" t="n"/>
      <c r="H70" s="29" t="n">
        <v>1</v>
      </c>
      <c r="I70" s="37" t="n"/>
      <c r="J70" s="37" t="n"/>
      <c r="K70" s="31" t="n"/>
      <c r="L70" s="31" t="n"/>
      <c r="M70" s="31" t="n"/>
      <c r="N70" s="31" t="n"/>
      <c r="O70" s="31" t="n"/>
      <c r="P70" s="31" t="n"/>
      <c r="Q70" s="23">
        <f>IF($A70="","",COUNTIFS(Assignments!$C$2:$C$769,$A70,Assignments!$G$2:$G$769,"Active"))</f>
        <v/>
      </c>
      <c r="R70" s="32">
        <f>IF($A70="","",SUMIFS(Assignments!$I$2:$I$769,Assignments!$C$2:$C$769,$A70,Assignments!$G$2:$G$769,"Active"))</f>
        <v/>
      </c>
      <c r="S70" s="20" t="inlineStr">
        <is>
          <t>WIP</t>
        </is>
      </c>
      <c r="T70" s="31" t="n"/>
      <c r="U70" s="36" t="n"/>
      <c r="V70" s="34">
        <f>IF($U70="","",IFERROR(INDEX(Templates!$K$3:$K$10,MATCH($U70,Templates!$A$3:$A$10,0)),""))</f>
        <v/>
      </c>
      <c r="W70" s="34">
        <f>IF($U70="","",IFERROR(INDEX(Templates!$L$3:$L$10,MATCH($U70,Templates!$A$3:$A$10,0)),""))</f>
        <v/>
      </c>
      <c r="X70" s="21">
        <f>IF($U70="","",IFERROR(INDEX(Templates!$J$3:$J$10,MATCH($U70,Templates!$A$3:$A$10,0)),""))</f>
        <v/>
      </c>
      <c r="Y70" s="35">
        <f>IF(OR($U70="",$I70="",$J70="",$X70=""),"",$I70+$X70*($J70-$I70))</f>
        <v/>
      </c>
      <c r="Z70" s="30" t="n">
        <v>46212</v>
      </c>
      <c r="AA70" s="38" t="n"/>
      <c r="AB70" s="39" t="n"/>
      <c r="AC70" s="39" t="n"/>
      <c r="AD70" s="19">
        <f>IF($A70="","",IF($AA70="",$H70,$AA70))</f>
        <v/>
      </c>
      <c r="AE70" s="35">
        <f>IF($A70="","",IF($AB70="",$I70,$AB70))</f>
        <v/>
      </c>
      <c r="AF70" s="35">
        <f>IF($A70="","",IF($AC70="",$J70,$AC70))</f>
        <v/>
      </c>
      <c r="AG70" s="35">
        <f>IF(OR($U70="",$AE70="",$AF70="",$X70=""),"",$AE70+$X70*($AF70-$AE70))</f>
        <v/>
      </c>
      <c r="AH70" s="36" t="n"/>
      <c r="AI70" s="36" t="n"/>
      <c r="AJ70" s="36" t="n"/>
      <c r="AK70" s="36" t="n"/>
      <c r="AL70" s="36" t="n"/>
      <c r="AM70" s="36" t="n"/>
      <c r="AN70" s="36" t="n"/>
      <c r="AO70" s="36" t="n"/>
      <c r="AP70" s="36" t="n"/>
      <c r="AQ70" s="36" t="n"/>
      <c r="AR70" s="36" t="n"/>
      <c r="AS70" s="36" t="n"/>
      <c r="AT70" s="36" t="n"/>
      <c r="AU70" s="36" t="n"/>
      <c r="AV70" s="36" t="n"/>
      <c r="AW70" s="36" t="n"/>
      <c r="AX70" s="36" t="n"/>
    </row>
    <row r="71">
      <c r="A71" s="28" t="inlineStr">
        <is>
          <t>Fengate_4</t>
        </is>
      </c>
      <c r="B71" s="20" t="inlineStr">
        <is>
          <t>Fengate</t>
        </is>
      </c>
      <c r="C71" s="28" t="inlineStr">
        <is>
          <t>Fengate</t>
        </is>
      </c>
      <c r="D71" s="28" t="inlineStr"/>
      <c r="E71" s="28" t="inlineStr">
        <is>
          <t>No</t>
        </is>
      </c>
      <c r="F71" s="28" t="inlineStr">
        <is>
          <t>Active</t>
        </is>
      </c>
      <c r="G71" s="36" t="n"/>
      <c r="H71" s="29" t="n">
        <v>1</v>
      </c>
      <c r="I71" s="37" t="n"/>
      <c r="J71" s="37" t="n"/>
      <c r="K71" s="31" t="n"/>
      <c r="L71" s="31" t="n"/>
      <c r="M71" s="31" t="n"/>
      <c r="N71" s="31" t="n"/>
      <c r="O71" s="31" t="n"/>
      <c r="P71" s="31" t="n"/>
      <c r="Q71" s="23">
        <f>IF($A71="","",COUNTIFS(Assignments!$C$2:$C$769,$A71,Assignments!$G$2:$G$769,"Active"))</f>
        <v/>
      </c>
      <c r="R71" s="32">
        <f>IF($A71="","",SUMIFS(Assignments!$I$2:$I$769,Assignments!$C$2:$C$769,$A71,Assignments!$G$2:$G$769,"Active"))</f>
        <v/>
      </c>
      <c r="S71" s="20" t="inlineStr">
        <is>
          <t>WIP</t>
        </is>
      </c>
      <c r="T71" s="31" t="n"/>
      <c r="U71" s="36" t="n"/>
      <c r="V71" s="34">
        <f>IF($U71="","",IFERROR(INDEX(Templates!$K$3:$K$10,MATCH($U71,Templates!$A$3:$A$10,0)),""))</f>
        <v/>
      </c>
      <c r="W71" s="34">
        <f>IF($U71="","",IFERROR(INDEX(Templates!$L$3:$L$10,MATCH($U71,Templates!$A$3:$A$10,0)),""))</f>
        <v/>
      </c>
      <c r="X71" s="21">
        <f>IF($U71="","",IFERROR(INDEX(Templates!$J$3:$J$10,MATCH($U71,Templates!$A$3:$A$10,0)),""))</f>
        <v/>
      </c>
      <c r="Y71" s="35">
        <f>IF(OR($U71="",$I71="",$J71="",$X71=""),"",$I71+$X71*($J71-$I71))</f>
        <v/>
      </c>
      <c r="Z71" s="30" t="n">
        <v>46212</v>
      </c>
      <c r="AA71" s="38" t="n"/>
      <c r="AB71" s="39" t="n"/>
      <c r="AC71" s="39" t="n"/>
      <c r="AD71" s="19">
        <f>IF($A71="","",IF($AA71="",$H71,$AA71))</f>
        <v/>
      </c>
      <c r="AE71" s="35">
        <f>IF($A71="","",IF($AB71="",$I71,$AB71))</f>
        <v/>
      </c>
      <c r="AF71" s="35">
        <f>IF($A71="","",IF($AC71="",$J71,$AC71))</f>
        <v/>
      </c>
      <c r="AG71" s="35">
        <f>IF(OR($U71="",$AE71="",$AF71="",$X71=""),"",$AE71+$X71*($AF71-$AE71))</f>
        <v/>
      </c>
      <c r="AH71" s="36" t="n"/>
      <c r="AI71" s="36" t="n"/>
      <c r="AJ71" s="36" t="n"/>
      <c r="AK71" s="36" t="n"/>
      <c r="AL71" s="36" t="n"/>
      <c r="AM71" s="36" t="n"/>
      <c r="AN71" s="36" t="n"/>
      <c r="AO71" s="36" t="n"/>
      <c r="AP71" s="36" t="n"/>
      <c r="AQ71" s="36" t="n"/>
      <c r="AR71" s="36" t="n"/>
      <c r="AS71" s="36" t="n"/>
      <c r="AT71" s="36" t="n"/>
      <c r="AU71" s="36" t="n"/>
      <c r="AV71" s="36" t="n"/>
      <c r="AW71" s="36" t="n"/>
      <c r="AX71" s="36" t="n"/>
    </row>
    <row r="72">
      <c r="A72" s="28" t="inlineStr">
        <is>
          <t>FIRPTA_Sunraycer_1</t>
        </is>
      </c>
      <c r="B72" s="20" t="inlineStr">
        <is>
          <t>Sunraycer</t>
        </is>
      </c>
      <c r="C72" s="28" t="inlineStr">
        <is>
          <t>Sunraycer</t>
        </is>
      </c>
      <c r="D72" s="28" t="inlineStr"/>
      <c r="E72" s="28" t="inlineStr">
        <is>
          <t>No</t>
        </is>
      </c>
      <c r="F72" s="28" t="inlineStr">
        <is>
          <t>Active</t>
        </is>
      </c>
      <c r="G72" s="36" t="n"/>
      <c r="H72" s="29" t="n">
        <v>1</v>
      </c>
      <c r="I72" s="37" t="n"/>
      <c r="J72" s="37" t="n"/>
      <c r="K72" s="31" t="n"/>
      <c r="L72" s="31" t="n"/>
      <c r="M72" s="31" t="n"/>
      <c r="N72" s="31" t="n"/>
      <c r="O72" s="31" t="n"/>
      <c r="P72" s="31" t="n"/>
      <c r="Q72" s="23">
        <f>IF($A72="","",COUNTIFS(Assignments!$C$2:$C$769,$A72,Assignments!$G$2:$G$769,"Active"))</f>
        <v/>
      </c>
      <c r="R72" s="32">
        <f>IF($A72="","",SUMIFS(Assignments!$I$2:$I$769,Assignments!$C$2:$C$769,$A72,Assignments!$G$2:$G$769,"Active"))</f>
        <v/>
      </c>
      <c r="S72" s="20" t="inlineStr">
        <is>
          <t>WIP</t>
        </is>
      </c>
      <c r="T72" s="31" t="n"/>
      <c r="U72" s="36" t="n"/>
      <c r="V72" s="34">
        <f>IF($U72="","",IFERROR(INDEX(Templates!$K$3:$K$10,MATCH($U72,Templates!$A$3:$A$10,0)),""))</f>
        <v/>
      </c>
      <c r="W72" s="34">
        <f>IF($U72="","",IFERROR(INDEX(Templates!$L$3:$L$10,MATCH($U72,Templates!$A$3:$A$10,0)),""))</f>
        <v/>
      </c>
      <c r="X72" s="21">
        <f>IF($U72="","",IFERROR(INDEX(Templates!$J$3:$J$10,MATCH($U72,Templates!$A$3:$A$10,0)),""))</f>
        <v/>
      </c>
      <c r="Y72" s="35">
        <f>IF(OR($U72="",$I72="",$J72="",$X72=""),"",$I72+$X72*($J72-$I72))</f>
        <v/>
      </c>
      <c r="Z72" s="30" t="n">
        <v>46212</v>
      </c>
      <c r="AA72" s="38" t="n"/>
      <c r="AB72" s="39" t="n"/>
      <c r="AC72" s="39" t="n"/>
      <c r="AD72" s="19">
        <f>IF($A72="","",IF($AA72="",$H72,$AA72))</f>
        <v/>
      </c>
      <c r="AE72" s="35">
        <f>IF($A72="","",IF($AB72="",$I72,$AB72))</f>
        <v/>
      </c>
      <c r="AF72" s="35">
        <f>IF($A72="","",IF($AC72="",$J72,$AC72))</f>
        <v/>
      </c>
      <c r="AG72" s="35">
        <f>IF(OR($U72="",$AE72="",$AF72="",$X72=""),"",$AE72+$X72*($AF72-$AE72))</f>
        <v/>
      </c>
      <c r="AH72" s="36" t="n"/>
      <c r="AI72" s="36" t="n"/>
      <c r="AJ72" s="36" t="n"/>
      <c r="AK72" s="36" t="n"/>
      <c r="AL72" s="36" t="n"/>
      <c r="AM72" s="36" t="n"/>
      <c r="AN72" s="36" t="n"/>
      <c r="AO72" s="36" t="n"/>
      <c r="AP72" s="36" t="n"/>
      <c r="AQ72" s="36" t="n"/>
      <c r="AR72" s="36" t="n"/>
      <c r="AS72" s="36" t="n"/>
      <c r="AT72" s="36" t="n"/>
      <c r="AU72" s="36" t="n"/>
      <c r="AV72" s="36" t="n"/>
      <c r="AW72" s="36" t="n"/>
      <c r="AX72" s="36" t="n"/>
    </row>
    <row r="73">
      <c r="A73" s="28" t="inlineStr">
        <is>
          <t>Fortress_3</t>
        </is>
      </c>
      <c r="B73" s="20" t="inlineStr">
        <is>
          <t>The Blackstone Group : Aypa Power</t>
        </is>
      </c>
      <c r="C73" s="28" t="inlineStr">
        <is>
          <t>The Blackstone Group</t>
        </is>
      </c>
      <c r="D73" s="28" t="inlineStr">
        <is>
          <t>Aypa Power</t>
        </is>
      </c>
      <c r="E73" s="28" t="inlineStr">
        <is>
          <t>No</t>
        </is>
      </c>
      <c r="F73" s="28" t="inlineStr">
        <is>
          <t>Active</t>
        </is>
      </c>
      <c r="G73" s="36" t="n"/>
      <c r="H73" s="29" t="n">
        <v>1</v>
      </c>
      <c r="I73" s="37" t="n"/>
      <c r="J73" s="37" t="n"/>
      <c r="K73" s="31" t="n"/>
      <c r="L73" s="31" t="n"/>
      <c r="M73" s="31" t="n"/>
      <c r="N73" s="31" t="n"/>
      <c r="O73" s="31" t="n"/>
      <c r="P73" s="31" t="n"/>
      <c r="Q73" s="23">
        <f>IF($A73="","",COUNTIFS(Assignments!$C$2:$C$769,$A73,Assignments!$G$2:$G$769,"Active"))</f>
        <v/>
      </c>
      <c r="R73" s="32">
        <f>IF($A73="","",SUMIFS(Assignments!$I$2:$I$769,Assignments!$C$2:$C$769,$A73,Assignments!$G$2:$G$769,"Active"))</f>
        <v/>
      </c>
      <c r="S73" s="20" t="inlineStr">
        <is>
          <t>WIP</t>
        </is>
      </c>
      <c r="T73" s="31" t="n"/>
      <c r="U73" s="36" t="n"/>
      <c r="V73" s="34">
        <f>IF($U73="","",IFERROR(INDEX(Templates!$K$3:$K$10,MATCH($U73,Templates!$A$3:$A$10,0)),""))</f>
        <v/>
      </c>
      <c r="W73" s="34">
        <f>IF($U73="","",IFERROR(INDEX(Templates!$L$3:$L$10,MATCH($U73,Templates!$A$3:$A$10,0)),""))</f>
        <v/>
      </c>
      <c r="X73" s="21">
        <f>IF($U73="","",IFERROR(INDEX(Templates!$J$3:$J$10,MATCH($U73,Templates!$A$3:$A$10,0)),""))</f>
        <v/>
      </c>
      <c r="Y73" s="35">
        <f>IF(OR($U73="",$I73="",$J73="",$X73=""),"",$I73+$X73*($J73-$I73))</f>
        <v/>
      </c>
      <c r="Z73" s="30" t="n">
        <v>46212</v>
      </c>
      <c r="AA73" s="38" t="n"/>
      <c r="AB73" s="39" t="n"/>
      <c r="AC73" s="39" t="n"/>
      <c r="AD73" s="19">
        <f>IF($A73="","",IF($AA73="",$H73,$AA73))</f>
        <v/>
      </c>
      <c r="AE73" s="35">
        <f>IF($A73="","",IF($AB73="",$I73,$AB73))</f>
        <v/>
      </c>
      <c r="AF73" s="35">
        <f>IF($A73="","",IF($AC73="",$J73,$AC73))</f>
        <v/>
      </c>
      <c r="AG73" s="35">
        <f>IF(OR($U73="",$AE73="",$AF73="",$X73=""),"",$AE73+$X73*($AF73-$AE73))</f>
        <v/>
      </c>
      <c r="AH73" s="36" t="n"/>
      <c r="AI73" s="36" t="n"/>
      <c r="AJ73" s="36" t="n"/>
      <c r="AK73" s="36" t="n"/>
      <c r="AL73" s="36" t="n"/>
      <c r="AM73" s="36" t="n"/>
      <c r="AN73" s="36" t="n"/>
      <c r="AO73" s="36" t="n"/>
      <c r="AP73" s="36" t="n"/>
      <c r="AQ73" s="36" t="n"/>
      <c r="AR73" s="36" t="n"/>
      <c r="AS73" s="36" t="n"/>
      <c r="AT73" s="36" t="n"/>
      <c r="AU73" s="36" t="n"/>
      <c r="AV73" s="36" t="n"/>
      <c r="AW73" s="36" t="n"/>
      <c r="AX73" s="36" t="n"/>
    </row>
    <row r="74">
      <c r="A74" s="28" t="inlineStr">
        <is>
          <t>Fury_1</t>
        </is>
      </c>
      <c r="B74" s="20" t="inlineStr">
        <is>
          <t>Macquarie Group</t>
        </is>
      </c>
      <c r="C74" s="28" t="inlineStr">
        <is>
          <t>Macquarie Group</t>
        </is>
      </c>
      <c r="D74" s="28" t="inlineStr"/>
      <c r="E74" s="28" t="inlineStr">
        <is>
          <t>No</t>
        </is>
      </c>
      <c r="F74" s="28" t="inlineStr">
        <is>
          <t>Active</t>
        </is>
      </c>
      <c r="G74" s="36" t="n"/>
      <c r="H74" s="29" t="n">
        <v>1</v>
      </c>
      <c r="I74" s="37" t="n"/>
      <c r="J74" s="37" t="n"/>
      <c r="K74" s="31" t="n"/>
      <c r="L74" s="31" t="n"/>
      <c r="M74" s="31" t="n"/>
      <c r="N74" s="31" t="n"/>
      <c r="O74" s="31" t="n"/>
      <c r="P74" s="31" t="n"/>
      <c r="Q74" s="23">
        <f>IF($A74="","",COUNTIFS(Assignments!$C$2:$C$769,$A74,Assignments!$G$2:$G$769,"Active"))</f>
        <v/>
      </c>
      <c r="R74" s="32">
        <f>IF($A74="","",SUMIFS(Assignments!$I$2:$I$769,Assignments!$C$2:$C$769,$A74,Assignments!$G$2:$G$769,"Active"))</f>
        <v/>
      </c>
      <c r="S74" s="20" t="inlineStr">
        <is>
          <t>WIP</t>
        </is>
      </c>
      <c r="T74" s="31" t="n"/>
      <c r="U74" s="36" t="n"/>
      <c r="V74" s="34">
        <f>IF($U74="","",IFERROR(INDEX(Templates!$K$3:$K$10,MATCH($U74,Templates!$A$3:$A$10,0)),""))</f>
        <v/>
      </c>
      <c r="W74" s="34">
        <f>IF($U74="","",IFERROR(INDEX(Templates!$L$3:$L$10,MATCH($U74,Templates!$A$3:$A$10,0)),""))</f>
        <v/>
      </c>
      <c r="X74" s="21">
        <f>IF($U74="","",IFERROR(INDEX(Templates!$J$3:$J$10,MATCH($U74,Templates!$A$3:$A$10,0)),""))</f>
        <v/>
      </c>
      <c r="Y74" s="35">
        <f>IF(OR($U74="",$I74="",$J74="",$X74=""),"",$I74+$X74*($J74-$I74))</f>
        <v/>
      </c>
      <c r="Z74" s="30" t="n">
        <v>46212</v>
      </c>
      <c r="AA74" s="38" t="n"/>
      <c r="AB74" s="39" t="n"/>
      <c r="AC74" s="39" t="n"/>
      <c r="AD74" s="19">
        <f>IF($A74="","",IF($AA74="",$H74,$AA74))</f>
        <v/>
      </c>
      <c r="AE74" s="35">
        <f>IF($A74="","",IF($AB74="",$I74,$AB74))</f>
        <v/>
      </c>
      <c r="AF74" s="35">
        <f>IF($A74="","",IF($AC74="",$J74,$AC74))</f>
        <v/>
      </c>
      <c r="AG74" s="35">
        <f>IF(OR($U74="",$AE74="",$AF74="",$X74=""),"",$AE74+$X74*($AF74-$AE74))</f>
        <v/>
      </c>
      <c r="AH74" s="36" t="n"/>
      <c r="AI74" s="36" t="n"/>
      <c r="AJ74" s="36" t="n"/>
      <c r="AK74" s="36" t="n"/>
      <c r="AL74" s="36" t="n"/>
      <c r="AM74" s="36" t="n"/>
      <c r="AN74" s="36" t="n"/>
      <c r="AO74" s="36" t="n"/>
      <c r="AP74" s="36" t="n"/>
      <c r="AQ74" s="36" t="n"/>
      <c r="AR74" s="36" t="n"/>
      <c r="AS74" s="36" t="n"/>
      <c r="AT74" s="36" t="n"/>
      <c r="AU74" s="36" t="n"/>
      <c r="AV74" s="36" t="n"/>
      <c r="AW74" s="36" t="n"/>
      <c r="AX74" s="36" t="n"/>
    </row>
    <row r="75">
      <c r="A75" s="28" t="inlineStr">
        <is>
          <t>Galaxy_1</t>
        </is>
      </c>
      <c r="B75" s="20" t="inlineStr">
        <is>
          <t>Ardent Equity</t>
        </is>
      </c>
      <c r="C75" s="28" t="inlineStr">
        <is>
          <t>Ardent Equity</t>
        </is>
      </c>
      <c r="D75" s="28" t="inlineStr"/>
      <c r="E75" s="28" t="inlineStr">
        <is>
          <t>No</t>
        </is>
      </c>
      <c r="F75" s="28" t="inlineStr">
        <is>
          <t>Active</t>
        </is>
      </c>
      <c r="G75" s="36" t="n"/>
      <c r="H75" s="29" t="n">
        <v>1</v>
      </c>
      <c r="I75" s="37" t="n"/>
      <c r="J75" s="37" t="n"/>
      <c r="K75" s="31" t="n"/>
      <c r="L75" s="31" t="n"/>
      <c r="M75" s="31" t="n"/>
      <c r="N75" s="31" t="n"/>
      <c r="O75" s="31" t="n"/>
      <c r="P75" s="31" t="n"/>
      <c r="Q75" s="23">
        <f>IF($A75="","",COUNTIFS(Assignments!$C$2:$C$769,$A75,Assignments!$G$2:$G$769,"Active"))</f>
        <v/>
      </c>
      <c r="R75" s="32">
        <f>IF($A75="","",SUMIFS(Assignments!$I$2:$I$769,Assignments!$C$2:$C$769,$A75,Assignments!$G$2:$G$769,"Active"))</f>
        <v/>
      </c>
      <c r="S75" s="20" t="inlineStr">
        <is>
          <t>WIP</t>
        </is>
      </c>
      <c r="T75" s="31" t="n"/>
      <c r="U75" s="36" t="n"/>
      <c r="V75" s="34">
        <f>IF($U75="","",IFERROR(INDEX(Templates!$K$3:$K$10,MATCH($U75,Templates!$A$3:$A$10,0)),""))</f>
        <v/>
      </c>
      <c r="W75" s="34">
        <f>IF($U75="","",IFERROR(INDEX(Templates!$L$3:$L$10,MATCH($U75,Templates!$A$3:$A$10,0)),""))</f>
        <v/>
      </c>
      <c r="X75" s="21">
        <f>IF($U75="","",IFERROR(INDEX(Templates!$J$3:$J$10,MATCH($U75,Templates!$A$3:$A$10,0)),""))</f>
        <v/>
      </c>
      <c r="Y75" s="35">
        <f>IF(OR($U75="",$I75="",$J75="",$X75=""),"",$I75+$X75*($J75-$I75))</f>
        <v/>
      </c>
      <c r="Z75" s="30" t="n">
        <v>46212</v>
      </c>
      <c r="AA75" s="38" t="n"/>
      <c r="AB75" s="39" t="n"/>
      <c r="AC75" s="39" t="n"/>
      <c r="AD75" s="19">
        <f>IF($A75="","",IF($AA75="",$H75,$AA75))</f>
        <v/>
      </c>
      <c r="AE75" s="35">
        <f>IF($A75="","",IF($AB75="",$I75,$AB75))</f>
        <v/>
      </c>
      <c r="AF75" s="35">
        <f>IF($A75="","",IF($AC75="",$J75,$AC75))</f>
        <v/>
      </c>
      <c r="AG75" s="35">
        <f>IF(OR($U75="",$AE75="",$AF75="",$X75=""),"",$AE75+$X75*($AF75-$AE75))</f>
        <v/>
      </c>
      <c r="AH75" s="36" t="n"/>
      <c r="AI75" s="36" t="n"/>
      <c r="AJ75" s="36" t="n"/>
      <c r="AK75" s="36" t="n"/>
      <c r="AL75" s="36" t="n"/>
      <c r="AM75" s="36" t="n"/>
      <c r="AN75" s="36" t="n"/>
      <c r="AO75" s="36" t="n"/>
      <c r="AP75" s="36" t="n"/>
      <c r="AQ75" s="36" t="n"/>
      <c r="AR75" s="36" t="n"/>
      <c r="AS75" s="36" t="n"/>
      <c r="AT75" s="36" t="n"/>
      <c r="AU75" s="36" t="n"/>
      <c r="AV75" s="36" t="n"/>
      <c r="AW75" s="36" t="n"/>
      <c r="AX75" s="36" t="n"/>
    </row>
    <row r="76">
      <c r="A76" s="28" t="inlineStr">
        <is>
          <t>Gambit_1</t>
        </is>
      </c>
      <c r="B76" s="20" t="inlineStr">
        <is>
          <t>Ares Management Corporation</t>
        </is>
      </c>
      <c r="C76" s="28" t="inlineStr">
        <is>
          <t>Ares Management Corporation</t>
        </is>
      </c>
      <c r="D76" s="28" t="inlineStr"/>
      <c r="E76" s="28" t="inlineStr">
        <is>
          <t>No</t>
        </is>
      </c>
      <c r="F76" s="28" t="inlineStr">
        <is>
          <t>Active</t>
        </is>
      </c>
      <c r="G76" s="36" t="n"/>
      <c r="H76" s="29" t="n">
        <v>1</v>
      </c>
      <c r="I76" s="37" t="n"/>
      <c r="J76" s="37" t="n"/>
      <c r="K76" s="31" t="n"/>
      <c r="L76" s="31" t="n"/>
      <c r="M76" s="31" t="n"/>
      <c r="N76" s="31" t="n"/>
      <c r="O76" s="31" t="n"/>
      <c r="P76" s="31" t="n"/>
      <c r="Q76" s="23">
        <f>IF($A76="","",COUNTIFS(Assignments!$C$2:$C$769,$A76,Assignments!$G$2:$G$769,"Active"))</f>
        <v/>
      </c>
      <c r="R76" s="32">
        <f>IF($A76="","",SUMIFS(Assignments!$I$2:$I$769,Assignments!$C$2:$C$769,$A76,Assignments!$G$2:$G$769,"Active"))</f>
        <v/>
      </c>
      <c r="S76" s="20" t="inlineStr">
        <is>
          <t>WIP</t>
        </is>
      </c>
      <c r="T76" s="31" t="n"/>
      <c r="U76" s="36" t="n"/>
      <c r="V76" s="34">
        <f>IF($U76="","",IFERROR(INDEX(Templates!$K$3:$K$10,MATCH($U76,Templates!$A$3:$A$10,0)),""))</f>
        <v/>
      </c>
      <c r="W76" s="34">
        <f>IF($U76="","",IFERROR(INDEX(Templates!$L$3:$L$10,MATCH($U76,Templates!$A$3:$A$10,0)),""))</f>
        <v/>
      </c>
      <c r="X76" s="21">
        <f>IF($U76="","",IFERROR(INDEX(Templates!$J$3:$J$10,MATCH($U76,Templates!$A$3:$A$10,0)),""))</f>
        <v/>
      </c>
      <c r="Y76" s="35">
        <f>IF(OR($U76="",$I76="",$J76="",$X76=""),"",$I76+$X76*($J76-$I76))</f>
        <v/>
      </c>
      <c r="Z76" s="30" t="n">
        <v>46212</v>
      </c>
      <c r="AA76" s="38" t="n"/>
      <c r="AB76" s="39" t="n"/>
      <c r="AC76" s="39" t="n"/>
      <c r="AD76" s="19">
        <f>IF($A76="","",IF($AA76="",$H76,$AA76))</f>
        <v/>
      </c>
      <c r="AE76" s="35">
        <f>IF($A76="","",IF($AB76="",$I76,$AB76))</f>
        <v/>
      </c>
      <c r="AF76" s="35">
        <f>IF($A76="","",IF($AC76="",$J76,$AC76))</f>
        <v/>
      </c>
      <c r="AG76" s="35">
        <f>IF(OR($U76="",$AE76="",$AF76="",$X76=""),"",$AE76+$X76*($AF76-$AE76))</f>
        <v/>
      </c>
      <c r="AH76" s="36" t="n"/>
      <c r="AI76" s="36" t="n"/>
      <c r="AJ76" s="36" t="n"/>
      <c r="AK76" s="36" t="n"/>
      <c r="AL76" s="36" t="n"/>
      <c r="AM76" s="36" t="n"/>
      <c r="AN76" s="36" t="n"/>
      <c r="AO76" s="36" t="n"/>
      <c r="AP76" s="36" t="n"/>
      <c r="AQ76" s="36" t="n"/>
      <c r="AR76" s="36" t="n"/>
      <c r="AS76" s="36" t="n"/>
      <c r="AT76" s="36" t="n"/>
      <c r="AU76" s="36" t="n"/>
      <c r="AV76" s="36" t="n"/>
      <c r="AW76" s="36" t="n"/>
      <c r="AX76" s="36" t="n"/>
    </row>
    <row r="77">
      <c r="A77" s="28" t="inlineStr">
        <is>
          <t>Gateway_3</t>
        </is>
      </c>
      <c r="B77" s="20" t="inlineStr">
        <is>
          <t>Northleaf Capital Partners</t>
        </is>
      </c>
      <c r="C77" s="28" t="inlineStr">
        <is>
          <t>Northleaf Capital Partners</t>
        </is>
      </c>
      <c r="D77" s="28" t="inlineStr"/>
      <c r="E77" s="28" t="inlineStr">
        <is>
          <t>No</t>
        </is>
      </c>
      <c r="F77" s="28" t="inlineStr">
        <is>
          <t>Active</t>
        </is>
      </c>
      <c r="G77" s="36" t="n"/>
      <c r="H77" s="29" t="n">
        <v>1</v>
      </c>
      <c r="I77" s="37" t="n"/>
      <c r="J77" s="37" t="n"/>
      <c r="K77" s="31" t="n"/>
      <c r="L77" s="31" t="n"/>
      <c r="M77" s="31" t="n"/>
      <c r="N77" s="31" t="n"/>
      <c r="O77" s="31" t="n"/>
      <c r="P77" s="31" t="n"/>
      <c r="Q77" s="23">
        <f>IF($A77="","",COUNTIFS(Assignments!$C$2:$C$769,$A77,Assignments!$G$2:$G$769,"Active"))</f>
        <v/>
      </c>
      <c r="R77" s="32">
        <f>IF($A77="","",SUMIFS(Assignments!$I$2:$I$769,Assignments!$C$2:$C$769,$A77,Assignments!$G$2:$G$769,"Active"))</f>
        <v/>
      </c>
      <c r="S77" s="20" t="inlineStr">
        <is>
          <t>WIP</t>
        </is>
      </c>
      <c r="T77" s="31" t="n"/>
      <c r="U77" s="36" t="n"/>
      <c r="V77" s="34">
        <f>IF($U77="","",IFERROR(INDEX(Templates!$K$3:$K$10,MATCH($U77,Templates!$A$3:$A$10,0)),""))</f>
        <v/>
      </c>
      <c r="W77" s="34">
        <f>IF($U77="","",IFERROR(INDEX(Templates!$L$3:$L$10,MATCH($U77,Templates!$A$3:$A$10,0)),""))</f>
        <v/>
      </c>
      <c r="X77" s="21">
        <f>IF($U77="","",IFERROR(INDEX(Templates!$J$3:$J$10,MATCH($U77,Templates!$A$3:$A$10,0)),""))</f>
        <v/>
      </c>
      <c r="Y77" s="35">
        <f>IF(OR($U77="",$I77="",$J77="",$X77=""),"",$I77+$X77*($J77-$I77))</f>
        <v/>
      </c>
      <c r="Z77" s="30" t="n">
        <v>46212</v>
      </c>
      <c r="AA77" s="38" t="n"/>
      <c r="AB77" s="39" t="n"/>
      <c r="AC77" s="39" t="n"/>
      <c r="AD77" s="19">
        <f>IF($A77="","",IF($AA77="",$H77,$AA77))</f>
        <v/>
      </c>
      <c r="AE77" s="35">
        <f>IF($A77="","",IF($AB77="",$I77,$AB77))</f>
        <v/>
      </c>
      <c r="AF77" s="35">
        <f>IF($A77="","",IF($AC77="",$J77,$AC77))</f>
        <v/>
      </c>
      <c r="AG77" s="35">
        <f>IF(OR($U77="",$AE77="",$AF77="",$X77=""),"",$AE77+$X77*($AF77-$AE77))</f>
        <v/>
      </c>
      <c r="AH77" s="36" t="n"/>
      <c r="AI77" s="36" t="n"/>
      <c r="AJ77" s="36" t="n"/>
      <c r="AK77" s="36" t="n"/>
      <c r="AL77" s="36" t="n"/>
      <c r="AM77" s="36" t="n"/>
      <c r="AN77" s="36" t="n"/>
      <c r="AO77" s="36" t="n"/>
      <c r="AP77" s="36" t="n"/>
      <c r="AQ77" s="36" t="n"/>
      <c r="AR77" s="36" t="n"/>
      <c r="AS77" s="36" t="n"/>
      <c r="AT77" s="36" t="n"/>
      <c r="AU77" s="36" t="n"/>
      <c r="AV77" s="36" t="n"/>
      <c r="AW77" s="36" t="n"/>
      <c r="AX77" s="36" t="n"/>
    </row>
    <row r="78">
      <c r="A78" s="28" t="inlineStr">
        <is>
          <t>Geneseo_1</t>
        </is>
      </c>
      <c r="B78" s="20" t="inlineStr">
        <is>
          <t>CVC Capital Partners : DIF Capital Partners : Joink</t>
        </is>
      </c>
      <c r="C78" s="28" t="inlineStr">
        <is>
          <t>CVC Capital Partners</t>
        </is>
      </c>
      <c r="D78" s="28" t="inlineStr">
        <is>
          <t>Joink</t>
        </is>
      </c>
      <c r="E78" s="28" t="inlineStr">
        <is>
          <t>No</t>
        </is>
      </c>
      <c r="F78" s="28" t="inlineStr">
        <is>
          <t>Active</t>
        </is>
      </c>
      <c r="G78" s="36" t="n"/>
      <c r="H78" s="29" t="n">
        <v>1</v>
      </c>
      <c r="I78" s="37" t="n"/>
      <c r="J78" s="37" t="n"/>
      <c r="K78" s="31" t="n"/>
      <c r="L78" s="31" t="n"/>
      <c r="M78" s="31" t="n"/>
      <c r="N78" s="31" t="n"/>
      <c r="O78" s="31" t="n"/>
      <c r="P78" s="31" t="n"/>
      <c r="Q78" s="23">
        <f>IF($A78="","",COUNTIFS(Assignments!$C$2:$C$769,$A78,Assignments!$G$2:$G$769,"Active"))</f>
        <v/>
      </c>
      <c r="R78" s="32">
        <f>IF($A78="","",SUMIFS(Assignments!$I$2:$I$769,Assignments!$C$2:$C$769,$A78,Assignments!$G$2:$G$769,"Active"))</f>
        <v/>
      </c>
      <c r="S78" s="20" t="inlineStr">
        <is>
          <t>WIP</t>
        </is>
      </c>
      <c r="T78" s="31" t="n"/>
      <c r="U78" s="36" t="n"/>
      <c r="V78" s="34">
        <f>IF($U78="","",IFERROR(INDEX(Templates!$K$3:$K$10,MATCH($U78,Templates!$A$3:$A$10,0)),""))</f>
        <v/>
      </c>
      <c r="W78" s="34">
        <f>IF($U78="","",IFERROR(INDEX(Templates!$L$3:$L$10,MATCH($U78,Templates!$A$3:$A$10,0)),""))</f>
        <v/>
      </c>
      <c r="X78" s="21">
        <f>IF($U78="","",IFERROR(INDEX(Templates!$J$3:$J$10,MATCH($U78,Templates!$A$3:$A$10,0)),""))</f>
        <v/>
      </c>
      <c r="Y78" s="35">
        <f>IF(OR($U78="",$I78="",$J78="",$X78=""),"",$I78+$X78*($J78-$I78))</f>
        <v/>
      </c>
      <c r="Z78" s="30" t="n">
        <v>46212</v>
      </c>
      <c r="AA78" s="38" t="n"/>
      <c r="AB78" s="39" t="n"/>
      <c r="AC78" s="39" t="n"/>
      <c r="AD78" s="19">
        <f>IF($A78="","",IF($AA78="",$H78,$AA78))</f>
        <v/>
      </c>
      <c r="AE78" s="35">
        <f>IF($A78="","",IF($AB78="",$I78,$AB78))</f>
        <v/>
      </c>
      <c r="AF78" s="35">
        <f>IF($A78="","",IF($AC78="",$J78,$AC78))</f>
        <v/>
      </c>
      <c r="AG78" s="35">
        <f>IF(OR($U78="",$AE78="",$AF78="",$X78=""),"",$AE78+$X78*($AF78-$AE78))</f>
        <v/>
      </c>
      <c r="AH78" s="36" t="n"/>
      <c r="AI78" s="36" t="n"/>
      <c r="AJ78" s="36" t="n"/>
      <c r="AK78" s="36" t="n"/>
      <c r="AL78" s="36" t="n"/>
      <c r="AM78" s="36" t="n"/>
      <c r="AN78" s="36" t="n"/>
      <c r="AO78" s="36" t="n"/>
      <c r="AP78" s="36" t="n"/>
      <c r="AQ78" s="36" t="n"/>
      <c r="AR78" s="36" t="n"/>
      <c r="AS78" s="36" t="n"/>
      <c r="AT78" s="36" t="n"/>
      <c r="AU78" s="36" t="n"/>
      <c r="AV78" s="36" t="n"/>
      <c r="AW78" s="36" t="n"/>
      <c r="AX78" s="36" t="n"/>
    </row>
    <row r="79">
      <c r="A79" s="28" t="inlineStr">
        <is>
          <t>Genesis_6</t>
        </is>
      </c>
      <c r="B79" s="20" t="inlineStr">
        <is>
          <t>Sumitomo Corporation of Americas</t>
        </is>
      </c>
      <c r="C79" s="28" t="inlineStr">
        <is>
          <t>Sumitomo Corporation of Americas</t>
        </is>
      </c>
      <c r="D79" s="28" t="inlineStr"/>
      <c r="E79" s="28" t="inlineStr">
        <is>
          <t>No</t>
        </is>
      </c>
      <c r="F79" s="28" t="inlineStr">
        <is>
          <t>Active</t>
        </is>
      </c>
      <c r="G79" s="36" t="n"/>
      <c r="H79" s="29" t="n">
        <v>1</v>
      </c>
      <c r="I79" s="37" t="n"/>
      <c r="J79" s="37" t="n"/>
      <c r="K79" s="31" t="n"/>
      <c r="L79" s="31" t="n"/>
      <c r="M79" s="31" t="n"/>
      <c r="N79" s="31" t="n"/>
      <c r="O79" s="31" t="n"/>
      <c r="P79" s="31" t="n"/>
      <c r="Q79" s="23">
        <f>IF($A79="","",COUNTIFS(Assignments!$C$2:$C$769,$A79,Assignments!$G$2:$G$769,"Active"))</f>
        <v/>
      </c>
      <c r="R79" s="32">
        <f>IF($A79="","",SUMIFS(Assignments!$I$2:$I$769,Assignments!$C$2:$C$769,$A79,Assignments!$G$2:$G$769,"Active"))</f>
        <v/>
      </c>
      <c r="S79" s="20" t="inlineStr">
        <is>
          <t>WIP</t>
        </is>
      </c>
      <c r="T79" s="31" t="n"/>
      <c r="U79" s="36" t="n"/>
      <c r="V79" s="34">
        <f>IF($U79="","",IFERROR(INDEX(Templates!$K$3:$K$10,MATCH($U79,Templates!$A$3:$A$10,0)),""))</f>
        <v/>
      </c>
      <c r="W79" s="34">
        <f>IF($U79="","",IFERROR(INDEX(Templates!$L$3:$L$10,MATCH($U79,Templates!$A$3:$A$10,0)),""))</f>
        <v/>
      </c>
      <c r="X79" s="21">
        <f>IF($U79="","",IFERROR(INDEX(Templates!$J$3:$J$10,MATCH($U79,Templates!$A$3:$A$10,0)),""))</f>
        <v/>
      </c>
      <c r="Y79" s="35">
        <f>IF(OR($U79="",$I79="",$J79="",$X79=""),"",$I79+$X79*($J79-$I79))</f>
        <v/>
      </c>
      <c r="Z79" s="30" t="n">
        <v>46212</v>
      </c>
      <c r="AA79" s="38" t="n"/>
      <c r="AB79" s="39" t="n"/>
      <c r="AC79" s="39" t="n"/>
      <c r="AD79" s="19">
        <f>IF($A79="","",IF($AA79="",$H79,$AA79))</f>
        <v/>
      </c>
      <c r="AE79" s="35">
        <f>IF($A79="","",IF($AB79="",$I79,$AB79))</f>
        <v/>
      </c>
      <c r="AF79" s="35">
        <f>IF($A79="","",IF($AC79="",$J79,$AC79))</f>
        <v/>
      </c>
      <c r="AG79" s="35">
        <f>IF(OR($U79="",$AE79="",$AF79="",$X79=""),"",$AE79+$X79*($AF79-$AE79))</f>
        <v/>
      </c>
      <c r="AH79" s="36" t="n"/>
      <c r="AI79" s="36" t="n"/>
      <c r="AJ79" s="36" t="n"/>
      <c r="AK79" s="36" t="n"/>
      <c r="AL79" s="36" t="n"/>
      <c r="AM79" s="36" t="n"/>
      <c r="AN79" s="36" t="n"/>
      <c r="AO79" s="36" t="n"/>
      <c r="AP79" s="36" t="n"/>
      <c r="AQ79" s="36" t="n"/>
      <c r="AR79" s="36" t="n"/>
      <c r="AS79" s="36" t="n"/>
      <c r="AT79" s="36" t="n"/>
      <c r="AU79" s="36" t="n"/>
      <c r="AV79" s="36" t="n"/>
      <c r="AW79" s="36" t="n"/>
      <c r="AX79" s="36" t="n"/>
    </row>
    <row r="80">
      <c r="A80" s="28" t="inlineStr">
        <is>
          <t>Georgia_3</t>
        </is>
      </c>
      <c r="B80" s="20" t="inlineStr">
        <is>
          <t>Ares Management Corporation</t>
        </is>
      </c>
      <c r="C80" s="28" t="inlineStr">
        <is>
          <t>Ares Management Corporation</t>
        </is>
      </c>
      <c r="D80" s="28" t="inlineStr"/>
      <c r="E80" s="28" t="inlineStr">
        <is>
          <t>No</t>
        </is>
      </c>
      <c r="F80" s="28" t="inlineStr">
        <is>
          <t>Active</t>
        </is>
      </c>
      <c r="G80" s="36" t="n"/>
      <c r="H80" s="29" t="n">
        <v>1</v>
      </c>
      <c r="I80" s="37" t="n"/>
      <c r="J80" s="37" t="n"/>
      <c r="K80" s="31" t="n"/>
      <c r="L80" s="31" t="n"/>
      <c r="M80" s="31" t="n"/>
      <c r="N80" s="31" t="n"/>
      <c r="O80" s="31" t="n"/>
      <c r="P80" s="31" t="n"/>
      <c r="Q80" s="23">
        <f>IF($A80="","",COUNTIFS(Assignments!$C$2:$C$769,$A80,Assignments!$G$2:$G$769,"Active"))</f>
        <v/>
      </c>
      <c r="R80" s="32">
        <f>IF($A80="","",SUMIFS(Assignments!$I$2:$I$769,Assignments!$C$2:$C$769,$A80,Assignments!$G$2:$G$769,"Active"))</f>
        <v/>
      </c>
      <c r="S80" s="20" t="inlineStr">
        <is>
          <t>WIP</t>
        </is>
      </c>
      <c r="T80" s="31" t="n"/>
      <c r="U80" s="36" t="n"/>
      <c r="V80" s="34">
        <f>IF($U80="","",IFERROR(INDEX(Templates!$K$3:$K$10,MATCH($U80,Templates!$A$3:$A$10,0)),""))</f>
        <v/>
      </c>
      <c r="W80" s="34">
        <f>IF($U80="","",IFERROR(INDEX(Templates!$L$3:$L$10,MATCH($U80,Templates!$A$3:$A$10,0)),""))</f>
        <v/>
      </c>
      <c r="X80" s="21">
        <f>IF($U80="","",IFERROR(INDEX(Templates!$J$3:$J$10,MATCH($U80,Templates!$A$3:$A$10,0)),""))</f>
        <v/>
      </c>
      <c r="Y80" s="35">
        <f>IF(OR($U80="",$I80="",$J80="",$X80=""),"",$I80+$X80*($J80-$I80))</f>
        <v/>
      </c>
      <c r="Z80" s="30" t="n">
        <v>46212</v>
      </c>
      <c r="AA80" s="38" t="n"/>
      <c r="AB80" s="39" t="n"/>
      <c r="AC80" s="39" t="n"/>
      <c r="AD80" s="19">
        <f>IF($A80="","",IF($AA80="",$H80,$AA80))</f>
        <v/>
      </c>
      <c r="AE80" s="35">
        <f>IF($A80="","",IF($AB80="",$I80,$AB80))</f>
        <v/>
      </c>
      <c r="AF80" s="35">
        <f>IF($A80="","",IF($AC80="",$J80,$AC80))</f>
        <v/>
      </c>
      <c r="AG80" s="35">
        <f>IF(OR($U80="",$AE80="",$AF80="",$X80=""),"",$AE80+$X80*($AF80-$AE80))</f>
        <v/>
      </c>
      <c r="AH80" s="36" t="n"/>
      <c r="AI80" s="36" t="n"/>
      <c r="AJ80" s="36" t="n"/>
      <c r="AK80" s="36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</row>
    <row r="81">
      <c r="A81" s="28" t="inlineStr">
        <is>
          <t>Gonzaga_2</t>
        </is>
      </c>
      <c r="B81" s="20" t="inlineStr">
        <is>
          <t>Ethos Specialty Insurance Services</t>
        </is>
      </c>
      <c r="C81" s="28" t="inlineStr">
        <is>
          <t>Ethos Specialty Insurance Services</t>
        </is>
      </c>
      <c r="D81" s="28" t="inlineStr"/>
      <c r="E81" s="28" t="inlineStr">
        <is>
          <t>No</t>
        </is>
      </c>
      <c r="F81" s="28" t="inlineStr">
        <is>
          <t>Active</t>
        </is>
      </c>
      <c r="G81" s="36" t="n"/>
      <c r="H81" s="29" t="n">
        <v>1</v>
      </c>
      <c r="I81" s="37" t="n"/>
      <c r="J81" s="37" t="n"/>
      <c r="K81" s="31" t="n"/>
      <c r="L81" s="31" t="n"/>
      <c r="M81" s="31" t="n"/>
      <c r="N81" s="31" t="n"/>
      <c r="O81" s="31" t="n"/>
      <c r="P81" s="31" t="n"/>
      <c r="Q81" s="23">
        <f>IF($A81="","",COUNTIFS(Assignments!$C$2:$C$769,$A81,Assignments!$G$2:$G$769,"Active"))</f>
        <v/>
      </c>
      <c r="R81" s="32">
        <f>IF($A81="","",SUMIFS(Assignments!$I$2:$I$769,Assignments!$C$2:$C$769,$A81,Assignments!$G$2:$G$769,"Active"))</f>
        <v/>
      </c>
      <c r="S81" s="20" t="inlineStr">
        <is>
          <t>WIP</t>
        </is>
      </c>
      <c r="T81" s="31" t="n"/>
      <c r="U81" s="36" t="n"/>
      <c r="V81" s="34">
        <f>IF($U81="","",IFERROR(INDEX(Templates!$K$3:$K$10,MATCH($U81,Templates!$A$3:$A$10,0)),""))</f>
        <v/>
      </c>
      <c r="W81" s="34">
        <f>IF($U81="","",IFERROR(INDEX(Templates!$L$3:$L$10,MATCH($U81,Templates!$A$3:$A$10,0)),""))</f>
        <v/>
      </c>
      <c r="X81" s="21">
        <f>IF($U81="","",IFERROR(INDEX(Templates!$J$3:$J$10,MATCH($U81,Templates!$A$3:$A$10,0)),""))</f>
        <v/>
      </c>
      <c r="Y81" s="35">
        <f>IF(OR($U81="",$I81="",$J81="",$X81=""),"",$I81+$X81*($J81-$I81))</f>
        <v/>
      </c>
      <c r="Z81" s="30" t="n">
        <v>46212</v>
      </c>
      <c r="AA81" s="38" t="n"/>
      <c r="AB81" s="39" t="n"/>
      <c r="AC81" s="39" t="n"/>
      <c r="AD81" s="19">
        <f>IF($A81="","",IF($AA81="",$H81,$AA81))</f>
        <v/>
      </c>
      <c r="AE81" s="35">
        <f>IF($A81="","",IF($AB81="",$I81,$AB81))</f>
        <v/>
      </c>
      <c r="AF81" s="35">
        <f>IF($A81="","",IF($AC81="",$J81,$AC81))</f>
        <v/>
      </c>
      <c r="AG81" s="35">
        <f>IF(OR($U81="",$AE81="",$AF81="",$X81=""),"",$AE81+$X81*($AF81-$AE81))</f>
        <v/>
      </c>
      <c r="AH81" s="36" t="n"/>
      <c r="AI81" s="36" t="n"/>
      <c r="AJ81" s="36" t="n"/>
      <c r="AK81" s="36" t="n"/>
      <c r="AL81" s="36" t="n"/>
      <c r="AM81" s="36" t="n"/>
      <c r="AN81" s="36" t="n"/>
      <c r="AO81" s="36" t="n"/>
      <c r="AP81" s="36" t="n"/>
      <c r="AQ81" s="36" t="n"/>
      <c r="AR81" s="36" t="n"/>
      <c r="AS81" s="36" t="n"/>
      <c r="AT81" s="36" t="n"/>
      <c r="AU81" s="36" t="n"/>
      <c r="AV81" s="36" t="n"/>
      <c r="AW81" s="36" t="n"/>
      <c r="AX81" s="36" t="n"/>
    </row>
    <row r="82">
      <c r="A82" s="28" t="inlineStr">
        <is>
          <t>Goose_1</t>
        </is>
      </c>
      <c r="B82" s="20" t="inlineStr">
        <is>
          <t>CVC Capital Partners : DIF Capital Partners : DIF Infra 8 Canada Holdco 1 ULC</t>
        </is>
      </c>
      <c r="C82" s="28" t="inlineStr">
        <is>
          <t>CVC Capital Partners</t>
        </is>
      </c>
      <c r="D82" s="28" t="inlineStr">
        <is>
          <t>DIF Infra 8 Canada Holdco 1 ULC</t>
        </is>
      </c>
      <c r="E82" s="28" t="inlineStr">
        <is>
          <t>No</t>
        </is>
      </c>
      <c r="F82" s="28" t="inlineStr">
        <is>
          <t>Active</t>
        </is>
      </c>
      <c r="G82" s="36" t="n"/>
      <c r="H82" s="29" t="n">
        <v>1</v>
      </c>
      <c r="I82" s="37" t="n"/>
      <c r="J82" s="37" t="n"/>
      <c r="K82" s="31" t="n"/>
      <c r="L82" s="31" t="n"/>
      <c r="M82" s="31" t="n"/>
      <c r="N82" s="31" t="n"/>
      <c r="O82" s="31" t="n"/>
      <c r="P82" s="31" t="n"/>
      <c r="Q82" s="23">
        <f>IF($A82="","",COUNTIFS(Assignments!$C$2:$C$769,$A82,Assignments!$G$2:$G$769,"Active"))</f>
        <v/>
      </c>
      <c r="R82" s="32">
        <f>IF($A82="","",SUMIFS(Assignments!$I$2:$I$769,Assignments!$C$2:$C$769,$A82,Assignments!$G$2:$G$769,"Active"))</f>
        <v/>
      </c>
      <c r="S82" s="20" t="inlineStr">
        <is>
          <t>WIP</t>
        </is>
      </c>
      <c r="T82" s="31" t="n"/>
      <c r="U82" s="36" t="n"/>
      <c r="V82" s="34">
        <f>IF($U82="","",IFERROR(INDEX(Templates!$K$3:$K$10,MATCH($U82,Templates!$A$3:$A$10,0)),""))</f>
        <v/>
      </c>
      <c r="W82" s="34">
        <f>IF($U82="","",IFERROR(INDEX(Templates!$L$3:$L$10,MATCH($U82,Templates!$A$3:$A$10,0)),""))</f>
        <v/>
      </c>
      <c r="X82" s="21">
        <f>IF($U82="","",IFERROR(INDEX(Templates!$J$3:$J$10,MATCH($U82,Templates!$A$3:$A$10,0)),""))</f>
        <v/>
      </c>
      <c r="Y82" s="35">
        <f>IF(OR($U82="",$I82="",$J82="",$X82=""),"",$I82+$X82*($J82-$I82))</f>
        <v/>
      </c>
      <c r="Z82" s="30" t="n">
        <v>46212</v>
      </c>
      <c r="AA82" s="38" t="n"/>
      <c r="AB82" s="39" t="n"/>
      <c r="AC82" s="39" t="n"/>
      <c r="AD82" s="19">
        <f>IF($A82="","",IF($AA82="",$H82,$AA82))</f>
        <v/>
      </c>
      <c r="AE82" s="35">
        <f>IF($A82="","",IF($AB82="",$I82,$AB82))</f>
        <v/>
      </c>
      <c r="AF82" s="35">
        <f>IF($A82="","",IF($AC82="",$J82,$AC82))</f>
        <v/>
      </c>
      <c r="AG82" s="35">
        <f>IF(OR($U82="",$AE82="",$AF82="",$X82=""),"",$AE82+$X82*($AF82-$AE82))</f>
        <v/>
      </c>
      <c r="AH82" s="36" t="n"/>
      <c r="AI82" s="36" t="n"/>
      <c r="AJ82" s="36" t="n"/>
      <c r="AK82" s="36" t="n"/>
      <c r="AL82" s="36" t="n"/>
      <c r="AM82" s="36" t="n"/>
      <c r="AN82" s="36" t="n"/>
      <c r="AO82" s="36" t="n"/>
      <c r="AP82" s="36" t="n"/>
      <c r="AQ82" s="36" t="n"/>
      <c r="AR82" s="36" t="n"/>
      <c r="AS82" s="36" t="n"/>
      <c r="AT82" s="36" t="n"/>
      <c r="AU82" s="36" t="n"/>
      <c r="AV82" s="36" t="n"/>
      <c r="AW82" s="36" t="n"/>
      <c r="AX82" s="36" t="n"/>
    </row>
    <row r="83">
      <c r="A83" s="28" t="inlineStr">
        <is>
          <t>Goose_2</t>
        </is>
      </c>
      <c r="B83" s="20" t="inlineStr">
        <is>
          <t>Golden Goose</t>
        </is>
      </c>
      <c r="C83" s="28" t="inlineStr">
        <is>
          <t>Golden Goose</t>
        </is>
      </c>
      <c r="D83" s="28" t="inlineStr"/>
      <c r="E83" s="28" t="inlineStr">
        <is>
          <t>No</t>
        </is>
      </c>
      <c r="F83" s="28" t="inlineStr">
        <is>
          <t>Active</t>
        </is>
      </c>
      <c r="G83" s="36" t="n"/>
      <c r="H83" s="29" t="n">
        <v>1</v>
      </c>
      <c r="I83" s="37" t="n"/>
      <c r="J83" s="37" t="n"/>
      <c r="K83" s="31" t="n"/>
      <c r="L83" s="31" t="n"/>
      <c r="M83" s="31" t="n"/>
      <c r="N83" s="31" t="n"/>
      <c r="O83" s="31" t="n"/>
      <c r="P83" s="31" t="n"/>
      <c r="Q83" s="23">
        <f>IF($A83="","",COUNTIFS(Assignments!$C$2:$C$769,$A83,Assignments!$G$2:$G$769,"Active"))</f>
        <v/>
      </c>
      <c r="R83" s="32">
        <f>IF($A83="","",SUMIFS(Assignments!$I$2:$I$769,Assignments!$C$2:$C$769,$A83,Assignments!$G$2:$G$769,"Active"))</f>
        <v/>
      </c>
      <c r="S83" s="20" t="inlineStr">
        <is>
          <t>WIP</t>
        </is>
      </c>
      <c r="T83" s="31" t="n"/>
      <c r="U83" s="36" t="n"/>
      <c r="V83" s="34">
        <f>IF($U83="","",IFERROR(INDEX(Templates!$K$3:$K$10,MATCH($U83,Templates!$A$3:$A$10,0)),""))</f>
        <v/>
      </c>
      <c r="W83" s="34">
        <f>IF($U83="","",IFERROR(INDEX(Templates!$L$3:$L$10,MATCH($U83,Templates!$A$3:$A$10,0)),""))</f>
        <v/>
      </c>
      <c r="X83" s="21">
        <f>IF($U83="","",IFERROR(INDEX(Templates!$J$3:$J$10,MATCH($U83,Templates!$A$3:$A$10,0)),""))</f>
        <v/>
      </c>
      <c r="Y83" s="35">
        <f>IF(OR($U83="",$I83="",$J83="",$X83=""),"",$I83+$X83*($J83-$I83))</f>
        <v/>
      </c>
      <c r="Z83" s="30" t="n">
        <v>46212</v>
      </c>
      <c r="AA83" s="38" t="n"/>
      <c r="AB83" s="39" t="n"/>
      <c r="AC83" s="39" t="n"/>
      <c r="AD83" s="19">
        <f>IF($A83="","",IF($AA83="",$H83,$AA83))</f>
        <v/>
      </c>
      <c r="AE83" s="35">
        <f>IF($A83="","",IF($AB83="",$I83,$AB83))</f>
        <v/>
      </c>
      <c r="AF83" s="35">
        <f>IF($A83="","",IF($AC83="",$J83,$AC83))</f>
        <v/>
      </c>
      <c r="AG83" s="35">
        <f>IF(OR($U83="",$AE83="",$AF83="",$X83=""),"",$AE83+$X83*($AF83-$AE83))</f>
        <v/>
      </c>
      <c r="AH83" s="36" t="n"/>
      <c r="AI83" s="36" t="n"/>
      <c r="AJ83" s="36" t="n"/>
      <c r="AK83" s="36" t="n"/>
      <c r="AL83" s="36" t="n"/>
      <c r="AM83" s="36" t="n"/>
      <c r="AN83" s="36" t="n"/>
      <c r="AO83" s="36" t="n"/>
      <c r="AP83" s="36" t="n"/>
      <c r="AQ83" s="36" t="n"/>
      <c r="AR83" s="36" t="n"/>
      <c r="AS83" s="36" t="n"/>
      <c r="AT83" s="36" t="n"/>
      <c r="AU83" s="36" t="n"/>
      <c r="AV83" s="36" t="n"/>
      <c r="AW83" s="36" t="n"/>
      <c r="AX83" s="36" t="n"/>
    </row>
    <row r="84">
      <c r="A84" s="28" t="inlineStr">
        <is>
          <t>Graitec Reorg_2</t>
        </is>
      </c>
      <c r="B84" s="20" t="inlineStr">
        <is>
          <t>Arsene TaxAnd</t>
        </is>
      </c>
      <c r="C84" s="28" t="inlineStr">
        <is>
          <t>Arsene TaxAnd</t>
        </is>
      </c>
      <c r="D84" s="28" t="inlineStr"/>
      <c r="E84" s="28" t="inlineStr">
        <is>
          <t>No</t>
        </is>
      </c>
      <c r="F84" s="28" t="inlineStr">
        <is>
          <t>Active</t>
        </is>
      </c>
      <c r="G84" s="36" t="n"/>
      <c r="H84" s="29" t="n">
        <v>1</v>
      </c>
      <c r="I84" s="37" t="n"/>
      <c r="J84" s="37" t="n"/>
      <c r="K84" s="31" t="n"/>
      <c r="L84" s="31" t="n"/>
      <c r="M84" s="31" t="n"/>
      <c r="N84" s="31" t="n"/>
      <c r="O84" s="31" t="n"/>
      <c r="P84" s="31" t="n"/>
      <c r="Q84" s="23">
        <f>IF($A84="","",COUNTIFS(Assignments!$C$2:$C$769,$A84,Assignments!$G$2:$G$769,"Active"))</f>
        <v/>
      </c>
      <c r="R84" s="32">
        <f>IF($A84="","",SUMIFS(Assignments!$I$2:$I$769,Assignments!$C$2:$C$769,$A84,Assignments!$G$2:$G$769,"Active"))</f>
        <v/>
      </c>
      <c r="S84" s="20" t="inlineStr">
        <is>
          <t>WIP</t>
        </is>
      </c>
      <c r="T84" s="31" t="n"/>
      <c r="U84" s="36" t="n"/>
      <c r="V84" s="34">
        <f>IF($U84="","",IFERROR(INDEX(Templates!$K$3:$K$10,MATCH($U84,Templates!$A$3:$A$10,0)),""))</f>
        <v/>
      </c>
      <c r="W84" s="34">
        <f>IF($U84="","",IFERROR(INDEX(Templates!$L$3:$L$10,MATCH($U84,Templates!$A$3:$A$10,0)),""))</f>
        <v/>
      </c>
      <c r="X84" s="21">
        <f>IF($U84="","",IFERROR(INDEX(Templates!$J$3:$J$10,MATCH($U84,Templates!$A$3:$A$10,0)),""))</f>
        <v/>
      </c>
      <c r="Y84" s="35">
        <f>IF(OR($U84="",$I84="",$J84="",$X84=""),"",$I84+$X84*($J84-$I84))</f>
        <v/>
      </c>
      <c r="Z84" s="30" t="n">
        <v>46212</v>
      </c>
      <c r="AA84" s="38" t="n"/>
      <c r="AB84" s="39" t="n"/>
      <c r="AC84" s="39" t="n"/>
      <c r="AD84" s="19">
        <f>IF($A84="","",IF($AA84="",$H84,$AA84))</f>
        <v/>
      </c>
      <c r="AE84" s="35">
        <f>IF($A84="","",IF($AB84="",$I84,$AB84))</f>
        <v/>
      </c>
      <c r="AF84" s="35">
        <f>IF($A84="","",IF($AC84="",$J84,$AC84))</f>
        <v/>
      </c>
      <c r="AG84" s="35">
        <f>IF(OR($U84="",$AE84="",$AF84="",$X84=""),"",$AE84+$X84*($AF84-$AE84))</f>
        <v/>
      </c>
      <c r="AH84" s="36" t="n"/>
      <c r="AI84" s="36" t="n"/>
      <c r="AJ84" s="36" t="n"/>
      <c r="AK84" s="36" t="n"/>
      <c r="AL84" s="36" t="n"/>
      <c r="AM84" s="36" t="n"/>
      <c r="AN84" s="36" t="n"/>
      <c r="AO84" s="36" t="n"/>
      <c r="AP84" s="36" t="n"/>
      <c r="AQ84" s="36" t="n"/>
      <c r="AR84" s="36" t="n"/>
      <c r="AS84" s="36" t="n"/>
      <c r="AT84" s="36" t="n"/>
      <c r="AU84" s="36" t="n"/>
      <c r="AV84" s="36" t="n"/>
      <c r="AW84" s="36" t="n"/>
      <c r="AX84" s="36" t="n"/>
    </row>
    <row r="85">
      <c r="A85" s="28" t="inlineStr">
        <is>
          <t>Greenkey_1</t>
        </is>
      </c>
      <c r="B85" s="20" t="inlineStr">
        <is>
          <t>Berkshire Hathaway Specialty Insurance</t>
        </is>
      </c>
      <c r="C85" s="28" t="inlineStr">
        <is>
          <t>Berkshire Hathaway Specialty Insurance</t>
        </is>
      </c>
      <c r="D85" s="28" t="inlineStr"/>
      <c r="E85" s="28" t="inlineStr">
        <is>
          <t>No</t>
        </is>
      </c>
      <c r="F85" s="28" t="inlineStr">
        <is>
          <t>Active</t>
        </is>
      </c>
      <c r="G85" s="36" t="n"/>
      <c r="H85" s="29" t="n">
        <v>1</v>
      </c>
      <c r="I85" s="37" t="n"/>
      <c r="J85" s="37" t="n"/>
      <c r="K85" s="31" t="n"/>
      <c r="L85" s="31" t="n"/>
      <c r="M85" s="31" t="n"/>
      <c r="N85" s="31" t="n"/>
      <c r="O85" s="31" t="n"/>
      <c r="P85" s="31" t="n"/>
      <c r="Q85" s="23">
        <f>IF($A85="","",COUNTIFS(Assignments!$C$2:$C$769,$A85,Assignments!$G$2:$G$769,"Active"))</f>
        <v/>
      </c>
      <c r="R85" s="32">
        <f>IF($A85="","",SUMIFS(Assignments!$I$2:$I$769,Assignments!$C$2:$C$769,$A85,Assignments!$G$2:$G$769,"Active"))</f>
        <v/>
      </c>
      <c r="S85" s="20" t="inlineStr">
        <is>
          <t>WIP</t>
        </is>
      </c>
      <c r="T85" s="31" t="n"/>
      <c r="U85" s="36" t="n"/>
      <c r="V85" s="34">
        <f>IF($U85="","",IFERROR(INDEX(Templates!$K$3:$K$10,MATCH($U85,Templates!$A$3:$A$10,0)),""))</f>
        <v/>
      </c>
      <c r="W85" s="34">
        <f>IF($U85="","",IFERROR(INDEX(Templates!$L$3:$L$10,MATCH($U85,Templates!$A$3:$A$10,0)),""))</f>
        <v/>
      </c>
      <c r="X85" s="21">
        <f>IF($U85="","",IFERROR(INDEX(Templates!$J$3:$J$10,MATCH($U85,Templates!$A$3:$A$10,0)),""))</f>
        <v/>
      </c>
      <c r="Y85" s="35">
        <f>IF(OR($U85="",$I85="",$J85="",$X85=""),"",$I85+$X85*($J85-$I85))</f>
        <v/>
      </c>
      <c r="Z85" s="30" t="n">
        <v>46212</v>
      </c>
      <c r="AA85" s="38" t="n"/>
      <c r="AB85" s="39" t="n"/>
      <c r="AC85" s="39" t="n"/>
      <c r="AD85" s="19">
        <f>IF($A85="","",IF($AA85="",$H85,$AA85))</f>
        <v/>
      </c>
      <c r="AE85" s="35">
        <f>IF($A85="","",IF($AB85="",$I85,$AB85))</f>
        <v/>
      </c>
      <c r="AF85" s="35">
        <f>IF($A85="","",IF($AC85="",$J85,$AC85))</f>
        <v/>
      </c>
      <c r="AG85" s="35">
        <f>IF(OR($U85="",$AE85="",$AF85="",$X85=""),"",$AE85+$X85*($AF85-$AE85))</f>
        <v/>
      </c>
      <c r="AH85" s="36" t="n"/>
      <c r="AI85" s="36" t="n"/>
      <c r="AJ85" s="36" t="n"/>
      <c r="AK85" s="36" t="n"/>
      <c r="AL85" s="36" t="n"/>
      <c r="AM85" s="36" t="n"/>
      <c r="AN85" s="36" t="n"/>
      <c r="AO85" s="36" t="n"/>
      <c r="AP85" s="36" t="n"/>
      <c r="AQ85" s="36" t="n"/>
      <c r="AR85" s="36" t="n"/>
      <c r="AS85" s="36" t="n"/>
      <c r="AT85" s="36" t="n"/>
      <c r="AU85" s="36" t="n"/>
      <c r="AV85" s="36" t="n"/>
      <c r="AW85" s="36" t="n"/>
      <c r="AX85" s="36" t="n"/>
    </row>
    <row r="86">
      <c r="A86" s="28" t="inlineStr">
        <is>
          <t>Guardian_3</t>
        </is>
      </c>
      <c r="B86" s="20" t="inlineStr">
        <is>
          <t>PB Acquisitions, LLC</t>
        </is>
      </c>
      <c r="C86" s="28" t="inlineStr">
        <is>
          <t>PB Acquisitions, LLC</t>
        </is>
      </c>
      <c r="D86" s="28" t="inlineStr"/>
      <c r="E86" s="28" t="inlineStr">
        <is>
          <t>No</t>
        </is>
      </c>
      <c r="F86" s="28" t="inlineStr">
        <is>
          <t>Active</t>
        </is>
      </c>
      <c r="G86" s="36" t="n"/>
      <c r="H86" s="29" t="n">
        <v>1</v>
      </c>
      <c r="I86" s="37" t="n"/>
      <c r="J86" s="37" t="n"/>
      <c r="K86" s="31" t="n"/>
      <c r="L86" s="31" t="n"/>
      <c r="M86" s="31" t="n"/>
      <c r="N86" s="31" t="n"/>
      <c r="O86" s="31" t="n"/>
      <c r="P86" s="31" t="n"/>
      <c r="Q86" s="23">
        <f>IF($A86="","",COUNTIFS(Assignments!$C$2:$C$769,$A86,Assignments!$G$2:$G$769,"Active"))</f>
        <v/>
      </c>
      <c r="R86" s="32">
        <f>IF($A86="","",SUMIFS(Assignments!$I$2:$I$769,Assignments!$C$2:$C$769,$A86,Assignments!$G$2:$G$769,"Active"))</f>
        <v/>
      </c>
      <c r="S86" s="20" t="inlineStr">
        <is>
          <t>WIP</t>
        </is>
      </c>
      <c r="T86" s="31" t="n"/>
      <c r="U86" s="36" t="n"/>
      <c r="V86" s="34">
        <f>IF($U86="","",IFERROR(INDEX(Templates!$K$3:$K$10,MATCH($U86,Templates!$A$3:$A$10,0)),""))</f>
        <v/>
      </c>
      <c r="W86" s="34">
        <f>IF($U86="","",IFERROR(INDEX(Templates!$L$3:$L$10,MATCH($U86,Templates!$A$3:$A$10,0)),""))</f>
        <v/>
      </c>
      <c r="X86" s="21">
        <f>IF($U86="","",IFERROR(INDEX(Templates!$J$3:$J$10,MATCH($U86,Templates!$A$3:$A$10,0)),""))</f>
        <v/>
      </c>
      <c r="Y86" s="35">
        <f>IF(OR($U86="",$I86="",$J86="",$X86=""),"",$I86+$X86*($J86-$I86))</f>
        <v/>
      </c>
      <c r="Z86" s="30" t="n">
        <v>46212</v>
      </c>
      <c r="AA86" s="38" t="n"/>
      <c r="AB86" s="39" t="n"/>
      <c r="AC86" s="39" t="n"/>
      <c r="AD86" s="19">
        <f>IF($A86="","",IF($AA86="",$H86,$AA86))</f>
        <v/>
      </c>
      <c r="AE86" s="35">
        <f>IF($A86="","",IF($AB86="",$I86,$AB86))</f>
        <v/>
      </c>
      <c r="AF86" s="35">
        <f>IF($A86="","",IF($AC86="",$J86,$AC86))</f>
        <v/>
      </c>
      <c r="AG86" s="35">
        <f>IF(OR($U86="",$AE86="",$AF86="",$X86=""),"",$AE86+$X86*($AF86-$AE86))</f>
        <v/>
      </c>
      <c r="AH86" s="36" t="n"/>
      <c r="AI86" s="36" t="n"/>
      <c r="AJ86" s="36" t="n"/>
      <c r="AK86" s="36" t="n"/>
      <c r="AL86" s="36" t="n"/>
      <c r="AM86" s="36" t="n"/>
      <c r="AN86" s="36" t="n"/>
      <c r="AO86" s="36" t="n"/>
      <c r="AP86" s="36" t="n"/>
      <c r="AQ86" s="36" t="n"/>
      <c r="AR86" s="36" t="n"/>
      <c r="AS86" s="36" t="n"/>
      <c r="AT86" s="36" t="n"/>
      <c r="AU86" s="36" t="n"/>
      <c r="AV86" s="36" t="n"/>
      <c r="AW86" s="36" t="n"/>
      <c r="AX86" s="36" t="n"/>
    </row>
    <row r="87">
      <c r="A87" s="28" t="inlineStr">
        <is>
          <t>Hamby_1</t>
        </is>
      </c>
      <c r="B87" s="20" t="inlineStr">
        <is>
          <t>Abilene GCE LLC</t>
        </is>
      </c>
      <c r="C87" s="28" t="inlineStr">
        <is>
          <t>Abilene GCE LLC</t>
        </is>
      </c>
      <c r="D87" s="28" t="inlineStr"/>
      <c r="E87" s="28" t="inlineStr">
        <is>
          <t>No</t>
        </is>
      </c>
      <c r="F87" s="28" t="inlineStr">
        <is>
          <t>Active</t>
        </is>
      </c>
      <c r="G87" s="36" t="n"/>
      <c r="H87" s="29" t="n">
        <v>1</v>
      </c>
      <c r="I87" s="37" t="n"/>
      <c r="J87" s="37" t="n"/>
      <c r="K87" s="31" t="n"/>
      <c r="L87" s="31" t="n"/>
      <c r="M87" s="31" t="n"/>
      <c r="N87" s="31" t="n"/>
      <c r="O87" s="31" t="n"/>
      <c r="P87" s="31" t="n"/>
      <c r="Q87" s="23">
        <f>IF($A87="","",COUNTIFS(Assignments!$C$2:$C$769,$A87,Assignments!$G$2:$G$769,"Active"))</f>
        <v/>
      </c>
      <c r="R87" s="32">
        <f>IF($A87="","",SUMIFS(Assignments!$I$2:$I$769,Assignments!$C$2:$C$769,$A87,Assignments!$G$2:$G$769,"Active"))</f>
        <v/>
      </c>
      <c r="S87" s="20" t="inlineStr">
        <is>
          <t>WIP</t>
        </is>
      </c>
      <c r="T87" s="31" t="n"/>
      <c r="U87" s="36" t="n"/>
      <c r="V87" s="34">
        <f>IF($U87="","",IFERROR(INDEX(Templates!$K$3:$K$10,MATCH($U87,Templates!$A$3:$A$10,0)),""))</f>
        <v/>
      </c>
      <c r="W87" s="34">
        <f>IF($U87="","",IFERROR(INDEX(Templates!$L$3:$L$10,MATCH($U87,Templates!$A$3:$A$10,0)),""))</f>
        <v/>
      </c>
      <c r="X87" s="21">
        <f>IF($U87="","",IFERROR(INDEX(Templates!$J$3:$J$10,MATCH($U87,Templates!$A$3:$A$10,0)),""))</f>
        <v/>
      </c>
      <c r="Y87" s="35">
        <f>IF(OR($U87="",$I87="",$J87="",$X87=""),"",$I87+$X87*($J87-$I87))</f>
        <v/>
      </c>
      <c r="Z87" s="30" t="n">
        <v>46212</v>
      </c>
      <c r="AA87" s="38" t="n"/>
      <c r="AB87" s="39" t="n"/>
      <c r="AC87" s="39" t="n"/>
      <c r="AD87" s="19">
        <f>IF($A87="","",IF($AA87="",$H87,$AA87))</f>
        <v/>
      </c>
      <c r="AE87" s="35">
        <f>IF($A87="","",IF($AB87="",$I87,$AB87))</f>
        <v/>
      </c>
      <c r="AF87" s="35">
        <f>IF($A87="","",IF($AC87="",$J87,$AC87))</f>
        <v/>
      </c>
      <c r="AG87" s="35">
        <f>IF(OR($U87="",$AE87="",$AF87="",$X87=""),"",$AE87+$X87*($AF87-$AE87))</f>
        <v/>
      </c>
      <c r="AH87" s="36" t="n"/>
      <c r="AI87" s="36" t="n"/>
      <c r="AJ87" s="36" t="n"/>
      <c r="AK87" s="36" t="n"/>
      <c r="AL87" s="36" t="n"/>
      <c r="AM87" s="36" t="n"/>
      <c r="AN87" s="36" t="n"/>
      <c r="AO87" s="36" t="n"/>
      <c r="AP87" s="36" t="n"/>
      <c r="AQ87" s="36" t="n"/>
      <c r="AR87" s="36" t="n"/>
      <c r="AS87" s="36" t="n"/>
      <c r="AT87" s="36" t="n"/>
      <c r="AU87" s="36" t="n"/>
      <c r="AV87" s="36" t="n"/>
      <c r="AW87" s="36" t="n"/>
      <c r="AX87" s="36" t="n"/>
    </row>
    <row r="88">
      <c r="A88" s="28" t="inlineStr">
        <is>
          <t>Hatch_1</t>
        </is>
      </c>
      <c r="B88" s="20" t="inlineStr">
        <is>
          <t>Insperience Group</t>
        </is>
      </c>
      <c r="C88" s="28" t="inlineStr">
        <is>
          <t>Insperience Group</t>
        </is>
      </c>
      <c r="D88" s="28" t="inlineStr"/>
      <c r="E88" s="28" t="inlineStr">
        <is>
          <t>No</t>
        </is>
      </c>
      <c r="F88" s="28" t="inlineStr">
        <is>
          <t>Active</t>
        </is>
      </c>
      <c r="G88" s="36" t="n"/>
      <c r="H88" s="29" t="n">
        <v>1</v>
      </c>
      <c r="I88" s="37" t="n"/>
      <c r="J88" s="37" t="n"/>
      <c r="K88" s="31" t="n"/>
      <c r="L88" s="31" t="n"/>
      <c r="M88" s="31" t="n"/>
      <c r="N88" s="31" t="n"/>
      <c r="O88" s="31" t="n"/>
      <c r="P88" s="31" t="n"/>
      <c r="Q88" s="23">
        <f>IF($A88="","",COUNTIFS(Assignments!$C$2:$C$769,$A88,Assignments!$G$2:$G$769,"Active"))</f>
        <v/>
      </c>
      <c r="R88" s="32">
        <f>IF($A88="","",SUMIFS(Assignments!$I$2:$I$769,Assignments!$C$2:$C$769,$A88,Assignments!$G$2:$G$769,"Active"))</f>
        <v/>
      </c>
      <c r="S88" s="20" t="inlineStr">
        <is>
          <t>WIP</t>
        </is>
      </c>
      <c r="T88" s="31" t="n"/>
      <c r="U88" s="36" t="n"/>
      <c r="V88" s="34">
        <f>IF($U88="","",IFERROR(INDEX(Templates!$K$3:$K$10,MATCH($U88,Templates!$A$3:$A$10,0)),""))</f>
        <v/>
      </c>
      <c r="W88" s="34">
        <f>IF($U88="","",IFERROR(INDEX(Templates!$L$3:$L$10,MATCH($U88,Templates!$A$3:$A$10,0)),""))</f>
        <v/>
      </c>
      <c r="X88" s="21">
        <f>IF($U88="","",IFERROR(INDEX(Templates!$J$3:$J$10,MATCH($U88,Templates!$A$3:$A$10,0)),""))</f>
        <v/>
      </c>
      <c r="Y88" s="35">
        <f>IF(OR($U88="",$I88="",$J88="",$X88=""),"",$I88+$X88*($J88-$I88))</f>
        <v/>
      </c>
      <c r="Z88" s="30" t="n">
        <v>46212</v>
      </c>
      <c r="AA88" s="38" t="n"/>
      <c r="AB88" s="39" t="n"/>
      <c r="AC88" s="39" t="n"/>
      <c r="AD88" s="19">
        <f>IF($A88="","",IF($AA88="",$H88,$AA88))</f>
        <v/>
      </c>
      <c r="AE88" s="35">
        <f>IF($A88="","",IF($AB88="",$I88,$AB88))</f>
        <v/>
      </c>
      <c r="AF88" s="35">
        <f>IF($A88="","",IF($AC88="",$J88,$AC88))</f>
        <v/>
      </c>
      <c r="AG88" s="35">
        <f>IF(OR($U88="",$AE88="",$AF88="",$X88=""),"",$AE88+$X88*($AF88-$AE88))</f>
        <v/>
      </c>
      <c r="AH88" s="36" t="n"/>
      <c r="AI88" s="36" t="n"/>
      <c r="AJ88" s="36" t="n"/>
      <c r="AK88" s="36" t="n"/>
      <c r="AL88" s="36" t="n"/>
      <c r="AM88" s="36" t="n"/>
      <c r="AN88" s="36" t="n"/>
      <c r="AO88" s="36" t="n"/>
      <c r="AP88" s="36" t="n"/>
      <c r="AQ88" s="36" t="n"/>
      <c r="AR88" s="36" t="n"/>
      <c r="AS88" s="36" t="n"/>
      <c r="AT88" s="36" t="n"/>
      <c r="AU88" s="36" t="n"/>
      <c r="AV88" s="36" t="n"/>
      <c r="AW88" s="36" t="n"/>
      <c r="AX88" s="36" t="n"/>
    </row>
    <row r="89">
      <c r="A89" s="28" t="inlineStr">
        <is>
          <t>Heartland_2</t>
        </is>
      </c>
      <c r="B89" s="20" t="inlineStr">
        <is>
          <t>Sumitomo Corporation of Americas</t>
        </is>
      </c>
      <c r="C89" s="28" t="inlineStr">
        <is>
          <t>Sumitomo Corporation of Americas</t>
        </is>
      </c>
      <c r="D89" s="28" t="inlineStr"/>
      <c r="E89" s="28" t="inlineStr">
        <is>
          <t>No</t>
        </is>
      </c>
      <c r="F89" s="28" t="inlineStr">
        <is>
          <t>Active</t>
        </is>
      </c>
      <c r="G89" s="36" t="n"/>
      <c r="H89" s="29" t="n">
        <v>1</v>
      </c>
      <c r="I89" s="37" t="n"/>
      <c r="J89" s="37" t="n"/>
      <c r="K89" s="31" t="n"/>
      <c r="L89" s="31" t="n"/>
      <c r="M89" s="31" t="n"/>
      <c r="N89" s="31" t="n"/>
      <c r="O89" s="31" t="n"/>
      <c r="P89" s="31" t="n"/>
      <c r="Q89" s="23">
        <f>IF($A89="","",COUNTIFS(Assignments!$C$2:$C$769,$A89,Assignments!$G$2:$G$769,"Active"))</f>
        <v/>
      </c>
      <c r="R89" s="32">
        <f>IF($A89="","",SUMIFS(Assignments!$I$2:$I$769,Assignments!$C$2:$C$769,$A89,Assignments!$G$2:$G$769,"Active"))</f>
        <v/>
      </c>
      <c r="S89" s="20" t="inlineStr">
        <is>
          <t>WIP</t>
        </is>
      </c>
      <c r="T89" s="31" t="n"/>
      <c r="U89" s="36" t="n"/>
      <c r="V89" s="34">
        <f>IF($U89="","",IFERROR(INDEX(Templates!$K$3:$K$10,MATCH($U89,Templates!$A$3:$A$10,0)),""))</f>
        <v/>
      </c>
      <c r="W89" s="34">
        <f>IF($U89="","",IFERROR(INDEX(Templates!$L$3:$L$10,MATCH($U89,Templates!$A$3:$A$10,0)),""))</f>
        <v/>
      </c>
      <c r="X89" s="21">
        <f>IF($U89="","",IFERROR(INDEX(Templates!$J$3:$J$10,MATCH($U89,Templates!$A$3:$A$10,0)),""))</f>
        <v/>
      </c>
      <c r="Y89" s="35">
        <f>IF(OR($U89="",$I89="",$J89="",$X89=""),"",$I89+$X89*($J89-$I89))</f>
        <v/>
      </c>
      <c r="Z89" s="30" t="n">
        <v>46212</v>
      </c>
      <c r="AA89" s="38" t="n"/>
      <c r="AB89" s="39" t="n"/>
      <c r="AC89" s="39" t="n"/>
      <c r="AD89" s="19">
        <f>IF($A89="","",IF($AA89="",$H89,$AA89))</f>
        <v/>
      </c>
      <c r="AE89" s="35">
        <f>IF($A89="","",IF($AB89="",$I89,$AB89))</f>
        <v/>
      </c>
      <c r="AF89" s="35">
        <f>IF($A89="","",IF($AC89="",$J89,$AC89))</f>
        <v/>
      </c>
      <c r="AG89" s="35">
        <f>IF(OR($U89="",$AE89="",$AF89="",$X89=""),"",$AE89+$X89*($AF89-$AE89))</f>
        <v/>
      </c>
      <c r="AH89" s="36" t="n"/>
      <c r="AI89" s="36" t="n"/>
      <c r="AJ89" s="36" t="n"/>
      <c r="AK89" s="36" t="n"/>
      <c r="AL89" s="36" t="n"/>
      <c r="AM89" s="36" t="n"/>
      <c r="AN89" s="36" t="n"/>
      <c r="AO89" s="36" t="n"/>
      <c r="AP89" s="36" t="n"/>
      <c r="AQ89" s="36" t="n"/>
      <c r="AR89" s="36" t="n"/>
      <c r="AS89" s="36" t="n"/>
      <c r="AT89" s="36" t="n"/>
      <c r="AU89" s="36" t="n"/>
      <c r="AV89" s="36" t="n"/>
      <c r="AW89" s="36" t="n"/>
      <c r="AX89" s="36" t="n"/>
    </row>
    <row r="90">
      <c r="A90" s="28" t="inlineStr">
        <is>
          <t>Helios_2</t>
        </is>
      </c>
      <c r="B90" s="20" t="inlineStr">
        <is>
          <t>ICEN Risk</t>
        </is>
      </c>
      <c r="C90" s="28" t="inlineStr">
        <is>
          <t>ICEN Risk</t>
        </is>
      </c>
      <c r="D90" s="28" t="inlineStr"/>
      <c r="E90" s="28" t="inlineStr">
        <is>
          <t>No</t>
        </is>
      </c>
      <c r="F90" s="28" t="inlineStr">
        <is>
          <t>Active</t>
        </is>
      </c>
      <c r="G90" s="36" t="n"/>
      <c r="H90" s="29" t="n">
        <v>1</v>
      </c>
      <c r="I90" s="37" t="n"/>
      <c r="J90" s="37" t="n"/>
      <c r="K90" s="31" t="n"/>
      <c r="L90" s="31" t="n"/>
      <c r="M90" s="31" t="n"/>
      <c r="N90" s="31" t="n"/>
      <c r="O90" s="31" t="n"/>
      <c r="P90" s="31" t="n"/>
      <c r="Q90" s="23">
        <f>IF($A90="","",COUNTIFS(Assignments!$C$2:$C$769,$A90,Assignments!$G$2:$G$769,"Active"))</f>
        <v/>
      </c>
      <c r="R90" s="32">
        <f>IF($A90="","",SUMIFS(Assignments!$I$2:$I$769,Assignments!$C$2:$C$769,$A90,Assignments!$G$2:$G$769,"Active"))</f>
        <v/>
      </c>
      <c r="S90" s="20" t="inlineStr">
        <is>
          <t>WIP</t>
        </is>
      </c>
      <c r="T90" s="31" t="n"/>
      <c r="U90" s="36" t="n"/>
      <c r="V90" s="34">
        <f>IF($U90="","",IFERROR(INDEX(Templates!$K$3:$K$10,MATCH($U90,Templates!$A$3:$A$10,0)),""))</f>
        <v/>
      </c>
      <c r="W90" s="34">
        <f>IF($U90="","",IFERROR(INDEX(Templates!$L$3:$L$10,MATCH($U90,Templates!$A$3:$A$10,0)),""))</f>
        <v/>
      </c>
      <c r="X90" s="21">
        <f>IF($U90="","",IFERROR(INDEX(Templates!$J$3:$J$10,MATCH($U90,Templates!$A$3:$A$10,0)),""))</f>
        <v/>
      </c>
      <c r="Y90" s="35">
        <f>IF(OR($U90="",$I90="",$J90="",$X90=""),"",$I90+$X90*($J90-$I90))</f>
        <v/>
      </c>
      <c r="Z90" s="30" t="n">
        <v>46212</v>
      </c>
      <c r="AA90" s="38" t="n"/>
      <c r="AB90" s="39" t="n"/>
      <c r="AC90" s="39" t="n"/>
      <c r="AD90" s="19">
        <f>IF($A90="","",IF($AA90="",$H90,$AA90))</f>
        <v/>
      </c>
      <c r="AE90" s="35">
        <f>IF($A90="","",IF($AB90="",$I90,$AB90))</f>
        <v/>
      </c>
      <c r="AF90" s="35">
        <f>IF($A90="","",IF($AC90="",$J90,$AC90))</f>
        <v/>
      </c>
      <c r="AG90" s="35">
        <f>IF(OR($U90="",$AE90="",$AF90="",$X90=""),"",$AE90+$X90*($AF90-$AE90))</f>
        <v/>
      </c>
      <c r="AH90" s="36" t="n"/>
      <c r="AI90" s="36" t="n"/>
      <c r="AJ90" s="36" t="n"/>
      <c r="AK90" s="36" t="n"/>
      <c r="AL90" s="36" t="n"/>
      <c r="AM90" s="36" t="n"/>
      <c r="AN90" s="36" t="n"/>
      <c r="AO90" s="36" t="n"/>
      <c r="AP90" s="36" t="n"/>
      <c r="AQ90" s="36" t="n"/>
      <c r="AR90" s="36" t="n"/>
      <c r="AS90" s="36" t="n"/>
      <c r="AT90" s="36" t="n"/>
      <c r="AU90" s="36" t="n"/>
      <c r="AV90" s="36" t="n"/>
      <c r="AW90" s="36" t="n"/>
      <c r="AX90" s="36" t="n"/>
    </row>
    <row r="91">
      <c r="A91" s="28" t="inlineStr">
        <is>
          <t>Hidden _1</t>
        </is>
      </c>
      <c r="B91" s="20" t="inlineStr">
        <is>
          <t>VALE Insurance Partners</t>
        </is>
      </c>
      <c r="C91" s="28" t="inlineStr">
        <is>
          <t>VALE Insurance Partners</t>
        </is>
      </c>
      <c r="D91" s="28" t="inlineStr"/>
      <c r="E91" s="28" t="inlineStr">
        <is>
          <t>No</t>
        </is>
      </c>
      <c r="F91" s="28" t="inlineStr">
        <is>
          <t>Active</t>
        </is>
      </c>
      <c r="G91" s="36" t="n"/>
      <c r="H91" s="29" t="n">
        <v>1</v>
      </c>
      <c r="I91" s="37" t="n"/>
      <c r="J91" s="37" t="n"/>
      <c r="K91" s="31" t="n"/>
      <c r="L91" s="31" t="n"/>
      <c r="M91" s="31" t="n"/>
      <c r="N91" s="31" t="n"/>
      <c r="O91" s="31" t="n"/>
      <c r="P91" s="31" t="n"/>
      <c r="Q91" s="23">
        <f>IF($A91="","",COUNTIFS(Assignments!$C$2:$C$769,$A91,Assignments!$G$2:$G$769,"Active"))</f>
        <v/>
      </c>
      <c r="R91" s="32">
        <f>IF($A91="","",SUMIFS(Assignments!$I$2:$I$769,Assignments!$C$2:$C$769,$A91,Assignments!$G$2:$G$769,"Active"))</f>
        <v/>
      </c>
      <c r="S91" s="20" t="inlineStr">
        <is>
          <t>WIP</t>
        </is>
      </c>
      <c r="T91" s="31" t="n"/>
      <c r="U91" s="36" t="n"/>
      <c r="V91" s="34">
        <f>IF($U91="","",IFERROR(INDEX(Templates!$K$3:$K$10,MATCH($U91,Templates!$A$3:$A$10,0)),""))</f>
        <v/>
      </c>
      <c r="W91" s="34">
        <f>IF($U91="","",IFERROR(INDEX(Templates!$L$3:$L$10,MATCH($U91,Templates!$A$3:$A$10,0)),""))</f>
        <v/>
      </c>
      <c r="X91" s="21">
        <f>IF($U91="","",IFERROR(INDEX(Templates!$J$3:$J$10,MATCH($U91,Templates!$A$3:$A$10,0)),""))</f>
        <v/>
      </c>
      <c r="Y91" s="35">
        <f>IF(OR($U91="",$I91="",$J91="",$X91=""),"",$I91+$X91*($J91-$I91))</f>
        <v/>
      </c>
      <c r="Z91" s="30" t="n">
        <v>46212</v>
      </c>
      <c r="AA91" s="38" t="n"/>
      <c r="AB91" s="39" t="n"/>
      <c r="AC91" s="39" t="n"/>
      <c r="AD91" s="19">
        <f>IF($A91="","",IF($AA91="",$H91,$AA91))</f>
        <v/>
      </c>
      <c r="AE91" s="35">
        <f>IF($A91="","",IF($AB91="",$I91,$AB91))</f>
        <v/>
      </c>
      <c r="AF91" s="35">
        <f>IF($A91="","",IF($AC91="",$J91,$AC91))</f>
        <v/>
      </c>
      <c r="AG91" s="35">
        <f>IF(OR($U91="",$AE91="",$AF91="",$X91=""),"",$AE91+$X91*($AF91-$AE91))</f>
        <v/>
      </c>
      <c r="AH91" s="36" t="n"/>
      <c r="AI91" s="36" t="n"/>
      <c r="AJ91" s="36" t="n"/>
      <c r="AK91" s="36" t="n"/>
      <c r="AL91" s="36" t="n"/>
      <c r="AM91" s="36" t="n"/>
      <c r="AN91" s="36" t="n"/>
      <c r="AO91" s="36" t="n"/>
      <c r="AP91" s="36" t="n"/>
      <c r="AQ91" s="36" t="n"/>
      <c r="AR91" s="36" t="n"/>
      <c r="AS91" s="36" t="n"/>
      <c r="AT91" s="36" t="n"/>
      <c r="AU91" s="36" t="n"/>
      <c r="AV91" s="36" t="n"/>
      <c r="AW91" s="36" t="n"/>
      <c r="AX91" s="36" t="n"/>
    </row>
    <row r="92">
      <c r="A92" s="28" t="inlineStr">
        <is>
          <t>Hop_1</t>
        </is>
      </c>
      <c r="B92" s="20" t="inlineStr">
        <is>
          <t>Lantern Learning Group</t>
        </is>
      </c>
      <c r="C92" s="28" t="inlineStr">
        <is>
          <t>Lantern Learning Group</t>
        </is>
      </c>
      <c r="D92" s="28" t="inlineStr"/>
      <c r="E92" s="28" t="inlineStr">
        <is>
          <t>No</t>
        </is>
      </c>
      <c r="F92" s="28" t="inlineStr">
        <is>
          <t>Active</t>
        </is>
      </c>
      <c r="G92" s="36" t="n"/>
      <c r="H92" s="29" t="n">
        <v>1</v>
      </c>
      <c r="I92" s="37" t="n"/>
      <c r="J92" s="37" t="n"/>
      <c r="K92" s="31" t="n"/>
      <c r="L92" s="31" t="n"/>
      <c r="M92" s="31" t="n"/>
      <c r="N92" s="31" t="n"/>
      <c r="O92" s="31" t="n"/>
      <c r="P92" s="31" t="n"/>
      <c r="Q92" s="23">
        <f>IF($A92="","",COUNTIFS(Assignments!$C$2:$C$769,$A92,Assignments!$G$2:$G$769,"Active"))</f>
        <v/>
      </c>
      <c r="R92" s="32">
        <f>IF($A92="","",SUMIFS(Assignments!$I$2:$I$769,Assignments!$C$2:$C$769,$A92,Assignments!$G$2:$G$769,"Active"))</f>
        <v/>
      </c>
      <c r="S92" s="20" t="inlineStr">
        <is>
          <t>WIP</t>
        </is>
      </c>
      <c r="T92" s="31" t="n"/>
      <c r="U92" s="36" t="n"/>
      <c r="V92" s="34">
        <f>IF($U92="","",IFERROR(INDEX(Templates!$K$3:$K$10,MATCH($U92,Templates!$A$3:$A$10,0)),""))</f>
        <v/>
      </c>
      <c r="W92" s="34">
        <f>IF($U92="","",IFERROR(INDEX(Templates!$L$3:$L$10,MATCH($U92,Templates!$A$3:$A$10,0)),""))</f>
        <v/>
      </c>
      <c r="X92" s="21">
        <f>IF($U92="","",IFERROR(INDEX(Templates!$J$3:$J$10,MATCH($U92,Templates!$A$3:$A$10,0)),""))</f>
        <v/>
      </c>
      <c r="Y92" s="35">
        <f>IF(OR($U92="",$I92="",$J92="",$X92=""),"",$I92+$X92*($J92-$I92))</f>
        <v/>
      </c>
      <c r="Z92" s="30" t="n">
        <v>46212</v>
      </c>
      <c r="AA92" s="38" t="n"/>
      <c r="AB92" s="39" t="n"/>
      <c r="AC92" s="39" t="n"/>
      <c r="AD92" s="19">
        <f>IF($A92="","",IF($AA92="",$H92,$AA92))</f>
        <v/>
      </c>
      <c r="AE92" s="35">
        <f>IF($A92="","",IF($AB92="",$I92,$AB92))</f>
        <v/>
      </c>
      <c r="AF92" s="35">
        <f>IF($A92="","",IF($AC92="",$J92,$AC92))</f>
        <v/>
      </c>
      <c r="AG92" s="35">
        <f>IF(OR($U92="",$AE92="",$AF92="",$X92=""),"",$AE92+$X92*($AF92-$AE92))</f>
        <v/>
      </c>
      <c r="AH92" s="36" t="n"/>
      <c r="AI92" s="36" t="n"/>
      <c r="AJ92" s="36" t="n"/>
      <c r="AK92" s="36" t="n"/>
      <c r="AL92" s="36" t="n"/>
      <c r="AM92" s="36" t="n"/>
      <c r="AN92" s="36" t="n"/>
      <c r="AO92" s="36" t="n"/>
      <c r="AP92" s="36" t="n"/>
      <c r="AQ92" s="36" t="n"/>
      <c r="AR92" s="36" t="n"/>
      <c r="AS92" s="36" t="n"/>
      <c r="AT92" s="36" t="n"/>
      <c r="AU92" s="36" t="n"/>
      <c r="AV92" s="36" t="n"/>
      <c r="AW92" s="36" t="n"/>
      <c r="AX92" s="36" t="n"/>
    </row>
    <row r="93">
      <c r="A93" s="28" t="inlineStr">
        <is>
          <t>Horizon_3</t>
        </is>
      </c>
      <c r="B93" s="20" t="inlineStr">
        <is>
          <t>Q-Energy Private Equity</t>
        </is>
      </c>
      <c r="C93" s="28" t="inlineStr">
        <is>
          <t>Q-Energy Private Equity</t>
        </is>
      </c>
      <c r="D93" s="28" t="inlineStr"/>
      <c r="E93" s="28" t="inlineStr">
        <is>
          <t>No</t>
        </is>
      </c>
      <c r="F93" s="28" t="inlineStr">
        <is>
          <t>Active</t>
        </is>
      </c>
      <c r="G93" s="36" t="n"/>
      <c r="H93" s="29" t="n">
        <v>1</v>
      </c>
      <c r="I93" s="37" t="n"/>
      <c r="J93" s="37" t="n"/>
      <c r="K93" s="31" t="n"/>
      <c r="L93" s="31" t="n"/>
      <c r="M93" s="31" t="n"/>
      <c r="N93" s="31" t="n"/>
      <c r="O93" s="31" t="n"/>
      <c r="P93" s="31" t="n"/>
      <c r="Q93" s="23">
        <f>IF($A93="","",COUNTIFS(Assignments!$C$2:$C$769,$A93,Assignments!$G$2:$G$769,"Active"))</f>
        <v/>
      </c>
      <c r="R93" s="32">
        <f>IF($A93="","",SUMIFS(Assignments!$I$2:$I$769,Assignments!$C$2:$C$769,$A93,Assignments!$G$2:$G$769,"Active"))</f>
        <v/>
      </c>
      <c r="S93" s="20" t="inlineStr">
        <is>
          <t>WIP</t>
        </is>
      </c>
      <c r="T93" s="31" t="n"/>
      <c r="U93" s="36" t="n"/>
      <c r="V93" s="34">
        <f>IF($U93="","",IFERROR(INDEX(Templates!$K$3:$K$10,MATCH($U93,Templates!$A$3:$A$10,0)),""))</f>
        <v/>
      </c>
      <c r="W93" s="34">
        <f>IF($U93="","",IFERROR(INDEX(Templates!$L$3:$L$10,MATCH($U93,Templates!$A$3:$A$10,0)),""))</f>
        <v/>
      </c>
      <c r="X93" s="21">
        <f>IF($U93="","",IFERROR(INDEX(Templates!$J$3:$J$10,MATCH($U93,Templates!$A$3:$A$10,0)),""))</f>
        <v/>
      </c>
      <c r="Y93" s="35">
        <f>IF(OR($U93="",$I93="",$J93="",$X93=""),"",$I93+$X93*($J93-$I93))</f>
        <v/>
      </c>
      <c r="Z93" s="30" t="n">
        <v>46212</v>
      </c>
      <c r="AA93" s="38" t="n"/>
      <c r="AB93" s="39" t="n"/>
      <c r="AC93" s="39" t="n"/>
      <c r="AD93" s="19">
        <f>IF($A93="","",IF($AA93="",$H93,$AA93))</f>
        <v/>
      </c>
      <c r="AE93" s="35">
        <f>IF($A93="","",IF($AB93="",$I93,$AB93))</f>
        <v/>
      </c>
      <c r="AF93" s="35">
        <f>IF($A93="","",IF($AC93="",$J93,$AC93))</f>
        <v/>
      </c>
      <c r="AG93" s="35">
        <f>IF(OR($U93="",$AE93="",$AF93="",$X93=""),"",$AE93+$X93*($AF93-$AE93))</f>
        <v/>
      </c>
      <c r="AH93" s="36" t="n"/>
      <c r="AI93" s="36" t="n"/>
      <c r="AJ93" s="36" t="n"/>
      <c r="AK93" s="36" t="n"/>
      <c r="AL93" s="36" t="n"/>
      <c r="AM93" s="36" t="n"/>
      <c r="AN93" s="36" t="n"/>
      <c r="AO93" s="36" t="n"/>
      <c r="AP93" s="36" t="n"/>
      <c r="AQ93" s="36" t="n"/>
      <c r="AR93" s="36" t="n"/>
      <c r="AS93" s="36" t="n"/>
      <c r="AT93" s="36" t="n"/>
      <c r="AU93" s="36" t="n"/>
      <c r="AV93" s="36" t="n"/>
      <c r="AW93" s="36" t="n"/>
      <c r="AX93" s="36" t="n"/>
    </row>
    <row r="94">
      <c r="A94" s="28" t="inlineStr">
        <is>
          <t>HVDC Transmission_1</t>
        </is>
      </c>
      <c r="B94" s="20" t="inlineStr">
        <is>
          <t>American Terawatt, Inc.</t>
        </is>
      </c>
      <c r="C94" s="28" t="inlineStr">
        <is>
          <t>American Terawatt, Inc.</t>
        </is>
      </c>
      <c r="D94" s="28" t="inlineStr"/>
      <c r="E94" s="28" t="inlineStr">
        <is>
          <t>No</t>
        </is>
      </c>
      <c r="F94" s="28" t="inlineStr">
        <is>
          <t>Active</t>
        </is>
      </c>
      <c r="G94" s="36" t="n"/>
      <c r="H94" s="29" t="n">
        <v>1</v>
      </c>
      <c r="I94" s="37" t="n"/>
      <c r="J94" s="37" t="n"/>
      <c r="K94" s="31" t="n"/>
      <c r="L94" s="31" t="n"/>
      <c r="M94" s="31" t="n"/>
      <c r="N94" s="31" t="n"/>
      <c r="O94" s="31" t="n"/>
      <c r="P94" s="31" t="n"/>
      <c r="Q94" s="23">
        <f>IF($A94="","",COUNTIFS(Assignments!$C$2:$C$769,$A94,Assignments!$G$2:$G$769,"Active"))</f>
        <v/>
      </c>
      <c r="R94" s="32">
        <f>IF($A94="","",SUMIFS(Assignments!$I$2:$I$769,Assignments!$C$2:$C$769,$A94,Assignments!$G$2:$G$769,"Active"))</f>
        <v/>
      </c>
      <c r="S94" s="20" t="inlineStr">
        <is>
          <t>WIP</t>
        </is>
      </c>
      <c r="T94" s="31" t="n"/>
      <c r="U94" s="36" t="n"/>
      <c r="V94" s="34">
        <f>IF($U94="","",IFERROR(INDEX(Templates!$K$3:$K$10,MATCH($U94,Templates!$A$3:$A$10,0)),""))</f>
        <v/>
      </c>
      <c r="W94" s="34">
        <f>IF($U94="","",IFERROR(INDEX(Templates!$L$3:$L$10,MATCH($U94,Templates!$A$3:$A$10,0)),""))</f>
        <v/>
      </c>
      <c r="X94" s="21">
        <f>IF($U94="","",IFERROR(INDEX(Templates!$J$3:$J$10,MATCH($U94,Templates!$A$3:$A$10,0)),""))</f>
        <v/>
      </c>
      <c r="Y94" s="35">
        <f>IF(OR($U94="",$I94="",$J94="",$X94=""),"",$I94+$X94*($J94-$I94))</f>
        <v/>
      </c>
      <c r="Z94" s="30" t="n">
        <v>46212</v>
      </c>
      <c r="AA94" s="38" t="n"/>
      <c r="AB94" s="39" t="n"/>
      <c r="AC94" s="39" t="n"/>
      <c r="AD94" s="19">
        <f>IF($A94="","",IF($AA94="",$H94,$AA94))</f>
        <v/>
      </c>
      <c r="AE94" s="35">
        <f>IF($A94="","",IF($AB94="",$I94,$AB94))</f>
        <v/>
      </c>
      <c r="AF94" s="35">
        <f>IF($A94="","",IF($AC94="",$J94,$AC94))</f>
        <v/>
      </c>
      <c r="AG94" s="35">
        <f>IF(OR($U94="",$AE94="",$AF94="",$X94=""),"",$AE94+$X94*($AF94-$AE94))</f>
        <v/>
      </c>
      <c r="AH94" s="36" t="n"/>
      <c r="AI94" s="36" t="n"/>
      <c r="AJ94" s="36" t="n"/>
      <c r="AK94" s="36" t="n"/>
      <c r="AL94" s="36" t="n"/>
      <c r="AM94" s="36" t="n"/>
      <c r="AN94" s="36" t="n"/>
      <c r="AO94" s="36" t="n"/>
      <c r="AP94" s="36" t="n"/>
      <c r="AQ94" s="36" t="n"/>
      <c r="AR94" s="36" t="n"/>
      <c r="AS94" s="36" t="n"/>
      <c r="AT94" s="36" t="n"/>
      <c r="AU94" s="36" t="n"/>
      <c r="AV94" s="36" t="n"/>
      <c r="AW94" s="36" t="n"/>
      <c r="AX94" s="36" t="n"/>
    </row>
    <row r="95">
      <c r="A95" s="28" t="inlineStr">
        <is>
          <t>Hyacinth_1</t>
        </is>
      </c>
      <c r="B95" s="20" t="inlineStr">
        <is>
          <t>CFC Underwriting</t>
        </is>
      </c>
      <c r="C95" s="28" t="inlineStr">
        <is>
          <t>CFC Underwriting</t>
        </is>
      </c>
      <c r="D95" s="28" t="inlineStr"/>
      <c r="E95" s="28" t="inlineStr">
        <is>
          <t>No</t>
        </is>
      </c>
      <c r="F95" s="28" t="inlineStr">
        <is>
          <t>Active</t>
        </is>
      </c>
      <c r="G95" s="36" t="n"/>
      <c r="H95" s="29" t="n">
        <v>1</v>
      </c>
      <c r="I95" s="37" t="n"/>
      <c r="J95" s="37" t="n"/>
      <c r="K95" s="31" t="n"/>
      <c r="L95" s="31" t="n"/>
      <c r="M95" s="31" t="n"/>
      <c r="N95" s="31" t="n"/>
      <c r="O95" s="31" t="n"/>
      <c r="P95" s="31" t="n"/>
      <c r="Q95" s="23">
        <f>IF($A95="","",COUNTIFS(Assignments!$C$2:$C$769,$A95,Assignments!$G$2:$G$769,"Active"))</f>
        <v/>
      </c>
      <c r="R95" s="32">
        <f>IF($A95="","",SUMIFS(Assignments!$I$2:$I$769,Assignments!$C$2:$C$769,$A95,Assignments!$G$2:$G$769,"Active"))</f>
        <v/>
      </c>
      <c r="S95" s="20" t="inlineStr">
        <is>
          <t>WIP</t>
        </is>
      </c>
      <c r="T95" s="31" t="n"/>
      <c r="U95" s="36" t="n"/>
      <c r="V95" s="34">
        <f>IF($U95="","",IFERROR(INDEX(Templates!$K$3:$K$10,MATCH($U95,Templates!$A$3:$A$10,0)),""))</f>
        <v/>
      </c>
      <c r="W95" s="34">
        <f>IF($U95="","",IFERROR(INDEX(Templates!$L$3:$L$10,MATCH($U95,Templates!$A$3:$A$10,0)),""))</f>
        <v/>
      </c>
      <c r="X95" s="21">
        <f>IF($U95="","",IFERROR(INDEX(Templates!$J$3:$J$10,MATCH($U95,Templates!$A$3:$A$10,0)),""))</f>
        <v/>
      </c>
      <c r="Y95" s="35">
        <f>IF(OR($U95="",$I95="",$J95="",$X95=""),"",$I95+$X95*($J95-$I95))</f>
        <v/>
      </c>
      <c r="Z95" s="30" t="n">
        <v>46212</v>
      </c>
      <c r="AA95" s="38" t="n"/>
      <c r="AB95" s="39" t="n"/>
      <c r="AC95" s="39" t="n"/>
      <c r="AD95" s="19">
        <f>IF($A95="","",IF($AA95="",$H95,$AA95))</f>
        <v/>
      </c>
      <c r="AE95" s="35">
        <f>IF($A95="","",IF($AB95="",$I95,$AB95))</f>
        <v/>
      </c>
      <c r="AF95" s="35">
        <f>IF($A95="","",IF($AC95="",$J95,$AC95))</f>
        <v/>
      </c>
      <c r="AG95" s="35">
        <f>IF(OR($U95="",$AE95="",$AF95="",$X95=""),"",$AE95+$X95*($AF95-$AE95))</f>
        <v/>
      </c>
      <c r="AH95" s="36" t="n"/>
      <c r="AI95" s="36" t="n"/>
      <c r="AJ95" s="36" t="n"/>
      <c r="AK95" s="36" t="n"/>
      <c r="AL95" s="36" t="n"/>
      <c r="AM95" s="36" t="n"/>
      <c r="AN95" s="36" t="n"/>
      <c r="AO95" s="36" t="n"/>
      <c r="AP95" s="36" t="n"/>
      <c r="AQ95" s="36" t="n"/>
      <c r="AR95" s="36" t="n"/>
      <c r="AS95" s="36" t="n"/>
      <c r="AT95" s="36" t="n"/>
      <c r="AU95" s="36" t="n"/>
      <c r="AV95" s="36" t="n"/>
      <c r="AW95" s="36" t="n"/>
      <c r="AX95" s="36" t="n"/>
    </row>
    <row r="96">
      <c r="A96" s="28" t="inlineStr">
        <is>
          <t>Hydra_1</t>
        </is>
      </c>
      <c r="B96" s="20" t="inlineStr">
        <is>
          <t>Ethos Specialty Insurance Services</t>
        </is>
      </c>
      <c r="C96" s="28" t="inlineStr">
        <is>
          <t>Ethos Specialty Insurance Services</t>
        </is>
      </c>
      <c r="D96" s="28" t="inlineStr"/>
      <c r="E96" s="28" t="inlineStr">
        <is>
          <t>No</t>
        </is>
      </c>
      <c r="F96" s="28" t="inlineStr">
        <is>
          <t>Active</t>
        </is>
      </c>
      <c r="G96" s="36" t="n"/>
      <c r="H96" s="29" t="n">
        <v>1</v>
      </c>
      <c r="I96" s="37" t="n"/>
      <c r="J96" s="37" t="n"/>
      <c r="K96" s="31" t="n"/>
      <c r="L96" s="31" t="n"/>
      <c r="M96" s="31" t="n"/>
      <c r="N96" s="31" t="n"/>
      <c r="O96" s="31" t="n"/>
      <c r="P96" s="31" t="n"/>
      <c r="Q96" s="23">
        <f>IF($A96="","",COUNTIFS(Assignments!$C$2:$C$769,$A96,Assignments!$G$2:$G$769,"Active"))</f>
        <v/>
      </c>
      <c r="R96" s="32">
        <f>IF($A96="","",SUMIFS(Assignments!$I$2:$I$769,Assignments!$C$2:$C$769,$A96,Assignments!$G$2:$G$769,"Active"))</f>
        <v/>
      </c>
      <c r="S96" s="20" t="inlineStr">
        <is>
          <t>WIP</t>
        </is>
      </c>
      <c r="T96" s="31" t="n"/>
      <c r="U96" s="36" t="n"/>
      <c r="V96" s="34">
        <f>IF($U96="","",IFERROR(INDEX(Templates!$K$3:$K$10,MATCH($U96,Templates!$A$3:$A$10,0)),""))</f>
        <v/>
      </c>
      <c r="W96" s="34">
        <f>IF($U96="","",IFERROR(INDEX(Templates!$L$3:$L$10,MATCH($U96,Templates!$A$3:$A$10,0)),""))</f>
        <v/>
      </c>
      <c r="X96" s="21">
        <f>IF($U96="","",IFERROR(INDEX(Templates!$J$3:$J$10,MATCH($U96,Templates!$A$3:$A$10,0)),""))</f>
        <v/>
      </c>
      <c r="Y96" s="35">
        <f>IF(OR($U96="",$I96="",$J96="",$X96=""),"",$I96+$X96*($J96-$I96))</f>
        <v/>
      </c>
      <c r="Z96" s="30" t="n">
        <v>46212</v>
      </c>
      <c r="AA96" s="38" t="n"/>
      <c r="AB96" s="39" t="n"/>
      <c r="AC96" s="39" t="n"/>
      <c r="AD96" s="19">
        <f>IF($A96="","",IF($AA96="",$H96,$AA96))</f>
        <v/>
      </c>
      <c r="AE96" s="35">
        <f>IF($A96="","",IF($AB96="",$I96,$AB96))</f>
        <v/>
      </c>
      <c r="AF96" s="35">
        <f>IF($A96="","",IF($AC96="",$J96,$AC96))</f>
        <v/>
      </c>
      <c r="AG96" s="35">
        <f>IF(OR($U96="",$AE96="",$AF96="",$X96=""),"",$AE96+$X96*($AF96-$AE96))</f>
        <v/>
      </c>
      <c r="AH96" s="36" t="n"/>
      <c r="AI96" s="36" t="n"/>
      <c r="AJ96" s="36" t="n"/>
      <c r="AK96" s="36" t="n"/>
      <c r="AL96" s="36" t="n"/>
      <c r="AM96" s="36" t="n"/>
      <c r="AN96" s="36" t="n"/>
      <c r="AO96" s="36" t="n"/>
      <c r="AP96" s="36" t="n"/>
      <c r="AQ96" s="36" t="n"/>
      <c r="AR96" s="36" t="n"/>
      <c r="AS96" s="36" t="n"/>
      <c r="AT96" s="36" t="n"/>
      <c r="AU96" s="36" t="n"/>
      <c r="AV96" s="36" t="n"/>
      <c r="AW96" s="36" t="n"/>
      <c r="AX96" s="36" t="n"/>
    </row>
    <row r="97">
      <c r="A97" s="28" t="inlineStr">
        <is>
          <t>i3 Broadband _1</t>
        </is>
      </c>
      <c r="B97" s="20" t="inlineStr">
        <is>
          <t>Wren House Infrastructure</t>
        </is>
      </c>
      <c r="C97" s="28" t="inlineStr">
        <is>
          <t>Wren House Infrastructure</t>
        </is>
      </c>
      <c r="D97" s="28" t="inlineStr"/>
      <c r="E97" s="28" t="inlineStr">
        <is>
          <t>No</t>
        </is>
      </c>
      <c r="F97" s="28" t="inlineStr">
        <is>
          <t>Active</t>
        </is>
      </c>
      <c r="G97" s="36" t="n"/>
      <c r="H97" s="29" t="n">
        <v>1</v>
      </c>
      <c r="I97" s="37" t="n"/>
      <c r="J97" s="37" t="n"/>
      <c r="K97" s="31" t="n"/>
      <c r="L97" s="31" t="n"/>
      <c r="M97" s="31" t="n"/>
      <c r="N97" s="31" t="n"/>
      <c r="O97" s="31" t="n"/>
      <c r="P97" s="31" t="n"/>
      <c r="Q97" s="23">
        <f>IF($A97="","",COUNTIFS(Assignments!$C$2:$C$769,$A97,Assignments!$G$2:$G$769,"Active"))</f>
        <v/>
      </c>
      <c r="R97" s="32">
        <f>IF($A97="","",SUMIFS(Assignments!$I$2:$I$769,Assignments!$C$2:$C$769,$A97,Assignments!$G$2:$G$769,"Active"))</f>
        <v/>
      </c>
      <c r="S97" s="20" t="inlineStr">
        <is>
          <t>WIP</t>
        </is>
      </c>
      <c r="T97" s="31" t="n"/>
      <c r="U97" s="36" t="n"/>
      <c r="V97" s="34">
        <f>IF($U97="","",IFERROR(INDEX(Templates!$K$3:$K$10,MATCH($U97,Templates!$A$3:$A$10,0)),""))</f>
        <v/>
      </c>
      <c r="W97" s="34">
        <f>IF($U97="","",IFERROR(INDEX(Templates!$L$3:$L$10,MATCH($U97,Templates!$A$3:$A$10,0)),""))</f>
        <v/>
      </c>
      <c r="X97" s="21">
        <f>IF($U97="","",IFERROR(INDEX(Templates!$J$3:$J$10,MATCH($U97,Templates!$A$3:$A$10,0)),""))</f>
        <v/>
      </c>
      <c r="Y97" s="35">
        <f>IF(OR($U97="",$I97="",$J97="",$X97=""),"",$I97+$X97*($J97-$I97))</f>
        <v/>
      </c>
      <c r="Z97" s="30" t="n">
        <v>46212</v>
      </c>
      <c r="AA97" s="38" t="n"/>
      <c r="AB97" s="39" t="n"/>
      <c r="AC97" s="39" t="n"/>
      <c r="AD97" s="19">
        <f>IF($A97="","",IF($AA97="",$H97,$AA97))</f>
        <v/>
      </c>
      <c r="AE97" s="35">
        <f>IF($A97="","",IF($AB97="",$I97,$AB97))</f>
        <v/>
      </c>
      <c r="AF97" s="35">
        <f>IF($A97="","",IF($AC97="",$J97,$AC97))</f>
        <v/>
      </c>
      <c r="AG97" s="35">
        <f>IF(OR($U97="",$AE97="",$AF97="",$X97=""),"",$AE97+$X97*($AF97-$AE97))</f>
        <v/>
      </c>
      <c r="AH97" s="36" t="n"/>
      <c r="AI97" s="36" t="n"/>
      <c r="AJ97" s="36" t="n"/>
      <c r="AK97" s="36" t="n"/>
      <c r="AL97" s="36" t="n"/>
      <c r="AM97" s="36" t="n"/>
      <c r="AN97" s="36" t="n"/>
      <c r="AO97" s="36" t="n"/>
      <c r="AP97" s="36" t="n"/>
      <c r="AQ97" s="36" t="n"/>
      <c r="AR97" s="36" t="n"/>
      <c r="AS97" s="36" t="n"/>
      <c r="AT97" s="36" t="n"/>
      <c r="AU97" s="36" t="n"/>
      <c r="AV97" s="36" t="n"/>
      <c r="AW97" s="36" t="n"/>
      <c r="AX97" s="36" t="n"/>
    </row>
    <row r="98">
      <c r="A98" s="28" t="inlineStr">
        <is>
          <t>IGS_1</t>
        </is>
      </c>
      <c r="B98" s="20" t="inlineStr">
        <is>
          <t>Ethos Specialty Insurance Services</t>
        </is>
      </c>
      <c r="C98" s="28" t="inlineStr">
        <is>
          <t>Ethos Specialty Insurance Services</t>
        </is>
      </c>
      <c r="D98" s="28" t="inlineStr"/>
      <c r="E98" s="28" t="inlineStr">
        <is>
          <t>No</t>
        </is>
      </c>
      <c r="F98" s="28" t="inlineStr">
        <is>
          <t>Active</t>
        </is>
      </c>
      <c r="G98" s="36" t="n"/>
      <c r="H98" s="29" t="n">
        <v>1</v>
      </c>
      <c r="I98" s="37" t="n"/>
      <c r="J98" s="37" t="n"/>
      <c r="K98" s="31" t="n"/>
      <c r="L98" s="31" t="n"/>
      <c r="M98" s="31" t="n"/>
      <c r="N98" s="31" t="n"/>
      <c r="O98" s="31" t="n"/>
      <c r="P98" s="31" t="n"/>
      <c r="Q98" s="23">
        <f>IF($A98="","",COUNTIFS(Assignments!$C$2:$C$769,$A98,Assignments!$G$2:$G$769,"Active"))</f>
        <v/>
      </c>
      <c r="R98" s="32">
        <f>IF($A98="","",SUMIFS(Assignments!$I$2:$I$769,Assignments!$C$2:$C$769,$A98,Assignments!$G$2:$G$769,"Active"))</f>
        <v/>
      </c>
      <c r="S98" s="20" t="inlineStr">
        <is>
          <t>WIP</t>
        </is>
      </c>
      <c r="T98" s="31" t="n"/>
      <c r="U98" s="36" t="n"/>
      <c r="V98" s="34">
        <f>IF($U98="","",IFERROR(INDEX(Templates!$K$3:$K$10,MATCH($U98,Templates!$A$3:$A$10,0)),""))</f>
        <v/>
      </c>
      <c r="W98" s="34">
        <f>IF($U98="","",IFERROR(INDEX(Templates!$L$3:$L$10,MATCH($U98,Templates!$A$3:$A$10,0)),""))</f>
        <v/>
      </c>
      <c r="X98" s="21">
        <f>IF($U98="","",IFERROR(INDEX(Templates!$J$3:$J$10,MATCH($U98,Templates!$A$3:$A$10,0)),""))</f>
        <v/>
      </c>
      <c r="Y98" s="35">
        <f>IF(OR($U98="",$I98="",$J98="",$X98=""),"",$I98+$X98*($J98-$I98))</f>
        <v/>
      </c>
      <c r="Z98" s="30" t="n">
        <v>46212</v>
      </c>
      <c r="AA98" s="38" t="n"/>
      <c r="AB98" s="39" t="n"/>
      <c r="AC98" s="39" t="n"/>
      <c r="AD98" s="19">
        <f>IF($A98="","",IF($AA98="",$H98,$AA98))</f>
        <v/>
      </c>
      <c r="AE98" s="35">
        <f>IF($A98="","",IF($AB98="",$I98,$AB98))</f>
        <v/>
      </c>
      <c r="AF98" s="35">
        <f>IF($A98="","",IF($AC98="",$J98,$AC98))</f>
        <v/>
      </c>
      <c r="AG98" s="35">
        <f>IF(OR($U98="",$AE98="",$AF98="",$X98=""),"",$AE98+$X98*($AF98-$AE98))</f>
        <v/>
      </c>
      <c r="AH98" s="36" t="n"/>
      <c r="AI98" s="36" t="n"/>
      <c r="AJ98" s="36" t="n"/>
      <c r="AK98" s="36" t="n"/>
      <c r="AL98" s="36" t="n"/>
      <c r="AM98" s="36" t="n"/>
      <c r="AN98" s="36" t="n"/>
      <c r="AO98" s="36" t="n"/>
      <c r="AP98" s="36" t="n"/>
      <c r="AQ98" s="36" t="n"/>
      <c r="AR98" s="36" t="n"/>
      <c r="AS98" s="36" t="n"/>
      <c r="AT98" s="36" t="n"/>
      <c r="AU98" s="36" t="n"/>
      <c r="AV98" s="36" t="n"/>
      <c r="AW98" s="36" t="n"/>
      <c r="AX98" s="36" t="n"/>
    </row>
    <row r="99">
      <c r="A99" s="28" t="inlineStr">
        <is>
          <t>IMEC_1</t>
        </is>
      </c>
      <c r="B99" s="20" t="inlineStr">
        <is>
          <t>Maven Advisory LLC</t>
        </is>
      </c>
      <c r="C99" s="28" t="inlineStr">
        <is>
          <t>Maven Advisory LLC</t>
        </is>
      </c>
      <c r="D99" s="28" t="inlineStr"/>
      <c r="E99" s="28" t="inlineStr">
        <is>
          <t>No</t>
        </is>
      </c>
      <c r="F99" s="28" t="inlineStr">
        <is>
          <t>Active</t>
        </is>
      </c>
      <c r="G99" s="36" t="n"/>
      <c r="H99" s="29" t="n">
        <v>1</v>
      </c>
      <c r="I99" s="37" t="n"/>
      <c r="J99" s="37" t="n"/>
      <c r="K99" s="31" t="n"/>
      <c r="L99" s="31" t="n"/>
      <c r="M99" s="31" t="n"/>
      <c r="N99" s="31" t="n"/>
      <c r="O99" s="31" t="n"/>
      <c r="P99" s="31" t="n"/>
      <c r="Q99" s="23">
        <f>IF($A99="","",COUNTIFS(Assignments!$C$2:$C$769,$A99,Assignments!$G$2:$G$769,"Active"))</f>
        <v/>
      </c>
      <c r="R99" s="32">
        <f>IF($A99="","",SUMIFS(Assignments!$I$2:$I$769,Assignments!$C$2:$C$769,$A99,Assignments!$G$2:$G$769,"Active"))</f>
        <v/>
      </c>
      <c r="S99" s="20" t="inlineStr">
        <is>
          <t>WIP</t>
        </is>
      </c>
      <c r="T99" s="31" t="n"/>
      <c r="U99" s="36" t="n"/>
      <c r="V99" s="34">
        <f>IF($U99="","",IFERROR(INDEX(Templates!$K$3:$K$10,MATCH($U99,Templates!$A$3:$A$10,0)),""))</f>
        <v/>
      </c>
      <c r="W99" s="34">
        <f>IF($U99="","",IFERROR(INDEX(Templates!$L$3:$L$10,MATCH($U99,Templates!$A$3:$A$10,0)),""))</f>
        <v/>
      </c>
      <c r="X99" s="21">
        <f>IF($U99="","",IFERROR(INDEX(Templates!$J$3:$J$10,MATCH($U99,Templates!$A$3:$A$10,0)),""))</f>
        <v/>
      </c>
      <c r="Y99" s="35">
        <f>IF(OR($U99="",$I99="",$J99="",$X99=""),"",$I99+$X99*($J99-$I99))</f>
        <v/>
      </c>
      <c r="Z99" s="30" t="n">
        <v>46212</v>
      </c>
      <c r="AA99" s="38" t="n"/>
      <c r="AB99" s="39" t="n"/>
      <c r="AC99" s="39" t="n"/>
      <c r="AD99" s="19">
        <f>IF($A99="","",IF($AA99="",$H99,$AA99))</f>
        <v/>
      </c>
      <c r="AE99" s="35">
        <f>IF($A99="","",IF($AB99="",$I99,$AB99))</f>
        <v/>
      </c>
      <c r="AF99" s="35">
        <f>IF($A99="","",IF($AC99="",$J99,$AC99))</f>
        <v/>
      </c>
      <c r="AG99" s="35">
        <f>IF(OR($U99="",$AE99="",$AF99="",$X99=""),"",$AE99+$X99*($AF99-$AE99))</f>
        <v/>
      </c>
      <c r="AH99" s="36" t="n"/>
      <c r="AI99" s="36" t="n"/>
      <c r="AJ99" s="36" t="n"/>
      <c r="AK99" s="36" t="n"/>
      <c r="AL99" s="36" t="n"/>
      <c r="AM99" s="36" t="n"/>
      <c r="AN99" s="36" t="n"/>
      <c r="AO99" s="36" t="n"/>
      <c r="AP99" s="36" t="n"/>
      <c r="AQ99" s="36" t="n"/>
      <c r="AR99" s="36" t="n"/>
      <c r="AS99" s="36" t="n"/>
      <c r="AT99" s="36" t="n"/>
      <c r="AU99" s="36" t="n"/>
      <c r="AV99" s="36" t="n"/>
      <c r="AW99" s="36" t="n"/>
      <c r="AX99" s="36" t="n"/>
    </row>
    <row r="100">
      <c r="A100" s="28" t="inlineStr">
        <is>
          <t>Instinct_1</t>
        </is>
      </c>
      <c r="B100" s="20" t="inlineStr">
        <is>
          <t>Brookfield</t>
        </is>
      </c>
      <c r="C100" s="28" t="inlineStr">
        <is>
          <t>Brookfield</t>
        </is>
      </c>
      <c r="D100" s="28" t="inlineStr"/>
      <c r="E100" s="28" t="inlineStr">
        <is>
          <t>No</t>
        </is>
      </c>
      <c r="F100" s="28" t="inlineStr">
        <is>
          <t>Active</t>
        </is>
      </c>
      <c r="G100" s="36" t="n"/>
      <c r="H100" s="29" t="n">
        <v>1</v>
      </c>
      <c r="I100" s="37" t="n"/>
      <c r="J100" s="37" t="n"/>
      <c r="K100" s="31" t="n"/>
      <c r="L100" s="31" t="n"/>
      <c r="M100" s="31" t="n"/>
      <c r="N100" s="31" t="n"/>
      <c r="O100" s="31" t="n"/>
      <c r="P100" s="31" t="n"/>
      <c r="Q100" s="23">
        <f>IF($A100="","",COUNTIFS(Assignments!$C$2:$C$769,$A100,Assignments!$G$2:$G$769,"Active"))</f>
        <v/>
      </c>
      <c r="R100" s="32">
        <f>IF($A100="","",SUMIFS(Assignments!$I$2:$I$769,Assignments!$C$2:$C$769,$A100,Assignments!$G$2:$G$769,"Active"))</f>
        <v/>
      </c>
      <c r="S100" s="20" t="inlineStr">
        <is>
          <t>Summary tab only (WIP)</t>
        </is>
      </c>
      <c r="T100" s="31" t="n"/>
      <c r="U100" s="36" t="n"/>
      <c r="V100" s="34">
        <f>IF($U100="","",IFERROR(INDEX(Templates!$K$3:$K$10,MATCH($U100,Templates!$A$3:$A$10,0)),""))</f>
        <v/>
      </c>
      <c r="W100" s="34">
        <f>IF($U100="","",IFERROR(INDEX(Templates!$L$3:$L$10,MATCH($U100,Templates!$A$3:$A$10,0)),""))</f>
        <v/>
      </c>
      <c r="X100" s="21">
        <f>IF($U100="","",IFERROR(INDEX(Templates!$J$3:$J$10,MATCH($U100,Templates!$A$3:$A$10,0)),""))</f>
        <v/>
      </c>
      <c r="Y100" s="35">
        <f>IF(OR($U100="",$I100="",$J100="",$X100=""),"",$I100+$X100*($J100-$I100))</f>
        <v/>
      </c>
      <c r="Z100" s="30" t="n">
        <v>46212</v>
      </c>
      <c r="AA100" s="38" t="n"/>
      <c r="AB100" s="39" t="n"/>
      <c r="AC100" s="39" t="n"/>
      <c r="AD100" s="19">
        <f>IF($A100="","",IF($AA100="",$H100,$AA100))</f>
        <v/>
      </c>
      <c r="AE100" s="35">
        <f>IF($A100="","",IF($AB100="",$I100,$AB100))</f>
        <v/>
      </c>
      <c r="AF100" s="35">
        <f>IF($A100="","",IF($AC100="",$J100,$AC100))</f>
        <v/>
      </c>
      <c r="AG100" s="35">
        <f>IF(OR($U100="",$AE100="",$AF100="",$X100=""),"",$AE100+$X100*($AF100-$AE100))</f>
        <v/>
      </c>
      <c r="AH100" s="36" t="n"/>
      <c r="AI100" s="36" t="n"/>
      <c r="AJ100" s="36" t="n"/>
      <c r="AK100" s="36" t="n"/>
      <c r="AL100" s="36" t="n"/>
      <c r="AM100" s="36" t="n"/>
      <c r="AN100" s="36" t="n"/>
      <c r="AO100" s="36" t="n"/>
      <c r="AP100" s="36" t="n"/>
      <c r="AQ100" s="36" t="n"/>
      <c r="AR100" s="36" t="n"/>
      <c r="AS100" s="36" t="n"/>
      <c r="AT100" s="36" t="n"/>
      <c r="AU100" s="36" t="n"/>
      <c r="AV100" s="36" t="n"/>
      <c r="AW100" s="36" t="n"/>
      <c r="AX100" s="36" t="n"/>
    </row>
    <row r="101">
      <c r="A101" s="28" t="inlineStr">
        <is>
          <t>Irradiant_ITC_1</t>
        </is>
      </c>
      <c r="B101" s="20" t="inlineStr">
        <is>
          <t>Apollo</t>
        </is>
      </c>
      <c r="C101" s="28" t="inlineStr">
        <is>
          <t>Apollo</t>
        </is>
      </c>
      <c r="D101" s="28" t="inlineStr"/>
      <c r="E101" s="28" t="inlineStr">
        <is>
          <t>No</t>
        </is>
      </c>
      <c r="F101" s="28" t="inlineStr">
        <is>
          <t>Active</t>
        </is>
      </c>
      <c r="G101" s="36" t="n"/>
      <c r="H101" s="29" t="n">
        <v>1</v>
      </c>
      <c r="I101" s="37" t="n"/>
      <c r="J101" s="37" t="n"/>
      <c r="K101" s="31" t="n"/>
      <c r="L101" s="31" t="n"/>
      <c r="M101" s="31" t="n"/>
      <c r="N101" s="31" t="n"/>
      <c r="O101" s="31" t="n"/>
      <c r="P101" s="31" t="n"/>
      <c r="Q101" s="23">
        <f>IF($A101="","",COUNTIFS(Assignments!$C$2:$C$769,$A101,Assignments!$G$2:$G$769,"Active"))</f>
        <v/>
      </c>
      <c r="R101" s="32">
        <f>IF($A101="","",SUMIFS(Assignments!$I$2:$I$769,Assignments!$C$2:$C$769,$A101,Assignments!$G$2:$G$769,"Active"))</f>
        <v/>
      </c>
      <c r="S101" s="20" t="inlineStr">
        <is>
          <t>Summary tab only (WIP)</t>
        </is>
      </c>
      <c r="T101" s="31" t="n"/>
      <c r="U101" s="36" t="n"/>
      <c r="V101" s="34">
        <f>IF($U101="","",IFERROR(INDEX(Templates!$K$3:$K$10,MATCH($U101,Templates!$A$3:$A$10,0)),""))</f>
        <v/>
      </c>
      <c r="W101" s="34">
        <f>IF($U101="","",IFERROR(INDEX(Templates!$L$3:$L$10,MATCH($U101,Templates!$A$3:$A$10,0)),""))</f>
        <v/>
      </c>
      <c r="X101" s="21">
        <f>IF($U101="","",IFERROR(INDEX(Templates!$J$3:$J$10,MATCH($U101,Templates!$A$3:$A$10,0)),""))</f>
        <v/>
      </c>
      <c r="Y101" s="35">
        <f>IF(OR($U101="",$I101="",$J101="",$X101=""),"",$I101+$X101*($J101-$I101))</f>
        <v/>
      </c>
      <c r="Z101" s="30" t="n">
        <v>46212</v>
      </c>
      <c r="AA101" s="38" t="n"/>
      <c r="AB101" s="39" t="n"/>
      <c r="AC101" s="39" t="n"/>
      <c r="AD101" s="19">
        <f>IF($A101="","",IF($AA101="",$H101,$AA101))</f>
        <v/>
      </c>
      <c r="AE101" s="35">
        <f>IF($A101="","",IF($AB101="",$I101,$AB101))</f>
        <v/>
      </c>
      <c r="AF101" s="35">
        <f>IF($A101="","",IF($AC101="",$J101,$AC101))</f>
        <v/>
      </c>
      <c r="AG101" s="35">
        <f>IF(OR($U101="",$AE101="",$AF101="",$X101=""),"",$AE101+$X101*($AF101-$AE101))</f>
        <v/>
      </c>
      <c r="AH101" s="36" t="n"/>
      <c r="AI101" s="36" t="n"/>
      <c r="AJ101" s="36" t="n"/>
      <c r="AK101" s="36" t="n"/>
      <c r="AL101" s="36" t="n"/>
      <c r="AM101" s="36" t="n"/>
      <c r="AN101" s="36" t="n"/>
      <c r="AO101" s="36" t="n"/>
      <c r="AP101" s="36" t="n"/>
      <c r="AQ101" s="36" t="n"/>
      <c r="AR101" s="36" t="n"/>
      <c r="AS101" s="36" t="n"/>
      <c r="AT101" s="36" t="n"/>
      <c r="AU101" s="36" t="n"/>
      <c r="AV101" s="36" t="n"/>
      <c r="AW101" s="36" t="n"/>
      <c r="AX101" s="36" t="n"/>
    </row>
    <row r="102">
      <c r="A102" s="28" t="inlineStr">
        <is>
          <t>Javelina Gain_1</t>
        </is>
      </c>
      <c r="B102" s="20" t="inlineStr">
        <is>
          <t>Eolic Development Partners</t>
        </is>
      </c>
      <c r="C102" s="28" t="inlineStr">
        <is>
          <t>Eolic Development Partners</t>
        </is>
      </c>
      <c r="D102" s="28" t="inlineStr"/>
      <c r="E102" s="28" t="inlineStr">
        <is>
          <t>No</t>
        </is>
      </c>
      <c r="F102" s="28" t="inlineStr">
        <is>
          <t>Active</t>
        </is>
      </c>
      <c r="G102" s="36" t="n"/>
      <c r="H102" s="29" t="n">
        <v>1</v>
      </c>
      <c r="I102" s="37" t="n"/>
      <c r="J102" s="37" t="n"/>
      <c r="K102" s="31" t="n"/>
      <c r="L102" s="31" t="n"/>
      <c r="M102" s="31" t="n"/>
      <c r="N102" s="31" t="n"/>
      <c r="O102" s="31" t="n"/>
      <c r="P102" s="31" t="n"/>
      <c r="Q102" s="23">
        <f>IF($A102="","",COUNTIFS(Assignments!$C$2:$C$769,$A102,Assignments!$G$2:$G$769,"Active"))</f>
        <v/>
      </c>
      <c r="R102" s="32">
        <f>IF($A102="","",SUMIFS(Assignments!$I$2:$I$769,Assignments!$C$2:$C$769,$A102,Assignments!$G$2:$G$769,"Active"))</f>
        <v/>
      </c>
      <c r="S102" s="20" t="inlineStr">
        <is>
          <t>WIP</t>
        </is>
      </c>
      <c r="T102" s="31" t="n"/>
      <c r="U102" s="36" t="n"/>
      <c r="V102" s="34">
        <f>IF($U102="","",IFERROR(INDEX(Templates!$K$3:$K$10,MATCH($U102,Templates!$A$3:$A$10,0)),""))</f>
        <v/>
      </c>
      <c r="W102" s="34">
        <f>IF($U102="","",IFERROR(INDEX(Templates!$L$3:$L$10,MATCH($U102,Templates!$A$3:$A$10,0)),""))</f>
        <v/>
      </c>
      <c r="X102" s="21">
        <f>IF($U102="","",IFERROR(INDEX(Templates!$J$3:$J$10,MATCH($U102,Templates!$A$3:$A$10,0)),""))</f>
        <v/>
      </c>
      <c r="Y102" s="35">
        <f>IF(OR($U102="",$I102="",$J102="",$X102=""),"",$I102+$X102*($J102-$I102))</f>
        <v/>
      </c>
      <c r="Z102" s="30" t="n">
        <v>46212</v>
      </c>
      <c r="AA102" s="38" t="n"/>
      <c r="AB102" s="39" t="n"/>
      <c r="AC102" s="39" t="n"/>
      <c r="AD102" s="19">
        <f>IF($A102="","",IF($AA102="",$H102,$AA102))</f>
        <v/>
      </c>
      <c r="AE102" s="35">
        <f>IF($A102="","",IF($AB102="",$I102,$AB102))</f>
        <v/>
      </c>
      <c r="AF102" s="35">
        <f>IF($A102="","",IF($AC102="",$J102,$AC102))</f>
        <v/>
      </c>
      <c r="AG102" s="35">
        <f>IF(OR($U102="",$AE102="",$AF102="",$X102=""),"",$AE102+$X102*($AF102-$AE102))</f>
        <v/>
      </c>
      <c r="AH102" s="36" t="n"/>
      <c r="AI102" s="36" t="n"/>
      <c r="AJ102" s="36" t="n"/>
      <c r="AK102" s="36" t="n"/>
      <c r="AL102" s="36" t="n"/>
      <c r="AM102" s="36" t="n"/>
      <c r="AN102" s="36" t="n"/>
      <c r="AO102" s="36" t="n"/>
      <c r="AP102" s="36" t="n"/>
      <c r="AQ102" s="36" t="n"/>
      <c r="AR102" s="36" t="n"/>
      <c r="AS102" s="36" t="n"/>
      <c r="AT102" s="36" t="n"/>
      <c r="AU102" s="36" t="n"/>
      <c r="AV102" s="36" t="n"/>
      <c r="AW102" s="36" t="n"/>
      <c r="AX102" s="36" t="n"/>
    </row>
    <row r="103">
      <c r="A103" s="28" t="inlineStr">
        <is>
          <t>Justin_2</t>
        </is>
      </c>
      <c r="B103" s="20" t="inlineStr">
        <is>
          <t>Euclid Transactional</t>
        </is>
      </c>
      <c r="C103" s="28" t="inlineStr">
        <is>
          <t>Euclid Transactional</t>
        </is>
      </c>
      <c r="D103" s="28" t="inlineStr"/>
      <c r="E103" s="28" t="inlineStr">
        <is>
          <t>No</t>
        </is>
      </c>
      <c r="F103" s="28" t="inlineStr">
        <is>
          <t>Active</t>
        </is>
      </c>
      <c r="G103" s="36" t="n"/>
      <c r="H103" s="29" t="n">
        <v>1</v>
      </c>
      <c r="I103" s="37" t="n"/>
      <c r="J103" s="37" t="n"/>
      <c r="K103" s="31" t="n"/>
      <c r="L103" s="31" t="n"/>
      <c r="M103" s="31" t="n"/>
      <c r="N103" s="31" t="n"/>
      <c r="O103" s="31" t="n"/>
      <c r="P103" s="31" t="n"/>
      <c r="Q103" s="23">
        <f>IF($A103="","",COUNTIFS(Assignments!$C$2:$C$769,$A103,Assignments!$G$2:$G$769,"Active"))</f>
        <v/>
      </c>
      <c r="R103" s="32">
        <f>IF($A103="","",SUMIFS(Assignments!$I$2:$I$769,Assignments!$C$2:$C$769,$A103,Assignments!$G$2:$G$769,"Active"))</f>
        <v/>
      </c>
      <c r="S103" s="20" t="inlineStr">
        <is>
          <t>WIP</t>
        </is>
      </c>
      <c r="T103" s="31" t="n"/>
      <c r="U103" s="36" t="n"/>
      <c r="V103" s="34">
        <f>IF($U103="","",IFERROR(INDEX(Templates!$K$3:$K$10,MATCH($U103,Templates!$A$3:$A$10,0)),""))</f>
        <v/>
      </c>
      <c r="W103" s="34">
        <f>IF($U103="","",IFERROR(INDEX(Templates!$L$3:$L$10,MATCH($U103,Templates!$A$3:$A$10,0)),""))</f>
        <v/>
      </c>
      <c r="X103" s="21">
        <f>IF($U103="","",IFERROR(INDEX(Templates!$J$3:$J$10,MATCH($U103,Templates!$A$3:$A$10,0)),""))</f>
        <v/>
      </c>
      <c r="Y103" s="35">
        <f>IF(OR($U103="",$I103="",$J103="",$X103=""),"",$I103+$X103*($J103-$I103))</f>
        <v/>
      </c>
      <c r="Z103" s="30" t="n">
        <v>46212</v>
      </c>
      <c r="AA103" s="38" t="n"/>
      <c r="AB103" s="39" t="n"/>
      <c r="AC103" s="39" t="n"/>
      <c r="AD103" s="19">
        <f>IF($A103="","",IF($AA103="",$H103,$AA103))</f>
        <v/>
      </c>
      <c r="AE103" s="35">
        <f>IF($A103="","",IF($AB103="",$I103,$AB103))</f>
        <v/>
      </c>
      <c r="AF103" s="35">
        <f>IF($A103="","",IF($AC103="",$J103,$AC103))</f>
        <v/>
      </c>
      <c r="AG103" s="35">
        <f>IF(OR($U103="",$AE103="",$AF103="",$X103=""),"",$AE103+$X103*($AF103-$AE103))</f>
        <v/>
      </c>
      <c r="AH103" s="36" t="n"/>
      <c r="AI103" s="36" t="n"/>
      <c r="AJ103" s="36" t="n"/>
      <c r="AK103" s="36" t="n"/>
      <c r="AL103" s="36" t="n"/>
      <c r="AM103" s="36" t="n"/>
      <c r="AN103" s="36" t="n"/>
      <c r="AO103" s="36" t="n"/>
      <c r="AP103" s="36" t="n"/>
      <c r="AQ103" s="36" t="n"/>
      <c r="AR103" s="36" t="n"/>
      <c r="AS103" s="36" t="n"/>
      <c r="AT103" s="36" t="n"/>
      <c r="AU103" s="36" t="n"/>
      <c r="AV103" s="36" t="n"/>
      <c r="AW103" s="36" t="n"/>
      <c r="AX103" s="36" t="n"/>
    </row>
    <row r="104">
      <c r="A104" s="28" t="inlineStr">
        <is>
          <t>Kanawha_1</t>
        </is>
      </c>
      <c r="B104" s="20" t="inlineStr">
        <is>
          <t>Franklin L. Haney Company</t>
        </is>
      </c>
      <c r="C104" s="28" t="inlineStr">
        <is>
          <t>Franklin L. Haney Company</t>
        </is>
      </c>
      <c r="D104" s="28" t="inlineStr"/>
      <c r="E104" s="28" t="inlineStr">
        <is>
          <t>No</t>
        </is>
      </c>
      <c r="F104" s="28" t="inlineStr">
        <is>
          <t>Active</t>
        </is>
      </c>
      <c r="G104" s="36" t="n"/>
      <c r="H104" s="29" t="n">
        <v>1</v>
      </c>
      <c r="I104" s="37" t="n"/>
      <c r="J104" s="37" t="n"/>
      <c r="K104" s="31" t="n"/>
      <c r="L104" s="31" t="n"/>
      <c r="M104" s="31" t="n"/>
      <c r="N104" s="31" t="n"/>
      <c r="O104" s="31" t="n"/>
      <c r="P104" s="31" t="n"/>
      <c r="Q104" s="23">
        <f>IF($A104="","",COUNTIFS(Assignments!$C$2:$C$769,$A104,Assignments!$G$2:$G$769,"Active"))</f>
        <v/>
      </c>
      <c r="R104" s="32">
        <f>IF($A104="","",SUMIFS(Assignments!$I$2:$I$769,Assignments!$C$2:$C$769,$A104,Assignments!$G$2:$G$769,"Active"))</f>
        <v/>
      </c>
      <c r="S104" s="20" t="inlineStr">
        <is>
          <t>WIP</t>
        </is>
      </c>
      <c r="T104" s="31" t="n"/>
      <c r="U104" s="36" t="n"/>
      <c r="V104" s="34">
        <f>IF($U104="","",IFERROR(INDEX(Templates!$K$3:$K$10,MATCH($U104,Templates!$A$3:$A$10,0)),""))</f>
        <v/>
      </c>
      <c r="W104" s="34">
        <f>IF($U104="","",IFERROR(INDEX(Templates!$L$3:$L$10,MATCH($U104,Templates!$A$3:$A$10,0)),""))</f>
        <v/>
      </c>
      <c r="X104" s="21">
        <f>IF($U104="","",IFERROR(INDEX(Templates!$J$3:$J$10,MATCH($U104,Templates!$A$3:$A$10,0)),""))</f>
        <v/>
      </c>
      <c r="Y104" s="35">
        <f>IF(OR($U104="",$I104="",$J104="",$X104=""),"",$I104+$X104*($J104-$I104))</f>
        <v/>
      </c>
      <c r="Z104" s="30" t="n">
        <v>46212</v>
      </c>
      <c r="AA104" s="38" t="n"/>
      <c r="AB104" s="39" t="n"/>
      <c r="AC104" s="39" t="n"/>
      <c r="AD104" s="19">
        <f>IF($A104="","",IF($AA104="",$H104,$AA104))</f>
        <v/>
      </c>
      <c r="AE104" s="35">
        <f>IF($A104="","",IF($AB104="",$I104,$AB104))</f>
        <v/>
      </c>
      <c r="AF104" s="35">
        <f>IF($A104="","",IF($AC104="",$J104,$AC104))</f>
        <v/>
      </c>
      <c r="AG104" s="35">
        <f>IF(OR($U104="",$AE104="",$AF104="",$X104=""),"",$AE104+$X104*($AF104-$AE104))</f>
        <v/>
      </c>
      <c r="AH104" s="36" t="n"/>
      <c r="AI104" s="36" t="n"/>
      <c r="AJ104" s="36" t="n"/>
      <c r="AK104" s="36" t="n"/>
      <c r="AL104" s="36" t="n"/>
      <c r="AM104" s="36" t="n"/>
      <c r="AN104" s="36" t="n"/>
      <c r="AO104" s="36" t="n"/>
      <c r="AP104" s="36" t="n"/>
      <c r="AQ104" s="36" t="n"/>
      <c r="AR104" s="36" t="n"/>
      <c r="AS104" s="36" t="n"/>
      <c r="AT104" s="36" t="n"/>
      <c r="AU104" s="36" t="n"/>
      <c r="AV104" s="36" t="n"/>
      <c r="AW104" s="36" t="n"/>
      <c r="AX104" s="36" t="n"/>
    </row>
    <row r="105">
      <c r="A105" s="28" t="inlineStr">
        <is>
          <t>Kentucky_1</t>
        </is>
      </c>
      <c r="B105" s="20" t="inlineStr">
        <is>
          <t>The CAM Collective</t>
        </is>
      </c>
      <c r="C105" s="28" t="inlineStr">
        <is>
          <t>The CAM Collective</t>
        </is>
      </c>
      <c r="D105" s="28" t="inlineStr"/>
      <c r="E105" s="28" t="inlineStr">
        <is>
          <t>No</t>
        </is>
      </c>
      <c r="F105" s="28" t="inlineStr">
        <is>
          <t>Active</t>
        </is>
      </c>
      <c r="G105" s="36" t="n"/>
      <c r="H105" s="29" t="n">
        <v>1</v>
      </c>
      <c r="I105" s="37" t="n"/>
      <c r="J105" s="37" t="n"/>
      <c r="K105" s="31" t="n"/>
      <c r="L105" s="31" t="n"/>
      <c r="M105" s="31" t="n"/>
      <c r="N105" s="31" t="n"/>
      <c r="O105" s="31" t="n"/>
      <c r="P105" s="31" t="n"/>
      <c r="Q105" s="23">
        <f>IF($A105="","",COUNTIFS(Assignments!$C$2:$C$769,$A105,Assignments!$G$2:$G$769,"Active"))</f>
        <v/>
      </c>
      <c r="R105" s="32">
        <f>IF($A105="","",SUMIFS(Assignments!$I$2:$I$769,Assignments!$C$2:$C$769,$A105,Assignments!$G$2:$G$769,"Active"))</f>
        <v/>
      </c>
      <c r="S105" s="20" t="inlineStr">
        <is>
          <t>WIP</t>
        </is>
      </c>
      <c r="T105" s="31" t="n"/>
      <c r="U105" s="36" t="n"/>
      <c r="V105" s="34">
        <f>IF($U105="","",IFERROR(INDEX(Templates!$K$3:$K$10,MATCH($U105,Templates!$A$3:$A$10,0)),""))</f>
        <v/>
      </c>
      <c r="W105" s="34">
        <f>IF($U105="","",IFERROR(INDEX(Templates!$L$3:$L$10,MATCH($U105,Templates!$A$3:$A$10,0)),""))</f>
        <v/>
      </c>
      <c r="X105" s="21">
        <f>IF($U105="","",IFERROR(INDEX(Templates!$J$3:$J$10,MATCH($U105,Templates!$A$3:$A$10,0)),""))</f>
        <v/>
      </c>
      <c r="Y105" s="35">
        <f>IF(OR($U105="",$I105="",$J105="",$X105=""),"",$I105+$X105*($J105-$I105))</f>
        <v/>
      </c>
      <c r="Z105" s="30" t="n">
        <v>46212</v>
      </c>
      <c r="AA105" s="38" t="n"/>
      <c r="AB105" s="39" t="n"/>
      <c r="AC105" s="39" t="n"/>
      <c r="AD105" s="19">
        <f>IF($A105="","",IF($AA105="",$H105,$AA105))</f>
        <v/>
      </c>
      <c r="AE105" s="35">
        <f>IF($A105="","",IF($AB105="",$I105,$AB105))</f>
        <v/>
      </c>
      <c r="AF105" s="35">
        <f>IF($A105="","",IF($AC105="",$J105,$AC105))</f>
        <v/>
      </c>
      <c r="AG105" s="35">
        <f>IF(OR($U105="",$AE105="",$AF105="",$X105=""),"",$AE105+$X105*($AF105-$AE105))</f>
        <v/>
      </c>
      <c r="AH105" s="36" t="n"/>
      <c r="AI105" s="36" t="n"/>
      <c r="AJ105" s="36" t="n"/>
      <c r="AK105" s="36" t="n"/>
      <c r="AL105" s="36" t="n"/>
      <c r="AM105" s="36" t="n"/>
      <c r="AN105" s="36" t="n"/>
      <c r="AO105" s="36" t="n"/>
      <c r="AP105" s="36" t="n"/>
      <c r="AQ105" s="36" t="n"/>
      <c r="AR105" s="36" t="n"/>
      <c r="AS105" s="36" t="n"/>
      <c r="AT105" s="36" t="n"/>
      <c r="AU105" s="36" t="n"/>
      <c r="AV105" s="36" t="n"/>
      <c r="AW105" s="36" t="n"/>
      <c r="AX105" s="36" t="n"/>
    </row>
    <row r="106">
      <c r="A106" s="28" t="inlineStr">
        <is>
          <t>Lafayette_2</t>
        </is>
      </c>
      <c r="B106" s="20" t="inlineStr">
        <is>
          <t>EDF Renewables North America</t>
        </is>
      </c>
      <c r="C106" s="28" t="inlineStr">
        <is>
          <t>EDF Renewables North America</t>
        </is>
      </c>
      <c r="D106" s="28" t="inlineStr"/>
      <c r="E106" s="28" t="inlineStr">
        <is>
          <t>No</t>
        </is>
      </c>
      <c r="F106" s="28" t="inlineStr">
        <is>
          <t>Active</t>
        </is>
      </c>
      <c r="G106" s="36" t="n"/>
      <c r="H106" s="29" t="n">
        <v>1</v>
      </c>
      <c r="I106" s="37" t="n"/>
      <c r="J106" s="37" t="n"/>
      <c r="K106" s="31" t="n"/>
      <c r="L106" s="31" t="n"/>
      <c r="M106" s="31" t="n"/>
      <c r="N106" s="31" t="n"/>
      <c r="O106" s="31" t="n"/>
      <c r="P106" s="31" t="n"/>
      <c r="Q106" s="23">
        <f>IF($A106="","",COUNTIFS(Assignments!$C$2:$C$769,$A106,Assignments!$G$2:$G$769,"Active"))</f>
        <v/>
      </c>
      <c r="R106" s="32">
        <f>IF($A106="","",SUMIFS(Assignments!$I$2:$I$769,Assignments!$C$2:$C$769,$A106,Assignments!$G$2:$G$769,"Active"))</f>
        <v/>
      </c>
      <c r="S106" s="20" t="inlineStr">
        <is>
          <t>WIP</t>
        </is>
      </c>
      <c r="T106" s="31" t="n"/>
      <c r="U106" s="36" t="n"/>
      <c r="V106" s="34">
        <f>IF($U106="","",IFERROR(INDEX(Templates!$K$3:$K$10,MATCH($U106,Templates!$A$3:$A$10,0)),""))</f>
        <v/>
      </c>
      <c r="W106" s="34">
        <f>IF($U106="","",IFERROR(INDEX(Templates!$L$3:$L$10,MATCH($U106,Templates!$A$3:$A$10,0)),""))</f>
        <v/>
      </c>
      <c r="X106" s="21">
        <f>IF($U106="","",IFERROR(INDEX(Templates!$J$3:$J$10,MATCH($U106,Templates!$A$3:$A$10,0)),""))</f>
        <v/>
      </c>
      <c r="Y106" s="35">
        <f>IF(OR($U106="",$I106="",$J106="",$X106=""),"",$I106+$X106*($J106-$I106))</f>
        <v/>
      </c>
      <c r="Z106" s="30" t="n">
        <v>46212</v>
      </c>
      <c r="AA106" s="38" t="n"/>
      <c r="AB106" s="39" t="n"/>
      <c r="AC106" s="39" t="n"/>
      <c r="AD106" s="19">
        <f>IF($A106="","",IF($AA106="",$H106,$AA106))</f>
        <v/>
      </c>
      <c r="AE106" s="35">
        <f>IF($A106="","",IF($AB106="",$I106,$AB106))</f>
        <v/>
      </c>
      <c r="AF106" s="35">
        <f>IF($A106="","",IF($AC106="",$J106,$AC106))</f>
        <v/>
      </c>
      <c r="AG106" s="35">
        <f>IF(OR($U106="",$AE106="",$AF106="",$X106=""),"",$AE106+$X106*($AF106-$AE106))</f>
        <v/>
      </c>
      <c r="AH106" s="36" t="n"/>
      <c r="AI106" s="36" t="n"/>
      <c r="AJ106" s="36" t="n"/>
      <c r="AK106" s="36" t="n"/>
      <c r="AL106" s="36" t="n"/>
      <c r="AM106" s="36" t="n"/>
      <c r="AN106" s="36" t="n"/>
      <c r="AO106" s="36" t="n"/>
      <c r="AP106" s="36" t="n"/>
      <c r="AQ106" s="36" t="n"/>
      <c r="AR106" s="36" t="n"/>
      <c r="AS106" s="36" t="n"/>
      <c r="AT106" s="36" t="n"/>
      <c r="AU106" s="36" t="n"/>
      <c r="AV106" s="36" t="n"/>
      <c r="AW106" s="36" t="n"/>
      <c r="AX106" s="36" t="n"/>
    </row>
    <row r="107">
      <c r="A107" s="28" t="inlineStr">
        <is>
          <t>Long_2</t>
        </is>
      </c>
      <c r="B107" s="20" t="inlineStr">
        <is>
          <t>Euclid Transactional</t>
        </is>
      </c>
      <c r="C107" s="28" t="inlineStr">
        <is>
          <t>Euclid Transactional</t>
        </is>
      </c>
      <c r="D107" s="28" t="inlineStr"/>
      <c r="E107" s="28" t="inlineStr">
        <is>
          <t>No</t>
        </is>
      </c>
      <c r="F107" s="28" t="inlineStr">
        <is>
          <t>Active</t>
        </is>
      </c>
      <c r="G107" s="36" t="n"/>
      <c r="H107" s="29" t="n">
        <v>1</v>
      </c>
      <c r="I107" s="37" t="n"/>
      <c r="J107" s="37" t="n"/>
      <c r="K107" s="31" t="n"/>
      <c r="L107" s="31" t="n"/>
      <c r="M107" s="31" t="n"/>
      <c r="N107" s="31" t="n"/>
      <c r="O107" s="31" t="n"/>
      <c r="P107" s="31" t="n"/>
      <c r="Q107" s="23">
        <f>IF($A107="","",COUNTIFS(Assignments!$C$2:$C$769,$A107,Assignments!$G$2:$G$769,"Active"))</f>
        <v/>
      </c>
      <c r="R107" s="32">
        <f>IF($A107="","",SUMIFS(Assignments!$I$2:$I$769,Assignments!$C$2:$C$769,$A107,Assignments!$G$2:$G$769,"Active"))</f>
        <v/>
      </c>
      <c r="S107" s="20" t="inlineStr">
        <is>
          <t>WIP</t>
        </is>
      </c>
      <c r="T107" s="31" t="n"/>
      <c r="U107" s="36" t="n"/>
      <c r="V107" s="34">
        <f>IF($U107="","",IFERROR(INDEX(Templates!$K$3:$K$10,MATCH($U107,Templates!$A$3:$A$10,0)),""))</f>
        <v/>
      </c>
      <c r="W107" s="34">
        <f>IF($U107="","",IFERROR(INDEX(Templates!$L$3:$L$10,MATCH($U107,Templates!$A$3:$A$10,0)),""))</f>
        <v/>
      </c>
      <c r="X107" s="21">
        <f>IF($U107="","",IFERROR(INDEX(Templates!$J$3:$J$10,MATCH($U107,Templates!$A$3:$A$10,0)),""))</f>
        <v/>
      </c>
      <c r="Y107" s="35">
        <f>IF(OR($U107="",$I107="",$J107="",$X107=""),"",$I107+$X107*($J107-$I107))</f>
        <v/>
      </c>
      <c r="Z107" s="30" t="n">
        <v>46212</v>
      </c>
      <c r="AA107" s="38" t="n"/>
      <c r="AB107" s="39" t="n"/>
      <c r="AC107" s="39" t="n"/>
      <c r="AD107" s="19">
        <f>IF($A107="","",IF($AA107="",$H107,$AA107))</f>
        <v/>
      </c>
      <c r="AE107" s="35">
        <f>IF($A107="","",IF($AB107="",$I107,$AB107))</f>
        <v/>
      </c>
      <c r="AF107" s="35">
        <f>IF($A107="","",IF($AC107="",$J107,$AC107))</f>
        <v/>
      </c>
      <c r="AG107" s="35">
        <f>IF(OR($U107="",$AE107="",$AF107="",$X107=""),"",$AE107+$X107*($AF107-$AE107))</f>
        <v/>
      </c>
      <c r="AH107" s="36" t="n"/>
      <c r="AI107" s="36" t="n"/>
      <c r="AJ107" s="36" t="n"/>
      <c r="AK107" s="36" t="n"/>
      <c r="AL107" s="36" t="n"/>
      <c r="AM107" s="36" t="n"/>
      <c r="AN107" s="36" t="n"/>
      <c r="AO107" s="36" t="n"/>
      <c r="AP107" s="36" t="n"/>
      <c r="AQ107" s="36" t="n"/>
      <c r="AR107" s="36" t="n"/>
      <c r="AS107" s="36" t="n"/>
      <c r="AT107" s="36" t="n"/>
      <c r="AU107" s="36" t="n"/>
      <c r="AV107" s="36" t="n"/>
      <c r="AW107" s="36" t="n"/>
      <c r="AX107" s="36" t="n"/>
    </row>
    <row r="108">
      <c r="A108" s="28" t="inlineStr">
        <is>
          <t>Look Inc - Ethos_1</t>
        </is>
      </c>
      <c r="B108" s="20" t="inlineStr">
        <is>
          <t>Ethos Specialty Insurance Services</t>
        </is>
      </c>
      <c r="C108" s="28" t="inlineStr">
        <is>
          <t>Ethos Specialty Insurance Services</t>
        </is>
      </c>
      <c r="D108" s="28" t="inlineStr"/>
      <c r="E108" s="28" t="inlineStr">
        <is>
          <t>No</t>
        </is>
      </c>
      <c r="F108" s="28" t="inlineStr">
        <is>
          <t>Active</t>
        </is>
      </c>
      <c r="G108" s="36" t="n"/>
      <c r="H108" s="29" t="n">
        <v>1</v>
      </c>
      <c r="I108" s="37" t="n"/>
      <c r="J108" s="37" t="n"/>
      <c r="K108" s="31" t="n"/>
      <c r="L108" s="31" t="n"/>
      <c r="M108" s="31" t="n"/>
      <c r="N108" s="31" t="n"/>
      <c r="O108" s="31" t="n"/>
      <c r="P108" s="31" t="n"/>
      <c r="Q108" s="23">
        <f>IF($A108="","",COUNTIFS(Assignments!$C$2:$C$769,$A108,Assignments!$G$2:$G$769,"Active"))</f>
        <v/>
      </c>
      <c r="R108" s="32">
        <f>IF($A108="","",SUMIFS(Assignments!$I$2:$I$769,Assignments!$C$2:$C$769,$A108,Assignments!$G$2:$G$769,"Active"))</f>
        <v/>
      </c>
      <c r="S108" s="20" t="inlineStr">
        <is>
          <t>WIP</t>
        </is>
      </c>
      <c r="T108" s="31" t="n"/>
      <c r="U108" s="36" t="n"/>
      <c r="V108" s="34">
        <f>IF($U108="","",IFERROR(INDEX(Templates!$K$3:$K$10,MATCH($U108,Templates!$A$3:$A$10,0)),""))</f>
        <v/>
      </c>
      <c r="W108" s="34">
        <f>IF($U108="","",IFERROR(INDEX(Templates!$L$3:$L$10,MATCH($U108,Templates!$A$3:$A$10,0)),""))</f>
        <v/>
      </c>
      <c r="X108" s="21">
        <f>IF($U108="","",IFERROR(INDEX(Templates!$J$3:$J$10,MATCH($U108,Templates!$A$3:$A$10,0)),""))</f>
        <v/>
      </c>
      <c r="Y108" s="35">
        <f>IF(OR($U108="",$I108="",$J108="",$X108=""),"",$I108+$X108*($J108-$I108))</f>
        <v/>
      </c>
      <c r="Z108" s="30" t="n">
        <v>46212</v>
      </c>
      <c r="AA108" s="38" t="n"/>
      <c r="AB108" s="39" t="n"/>
      <c r="AC108" s="39" t="n"/>
      <c r="AD108" s="19">
        <f>IF($A108="","",IF($AA108="",$H108,$AA108))</f>
        <v/>
      </c>
      <c r="AE108" s="35">
        <f>IF($A108="","",IF($AB108="",$I108,$AB108))</f>
        <v/>
      </c>
      <c r="AF108" s="35">
        <f>IF($A108="","",IF($AC108="",$J108,$AC108))</f>
        <v/>
      </c>
      <c r="AG108" s="35">
        <f>IF(OR($U108="",$AE108="",$AF108="",$X108=""),"",$AE108+$X108*($AF108-$AE108))</f>
        <v/>
      </c>
      <c r="AH108" s="36" t="n"/>
      <c r="AI108" s="36" t="n"/>
      <c r="AJ108" s="36" t="n"/>
      <c r="AK108" s="36" t="n"/>
      <c r="AL108" s="36" t="n"/>
      <c r="AM108" s="36" t="n"/>
      <c r="AN108" s="36" t="n"/>
      <c r="AO108" s="36" t="n"/>
      <c r="AP108" s="36" t="n"/>
      <c r="AQ108" s="36" t="n"/>
      <c r="AR108" s="36" t="n"/>
      <c r="AS108" s="36" t="n"/>
      <c r="AT108" s="36" t="n"/>
      <c r="AU108" s="36" t="n"/>
      <c r="AV108" s="36" t="n"/>
      <c r="AW108" s="36" t="n"/>
      <c r="AX108" s="36" t="n"/>
    </row>
    <row r="109">
      <c r="A109" s="28" t="inlineStr">
        <is>
          <t>Lumenad_1</t>
        </is>
      </c>
      <c r="B109" s="20" t="inlineStr">
        <is>
          <t>Ambridge Group</t>
        </is>
      </c>
      <c r="C109" s="28" t="inlineStr">
        <is>
          <t>Ambridge Group</t>
        </is>
      </c>
      <c r="D109" s="28" t="inlineStr"/>
      <c r="E109" s="28" t="inlineStr">
        <is>
          <t>No</t>
        </is>
      </c>
      <c r="F109" s="28" t="inlineStr">
        <is>
          <t>Active</t>
        </is>
      </c>
      <c r="G109" s="36" t="n"/>
      <c r="H109" s="29" t="n">
        <v>1</v>
      </c>
      <c r="I109" s="37" t="n"/>
      <c r="J109" s="37" t="n"/>
      <c r="K109" s="31" t="n"/>
      <c r="L109" s="31" t="n"/>
      <c r="M109" s="31" t="n"/>
      <c r="N109" s="31" t="n"/>
      <c r="O109" s="31" t="n"/>
      <c r="P109" s="31" t="n"/>
      <c r="Q109" s="23">
        <f>IF($A109="","",COUNTIFS(Assignments!$C$2:$C$769,$A109,Assignments!$G$2:$G$769,"Active"))</f>
        <v/>
      </c>
      <c r="R109" s="32">
        <f>IF($A109="","",SUMIFS(Assignments!$I$2:$I$769,Assignments!$C$2:$C$769,$A109,Assignments!$G$2:$G$769,"Active"))</f>
        <v/>
      </c>
      <c r="S109" s="20" t="inlineStr">
        <is>
          <t>WIP</t>
        </is>
      </c>
      <c r="T109" s="31" t="n"/>
      <c r="U109" s="36" t="n"/>
      <c r="V109" s="34">
        <f>IF($U109="","",IFERROR(INDEX(Templates!$K$3:$K$10,MATCH($U109,Templates!$A$3:$A$10,0)),""))</f>
        <v/>
      </c>
      <c r="W109" s="34">
        <f>IF($U109="","",IFERROR(INDEX(Templates!$L$3:$L$10,MATCH($U109,Templates!$A$3:$A$10,0)),""))</f>
        <v/>
      </c>
      <c r="X109" s="21">
        <f>IF($U109="","",IFERROR(INDEX(Templates!$J$3:$J$10,MATCH($U109,Templates!$A$3:$A$10,0)),""))</f>
        <v/>
      </c>
      <c r="Y109" s="35">
        <f>IF(OR($U109="",$I109="",$J109="",$X109=""),"",$I109+$X109*($J109-$I109))</f>
        <v/>
      </c>
      <c r="Z109" s="30" t="n">
        <v>46212</v>
      </c>
      <c r="AA109" s="38" t="n"/>
      <c r="AB109" s="39" t="n"/>
      <c r="AC109" s="39" t="n"/>
      <c r="AD109" s="19">
        <f>IF($A109="","",IF($AA109="",$H109,$AA109))</f>
        <v/>
      </c>
      <c r="AE109" s="35">
        <f>IF($A109="","",IF($AB109="",$I109,$AB109))</f>
        <v/>
      </c>
      <c r="AF109" s="35">
        <f>IF($A109="","",IF($AC109="",$J109,$AC109))</f>
        <v/>
      </c>
      <c r="AG109" s="35">
        <f>IF(OR($U109="",$AE109="",$AF109="",$X109=""),"",$AE109+$X109*($AF109-$AE109))</f>
        <v/>
      </c>
      <c r="AH109" s="36" t="n"/>
      <c r="AI109" s="36" t="n"/>
      <c r="AJ109" s="36" t="n"/>
      <c r="AK109" s="36" t="n"/>
      <c r="AL109" s="36" t="n"/>
      <c r="AM109" s="36" t="n"/>
      <c r="AN109" s="36" t="n"/>
      <c r="AO109" s="36" t="n"/>
      <c r="AP109" s="36" t="n"/>
      <c r="AQ109" s="36" t="n"/>
      <c r="AR109" s="36" t="n"/>
      <c r="AS109" s="36" t="n"/>
      <c r="AT109" s="36" t="n"/>
      <c r="AU109" s="36" t="n"/>
      <c r="AV109" s="36" t="n"/>
      <c r="AW109" s="36" t="n"/>
      <c r="AX109" s="36" t="n"/>
    </row>
    <row r="110">
      <c r="A110" s="28" t="inlineStr">
        <is>
          <t>Mad_1</t>
        </is>
      </c>
      <c r="B110" s="20" t="inlineStr">
        <is>
          <t>Solertia MGA Ltd.</t>
        </is>
      </c>
      <c r="C110" s="28" t="inlineStr">
        <is>
          <t>Solertia MGA Ltd.</t>
        </is>
      </c>
      <c r="D110" s="28" t="inlineStr"/>
      <c r="E110" s="28" t="inlineStr">
        <is>
          <t>No</t>
        </is>
      </c>
      <c r="F110" s="28" t="inlineStr">
        <is>
          <t>Active</t>
        </is>
      </c>
      <c r="G110" s="36" t="n"/>
      <c r="H110" s="29" t="n">
        <v>1</v>
      </c>
      <c r="I110" s="37" t="n"/>
      <c r="J110" s="37" t="n"/>
      <c r="K110" s="31" t="n"/>
      <c r="L110" s="31" t="n"/>
      <c r="M110" s="31" t="n"/>
      <c r="N110" s="31" t="n"/>
      <c r="O110" s="31" t="n"/>
      <c r="P110" s="31" t="n"/>
      <c r="Q110" s="23">
        <f>IF($A110="","",COUNTIFS(Assignments!$C$2:$C$769,$A110,Assignments!$G$2:$G$769,"Active"))</f>
        <v/>
      </c>
      <c r="R110" s="32">
        <f>IF($A110="","",SUMIFS(Assignments!$I$2:$I$769,Assignments!$C$2:$C$769,$A110,Assignments!$G$2:$G$769,"Active"))</f>
        <v/>
      </c>
      <c r="S110" s="20" t="inlineStr">
        <is>
          <t>WIP</t>
        </is>
      </c>
      <c r="T110" s="31" t="n"/>
      <c r="U110" s="36" t="n"/>
      <c r="V110" s="34">
        <f>IF($U110="","",IFERROR(INDEX(Templates!$K$3:$K$10,MATCH($U110,Templates!$A$3:$A$10,0)),""))</f>
        <v/>
      </c>
      <c r="W110" s="34">
        <f>IF($U110="","",IFERROR(INDEX(Templates!$L$3:$L$10,MATCH($U110,Templates!$A$3:$A$10,0)),""))</f>
        <v/>
      </c>
      <c r="X110" s="21">
        <f>IF($U110="","",IFERROR(INDEX(Templates!$J$3:$J$10,MATCH($U110,Templates!$A$3:$A$10,0)),""))</f>
        <v/>
      </c>
      <c r="Y110" s="35">
        <f>IF(OR($U110="",$I110="",$J110="",$X110=""),"",$I110+$X110*($J110-$I110))</f>
        <v/>
      </c>
      <c r="Z110" s="30" t="n">
        <v>46212</v>
      </c>
      <c r="AA110" s="38" t="n"/>
      <c r="AB110" s="39" t="n"/>
      <c r="AC110" s="39" t="n"/>
      <c r="AD110" s="19">
        <f>IF($A110="","",IF($AA110="",$H110,$AA110))</f>
        <v/>
      </c>
      <c r="AE110" s="35">
        <f>IF($A110="","",IF($AB110="",$I110,$AB110))</f>
        <v/>
      </c>
      <c r="AF110" s="35">
        <f>IF($A110="","",IF($AC110="",$J110,$AC110))</f>
        <v/>
      </c>
      <c r="AG110" s="35">
        <f>IF(OR($U110="",$AE110="",$AF110="",$X110=""),"",$AE110+$X110*($AF110-$AE110))</f>
        <v/>
      </c>
      <c r="AH110" s="36" t="n"/>
      <c r="AI110" s="36" t="n"/>
      <c r="AJ110" s="36" t="n"/>
      <c r="AK110" s="36" t="n"/>
      <c r="AL110" s="36" t="n"/>
      <c r="AM110" s="36" t="n"/>
      <c r="AN110" s="36" t="n"/>
      <c r="AO110" s="36" t="n"/>
      <c r="AP110" s="36" t="n"/>
      <c r="AQ110" s="36" t="n"/>
      <c r="AR110" s="36" t="n"/>
      <c r="AS110" s="36" t="n"/>
      <c r="AT110" s="36" t="n"/>
      <c r="AU110" s="36" t="n"/>
      <c r="AV110" s="36" t="n"/>
      <c r="AW110" s="36" t="n"/>
      <c r="AX110" s="36" t="n"/>
    </row>
    <row r="111">
      <c r="A111" s="28" t="inlineStr">
        <is>
          <t>Manchester_1</t>
        </is>
      </c>
      <c r="B111" s="20" t="inlineStr">
        <is>
          <t>Fengate</t>
        </is>
      </c>
      <c r="C111" s="28" t="inlineStr">
        <is>
          <t>Fengate</t>
        </is>
      </c>
      <c r="D111" s="28" t="inlineStr"/>
      <c r="E111" s="28" t="inlineStr">
        <is>
          <t>No</t>
        </is>
      </c>
      <c r="F111" s="28" t="inlineStr">
        <is>
          <t>Active</t>
        </is>
      </c>
      <c r="G111" s="36" t="n"/>
      <c r="H111" s="29" t="n">
        <v>1</v>
      </c>
      <c r="I111" s="37" t="n"/>
      <c r="J111" s="37" t="n"/>
      <c r="K111" s="31" t="n"/>
      <c r="L111" s="31" t="n"/>
      <c r="M111" s="31" t="n"/>
      <c r="N111" s="31" t="n"/>
      <c r="O111" s="31" t="n"/>
      <c r="P111" s="31" t="n"/>
      <c r="Q111" s="23">
        <f>IF($A111="","",COUNTIFS(Assignments!$C$2:$C$769,$A111,Assignments!$G$2:$G$769,"Active"))</f>
        <v/>
      </c>
      <c r="R111" s="32">
        <f>IF($A111="","",SUMIFS(Assignments!$I$2:$I$769,Assignments!$C$2:$C$769,$A111,Assignments!$G$2:$G$769,"Active"))</f>
        <v/>
      </c>
      <c r="S111" s="20" t="inlineStr">
        <is>
          <t>Summary tab only (WIP)</t>
        </is>
      </c>
      <c r="T111" s="31" t="n"/>
      <c r="U111" s="36" t="n"/>
      <c r="V111" s="34">
        <f>IF($U111="","",IFERROR(INDEX(Templates!$K$3:$K$10,MATCH($U111,Templates!$A$3:$A$10,0)),""))</f>
        <v/>
      </c>
      <c r="W111" s="34">
        <f>IF($U111="","",IFERROR(INDEX(Templates!$L$3:$L$10,MATCH($U111,Templates!$A$3:$A$10,0)),""))</f>
        <v/>
      </c>
      <c r="X111" s="21">
        <f>IF($U111="","",IFERROR(INDEX(Templates!$J$3:$J$10,MATCH($U111,Templates!$A$3:$A$10,0)),""))</f>
        <v/>
      </c>
      <c r="Y111" s="35">
        <f>IF(OR($U111="",$I111="",$J111="",$X111=""),"",$I111+$X111*($J111-$I111))</f>
        <v/>
      </c>
      <c r="Z111" s="30" t="n">
        <v>46212</v>
      </c>
      <c r="AA111" s="38" t="n"/>
      <c r="AB111" s="39" t="n"/>
      <c r="AC111" s="39" t="n"/>
      <c r="AD111" s="19">
        <f>IF($A111="","",IF($AA111="",$H111,$AA111))</f>
        <v/>
      </c>
      <c r="AE111" s="35">
        <f>IF($A111="","",IF($AB111="",$I111,$AB111))</f>
        <v/>
      </c>
      <c r="AF111" s="35">
        <f>IF($A111="","",IF($AC111="",$J111,$AC111))</f>
        <v/>
      </c>
      <c r="AG111" s="35">
        <f>IF(OR($U111="",$AE111="",$AF111="",$X111=""),"",$AE111+$X111*($AF111-$AE111))</f>
        <v/>
      </c>
      <c r="AH111" s="36" t="n"/>
      <c r="AI111" s="36" t="n"/>
      <c r="AJ111" s="36" t="n"/>
      <c r="AK111" s="36" t="n"/>
      <c r="AL111" s="36" t="n"/>
      <c r="AM111" s="36" t="n"/>
      <c r="AN111" s="36" t="n"/>
      <c r="AO111" s="36" t="n"/>
      <c r="AP111" s="36" t="n"/>
      <c r="AQ111" s="36" t="n"/>
      <c r="AR111" s="36" t="n"/>
      <c r="AS111" s="36" t="n"/>
      <c r="AT111" s="36" t="n"/>
      <c r="AU111" s="36" t="n"/>
      <c r="AV111" s="36" t="n"/>
      <c r="AW111" s="36" t="n"/>
      <c r="AX111" s="36" t="n"/>
    </row>
    <row r="112">
      <c r="A112" s="28" t="inlineStr">
        <is>
          <t>Maple_4</t>
        </is>
      </c>
      <c r="B112" s="20" t="inlineStr">
        <is>
          <t>TXO Systems</t>
        </is>
      </c>
      <c r="C112" s="28" t="inlineStr">
        <is>
          <t>TXO Systems</t>
        </is>
      </c>
      <c r="D112" s="28" t="inlineStr"/>
      <c r="E112" s="28" t="inlineStr">
        <is>
          <t>No</t>
        </is>
      </c>
      <c r="F112" s="28" t="inlineStr">
        <is>
          <t>Active</t>
        </is>
      </c>
      <c r="G112" s="36" t="n"/>
      <c r="H112" s="29" t="n">
        <v>1</v>
      </c>
      <c r="I112" s="37" t="n"/>
      <c r="J112" s="37" t="n"/>
      <c r="K112" s="31" t="n"/>
      <c r="L112" s="31" t="n"/>
      <c r="M112" s="31" t="n"/>
      <c r="N112" s="31" t="n"/>
      <c r="O112" s="31" t="n"/>
      <c r="P112" s="31" t="n"/>
      <c r="Q112" s="23">
        <f>IF($A112="","",COUNTIFS(Assignments!$C$2:$C$769,$A112,Assignments!$G$2:$G$769,"Active"))</f>
        <v/>
      </c>
      <c r="R112" s="32">
        <f>IF($A112="","",SUMIFS(Assignments!$I$2:$I$769,Assignments!$C$2:$C$769,$A112,Assignments!$G$2:$G$769,"Active"))</f>
        <v/>
      </c>
      <c r="S112" s="20" t="inlineStr">
        <is>
          <t>WIP</t>
        </is>
      </c>
      <c r="T112" s="31" t="n"/>
      <c r="U112" s="36" t="n"/>
      <c r="V112" s="34">
        <f>IF($U112="","",IFERROR(INDEX(Templates!$K$3:$K$10,MATCH($U112,Templates!$A$3:$A$10,0)),""))</f>
        <v/>
      </c>
      <c r="W112" s="34">
        <f>IF($U112="","",IFERROR(INDEX(Templates!$L$3:$L$10,MATCH($U112,Templates!$A$3:$A$10,0)),""))</f>
        <v/>
      </c>
      <c r="X112" s="21">
        <f>IF($U112="","",IFERROR(INDEX(Templates!$J$3:$J$10,MATCH($U112,Templates!$A$3:$A$10,0)),""))</f>
        <v/>
      </c>
      <c r="Y112" s="35">
        <f>IF(OR($U112="",$I112="",$J112="",$X112=""),"",$I112+$X112*($J112-$I112))</f>
        <v/>
      </c>
      <c r="Z112" s="30" t="n">
        <v>46212</v>
      </c>
      <c r="AA112" s="38" t="n"/>
      <c r="AB112" s="39" t="n"/>
      <c r="AC112" s="39" t="n"/>
      <c r="AD112" s="19">
        <f>IF($A112="","",IF($AA112="",$H112,$AA112))</f>
        <v/>
      </c>
      <c r="AE112" s="35">
        <f>IF($A112="","",IF($AB112="",$I112,$AB112))</f>
        <v/>
      </c>
      <c r="AF112" s="35">
        <f>IF($A112="","",IF($AC112="",$J112,$AC112))</f>
        <v/>
      </c>
      <c r="AG112" s="35">
        <f>IF(OR($U112="",$AE112="",$AF112="",$X112=""),"",$AE112+$X112*($AF112-$AE112))</f>
        <v/>
      </c>
      <c r="AH112" s="36" t="n"/>
      <c r="AI112" s="36" t="n"/>
      <c r="AJ112" s="36" t="n"/>
      <c r="AK112" s="36" t="n"/>
      <c r="AL112" s="36" t="n"/>
      <c r="AM112" s="36" t="n"/>
      <c r="AN112" s="36" t="n"/>
      <c r="AO112" s="36" t="n"/>
      <c r="AP112" s="36" t="n"/>
      <c r="AQ112" s="36" t="n"/>
      <c r="AR112" s="36" t="n"/>
      <c r="AS112" s="36" t="n"/>
      <c r="AT112" s="36" t="n"/>
      <c r="AU112" s="36" t="n"/>
      <c r="AV112" s="36" t="n"/>
      <c r="AW112" s="36" t="n"/>
      <c r="AX112" s="36" t="n"/>
    </row>
    <row r="113">
      <c r="A113" s="28" t="inlineStr">
        <is>
          <t>MeadowBrook_1</t>
        </is>
      </c>
      <c r="B113" s="20" t="inlineStr">
        <is>
          <t>Ag-Grid Energy LLC</t>
        </is>
      </c>
      <c r="C113" s="28" t="inlineStr">
        <is>
          <t>Ag-Grid Energy LLC</t>
        </is>
      </c>
      <c r="D113" s="28" t="inlineStr"/>
      <c r="E113" s="28" t="inlineStr">
        <is>
          <t>No</t>
        </is>
      </c>
      <c r="F113" s="28" t="inlineStr">
        <is>
          <t>Active</t>
        </is>
      </c>
      <c r="G113" s="36" t="n"/>
      <c r="H113" s="29" t="n">
        <v>1</v>
      </c>
      <c r="I113" s="37" t="n"/>
      <c r="J113" s="37" t="n"/>
      <c r="K113" s="31" t="n"/>
      <c r="L113" s="31" t="n"/>
      <c r="M113" s="31" t="n"/>
      <c r="N113" s="31" t="n"/>
      <c r="O113" s="31" t="n"/>
      <c r="P113" s="31" t="n"/>
      <c r="Q113" s="23">
        <f>IF($A113="","",COUNTIFS(Assignments!$C$2:$C$769,$A113,Assignments!$G$2:$G$769,"Active"))</f>
        <v/>
      </c>
      <c r="R113" s="32">
        <f>IF($A113="","",SUMIFS(Assignments!$I$2:$I$769,Assignments!$C$2:$C$769,$A113,Assignments!$G$2:$G$769,"Active"))</f>
        <v/>
      </c>
      <c r="S113" s="20" t="inlineStr">
        <is>
          <t>WIP</t>
        </is>
      </c>
      <c r="T113" s="31" t="n"/>
      <c r="U113" s="36" t="n"/>
      <c r="V113" s="34">
        <f>IF($U113="","",IFERROR(INDEX(Templates!$K$3:$K$10,MATCH($U113,Templates!$A$3:$A$10,0)),""))</f>
        <v/>
      </c>
      <c r="W113" s="34">
        <f>IF($U113="","",IFERROR(INDEX(Templates!$L$3:$L$10,MATCH($U113,Templates!$A$3:$A$10,0)),""))</f>
        <v/>
      </c>
      <c r="X113" s="21">
        <f>IF($U113="","",IFERROR(INDEX(Templates!$J$3:$J$10,MATCH($U113,Templates!$A$3:$A$10,0)),""))</f>
        <v/>
      </c>
      <c r="Y113" s="35">
        <f>IF(OR($U113="",$I113="",$J113="",$X113=""),"",$I113+$X113*($J113-$I113))</f>
        <v/>
      </c>
      <c r="Z113" s="30" t="n">
        <v>46212</v>
      </c>
      <c r="AA113" s="38" t="n"/>
      <c r="AB113" s="39" t="n"/>
      <c r="AC113" s="39" t="n"/>
      <c r="AD113" s="19">
        <f>IF($A113="","",IF($AA113="",$H113,$AA113))</f>
        <v/>
      </c>
      <c r="AE113" s="35">
        <f>IF($A113="","",IF($AB113="",$I113,$AB113))</f>
        <v/>
      </c>
      <c r="AF113" s="35">
        <f>IF($A113="","",IF($AC113="",$J113,$AC113))</f>
        <v/>
      </c>
      <c r="AG113" s="35">
        <f>IF(OR($U113="",$AE113="",$AF113="",$X113=""),"",$AE113+$X113*($AF113-$AE113))</f>
        <v/>
      </c>
      <c r="AH113" s="36" t="n"/>
      <c r="AI113" s="36" t="n"/>
      <c r="AJ113" s="36" t="n"/>
      <c r="AK113" s="36" t="n"/>
      <c r="AL113" s="36" t="n"/>
      <c r="AM113" s="36" t="n"/>
      <c r="AN113" s="36" t="n"/>
      <c r="AO113" s="36" t="n"/>
      <c r="AP113" s="36" t="n"/>
      <c r="AQ113" s="36" t="n"/>
      <c r="AR113" s="36" t="n"/>
      <c r="AS113" s="36" t="n"/>
      <c r="AT113" s="36" t="n"/>
      <c r="AU113" s="36" t="n"/>
      <c r="AV113" s="36" t="n"/>
      <c r="AW113" s="36" t="n"/>
      <c r="AX113" s="36" t="n"/>
    </row>
    <row r="114">
      <c r="A114" s="28" t="inlineStr">
        <is>
          <t>Medicis_1</t>
        </is>
      </c>
      <c r="B114" s="20" t="inlineStr">
        <is>
          <t>Eight Advisory</t>
        </is>
      </c>
      <c r="C114" s="28" t="inlineStr">
        <is>
          <t>Eight Advisory</t>
        </is>
      </c>
      <c r="D114" s="28" t="inlineStr"/>
      <c r="E114" s="28" t="inlineStr">
        <is>
          <t>No</t>
        </is>
      </c>
      <c r="F114" s="28" t="inlineStr">
        <is>
          <t>Active</t>
        </is>
      </c>
      <c r="G114" s="36" t="n"/>
      <c r="H114" s="29" t="n">
        <v>1</v>
      </c>
      <c r="I114" s="37" t="n"/>
      <c r="J114" s="37" t="n"/>
      <c r="K114" s="31" t="n"/>
      <c r="L114" s="31" t="n"/>
      <c r="M114" s="31" t="n"/>
      <c r="N114" s="31" t="n"/>
      <c r="O114" s="31" t="n"/>
      <c r="P114" s="31" t="n"/>
      <c r="Q114" s="23">
        <f>IF($A114="","",COUNTIFS(Assignments!$C$2:$C$769,$A114,Assignments!$G$2:$G$769,"Active"))</f>
        <v/>
      </c>
      <c r="R114" s="32">
        <f>IF($A114="","",SUMIFS(Assignments!$I$2:$I$769,Assignments!$C$2:$C$769,$A114,Assignments!$G$2:$G$769,"Active"))</f>
        <v/>
      </c>
      <c r="S114" s="20" t="inlineStr">
        <is>
          <t>WIP</t>
        </is>
      </c>
      <c r="T114" s="31" t="n"/>
      <c r="U114" s="36" t="n"/>
      <c r="V114" s="34">
        <f>IF($U114="","",IFERROR(INDEX(Templates!$K$3:$K$10,MATCH($U114,Templates!$A$3:$A$10,0)),""))</f>
        <v/>
      </c>
      <c r="W114" s="34">
        <f>IF($U114="","",IFERROR(INDEX(Templates!$L$3:$L$10,MATCH($U114,Templates!$A$3:$A$10,0)),""))</f>
        <v/>
      </c>
      <c r="X114" s="21">
        <f>IF($U114="","",IFERROR(INDEX(Templates!$J$3:$J$10,MATCH($U114,Templates!$A$3:$A$10,0)),""))</f>
        <v/>
      </c>
      <c r="Y114" s="35">
        <f>IF(OR($U114="",$I114="",$J114="",$X114=""),"",$I114+$X114*($J114-$I114))</f>
        <v/>
      </c>
      <c r="Z114" s="30" t="n">
        <v>46212</v>
      </c>
      <c r="AA114" s="38" t="n"/>
      <c r="AB114" s="39" t="n"/>
      <c r="AC114" s="39" t="n"/>
      <c r="AD114" s="19">
        <f>IF($A114="","",IF($AA114="",$H114,$AA114))</f>
        <v/>
      </c>
      <c r="AE114" s="35">
        <f>IF($A114="","",IF($AB114="",$I114,$AB114))</f>
        <v/>
      </c>
      <c r="AF114" s="35">
        <f>IF($A114="","",IF($AC114="",$J114,$AC114))</f>
        <v/>
      </c>
      <c r="AG114" s="35">
        <f>IF(OR($U114="",$AE114="",$AF114="",$X114=""),"",$AE114+$X114*($AF114-$AE114))</f>
        <v/>
      </c>
      <c r="AH114" s="36" t="n"/>
      <c r="AI114" s="36" t="n"/>
      <c r="AJ114" s="36" t="n"/>
      <c r="AK114" s="36" t="n"/>
      <c r="AL114" s="36" t="n"/>
      <c r="AM114" s="36" t="n"/>
      <c r="AN114" s="36" t="n"/>
      <c r="AO114" s="36" t="n"/>
      <c r="AP114" s="36" t="n"/>
      <c r="AQ114" s="36" t="n"/>
      <c r="AR114" s="36" t="n"/>
      <c r="AS114" s="36" t="n"/>
      <c r="AT114" s="36" t="n"/>
      <c r="AU114" s="36" t="n"/>
      <c r="AV114" s="36" t="n"/>
      <c r="AW114" s="36" t="n"/>
      <c r="AX114" s="36" t="n"/>
    </row>
    <row r="115">
      <c r="A115" s="28" t="inlineStr">
        <is>
          <t>MIF_1</t>
        </is>
      </c>
      <c r="B115" s="20" t="inlineStr">
        <is>
          <t>Macquarie Group</t>
        </is>
      </c>
      <c r="C115" s="28" t="inlineStr">
        <is>
          <t>Macquarie Group</t>
        </is>
      </c>
      <c r="D115" s="28" t="inlineStr"/>
      <c r="E115" s="28" t="inlineStr">
        <is>
          <t>No</t>
        </is>
      </c>
      <c r="F115" s="28" t="inlineStr">
        <is>
          <t>Active</t>
        </is>
      </c>
      <c r="G115" s="36" t="n"/>
      <c r="H115" s="29" t="n">
        <v>1</v>
      </c>
      <c r="I115" s="37" t="n"/>
      <c r="J115" s="37" t="n"/>
      <c r="K115" s="31" t="n"/>
      <c r="L115" s="31" t="n"/>
      <c r="M115" s="31" t="n"/>
      <c r="N115" s="31" t="n"/>
      <c r="O115" s="31" t="n"/>
      <c r="P115" s="31" t="n"/>
      <c r="Q115" s="23">
        <f>IF($A115="","",COUNTIFS(Assignments!$C$2:$C$769,$A115,Assignments!$G$2:$G$769,"Active"))</f>
        <v/>
      </c>
      <c r="R115" s="32">
        <f>IF($A115="","",SUMIFS(Assignments!$I$2:$I$769,Assignments!$C$2:$C$769,$A115,Assignments!$G$2:$G$769,"Active"))</f>
        <v/>
      </c>
      <c r="S115" s="20" t="inlineStr">
        <is>
          <t>WIP</t>
        </is>
      </c>
      <c r="T115" s="31" t="n"/>
      <c r="U115" s="36" t="n"/>
      <c r="V115" s="34">
        <f>IF($U115="","",IFERROR(INDEX(Templates!$K$3:$K$10,MATCH($U115,Templates!$A$3:$A$10,0)),""))</f>
        <v/>
      </c>
      <c r="W115" s="34">
        <f>IF($U115="","",IFERROR(INDEX(Templates!$L$3:$L$10,MATCH($U115,Templates!$A$3:$A$10,0)),""))</f>
        <v/>
      </c>
      <c r="X115" s="21">
        <f>IF($U115="","",IFERROR(INDEX(Templates!$J$3:$J$10,MATCH($U115,Templates!$A$3:$A$10,0)),""))</f>
        <v/>
      </c>
      <c r="Y115" s="35">
        <f>IF(OR($U115="",$I115="",$J115="",$X115=""),"",$I115+$X115*($J115-$I115))</f>
        <v/>
      </c>
      <c r="Z115" s="30" t="n">
        <v>46212</v>
      </c>
      <c r="AA115" s="38" t="n"/>
      <c r="AB115" s="39" t="n"/>
      <c r="AC115" s="39" t="n"/>
      <c r="AD115" s="19">
        <f>IF($A115="","",IF($AA115="",$H115,$AA115))</f>
        <v/>
      </c>
      <c r="AE115" s="35">
        <f>IF($A115="","",IF($AB115="",$I115,$AB115))</f>
        <v/>
      </c>
      <c r="AF115" s="35">
        <f>IF($A115="","",IF($AC115="",$J115,$AC115))</f>
        <v/>
      </c>
      <c r="AG115" s="35">
        <f>IF(OR($U115="",$AE115="",$AF115="",$X115=""),"",$AE115+$X115*($AF115-$AE115))</f>
        <v/>
      </c>
      <c r="AH115" s="36" t="n"/>
      <c r="AI115" s="36" t="n"/>
      <c r="AJ115" s="36" t="n"/>
      <c r="AK115" s="36" t="n"/>
      <c r="AL115" s="36" t="n"/>
      <c r="AM115" s="36" t="n"/>
      <c r="AN115" s="36" t="n"/>
      <c r="AO115" s="36" t="n"/>
      <c r="AP115" s="36" t="n"/>
      <c r="AQ115" s="36" t="n"/>
      <c r="AR115" s="36" t="n"/>
      <c r="AS115" s="36" t="n"/>
      <c r="AT115" s="36" t="n"/>
      <c r="AU115" s="36" t="n"/>
      <c r="AV115" s="36" t="n"/>
      <c r="AW115" s="36" t="n"/>
      <c r="AX115" s="36" t="n"/>
    </row>
    <row r="116">
      <c r="A116" s="28" t="inlineStr">
        <is>
          <t>MIP_1</t>
        </is>
      </c>
      <c r="B116" s="20" t="inlineStr">
        <is>
          <t>Macquarie Group</t>
        </is>
      </c>
      <c r="C116" s="28" t="inlineStr">
        <is>
          <t>Macquarie Group</t>
        </is>
      </c>
      <c r="D116" s="28" t="inlineStr"/>
      <c r="E116" s="28" t="inlineStr">
        <is>
          <t>No</t>
        </is>
      </c>
      <c r="F116" s="28" t="inlineStr">
        <is>
          <t>Active</t>
        </is>
      </c>
      <c r="G116" s="36" t="n"/>
      <c r="H116" s="29" t="n">
        <v>1</v>
      </c>
      <c r="I116" s="37" t="n"/>
      <c r="J116" s="37" t="n"/>
      <c r="K116" s="31" t="n"/>
      <c r="L116" s="31" t="n"/>
      <c r="M116" s="31" t="n"/>
      <c r="N116" s="31" t="n"/>
      <c r="O116" s="31" t="n"/>
      <c r="P116" s="31" t="n"/>
      <c r="Q116" s="23">
        <f>IF($A116="","",COUNTIFS(Assignments!$C$2:$C$769,$A116,Assignments!$G$2:$G$769,"Active"))</f>
        <v/>
      </c>
      <c r="R116" s="32">
        <f>IF($A116="","",SUMIFS(Assignments!$I$2:$I$769,Assignments!$C$2:$C$769,$A116,Assignments!$G$2:$G$769,"Active"))</f>
        <v/>
      </c>
      <c r="S116" s="20" t="inlineStr">
        <is>
          <t>WIP</t>
        </is>
      </c>
      <c r="T116" s="31" t="n"/>
      <c r="U116" s="36" t="n"/>
      <c r="V116" s="34">
        <f>IF($U116="","",IFERROR(INDEX(Templates!$K$3:$K$10,MATCH($U116,Templates!$A$3:$A$10,0)),""))</f>
        <v/>
      </c>
      <c r="W116" s="34">
        <f>IF($U116="","",IFERROR(INDEX(Templates!$L$3:$L$10,MATCH($U116,Templates!$A$3:$A$10,0)),""))</f>
        <v/>
      </c>
      <c r="X116" s="21">
        <f>IF($U116="","",IFERROR(INDEX(Templates!$J$3:$J$10,MATCH($U116,Templates!$A$3:$A$10,0)),""))</f>
        <v/>
      </c>
      <c r="Y116" s="35">
        <f>IF(OR($U116="",$I116="",$J116="",$X116=""),"",$I116+$X116*($J116-$I116))</f>
        <v/>
      </c>
      <c r="Z116" s="30" t="n">
        <v>46212</v>
      </c>
      <c r="AA116" s="38" t="n"/>
      <c r="AB116" s="39" t="n"/>
      <c r="AC116" s="39" t="n"/>
      <c r="AD116" s="19">
        <f>IF($A116="","",IF($AA116="",$H116,$AA116))</f>
        <v/>
      </c>
      <c r="AE116" s="35">
        <f>IF($A116="","",IF($AB116="",$I116,$AB116))</f>
        <v/>
      </c>
      <c r="AF116" s="35">
        <f>IF($A116="","",IF($AC116="",$J116,$AC116))</f>
        <v/>
      </c>
      <c r="AG116" s="35">
        <f>IF(OR($U116="",$AE116="",$AF116="",$X116=""),"",$AE116+$X116*($AF116-$AE116))</f>
        <v/>
      </c>
      <c r="AH116" s="36" t="n"/>
      <c r="AI116" s="36" t="n"/>
      <c r="AJ116" s="36" t="n"/>
      <c r="AK116" s="36" t="n"/>
      <c r="AL116" s="36" t="n"/>
      <c r="AM116" s="36" t="n"/>
      <c r="AN116" s="36" t="n"/>
      <c r="AO116" s="36" t="n"/>
      <c r="AP116" s="36" t="n"/>
      <c r="AQ116" s="36" t="n"/>
      <c r="AR116" s="36" t="n"/>
      <c r="AS116" s="36" t="n"/>
      <c r="AT116" s="36" t="n"/>
      <c r="AU116" s="36" t="n"/>
      <c r="AV116" s="36" t="n"/>
      <c r="AW116" s="36" t="n"/>
      <c r="AX116" s="36" t="n"/>
    </row>
    <row r="117">
      <c r="A117" s="28" t="inlineStr">
        <is>
          <t>Modport_1</t>
        </is>
      </c>
      <c r="B117" s="20" t="inlineStr">
        <is>
          <t>Euclid Transactional</t>
        </is>
      </c>
      <c r="C117" s="28" t="inlineStr">
        <is>
          <t>Euclid Transactional</t>
        </is>
      </c>
      <c r="D117" s="28" t="inlineStr"/>
      <c r="E117" s="28" t="inlineStr">
        <is>
          <t>No</t>
        </is>
      </c>
      <c r="F117" s="28" t="inlineStr">
        <is>
          <t>Active</t>
        </is>
      </c>
      <c r="G117" s="36" t="n"/>
      <c r="H117" s="29" t="n">
        <v>1</v>
      </c>
      <c r="I117" s="37" t="n"/>
      <c r="J117" s="37" t="n"/>
      <c r="K117" s="31" t="n"/>
      <c r="L117" s="31" t="n"/>
      <c r="M117" s="31" t="n"/>
      <c r="N117" s="31" t="n"/>
      <c r="O117" s="31" t="n"/>
      <c r="P117" s="31" t="n"/>
      <c r="Q117" s="23">
        <f>IF($A117="","",COUNTIFS(Assignments!$C$2:$C$769,$A117,Assignments!$G$2:$G$769,"Active"))</f>
        <v/>
      </c>
      <c r="R117" s="32">
        <f>IF($A117="","",SUMIFS(Assignments!$I$2:$I$769,Assignments!$C$2:$C$769,$A117,Assignments!$G$2:$G$769,"Active"))</f>
        <v/>
      </c>
      <c r="S117" s="20" t="inlineStr">
        <is>
          <t>WIP</t>
        </is>
      </c>
      <c r="T117" s="31" t="n"/>
      <c r="U117" s="36" t="n"/>
      <c r="V117" s="34">
        <f>IF($U117="","",IFERROR(INDEX(Templates!$K$3:$K$10,MATCH($U117,Templates!$A$3:$A$10,0)),""))</f>
        <v/>
      </c>
      <c r="W117" s="34">
        <f>IF($U117="","",IFERROR(INDEX(Templates!$L$3:$L$10,MATCH($U117,Templates!$A$3:$A$10,0)),""))</f>
        <v/>
      </c>
      <c r="X117" s="21">
        <f>IF($U117="","",IFERROR(INDEX(Templates!$J$3:$J$10,MATCH($U117,Templates!$A$3:$A$10,0)),""))</f>
        <v/>
      </c>
      <c r="Y117" s="35">
        <f>IF(OR($U117="",$I117="",$J117="",$X117=""),"",$I117+$X117*($J117-$I117))</f>
        <v/>
      </c>
      <c r="Z117" s="30" t="n">
        <v>46212</v>
      </c>
      <c r="AA117" s="38" t="n"/>
      <c r="AB117" s="39" t="n"/>
      <c r="AC117" s="39" t="n"/>
      <c r="AD117" s="19">
        <f>IF($A117="","",IF($AA117="",$H117,$AA117))</f>
        <v/>
      </c>
      <c r="AE117" s="35">
        <f>IF($A117="","",IF($AB117="",$I117,$AB117))</f>
        <v/>
      </c>
      <c r="AF117" s="35">
        <f>IF($A117="","",IF($AC117="",$J117,$AC117))</f>
        <v/>
      </c>
      <c r="AG117" s="35">
        <f>IF(OR($U117="",$AE117="",$AF117="",$X117=""),"",$AE117+$X117*($AF117-$AE117))</f>
        <v/>
      </c>
      <c r="AH117" s="36" t="n"/>
      <c r="AI117" s="36" t="n"/>
      <c r="AJ117" s="36" t="n"/>
      <c r="AK117" s="36" t="n"/>
      <c r="AL117" s="36" t="n"/>
      <c r="AM117" s="36" t="n"/>
      <c r="AN117" s="36" t="n"/>
      <c r="AO117" s="36" t="n"/>
      <c r="AP117" s="36" t="n"/>
      <c r="AQ117" s="36" t="n"/>
      <c r="AR117" s="36" t="n"/>
      <c r="AS117" s="36" t="n"/>
      <c r="AT117" s="36" t="n"/>
      <c r="AU117" s="36" t="n"/>
      <c r="AV117" s="36" t="n"/>
      <c r="AW117" s="36" t="n"/>
      <c r="AX117" s="36" t="n"/>
    </row>
    <row r="118">
      <c r="A118" s="28" t="inlineStr">
        <is>
          <t>Mont_1</t>
        </is>
      </c>
      <c r="B118" s="20" t="inlineStr">
        <is>
          <t>RELX Plc</t>
        </is>
      </c>
      <c r="C118" s="28" t="inlineStr">
        <is>
          <t>RELX Plc</t>
        </is>
      </c>
      <c r="D118" s="28" t="inlineStr"/>
      <c r="E118" s="28" t="inlineStr">
        <is>
          <t>No</t>
        </is>
      </c>
      <c r="F118" s="28" t="inlineStr">
        <is>
          <t>Active</t>
        </is>
      </c>
      <c r="G118" s="36" t="n"/>
      <c r="H118" s="29" t="n">
        <v>1</v>
      </c>
      <c r="I118" s="37" t="n"/>
      <c r="J118" s="37" t="n"/>
      <c r="K118" s="31" t="n"/>
      <c r="L118" s="31" t="n"/>
      <c r="M118" s="31" t="n"/>
      <c r="N118" s="31" t="n"/>
      <c r="O118" s="31" t="n"/>
      <c r="P118" s="31" t="n"/>
      <c r="Q118" s="23">
        <f>IF($A118="","",COUNTIFS(Assignments!$C$2:$C$769,$A118,Assignments!$G$2:$G$769,"Active"))</f>
        <v/>
      </c>
      <c r="R118" s="32">
        <f>IF($A118="","",SUMIFS(Assignments!$I$2:$I$769,Assignments!$C$2:$C$769,$A118,Assignments!$G$2:$G$769,"Active"))</f>
        <v/>
      </c>
      <c r="S118" s="20" t="inlineStr">
        <is>
          <t>WIP</t>
        </is>
      </c>
      <c r="T118" s="31" t="n"/>
      <c r="U118" s="36" t="n"/>
      <c r="V118" s="34">
        <f>IF($U118="","",IFERROR(INDEX(Templates!$K$3:$K$10,MATCH($U118,Templates!$A$3:$A$10,0)),""))</f>
        <v/>
      </c>
      <c r="W118" s="34">
        <f>IF($U118="","",IFERROR(INDEX(Templates!$L$3:$L$10,MATCH($U118,Templates!$A$3:$A$10,0)),""))</f>
        <v/>
      </c>
      <c r="X118" s="21">
        <f>IF($U118="","",IFERROR(INDEX(Templates!$J$3:$J$10,MATCH($U118,Templates!$A$3:$A$10,0)),""))</f>
        <v/>
      </c>
      <c r="Y118" s="35">
        <f>IF(OR($U118="",$I118="",$J118="",$X118=""),"",$I118+$X118*($J118-$I118))</f>
        <v/>
      </c>
      <c r="Z118" s="30" t="n">
        <v>46212</v>
      </c>
      <c r="AA118" s="38" t="n"/>
      <c r="AB118" s="39" t="n"/>
      <c r="AC118" s="39" t="n"/>
      <c r="AD118" s="19">
        <f>IF($A118="","",IF($AA118="",$H118,$AA118))</f>
        <v/>
      </c>
      <c r="AE118" s="35">
        <f>IF($A118="","",IF($AB118="",$I118,$AB118))</f>
        <v/>
      </c>
      <c r="AF118" s="35">
        <f>IF($A118="","",IF($AC118="",$J118,$AC118))</f>
        <v/>
      </c>
      <c r="AG118" s="35">
        <f>IF(OR($U118="",$AE118="",$AF118="",$X118=""),"",$AE118+$X118*($AF118-$AE118))</f>
        <v/>
      </c>
      <c r="AH118" s="36" t="n"/>
      <c r="AI118" s="36" t="n"/>
      <c r="AJ118" s="36" t="n"/>
      <c r="AK118" s="36" t="n"/>
      <c r="AL118" s="36" t="n"/>
      <c r="AM118" s="36" t="n"/>
      <c r="AN118" s="36" t="n"/>
      <c r="AO118" s="36" t="n"/>
      <c r="AP118" s="36" t="n"/>
      <c r="AQ118" s="36" t="n"/>
      <c r="AR118" s="36" t="n"/>
      <c r="AS118" s="36" t="n"/>
      <c r="AT118" s="36" t="n"/>
      <c r="AU118" s="36" t="n"/>
      <c r="AV118" s="36" t="n"/>
      <c r="AW118" s="36" t="n"/>
      <c r="AX118" s="36" t="n"/>
    </row>
    <row r="119">
      <c r="A119" s="28" t="inlineStr">
        <is>
          <t>Mozart_2</t>
        </is>
      </c>
      <c r="B119" s="20" t="inlineStr">
        <is>
          <t>Eight Advisory</t>
        </is>
      </c>
      <c r="C119" s="28" t="inlineStr">
        <is>
          <t>Eight Advisory</t>
        </is>
      </c>
      <c r="D119" s="28" t="inlineStr"/>
      <c r="E119" s="28" t="inlineStr">
        <is>
          <t>No</t>
        </is>
      </c>
      <c r="F119" s="28" t="inlineStr">
        <is>
          <t>Active</t>
        </is>
      </c>
      <c r="G119" s="36" t="n"/>
      <c r="H119" s="29" t="n">
        <v>1</v>
      </c>
      <c r="I119" s="37" t="n"/>
      <c r="J119" s="37" t="n"/>
      <c r="K119" s="31" t="n"/>
      <c r="L119" s="31" t="n"/>
      <c r="M119" s="31" t="n"/>
      <c r="N119" s="31" t="n"/>
      <c r="O119" s="31" t="n"/>
      <c r="P119" s="31" t="n"/>
      <c r="Q119" s="23">
        <f>IF($A119="","",COUNTIFS(Assignments!$C$2:$C$769,$A119,Assignments!$G$2:$G$769,"Active"))</f>
        <v/>
      </c>
      <c r="R119" s="32">
        <f>IF($A119="","",SUMIFS(Assignments!$I$2:$I$769,Assignments!$C$2:$C$769,$A119,Assignments!$G$2:$G$769,"Active"))</f>
        <v/>
      </c>
      <c r="S119" s="20" t="inlineStr">
        <is>
          <t>WIP</t>
        </is>
      </c>
      <c r="T119" s="31" t="n"/>
      <c r="U119" s="36" t="n"/>
      <c r="V119" s="34">
        <f>IF($U119="","",IFERROR(INDEX(Templates!$K$3:$K$10,MATCH($U119,Templates!$A$3:$A$10,0)),""))</f>
        <v/>
      </c>
      <c r="W119" s="34">
        <f>IF($U119="","",IFERROR(INDEX(Templates!$L$3:$L$10,MATCH($U119,Templates!$A$3:$A$10,0)),""))</f>
        <v/>
      </c>
      <c r="X119" s="21">
        <f>IF($U119="","",IFERROR(INDEX(Templates!$J$3:$J$10,MATCH($U119,Templates!$A$3:$A$10,0)),""))</f>
        <v/>
      </c>
      <c r="Y119" s="35">
        <f>IF(OR($U119="",$I119="",$J119="",$X119=""),"",$I119+$X119*($J119-$I119))</f>
        <v/>
      </c>
      <c r="Z119" s="30" t="n">
        <v>46212</v>
      </c>
      <c r="AA119" s="38" t="n"/>
      <c r="AB119" s="39" t="n"/>
      <c r="AC119" s="39" t="n"/>
      <c r="AD119" s="19">
        <f>IF($A119="","",IF($AA119="",$H119,$AA119))</f>
        <v/>
      </c>
      <c r="AE119" s="35">
        <f>IF($A119="","",IF($AB119="",$I119,$AB119))</f>
        <v/>
      </c>
      <c r="AF119" s="35">
        <f>IF($A119="","",IF($AC119="",$J119,$AC119))</f>
        <v/>
      </c>
      <c r="AG119" s="35">
        <f>IF(OR($U119="",$AE119="",$AF119="",$X119=""),"",$AE119+$X119*($AF119-$AE119))</f>
        <v/>
      </c>
      <c r="AH119" s="36" t="n"/>
      <c r="AI119" s="36" t="n"/>
      <c r="AJ119" s="36" t="n"/>
      <c r="AK119" s="36" t="n"/>
      <c r="AL119" s="36" t="n"/>
      <c r="AM119" s="36" t="n"/>
      <c r="AN119" s="36" t="n"/>
      <c r="AO119" s="36" t="n"/>
      <c r="AP119" s="36" t="n"/>
      <c r="AQ119" s="36" t="n"/>
      <c r="AR119" s="36" t="n"/>
      <c r="AS119" s="36" t="n"/>
      <c r="AT119" s="36" t="n"/>
      <c r="AU119" s="36" t="n"/>
      <c r="AV119" s="36" t="n"/>
      <c r="AW119" s="36" t="n"/>
      <c r="AX119" s="36" t="n"/>
    </row>
    <row r="120">
      <c r="A120" s="28" t="inlineStr">
        <is>
          <t>Naples_2</t>
        </is>
      </c>
      <c r="B120" s="20" t="inlineStr">
        <is>
          <t>Health Velocity Capital</t>
        </is>
      </c>
      <c r="C120" s="28" t="inlineStr">
        <is>
          <t>Health Velocity Capital</t>
        </is>
      </c>
      <c r="D120" s="28" t="inlineStr"/>
      <c r="E120" s="28" t="inlineStr">
        <is>
          <t>No</t>
        </is>
      </c>
      <c r="F120" s="28" t="inlineStr">
        <is>
          <t>Active</t>
        </is>
      </c>
      <c r="G120" s="36" t="n"/>
      <c r="H120" s="29" t="n">
        <v>1</v>
      </c>
      <c r="I120" s="37" t="n"/>
      <c r="J120" s="37" t="n"/>
      <c r="K120" s="31" t="n"/>
      <c r="L120" s="31" t="n"/>
      <c r="M120" s="31" t="n"/>
      <c r="N120" s="31" t="n"/>
      <c r="O120" s="31" t="n"/>
      <c r="P120" s="31" t="n"/>
      <c r="Q120" s="23">
        <f>IF($A120="","",COUNTIFS(Assignments!$C$2:$C$769,$A120,Assignments!$G$2:$G$769,"Active"))</f>
        <v/>
      </c>
      <c r="R120" s="32">
        <f>IF($A120="","",SUMIFS(Assignments!$I$2:$I$769,Assignments!$C$2:$C$769,$A120,Assignments!$G$2:$G$769,"Active"))</f>
        <v/>
      </c>
      <c r="S120" s="20" t="inlineStr">
        <is>
          <t>WIP</t>
        </is>
      </c>
      <c r="T120" s="31" t="n"/>
      <c r="U120" s="36" t="n"/>
      <c r="V120" s="34">
        <f>IF($U120="","",IFERROR(INDEX(Templates!$K$3:$K$10,MATCH($U120,Templates!$A$3:$A$10,0)),""))</f>
        <v/>
      </c>
      <c r="W120" s="34">
        <f>IF($U120="","",IFERROR(INDEX(Templates!$L$3:$L$10,MATCH($U120,Templates!$A$3:$A$10,0)),""))</f>
        <v/>
      </c>
      <c r="X120" s="21">
        <f>IF($U120="","",IFERROR(INDEX(Templates!$J$3:$J$10,MATCH($U120,Templates!$A$3:$A$10,0)),""))</f>
        <v/>
      </c>
      <c r="Y120" s="35">
        <f>IF(OR($U120="",$I120="",$J120="",$X120=""),"",$I120+$X120*($J120-$I120))</f>
        <v/>
      </c>
      <c r="Z120" s="30" t="n">
        <v>46212</v>
      </c>
      <c r="AA120" s="38" t="n"/>
      <c r="AB120" s="39" t="n"/>
      <c r="AC120" s="39" t="n"/>
      <c r="AD120" s="19">
        <f>IF($A120="","",IF($AA120="",$H120,$AA120))</f>
        <v/>
      </c>
      <c r="AE120" s="35">
        <f>IF($A120="","",IF($AB120="",$I120,$AB120))</f>
        <v/>
      </c>
      <c r="AF120" s="35">
        <f>IF($A120="","",IF($AC120="",$J120,$AC120))</f>
        <v/>
      </c>
      <c r="AG120" s="35">
        <f>IF(OR($U120="",$AE120="",$AF120="",$X120=""),"",$AE120+$X120*($AF120-$AE120))</f>
        <v/>
      </c>
      <c r="AH120" s="36" t="n"/>
      <c r="AI120" s="36" t="n"/>
      <c r="AJ120" s="36" t="n"/>
      <c r="AK120" s="36" t="n"/>
      <c r="AL120" s="36" t="n"/>
      <c r="AM120" s="36" t="n"/>
      <c r="AN120" s="36" t="n"/>
      <c r="AO120" s="36" t="n"/>
      <c r="AP120" s="36" t="n"/>
      <c r="AQ120" s="36" t="n"/>
      <c r="AR120" s="36" t="n"/>
      <c r="AS120" s="36" t="n"/>
      <c r="AT120" s="36" t="n"/>
      <c r="AU120" s="36" t="n"/>
      <c r="AV120" s="36" t="n"/>
      <c r="AW120" s="36" t="n"/>
      <c r="AX120" s="36" t="n"/>
    </row>
    <row r="121">
      <c r="A121" s="28" t="inlineStr">
        <is>
          <t>Neo_2</t>
        </is>
      </c>
      <c r="B121" s="20" t="inlineStr">
        <is>
          <t>Ethos Specialty Insurance Services</t>
        </is>
      </c>
      <c r="C121" s="28" t="inlineStr">
        <is>
          <t>Ethos Specialty Insurance Services</t>
        </is>
      </c>
      <c r="D121" s="28" t="inlineStr"/>
      <c r="E121" s="28" t="inlineStr">
        <is>
          <t>No</t>
        </is>
      </c>
      <c r="F121" s="28" t="inlineStr">
        <is>
          <t>Active</t>
        </is>
      </c>
      <c r="G121" s="36" t="n"/>
      <c r="H121" s="29" t="n">
        <v>1</v>
      </c>
      <c r="I121" s="37" t="n"/>
      <c r="J121" s="37" t="n"/>
      <c r="K121" s="31" t="n"/>
      <c r="L121" s="31" t="n"/>
      <c r="M121" s="31" t="n"/>
      <c r="N121" s="31" t="n"/>
      <c r="O121" s="31" t="n"/>
      <c r="P121" s="31" t="n"/>
      <c r="Q121" s="23">
        <f>IF($A121="","",COUNTIFS(Assignments!$C$2:$C$769,$A121,Assignments!$G$2:$G$769,"Active"))</f>
        <v/>
      </c>
      <c r="R121" s="32">
        <f>IF($A121="","",SUMIFS(Assignments!$I$2:$I$769,Assignments!$C$2:$C$769,$A121,Assignments!$G$2:$G$769,"Active"))</f>
        <v/>
      </c>
      <c r="S121" s="20" t="inlineStr">
        <is>
          <t>WIP</t>
        </is>
      </c>
      <c r="T121" s="31" t="n"/>
      <c r="U121" s="36" t="n"/>
      <c r="V121" s="34">
        <f>IF($U121="","",IFERROR(INDEX(Templates!$K$3:$K$10,MATCH($U121,Templates!$A$3:$A$10,0)),""))</f>
        <v/>
      </c>
      <c r="W121" s="34">
        <f>IF($U121="","",IFERROR(INDEX(Templates!$L$3:$L$10,MATCH($U121,Templates!$A$3:$A$10,0)),""))</f>
        <v/>
      </c>
      <c r="X121" s="21">
        <f>IF($U121="","",IFERROR(INDEX(Templates!$J$3:$J$10,MATCH($U121,Templates!$A$3:$A$10,0)),""))</f>
        <v/>
      </c>
      <c r="Y121" s="35">
        <f>IF(OR($U121="",$I121="",$J121="",$X121=""),"",$I121+$X121*($J121-$I121))</f>
        <v/>
      </c>
      <c r="Z121" s="30" t="n">
        <v>46212</v>
      </c>
      <c r="AA121" s="38" t="n"/>
      <c r="AB121" s="39" t="n"/>
      <c r="AC121" s="39" t="n"/>
      <c r="AD121" s="19">
        <f>IF($A121="","",IF($AA121="",$H121,$AA121))</f>
        <v/>
      </c>
      <c r="AE121" s="35">
        <f>IF($A121="","",IF($AB121="",$I121,$AB121))</f>
        <v/>
      </c>
      <c r="AF121" s="35">
        <f>IF($A121="","",IF($AC121="",$J121,$AC121))</f>
        <v/>
      </c>
      <c r="AG121" s="35">
        <f>IF(OR($U121="",$AE121="",$AF121="",$X121=""),"",$AE121+$X121*($AF121-$AE121))</f>
        <v/>
      </c>
      <c r="AH121" s="36" t="n"/>
      <c r="AI121" s="36" t="n"/>
      <c r="AJ121" s="36" t="n"/>
      <c r="AK121" s="36" t="n"/>
      <c r="AL121" s="36" t="n"/>
      <c r="AM121" s="36" t="n"/>
      <c r="AN121" s="36" t="n"/>
      <c r="AO121" s="36" t="n"/>
      <c r="AP121" s="36" t="n"/>
      <c r="AQ121" s="36" t="n"/>
      <c r="AR121" s="36" t="n"/>
      <c r="AS121" s="36" t="n"/>
      <c r="AT121" s="36" t="n"/>
      <c r="AU121" s="36" t="n"/>
      <c r="AV121" s="36" t="n"/>
      <c r="AW121" s="36" t="n"/>
      <c r="AX121" s="36" t="n"/>
    </row>
    <row r="122">
      <c r="A122" s="28" t="inlineStr">
        <is>
          <t>Neutrino_1</t>
        </is>
      </c>
      <c r="B122" s="20" t="inlineStr">
        <is>
          <t>Solertia MGA Ltd.</t>
        </is>
      </c>
      <c r="C122" s="28" t="inlineStr">
        <is>
          <t>Solertia MGA Ltd.</t>
        </is>
      </c>
      <c r="D122" s="28" t="inlineStr"/>
      <c r="E122" s="28" t="inlineStr">
        <is>
          <t>No</t>
        </is>
      </c>
      <c r="F122" s="28" t="inlineStr">
        <is>
          <t>Active</t>
        </is>
      </c>
      <c r="G122" s="36" t="n"/>
      <c r="H122" s="29" t="n">
        <v>1</v>
      </c>
      <c r="I122" s="37" t="n"/>
      <c r="J122" s="37" t="n"/>
      <c r="K122" s="31" t="n"/>
      <c r="L122" s="31" t="n"/>
      <c r="M122" s="31" t="n"/>
      <c r="N122" s="31" t="n"/>
      <c r="O122" s="31" t="n"/>
      <c r="P122" s="31" t="n"/>
      <c r="Q122" s="23">
        <f>IF($A122="","",COUNTIFS(Assignments!$C$2:$C$769,$A122,Assignments!$G$2:$G$769,"Active"))</f>
        <v/>
      </c>
      <c r="R122" s="32">
        <f>IF($A122="","",SUMIFS(Assignments!$I$2:$I$769,Assignments!$C$2:$C$769,$A122,Assignments!$G$2:$G$769,"Active"))</f>
        <v/>
      </c>
      <c r="S122" s="20" t="inlineStr">
        <is>
          <t>WIP</t>
        </is>
      </c>
      <c r="T122" s="31" t="n"/>
      <c r="U122" s="36" t="n"/>
      <c r="V122" s="34">
        <f>IF($U122="","",IFERROR(INDEX(Templates!$K$3:$K$10,MATCH($U122,Templates!$A$3:$A$10,0)),""))</f>
        <v/>
      </c>
      <c r="W122" s="34">
        <f>IF($U122="","",IFERROR(INDEX(Templates!$L$3:$L$10,MATCH($U122,Templates!$A$3:$A$10,0)),""))</f>
        <v/>
      </c>
      <c r="X122" s="21">
        <f>IF($U122="","",IFERROR(INDEX(Templates!$J$3:$J$10,MATCH($U122,Templates!$A$3:$A$10,0)),""))</f>
        <v/>
      </c>
      <c r="Y122" s="35">
        <f>IF(OR($U122="",$I122="",$J122="",$X122=""),"",$I122+$X122*($J122-$I122))</f>
        <v/>
      </c>
      <c r="Z122" s="30" t="n">
        <v>46212</v>
      </c>
      <c r="AA122" s="38" t="n"/>
      <c r="AB122" s="39" t="n"/>
      <c r="AC122" s="39" t="n"/>
      <c r="AD122" s="19">
        <f>IF($A122="","",IF($AA122="",$H122,$AA122))</f>
        <v/>
      </c>
      <c r="AE122" s="35">
        <f>IF($A122="","",IF($AB122="",$I122,$AB122))</f>
        <v/>
      </c>
      <c r="AF122" s="35">
        <f>IF($A122="","",IF($AC122="",$J122,$AC122))</f>
        <v/>
      </c>
      <c r="AG122" s="35">
        <f>IF(OR($U122="",$AE122="",$AF122="",$X122=""),"",$AE122+$X122*($AF122-$AE122))</f>
        <v/>
      </c>
      <c r="AH122" s="36" t="n"/>
      <c r="AI122" s="36" t="n"/>
      <c r="AJ122" s="36" t="n"/>
      <c r="AK122" s="36" t="n"/>
      <c r="AL122" s="36" t="n"/>
      <c r="AM122" s="36" t="n"/>
      <c r="AN122" s="36" t="n"/>
      <c r="AO122" s="36" t="n"/>
      <c r="AP122" s="36" t="n"/>
      <c r="AQ122" s="36" t="n"/>
      <c r="AR122" s="36" t="n"/>
      <c r="AS122" s="36" t="n"/>
      <c r="AT122" s="36" t="n"/>
      <c r="AU122" s="36" t="n"/>
      <c r="AV122" s="36" t="n"/>
      <c r="AW122" s="36" t="n"/>
      <c r="AX122" s="36" t="n"/>
    </row>
    <row r="123">
      <c r="A123" s="28" t="inlineStr">
        <is>
          <t>Nevada_1</t>
        </is>
      </c>
      <c r="B123" s="20" t="inlineStr">
        <is>
          <t>CrossCountry Consulting</t>
        </is>
      </c>
      <c r="C123" s="28" t="inlineStr">
        <is>
          <t>CrossCountry Consulting</t>
        </is>
      </c>
      <c r="D123" s="28" t="inlineStr"/>
      <c r="E123" s="28" t="inlineStr">
        <is>
          <t>No</t>
        </is>
      </c>
      <c r="F123" s="28" t="inlineStr">
        <is>
          <t>Active</t>
        </is>
      </c>
      <c r="G123" s="36" t="n"/>
      <c r="H123" s="29" t="n">
        <v>1</v>
      </c>
      <c r="I123" s="37" t="n"/>
      <c r="J123" s="37" t="n"/>
      <c r="K123" s="31" t="n"/>
      <c r="L123" s="31" t="n"/>
      <c r="M123" s="31" t="n"/>
      <c r="N123" s="31" t="n"/>
      <c r="O123" s="31" t="n"/>
      <c r="P123" s="31" t="n"/>
      <c r="Q123" s="23">
        <f>IF($A123="","",COUNTIFS(Assignments!$C$2:$C$769,$A123,Assignments!$G$2:$G$769,"Active"))</f>
        <v/>
      </c>
      <c r="R123" s="32">
        <f>IF($A123="","",SUMIFS(Assignments!$I$2:$I$769,Assignments!$C$2:$C$769,$A123,Assignments!$G$2:$G$769,"Active"))</f>
        <v/>
      </c>
      <c r="S123" s="20" t="inlineStr">
        <is>
          <t>WIP</t>
        </is>
      </c>
      <c r="T123" s="31" t="n"/>
      <c r="U123" s="36" t="n"/>
      <c r="V123" s="34">
        <f>IF($U123="","",IFERROR(INDEX(Templates!$K$3:$K$10,MATCH($U123,Templates!$A$3:$A$10,0)),""))</f>
        <v/>
      </c>
      <c r="W123" s="34">
        <f>IF($U123="","",IFERROR(INDEX(Templates!$L$3:$L$10,MATCH($U123,Templates!$A$3:$A$10,0)),""))</f>
        <v/>
      </c>
      <c r="X123" s="21">
        <f>IF($U123="","",IFERROR(INDEX(Templates!$J$3:$J$10,MATCH($U123,Templates!$A$3:$A$10,0)),""))</f>
        <v/>
      </c>
      <c r="Y123" s="35">
        <f>IF(OR($U123="",$I123="",$J123="",$X123=""),"",$I123+$X123*($J123-$I123))</f>
        <v/>
      </c>
      <c r="Z123" s="30" t="n">
        <v>46212</v>
      </c>
      <c r="AA123" s="38" t="n"/>
      <c r="AB123" s="39" t="n"/>
      <c r="AC123" s="39" t="n"/>
      <c r="AD123" s="19">
        <f>IF($A123="","",IF($AA123="",$H123,$AA123))</f>
        <v/>
      </c>
      <c r="AE123" s="35">
        <f>IF($A123="","",IF($AB123="",$I123,$AB123))</f>
        <v/>
      </c>
      <c r="AF123" s="35">
        <f>IF($A123="","",IF($AC123="",$J123,$AC123))</f>
        <v/>
      </c>
      <c r="AG123" s="35">
        <f>IF(OR($U123="",$AE123="",$AF123="",$X123=""),"",$AE123+$X123*($AF123-$AE123))</f>
        <v/>
      </c>
      <c r="AH123" s="36" t="n"/>
      <c r="AI123" s="36" t="n"/>
      <c r="AJ123" s="36" t="n"/>
      <c r="AK123" s="36" t="n"/>
      <c r="AL123" s="36" t="n"/>
      <c r="AM123" s="36" t="n"/>
      <c r="AN123" s="36" t="n"/>
      <c r="AO123" s="36" t="n"/>
      <c r="AP123" s="36" t="n"/>
      <c r="AQ123" s="36" t="n"/>
      <c r="AR123" s="36" t="n"/>
      <c r="AS123" s="36" t="n"/>
      <c r="AT123" s="36" t="n"/>
      <c r="AU123" s="36" t="n"/>
      <c r="AV123" s="36" t="n"/>
      <c r="AW123" s="36" t="n"/>
      <c r="AX123" s="36" t="n"/>
    </row>
    <row r="124">
      <c r="A124" s="28" t="inlineStr">
        <is>
          <t>New Haven_1</t>
        </is>
      </c>
      <c r="B124" s="20" t="inlineStr">
        <is>
          <t>City of New Haven</t>
        </is>
      </c>
      <c r="C124" s="28" t="inlineStr">
        <is>
          <t>City of New Haven</t>
        </is>
      </c>
      <c r="D124" s="28" t="inlineStr"/>
      <c r="E124" s="28" t="inlineStr">
        <is>
          <t>No</t>
        </is>
      </c>
      <c r="F124" s="28" t="inlineStr">
        <is>
          <t>Active</t>
        </is>
      </c>
      <c r="G124" s="36" t="n"/>
      <c r="H124" s="29" t="n">
        <v>1</v>
      </c>
      <c r="I124" s="37" t="n"/>
      <c r="J124" s="37" t="n"/>
      <c r="K124" s="31" t="n"/>
      <c r="L124" s="31" t="n"/>
      <c r="M124" s="31" t="n"/>
      <c r="N124" s="31" t="n"/>
      <c r="O124" s="31" t="n"/>
      <c r="P124" s="31" t="n"/>
      <c r="Q124" s="23">
        <f>IF($A124="","",COUNTIFS(Assignments!$C$2:$C$769,$A124,Assignments!$G$2:$G$769,"Active"))</f>
        <v/>
      </c>
      <c r="R124" s="32">
        <f>IF($A124="","",SUMIFS(Assignments!$I$2:$I$769,Assignments!$C$2:$C$769,$A124,Assignments!$G$2:$G$769,"Active"))</f>
        <v/>
      </c>
      <c r="S124" s="20" t="inlineStr">
        <is>
          <t>WIP</t>
        </is>
      </c>
      <c r="T124" s="31" t="n"/>
      <c r="U124" s="36" t="n"/>
      <c r="V124" s="34">
        <f>IF($U124="","",IFERROR(INDEX(Templates!$K$3:$K$10,MATCH($U124,Templates!$A$3:$A$10,0)),""))</f>
        <v/>
      </c>
      <c r="W124" s="34">
        <f>IF($U124="","",IFERROR(INDEX(Templates!$L$3:$L$10,MATCH($U124,Templates!$A$3:$A$10,0)),""))</f>
        <v/>
      </c>
      <c r="X124" s="21">
        <f>IF($U124="","",IFERROR(INDEX(Templates!$J$3:$J$10,MATCH($U124,Templates!$A$3:$A$10,0)),""))</f>
        <v/>
      </c>
      <c r="Y124" s="35">
        <f>IF(OR($U124="",$I124="",$J124="",$X124=""),"",$I124+$X124*($J124-$I124))</f>
        <v/>
      </c>
      <c r="Z124" s="30" t="n">
        <v>46212</v>
      </c>
      <c r="AA124" s="38" t="n"/>
      <c r="AB124" s="39" t="n"/>
      <c r="AC124" s="39" t="n"/>
      <c r="AD124" s="19">
        <f>IF($A124="","",IF($AA124="",$H124,$AA124))</f>
        <v/>
      </c>
      <c r="AE124" s="35">
        <f>IF($A124="","",IF($AB124="",$I124,$AB124))</f>
        <v/>
      </c>
      <c r="AF124" s="35">
        <f>IF($A124="","",IF($AC124="",$J124,$AC124))</f>
        <v/>
      </c>
      <c r="AG124" s="35">
        <f>IF(OR($U124="",$AE124="",$AF124="",$X124=""),"",$AE124+$X124*($AF124-$AE124))</f>
        <v/>
      </c>
      <c r="AH124" s="36" t="n"/>
      <c r="AI124" s="36" t="n"/>
      <c r="AJ124" s="36" t="n"/>
      <c r="AK124" s="36" t="n"/>
      <c r="AL124" s="36" t="n"/>
      <c r="AM124" s="36" t="n"/>
      <c r="AN124" s="36" t="n"/>
      <c r="AO124" s="36" t="n"/>
      <c r="AP124" s="36" t="n"/>
      <c r="AQ124" s="36" t="n"/>
      <c r="AR124" s="36" t="n"/>
      <c r="AS124" s="36" t="n"/>
      <c r="AT124" s="36" t="n"/>
      <c r="AU124" s="36" t="n"/>
      <c r="AV124" s="36" t="n"/>
      <c r="AW124" s="36" t="n"/>
      <c r="AX124" s="36" t="n"/>
    </row>
    <row r="125">
      <c r="A125" s="28" t="inlineStr">
        <is>
          <t>Nexus_6</t>
        </is>
      </c>
      <c r="B125" s="20" t="inlineStr">
        <is>
          <t>Beacon Software, Inc.</t>
        </is>
      </c>
      <c r="C125" s="28" t="inlineStr">
        <is>
          <t>Beacon Software, Inc.</t>
        </is>
      </c>
      <c r="D125" s="28" t="inlineStr"/>
      <c r="E125" s="28" t="inlineStr">
        <is>
          <t>No</t>
        </is>
      </c>
      <c r="F125" s="28" t="inlineStr">
        <is>
          <t>Active</t>
        </is>
      </c>
      <c r="G125" s="36" t="n"/>
      <c r="H125" s="29" t="n">
        <v>1</v>
      </c>
      <c r="I125" s="37" t="n"/>
      <c r="J125" s="37" t="n"/>
      <c r="K125" s="31" t="n"/>
      <c r="L125" s="31" t="n"/>
      <c r="M125" s="31" t="n"/>
      <c r="N125" s="31" t="n"/>
      <c r="O125" s="31" t="n"/>
      <c r="P125" s="31" t="n"/>
      <c r="Q125" s="23">
        <f>IF($A125="","",COUNTIFS(Assignments!$C$2:$C$769,$A125,Assignments!$G$2:$G$769,"Active"))</f>
        <v/>
      </c>
      <c r="R125" s="32">
        <f>IF($A125="","",SUMIFS(Assignments!$I$2:$I$769,Assignments!$C$2:$C$769,$A125,Assignments!$G$2:$G$769,"Active"))</f>
        <v/>
      </c>
      <c r="S125" s="20" t="inlineStr">
        <is>
          <t>WIP</t>
        </is>
      </c>
      <c r="T125" s="31" t="n"/>
      <c r="U125" s="36" t="n"/>
      <c r="V125" s="34">
        <f>IF($U125="","",IFERROR(INDEX(Templates!$K$3:$K$10,MATCH($U125,Templates!$A$3:$A$10,0)),""))</f>
        <v/>
      </c>
      <c r="W125" s="34">
        <f>IF($U125="","",IFERROR(INDEX(Templates!$L$3:$L$10,MATCH($U125,Templates!$A$3:$A$10,0)),""))</f>
        <v/>
      </c>
      <c r="X125" s="21">
        <f>IF($U125="","",IFERROR(INDEX(Templates!$J$3:$J$10,MATCH($U125,Templates!$A$3:$A$10,0)),""))</f>
        <v/>
      </c>
      <c r="Y125" s="35">
        <f>IF(OR($U125="",$I125="",$J125="",$X125=""),"",$I125+$X125*($J125-$I125))</f>
        <v/>
      </c>
      <c r="Z125" s="30" t="n">
        <v>46212</v>
      </c>
      <c r="AA125" s="38" t="n"/>
      <c r="AB125" s="39" t="n"/>
      <c r="AC125" s="39" t="n"/>
      <c r="AD125" s="19">
        <f>IF($A125="","",IF($AA125="",$H125,$AA125))</f>
        <v/>
      </c>
      <c r="AE125" s="35">
        <f>IF($A125="","",IF($AB125="",$I125,$AB125))</f>
        <v/>
      </c>
      <c r="AF125" s="35">
        <f>IF($A125="","",IF($AC125="",$J125,$AC125))</f>
        <v/>
      </c>
      <c r="AG125" s="35">
        <f>IF(OR($U125="",$AE125="",$AF125="",$X125=""),"",$AE125+$X125*($AF125-$AE125))</f>
        <v/>
      </c>
      <c r="AH125" s="36" t="n"/>
      <c r="AI125" s="36" t="n"/>
      <c r="AJ125" s="36" t="n"/>
      <c r="AK125" s="36" t="n"/>
      <c r="AL125" s="36" t="n"/>
      <c r="AM125" s="36" t="n"/>
      <c r="AN125" s="36" t="n"/>
      <c r="AO125" s="36" t="n"/>
      <c r="AP125" s="36" t="n"/>
      <c r="AQ125" s="36" t="n"/>
      <c r="AR125" s="36" t="n"/>
      <c r="AS125" s="36" t="n"/>
      <c r="AT125" s="36" t="n"/>
      <c r="AU125" s="36" t="n"/>
      <c r="AV125" s="36" t="n"/>
      <c r="AW125" s="36" t="n"/>
      <c r="AX125" s="36" t="n"/>
    </row>
    <row r="126">
      <c r="A126" s="28" t="inlineStr">
        <is>
          <t>Ninedot_3</t>
        </is>
      </c>
      <c r="B126" s="20" t="inlineStr">
        <is>
          <t>The Carlyle Group : NineDot Energy</t>
        </is>
      </c>
      <c r="C126" s="28" t="inlineStr">
        <is>
          <t>The Carlyle Group</t>
        </is>
      </c>
      <c r="D126" s="28" t="inlineStr">
        <is>
          <t>NineDot Energy</t>
        </is>
      </c>
      <c r="E126" s="28" t="inlineStr">
        <is>
          <t>No</t>
        </is>
      </c>
      <c r="F126" s="28" t="inlineStr">
        <is>
          <t>Active</t>
        </is>
      </c>
      <c r="G126" s="36" t="n"/>
      <c r="H126" s="29" t="n">
        <v>1</v>
      </c>
      <c r="I126" s="37" t="n"/>
      <c r="J126" s="37" t="n"/>
      <c r="K126" s="31" t="n"/>
      <c r="L126" s="31" t="n"/>
      <c r="M126" s="31" t="n"/>
      <c r="N126" s="31" t="n"/>
      <c r="O126" s="31" t="n"/>
      <c r="P126" s="31" t="n"/>
      <c r="Q126" s="23">
        <f>IF($A126="","",COUNTIFS(Assignments!$C$2:$C$769,$A126,Assignments!$G$2:$G$769,"Active"))</f>
        <v/>
      </c>
      <c r="R126" s="32">
        <f>IF($A126="","",SUMIFS(Assignments!$I$2:$I$769,Assignments!$C$2:$C$769,$A126,Assignments!$G$2:$G$769,"Active"))</f>
        <v/>
      </c>
      <c r="S126" s="20" t="inlineStr">
        <is>
          <t>WIP</t>
        </is>
      </c>
      <c r="T126" s="31" t="n"/>
      <c r="U126" s="36" t="n"/>
      <c r="V126" s="34">
        <f>IF($U126="","",IFERROR(INDEX(Templates!$K$3:$K$10,MATCH($U126,Templates!$A$3:$A$10,0)),""))</f>
        <v/>
      </c>
      <c r="W126" s="34">
        <f>IF($U126="","",IFERROR(INDEX(Templates!$L$3:$L$10,MATCH($U126,Templates!$A$3:$A$10,0)),""))</f>
        <v/>
      </c>
      <c r="X126" s="21">
        <f>IF($U126="","",IFERROR(INDEX(Templates!$J$3:$J$10,MATCH($U126,Templates!$A$3:$A$10,0)),""))</f>
        <v/>
      </c>
      <c r="Y126" s="35">
        <f>IF(OR($U126="",$I126="",$J126="",$X126=""),"",$I126+$X126*($J126-$I126))</f>
        <v/>
      </c>
      <c r="Z126" s="30" t="n">
        <v>46212</v>
      </c>
      <c r="AA126" s="38" t="n"/>
      <c r="AB126" s="39" t="n"/>
      <c r="AC126" s="39" t="n"/>
      <c r="AD126" s="19">
        <f>IF($A126="","",IF($AA126="",$H126,$AA126))</f>
        <v/>
      </c>
      <c r="AE126" s="35">
        <f>IF($A126="","",IF($AB126="",$I126,$AB126))</f>
        <v/>
      </c>
      <c r="AF126" s="35">
        <f>IF($A126="","",IF($AC126="",$J126,$AC126))</f>
        <v/>
      </c>
      <c r="AG126" s="35">
        <f>IF(OR($U126="",$AE126="",$AF126="",$X126=""),"",$AE126+$X126*($AF126-$AE126))</f>
        <v/>
      </c>
      <c r="AH126" s="36" t="n"/>
      <c r="AI126" s="36" t="n"/>
      <c r="AJ126" s="36" t="n"/>
      <c r="AK126" s="36" t="n"/>
      <c r="AL126" s="36" t="n"/>
      <c r="AM126" s="36" t="n"/>
      <c r="AN126" s="36" t="n"/>
      <c r="AO126" s="36" t="n"/>
      <c r="AP126" s="36" t="n"/>
      <c r="AQ126" s="36" t="n"/>
      <c r="AR126" s="36" t="n"/>
      <c r="AS126" s="36" t="n"/>
      <c r="AT126" s="36" t="n"/>
      <c r="AU126" s="36" t="n"/>
      <c r="AV126" s="36" t="n"/>
      <c r="AW126" s="36" t="n"/>
      <c r="AX126" s="36" t="n"/>
    </row>
    <row r="127">
      <c r="A127" s="28" t="inlineStr">
        <is>
          <t>NXT Add_1</t>
        </is>
      </c>
      <c r="B127" s="20" t="inlineStr">
        <is>
          <t>NXT Vacation Management LLC</t>
        </is>
      </c>
      <c r="C127" s="28" t="inlineStr">
        <is>
          <t>NXT Vacation Management LLC</t>
        </is>
      </c>
      <c r="D127" s="28" t="inlineStr"/>
      <c r="E127" s="28" t="inlineStr">
        <is>
          <t>No</t>
        </is>
      </c>
      <c r="F127" s="28" t="inlineStr">
        <is>
          <t>Active</t>
        </is>
      </c>
      <c r="G127" s="36" t="n"/>
      <c r="H127" s="29" t="n">
        <v>1</v>
      </c>
      <c r="I127" s="37" t="n"/>
      <c r="J127" s="37" t="n"/>
      <c r="K127" s="31" t="n"/>
      <c r="L127" s="31" t="n"/>
      <c r="M127" s="31" t="n"/>
      <c r="N127" s="31" t="n"/>
      <c r="O127" s="31" t="n"/>
      <c r="P127" s="31" t="n"/>
      <c r="Q127" s="23">
        <f>IF($A127="","",COUNTIFS(Assignments!$C$2:$C$769,$A127,Assignments!$G$2:$G$769,"Active"))</f>
        <v/>
      </c>
      <c r="R127" s="32">
        <f>IF($A127="","",SUMIFS(Assignments!$I$2:$I$769,Assignments!$C$2:$C$769,$A127,Assignments!$G$2:$G$769,"Active"))</f>
        <v/>
      </c>
      <c r="S127" s="20" t="inlineStr">
        <is>
          <t>WIP</t>
        </is>
      </c>
      <c r="T127" s="31" t="n"/>
      <c r="U127" s="36" t="n"/>
      <c r="V127" s="34">
        <f>IF($U127="","",IFERROR(INDEX(Templates!$K$3:$K$10,MATCH($U127,Templates!$A$3:$A$10,0)),""))</f>
        <v/>
      </c>
      <c r="W127" s="34">
        <f>IF($U127="","",IFERROR(INDEX(Templates!$L$3:$L$10,MATCH($U127,Templates!$A$3:$A$10,0)),""))</f>
        <v/>
      </c>
      <c r="X127" s="21">
        <f>IF($U127="","",IFERROR(INDEX(Templates!$J$3:$J$10,MATCH($U127,Templates!$A$3:$A$10,0)),""))</f>
        <v/>
      </c>
      <c r="Y127" s="35">
        <f>IF(OR($U127="",$I127="",$J127="",$X127=""),"",$I127+$X127*($J127-$I127))</f>
        <v/>
      </c>
      <c r="Z127" s="30" t="n">
        <v>46212</v>
      </c>
      <c r="AA127" s="38" t="n"/>
      <c r="AB127" s="39" t="n"/>
      <c r="AC127" s="39" t="n"/>
      <c r="AD127" s="19">
        <f>IF($A127="","",IF($AA127="",$H127,$AA127))</f>
        <v/>
      </c>
      <c r="AE127" s="35">
        <f>IF($A127="","",IF($AB127="",$I127,$AB127))</f>
        <v/>
      </c>
      <c r="AF127" s="35">
        <f>IF($A127="","",IF($AC127="",$J127,$AC127))</f>
        <v/>
      </c>
      <c r="AG127" s="35">
        <f>IF(OR($U127="",$AE127="",$AF127="",$X127=""),"",$AE127+$X127*($AF127-$AE127))</f>
        <v/>
      </c>
      <c r="AH127" s="36" t="n"/>
      <c r="AI127" s="36" t="n"/>
      <c r="AJ127" s="36" t="n"/>
      <c r="AK127" s="36" t="n"/>
      <c r="AL127" s="36" t="n"/>
      <c r="AM127" s="36" t="n"/>
      <c r="AN127" s="36" t="n"/>
      <c r="AO127" s="36" t="n"/>
      <c r="AP127" s="36" t="n"/>
      <c r="AQ127" s="36" t="n"/>
      <c r="AR127" s="36" t="n"/>
      <c r="AS127" s="36" t="n"/>
      <c r="AT127" s="36" t="n"/>
      <c r="AU127" s="36" t="n"/>
      <c r="AV127" s="36" t="n"/>
      <c r="AW127" s="36" t="n"/>
      <c r="AX127" s="36" t="n"/>
    </row>
    <row r="128">
      <c r="A128" s="28" t="inlineStr">
        <is>
          <t>Octopus Post-close_1</t>
        </is>
      </c>
      <c r="B128" s="20" t="inlineStr">
        <is>
          <t>Octopus Energy Generation</t>
        </is>
      </c>
      <c r="C128" s="28" t="inlineStr">
        <is>
          <t>Octopus Energy Generation</t>
        </is>
      </c>
      <c r="D128" s="28" t="inlineStr"/>
      <c r="E128" s="28" t="inlineStr">
        <is>
          <t>No</t>
        </is>
      </c>
      <c r="F128" s="28" t="inlineStr">
        <is>
          <t>Active</t>
        </is>
      </c>
      <c r="G128" s="36" t="n"/>
      <c r="H128" s="29" t="n">
        <v>1</v>
      </c>
      <c r="I128" s="37" t="n"/>
      <c r="J128" s="37" t="n"/>
      <c r="K128" s="31" t="n"/>
      <c r="L128" s="31" t="n"/>
      <c r="M128" s="31" t="n"/>
      <c r="N128" s="31" t="n"/>
      <c r="O128" s="31" t="n"/>
      <c r="P128" s="31" t="n"/>
      <c r="Q128" s="23">
        <f>IF($A128="","",COUNTIFS(Assignments!$C$2:$C$769,$A128,Assignments!$G$2:$G$769,"Active"))</f>
        <v/>
      </c>
      <c r="R128" s="32">
        <f>IF($A128="","",SUMIFS(Assignments!$I$2:$I$769,Assignments!$C$2:$C$769,$A128,Assignments!$G$2:$G$769,"Active"))</f>
        <v/>
      </c>
      <c r="S128" s="20" t="inlineStr">
        <is>
          <t>WIP</t>
        </is>
      </c>
      <c r="T128" s="31" t="n"/>
      <c r="U128" s="36" t="n"/>
      <c r="V128" s="34">
        <f>IF($U128="","",IFERROR(INDEX(Templates!$K$3:$K$10,MATCH($U128,Templates!$A$3:$A$10,0)),""))</f>
        <v/>
      </c>
      <c r="W128" s="34">
        <f>IF($U128="","",IFERROR(INDEX(Templates!$L$3:$L$10,MATCH($U128,Templates!$A$3:$A$10,0)),""))</f>
        <v/>
      </c>
      <c r="X128" s="21">
        <f>IF($U128="","",IFERROR(INDEX(Templates!$J$3:$J$10,MATCH($U128,Templates!$A$3:$A$10,0)),""))</f>
        <v/>
      </c>
      <c r="Y128" s="35">
        <f>IF(OR($U128="",$I128="",$J128="",$X128=""),"",$I128+$X128*($J128-$I128))</f>
        <v/>
      </c>
      <c r="Z128" s="30" t="n">
        <v>46212</v>
      </c>
      <c r="AA128" s="38" t="n"/>
      <c r="AB128" s="39" t="n"/>
      <c r="AC128" s="39" t="n"/>
      <c r="AD128" s="19">
        <f>IF($A128="","",IF($AA128="",$H128,$AA128))</f>
        <v/>
      </c>
      <c r="AE128" s="35">
        <f>IF($A128="","",IF($AB128="",$I128,$AB128))</f>
        <v/>
      </c>
      <c r="AF128" s="35">
        <f>IF($A128="","",IF($AC128="",$J128,$AC128))</f>
        <v/>
      </c>
      <c r="AG128" s="35">
        <f>IF(OR($U128="",$AE128="",$AF128="",$X128=""),"",$AE128+$X128*($AF128-$AE128))</f>
        <v/>
      </c>
      <c r="AH128" s="36" t="n"/>
      <c r="AI128" s="36" t="n"/>
      <c r="AJ128" s="36" t="n"/>
      <c r="AK128" s="36" t="n"/>
      <c r="AL128" s="36" t="n"/>
      <c r="AM128" s="36" t="n"/>
      <c r="AN128" s="36" t="n"/>
      <c r="AO128" s="36" t="n"/>
      <c r="AP128" s="36" t="n"/>
      <c r="AQ128" s="36" t="n"/>
      <c r="AR128" s="36" t="n"/>
      <c r="AS128" s="36" t="n"/>
      <c r="AT128" s="36" t="n"/>
      <c r="AU128" s="36" t="n"/>
      <c r="AV128" s="36" t="n"/>
      <c r="AW128" s="36" t="n"/>
      <c r="AX128" s="36" t="n"/>
    </row>
    <row r="129">
      <c r="A129" s="28" t="inlineStr">
        <is>
          <t>Odysee/Atlas_2</t>
        </is>
      </c>
      <c r="B129" s="20" t="inlineStr">
        <is>
          <t>Eight Advisory</t>
        </is>
      </c>
      <c r="C129" s="28" t="inlineStr">
        <is>
          <t>Eight Advisory</t>
        </is>
      </c>
      <c r="D129" s="28" t="inlineStr"/>
      <c r="E129" s="28" t="inlineStr">
        <is>
          <t>No</t>
        </is>
      </c>
      <c r="F129" s="28" t="inlineStr">
        <is>
          <t>Active</t>
        </is>
      </c>
      <c r="G129" s="36" t="n"/>
      <c r="H129" s="29" t="n">
        <v>1</v>
      </c>
      <c r="I129" s="37" t="n"/>
      <c r="J129" s="37" t="n"/>
      <c r="K129" s="31" t="n"/>
      <c r="L129" s="31" t="n"/>
      <c r="M129" s="31" t="n"/>
      <c r="N129" s="31" t="n"/>
      <c r="O129" s="31" t="n"/>
      <c r="P129" s="31" t="n"/>
      <c r="Q129" s="23">
        <f>IF($A129="","",COUNTIFS(Assignments!$C$2:$C$769,$A129,Assignments!$G$2:$G$769,"Active"))</f>
        <v/>
      </c>
      <c r="R129" s="32">
        <f>IF($A129="","",SUMIFS(Assignments!$I$2:$I$769,Assignments!$C$2:$C$769,$A129,Assignments!$G$2:$G$769,"Active"))</f>
        <v/>
      </c>
      <c r="S129" s="20" t="inlineStr">
        <is>
          <t>WIP</t>
        </is>
      </c>
      <c r="T129" s="31" t="n"/>
      <c r="U129" s="36" t="n"/>
      <c r="V129" s="34">
        <f>IF($U129="","",IFERROR(INDEX(Templates!$K$3:$K$10,MATCH($U129,Templates!$A$3:$A$10,0)),""))</f>
        <v/>
      </c>
      <c r="W129" s="34">
        <f>IF($U129="","",IFERROR(INDEX(Templates!$L$3:$L$10,MATCH($U129,Templates!$A$3:$A$10,0)),""))</f>
        <v/>
      </c>
      <c r="X129" s="21">
        <f>IF($U129="","",IFERROR(INDEX(Templates!$J$3:$J$10,MATCH($U129,Templates!$A$3:$A$10,0)),""))</f>
        <v/>
      </c>
      <c r="Y129" s="35">
        <f>IF(OR($U129="",$I129="",$J129="",$X129=""),"",$I129+$X129*($J129-$I129))</f>
        <v/>
      </c>
      <c r="Z129" s="30" t="n">
        <v>46212</v>
      </c>
      <c r="AA129" s="38" t="n"/>
      <c r="AB129" s="39" t="n"/>
      <c r="AC129" s="39" t="n"/>
      <c r="AD129" s="19">
        <f>IF($A129="","",IF($AA129="",$H129,$AA129))</f>
        <v/>
      </c>
      <c r="AE129" s="35">
        <f>IF($A129="","",IF($AB129="",$I129,$AB129))</f>
        <v/>
      </c>
      <c r="AF129" s="35">
        <f>IF($A129="","",IF($AC129="",$J129,$AC129))</f>
        <v/>
      </c>
      <c r="AG129" s="35">
        <f>IF(OR($U129="",$AE129="",$AF129="",$X129=""),"",$AE129+$X129*($AF129-$AE129))</f>
        <v/>
      </c>
      <c r="AH129" s="36" t="n"/>
      <c r="AI129" s="36" t="n"/>
      <c r="AJ129" s="36" t="n"/>
      <c r="AK129" s="36" t="n"/>
      <c r="AL129" s="36" t="n"/>
      <c r="AM129" s="36" t="n"/>
      <c r="AN129" s="36" t="n"/>
      <c r="AO129" s="36" t="n"/>
      <c r="AP129" s="36" t="n"/>
      <c r="AQ129" s="36" t="n"/>
      <c r="AR129" s="36" t="n"/>
      <c r="AS129" s="36" t="n"/>
      <c r="AT129" s="36" t="n"/>
      <c r="AU129" s="36" t="n"/>
      <c r="AV129" s="36" t="n"/>
      <c r="AW129" s="36" t="n"/>
      <c r="AX129" s="36" t="n"/>
    </row>
    <row r="130">
      <c r="A130" s="28" t="inlineStr">
        <is>
          <t>Ontario_1</t>
        </is>
      </c>
      <c r="B130" s="20" t="inlineStr">
        <is>
          <t>Ullico Infrastructure Management Company</t>
        </is>
      </c>
      <c r="C130" s="28" t="inlineStr">
        <is>
          <t>Ullico Infrastructure Management Company</t>
        </is>
      </c>
      <c r="D130" s="28" t="inlineStr"/>
      <c r="E130" s="28" t="inlineStr">
        <is>
          <t>No</t>
        </is>
      </c>
      <c r="F130" s="28" t="inlineStr">
        <is>
          <t>Active</t>
        </is>
      </c>
      <c r="G130" s="36" t="n"/>
      <c r="H130" s="29" t="n">
        <v>1</v>
      </c>
      <c r="I130" s="37" t="n"/>
      <c r="J130" s="37" t="n"/>
      <c r="K130" s="31" t="n"/>
      <c r="L130" s="31" t="n"/>
      <c r="M130" s="31" t="n"/>
      <c r="N130" s="31" t="n"/>
      <c r="O130" s="31" t="n"/>
      <c r="P130" s="31" t="n"/>
      <c r="Q130" s="23">
        <f>IF($A130="","",COUNTIFS(Assignments!$C$2:$C$769,$A130,Assignments!$G$2:$G$769,"Active"))</f>
        <v/>
      </c>
      <c r="R130" s="32">
        <f>IF($A130="","",SUMIFS(Assignments!$I$2:$I$769,Assignments!$C$2:$C$769,$A130,Assignments!$G$2:$G$769,"Active"))</f>
        <v/>
      </c>
      <c r="S130" s="20" t="inlineStr">
        <is>
          <t>WIP</t>
        </is>
      </c>
      <c r="T130" s="31" t="n"/>
      <c r="U130" s="36" t="n"/>
      <c r="V130" s="34">
        <f>IF($U130="","",IFERROR(INDEX(Templates!$K$3:$K$10,MATCH($U130,Templates!$A$3:$A$10,0)),""))</f>
        <v/>
      </c>
      <c r="W130" s="34">
        <f>IF($U130="","",IFERROR(INDEX(Templates!$L$3:$L$10,MATCH($U130,Templates!$A$3:$A$10,0)),""))</f>
        <v/>
      </c>
      <c r="X130" s="21">
        <f>IF($U130="","",IFERROR(INDEX(Templates!$J$3:$J$10,MATCH($U130,Templates!$A$3:$A$10,0)),""))</f>
        <v/>
      </c>
      <c r="Y130" s="35">
        <f>IF(OR($U130="",$I130="",$J130="",$X130=""),"",$I130+$X130*($J130-$I130))</f>
        <v/>
      </c>
      <c r="Z130" s="30" t="n">
        <v>46212</v>
      </c>
      <c r="AA130" s="38" t="n"/>
      <c r="AB130" s="39" t="n"/>
      <c r="AC130" s="39" t="n"/>
      <c r="AD130" s="19">
        <f>IF($A130="","",IF($AA130="",$H130,$AA130))</f>
        <v/>
      </c>
      <c r="AE130" s="35">
        <f>IF($A130="","",IF($AB130="",$I130,$AB130))</f>
        <v/>
      </c>
      <c r="AF130" s="35">
        <f>IF($A130="","",IF($AC130="",$J130,$AC130))</f>
        <v/>
      </c>
      <c r="AG130" s="35">
        <f>IF(OR($U130="",$AE130="",$AF130="",$X130=""),"",$AE130+$X130*($AF130-$AE130))</f>
        <v/>
      </c>
      <c r="AH130" s="36" t="n"/>
      <c r="AI130" s="36" t="n"/>
      <c r="AJ130" s="36" t="n"/>
      <c r="AK130" s="36" t="n"/>
      <c r="AL130" s="36" t="n"/>
      <c r="AM130" s="36" t="n"/>
      <c r="AN130" s="36" t="n"/>
      <c r="AO130" s="36" t="n"/>
      <c r="AP130" s="36" t="n"/>
      <c r="AQ130" s="36" t="n"/>
      <c r="AR130" s="36" t="n"/>
      <c r="AS130" s="36" t="n"/>
      <c r="AT130" s="36" t="n"/>
      <c r="AU130" s="36" t="n"/>
      <c r="AV130" s="36" t="n"/>
      <c r="AW130" s="36" t="n"/>
      <c r="AX130" s="36" t="n"/>
    </row>
    <row r="131">
      <c r="A131" s="28" t="inlineStr">
        <is>
          <t>Orca_1</t>
        </is>
      </c>
      <c r="B131" s="20" t="inlineStr">
        <is>
          <t>CVC Capital Partners : DIF Capital Partners : Green Street Power Partners</t>
        </is>
      </c>
      <c r="C131" s="28" t="inlineStr">
        <is>
          <t>CVC Capital Partners</t>
        </is>
      </c>
      <c r="D131" s="28" t="inlineStr">
        <is>
          <t>Green Street Power Partners</t>
        </is>
      </c>
      <c r="E131" s="28" t="inlineStr">
        <is>
          <t>No</t>
        </is>
      </c>
      <c r="F131" s="28" t="inlineStr">
        <is>
          <t>Active</t>
        </is>
      </c>
      <c r="G131" s="36" t="n"/>
      <c r="H131" s="29" t="n">
        <v>1</v>
      </c>
      <c r="I131" s="37" t="n"/>
      <c r="J131" s="37" t="n"/>
      <c r="K131" s="31" t="n"/>
      <c r="L131" s="31" t="n"/>
      <c r="M131" s="31" t="n"/>
      <c r="N131" s="31" t="n"/>
      <c r="O131" s="31" t="n"/>
      <c r="P131" s="31" t="n"/>
      <c r="Q131" s="23">
        <f>IF($A131="","",COUNTIFS(Assignments!$C$2:$C$769,$A131,Assignments!$G$2:$G$769,"Active"))</f>
        <v/>
      </c>
      <c r="R131" s="32">
        <f>IF($A131="","",SUMIFS(Assignments!$I$2:$I$769,Assignments!$C$2:$C$769,$A131,Assignments!$G$2:$G$769,"Active"))</f>
        <v/>
      </c>
      <c r="S131" s="20" t="inlineStr">
        <is>
          <t>WIP</t>
        </is>
      </c>
      <c r="T131" s="31" t="n"/>
      <c r="U131" s="36" t="n"/>
      <c r="V131" s="34">
        <f>IF($U131="","",IFERROR(INDEX(Templates!$K$3:$K$10,MATCH($U131,Templates!$A$3:$A$10,0)),""))</f>
        <v/>
      </c>
      <c r="W131" s="34">
        <f>IF($U131="","",IFERROR(INDEX(Templates!$L$3:$L$10,MATCH($U131,Templates!$A$3:$A$10,0)),""))</f>
        <v/>
      </c>
      <c r="X131" s="21">
        <f>IF($U131="","",IFERROR(INDEX(Templates!$J$3:$J$10,MATCH($U131,Templates!$A$3:$A$10,0)),""))</f>
        <v/>
      </c>
      <c r="Y131" s="35">
        <f>IF(OR($U131="",$I131="",$J131="",$X131=""),"",$I131+$X131*($J131-$I131))</f>
        <v/>
      </c>
      <c r="Z131" s="30" t="n">
        <v>46212</v>
      </c>
      <c r="AA131" s="38" t="n"/>
      <c r="AB131" s="39" t="n"/>
      <c r="AC131" s="39" t="n"/>
      <c r="AD131" s="19">
        <f>IF($A131="","",IF($AA131="",$H131,$AA131))</f>
        <v/>
      </c>
      <c r="AE131" s="35">
        <f>IF($A131="","",IF($AB131="",$I131,$AB131))</f>
        <v/>
      </c>
      <c r="AF131" s="35">
        <f>IF($A131="","",IF($AC131="",$J131,$AC131))</f>
        <v/>
      </c>
      <c r="AG131" s="35">
        <f>IF(OR($U131="",$AE131="",$AF131="",$X131=""),"",$AE131+$X131*($AF131-$AE131))</f>
        <v/>
      </c>
      <c r="AH131" s="36" t="n"/>
      <c r="AI131" s="36" t="n"/>
      <c r="AJ131" s="36" t="n"/>
      <c r="AK131" s="36" t="n"/>
      <c r="AL131" s="36" t="n"/>
      <c r="AM131" s="36" t="n"/>
      <c r="AN131" s="36" t="n"/>
      <c r="AO131" s="36" t="n"/>
      <c r="AP131" s="36" t="n"/>
      <c r="AQ131" s="36" t="n"/>
      <c r="AR131" s="36" t="n"/>
      <c r="AS131" s="36" t="n"/>
      <c r="AT131" s="36" t="n"/>
      <c r="AU131" s="36" t="n"/>
      <c r="AV131" s="36" t="n"/>
      <c r="AW131" s="36" t="n"/>
      <c r="AX131" s="36" t="n"/>
    </row>
    <row r="132">
      <c r="A132" s="28" t="inlineStr">
        <is>
          <t>Orion_3</t>
        </is>
      </c>
      <c r="B132" s="20" t="inlineStr">
        <is>
          <t>Solertia MGA Ltd.</t>
        </is>
      </c>
      <c r="C132" s="28" t="inlineStr">
        <is>
          <t>Solertia MGA Ltd.</t>
        </is>
      </c>
      <c r="D132" s="28" t="inlineStr"/>
      <c r="E132" s="28" t="inlineStr">
        <is>
          <t>No</t>
        </is>
      </c>
      <c r="F132" s="28" t="inlineStr">
        <is>
          <t>Active</t>
        </is>
      </c>
      <c r="G132" s="36" t="n"/>
      <c r="H132" s="29" t="n">
        <v>1</v>
      </c>
      <c r="I132" s="37" t="n"/>
      <c r="J132" s="37" t="n"/>
      <c r="K132" s="31" t="n"/>
      <c r="L132" s="31" t="n"/>
      <c r="M132" s="31" t="n"/>
      <c r="N132" s="31" t="n"/>
      <c r="O132" s="31" t="n"/>
      <c r="P132" s="31" t="n"/>
      <c r="Q132" s="23">
        <f>IF($A132="","",COUNTIFS(Assignments!$C$2:$C$769,$A132,Assignments!$G$2:$G$769,"Active"))</f>
        <v/>
      </c>
      <c r="R132" s="32">
        <f>IF($A132="","",SUMIFS(Assignments!$I$2:$I$769,Assignments!$C$2:$C$769,$A132,Assignments!$G$2:$G$769,"Active"))</f>
        <v/>
      </c>
      <c r="S132" s="20" t="inlineStr">
        <is>
          <t>WIP</t>
        </is>
      </c>
      <c r="T132" s="31" t="n"/>
      <c r="U132" s="36" t="n"/>
      <c r="V132" s="34">
        <f>IF($U132="","",IFERROR(INDEX(Templates!$K$3:$K$10,MATCH($U132,Templates!$A$3:$A$10,0)),""))</f>
        <v/>
      </c>
      <c r="W132" s="34">
        <f>IF($U132="","",IFERROR(INDEX(Templates!$L$3:$L$10,MATCH($U132,Templates!$A$3:$A$10,0)),""))</f>
        <v/>
      </c>
      <c r="X132" s="21">
        <f>IF($U132="","",IFERROR(INDEX(Templates!$J$3:$J$10,MATCH($U132,Templates!$A$3:$A$10,0)),""))</f>
        <v/>
      </c>
      <c r="Y132" s="35">
        <f>IF(OR($U132="",$I132="",$J132="",$X132=""),"",$I132+$X132*($J132-$I132))</f>
        <v/>
      </c>
      <c r="Z132" s="30" t="n">
        <v>46212</v>
      </c>
      <c r="AA132" s="38" t="n"/>
      <c r="AB132" s="39" t="n"/>
      <c r="AC132" s="39" t="n"/>
      <c r="AD132" s="19">
        <f>IF($A132="","",IF($AA132="",$H132,$AA132))</f>
        <v/>
      </c>
      <c r="AE132" s="35">
        <f>IF($A132="","",IF($AB132="",$I132,$AB132))</f>
        <v/>
      </c>
      <c r="AF132" s="35">
        <f>IF($A132="","",IF($AC132="",$J132,$AC132))</f>
        <v/>
      </c>
      <c r="AG132" s="35">
        <f>IF(OR($U132="",$AE132="",$AF132="",$X132=""),"",$AE132+$X132*($AF132-$AE132))</f>
        <v/>
      </c>
      <c r="AH132" s="36" t="n"/>
      <c r="AI132" s="36" t="n"/>
      <c r="AJ132" s="36" t="n"/>
      <c r="AK132" s="36" t="n"/>
      <c r="AL132" s="36" t="n"/>
      <c r="AM132" s="36" t="n"/>
      <c r="AN132" s="36" t="n"/>
      <c r="AO132" s="36" t="n"/>
      <c r="AP132" s="36" t="n"/>
      <c r="AQ132" s="36" t="n"/>
      <c r="AR132" s="36" t="n"/>
      <c r="AS132" s="36" t="n"/>
      <c r="AT132" s="36" t="n"/>
      <c r="AU132" s="36" t="n"/>
      <c r="AV132" s="36" t="n"/>
      <c r="AW132" s="36" t="n"/>
      <c r="AX132" s="36" t="n"/>
    </row>
    <row r="133">
      <c r="A133" s="28" t="inlineStr">
        <is>
          <t>P2Ninedot_1</t>
        </is>
      </c>
      <c r="B133" s="20" t="inlineStr">
        <is>
          <t>Certa</t>
        </is>
      </c>
      <c r="C133" s="28" t="inlineStr">
        <is>
          <t>Certa</t>
        </is>
      </c>
      <c r="D133" s="28" t="inlineStr"/>
      <c r="E133" s="28" t="inlineStr">
        <is>
          <t>No</t>
        </is>
      </c>
      <c r="F133" s="28" t="inlineStr">
        <is>
          <t>Active</t>
        </is>
      </c>
      <c r="G133" s="36" t="n"/>
      <c r="H133" s="29" t="n">
        <v>1</v>
      </c>
      <c r="I133" s="37" t="n"/>
      <c r="J133" s="37" t="n"/>
      <c r="K133" s="31" t="n"/>
      <c r="L133" s="31" t="n"/>
      <c r="M133" s="31" t="n"/>
      <c r="N133" s="31" t="n"/>
      <c r="O133" s="31" t="n"/>
      <c r="P133" s="31" t="n"/>
      <c r="Q133" s="23">
        <f>IF($A133="","",COUNTIFS(Assignments!$C$2:$C$769,$A133,Assignments!$G$2:$G$769,"Active"))</f>
        <v/>
      </c>
      <c r="R133" s="32">
        <f>IF($A133="","",SUMIFS(Assignments!$I$2:$I$769,Assignments!$C$2:$C$769,$A133,Assignments!$G$2:$G$769,"Active"))</f>
        <v/>
      </c>
      <c r="S133" s="20" t="inlineStr">
        <is>
          <t>WIP</t>
        </is>
      </c>
      <c r="T133" s="31" t="n"/>
      <c r="U133" s="36" t="n"/>
      <c r="V133" s="34">
        <f>IF($U133="","",IFERROR(INDEX(Templates!$K$3:$K$10,MATCH($U133,Templates!$A$3:$A$10,0)),""))</f>
        <v/>
      </c>
      <c r="W133" s="34">
        <f>IF($U133="","",IFERROR(INDEX(Templates!$L$3:$L$10,MATCH($U133,Templates!$A$3:$A$10,0)),""))</f>
        <v/>
      </c>
      <c r="X133" s="21">
        <f>IF($U133="","",IFERROR(INDEX(Templates!$J$3:$J$10,MATCH($U133,Templates!$A$3:$A$10,0)),""))</f>
        <v/>
      </c>
      <c r="Y133" s="35">
        <f>IF(OR($U133="",$I133="",$J133="",$X133=""),"",$I133+$X133*($J133-$I133))</f>
        <v/>
      </c>
      <c r="Z133" s="30" t="n">
        <v>46212</v>
      </c>
      <c r="AA133" s="38" t="n"/>
      <c r="AB133" s="39" t="n"/>
      <c r="AC133" s="39" t="n"/>
      <c r="AD133" s="19">
        <f>IF($A133="","",IF($AA133="",$H133,$AA133))</f>
        <v/>
      </c>
      <c r="AE133" s="35">
        <f>IF($A133="","",IF($AB133="",$I133,$AB133))</f>
        <v/>
      </c>
      <c r="AF133" s="35">
        <f>IF($A133="","",IF($AC133="",$J133,$AC133))</f>
        <v/>
      </c>
      <c r="AG133" s="35">
        <f>IF(OR($U133="",$AE133="",$AF133="",$X133=""),"",$AE133+$X133*($AF133-$AE133))</f>
        <v/>
      </c>
      <c r="AH133" s="36" t="n"/>
      <c r="AI133" s="36" t="n"/>
      <c r="AJ133" s="36" t="n"/>
      <c r="AK133" s="36" t="n"/>
      <c r="AL133" s="36" t="n"/>
      <c r="AM133" s="36" t="n"/>
      <c r="AN133" s="36" t="n"/>
      <c r="AO133" s="36" t="n"/>
      <c r="AP133" s="36" t="n"/>
      <c r="AQ133" s="36" t="n"/>
      <c r="AR133" s="36" t="n"/>
      <c r="AS133" s="36" t="n"/>
      <c r="AT133" s="36" t="n"/>
      <c r="AU133" s="36" t="n"/>
      <c r="AV133" s="36" t="n"/>
      <c r="AW133" s="36" t="n"/>
      <c r="AX133" s="36" t="n"/>
    </row>
    <row r="134">
      <c r="A134" s="28" t="inlineStr">
        <is>
          <t>Palmetto_3</t>
        </is>
      </c>
      <c r="B134" s="20" t="inlineStr">
        <is>
          <t>Ethos Specialty Insurance Services</t>
        </is>
      </c>
      <c r="C134" s="28" t="inlineStr">
        <is>
          <t>Ethos Specialty Insurance Services</t>
        </is>
      </c>
      <c r="D134" s="28" t="inlineStr"/>
      <c r="E134" s="28" t="inlineStr">
        <is>
          <t>No</t>
        </is>
      </c>
      <c r="F134" s="28" t="inlineStr">
        <is>
          <t>Active</t>
        </is>
      </c>
      <c r="G134" s="36" t="n"/>
      <c r="H134" s="29" t="n">
        <v>1</v>
      </c>
      <c r="I134" s="37" t="n"/>
      <c r="J134" s="37" t="n"/>
      <c r="K134" s="31" t="n"/>
      <c r="L134" s="31" t="n"/>
      <c r="M134" s="31" t="n"/>
      <c r="N134" s="31" t="n"/>
      <c r="O134" s="31" t="n"/>
      <c r="P134" s="31" t="n"/>
      <c r="Q134" s="23">
        <f>IF($A134="","",COUNTIFS(Assignments!$C$2:$C$769,$A134,Assignments!$G$2:$G$769,"Active"))</f>
        <v/>
      </c>
      <c r="R134" s="32">
        <f>IF($A134="","",SUMIFS(Assignments!$I$2:$I$769,Assignments!$C$2:$C$769,$A134,Assignments!$G$2:$G$769,"Active"))</f>
        <v/>
      </c>
      <c r="S134" s="20" t="inlineStr">
        <is>
          <t>WIP</t>
        </is>
      </c>
      <c r="T134" s="31" t="n"/>
      <c r="U134" s="36" t="n"/>
      <c r="V134" s="34">
        <f>IF($U134="","",IFERROR(INDEX(Templates!$K$3:$K$10,MATCH($U134,Templates!$A$3:$A$10,0)),""))</f>
        <v/>
      </c>
      <c r="W134" s="34">
        <f>IF($U134="","",IFERROR(INDEX(Templates!$L$3:$L$10,MATCH($U134,Templates!$A$3:$A$10,0)),""))</f>
        <v/>
      </c>
      <c r="X134" s="21">
        <f>IF($U134="","",IFERROR(INDEX(Templates!$J$3:$J$10,MATCH($U134,Templates!$A$3:$A$10,0)),""))</f>
        <v/>
      </c>
      <c r="Y134" s="35">
        <f>IF(OR($U134="",$I134="",$J134="",$X134=""),"",$I134+$X134*($J134-$I134))</f>
        <v/>
      </c>
      <c r="Z134" s="30" t="n">
        <v>46212</v>
      </c>
      <c r="AA134" s="38" t="n"/>
      <c r="AB134" s="39" t="n"/>
      <c r="AC134" s="39" t="n"/>
      <c r="AD134" s="19">
        <f>IF($A134="","",IF($AA134="",$H134,$AA134))</f>
        <v/>
      </c>
      <c r="AE134" s="35">
        <f>IF($A134="","",IF($AB134="",$I134,$AB134))</f>
        <v/>
      </c>
      <c r="AF134" s="35">
        <f>IF($A134="","",IF($AC134="",$J134,$AC134))</f>
        <v/>
      </c>
      <c r="AG134" s="35">
        <f>IF(OR($U134="",$AE134="",$AF134="",$X134=""),"",$AE134+$X134*($AF134-$AE134))</f>
        <v/>
      </c>
      <c r="AH134" s="36" t="n"/>
      <c r="AI134" s="36" t="n"/>
      <c r="AJ134" s="36" t="n"/>
      <c r="AK134" s="36" t="n"/>
      <c r="AL134" s="36" t="n"/>
      <c r="AM134" s="36" t="n"/>
      <c r="AN134" s="36" t="n"/>
      <c r="AO134" s="36" t="n"/>
      <c r="AP134" s="36" t="n"/>
      <c r="AQ134" s="36" t="n"/>
      <c r="AR134" s="36" t="n"/>
      <c r="AS134" s="36" t="n"/>
      <c r="AT134" s="36" t="n"/>
      <c r="AU134" s="36" t="n"/>
      <c r="AV134" s="36" t="n"/>
      <c r="AW134" s="36" t="n"/>
      <c r="AX134" s="36" t="n"/>
    </row>
    <row r="135">
      <c r="A135" s="28" t="inlineStr">
        <is>
          <t>Palo_1</t>
        </is>
      </c>
      <c r="B135" s="20" t="inlineStr">
        <is>
          <t>Certa</t>
        </is>
      </c>
      <c r="C135" s="28" t="inlineStr">
        <is>
          <t>Certa</t>
        </is>
      </c>
      <c r="D135" s="28" t="inlineStr"/>
      <c r="E135" s="28" t="inlineStr">
        <is>
          <t>No</t>
        </is>
      </c>
      <c r="F135" s="28" t="inlineStr">
        <is>
          <t>Active</t>
        </is>
      </c>
      <c r="G135" s="36" t="n"/>
      <c r="H135" s="29" t="n">
        <v>1</v>
      </c>
      <c r="I135" s="37" t="n"/>
      <c r="J135" s="37" t="n"/>
      <c r="K135" s="31" t="n"/>
      <c r="L135" s="31" t="n"/>
      <c r="M135" s="31" t="n"/>
      <c r="N135" s="31" t="n"/>
      <c r="O135" s="31" t="n"/>
      <c r="P135" s="31" t="n"/>
      <c r="Q135" s="23">
        <f>IF($A135="","",COUNTIFS(Assignments!$C$2:$C$769,$A135,Assignments!$G$2:$G$769,"Active"))</f>
        <v/>
      </c>
      <c r="R135" s="32">
        <f>IF($A135="","",SUMIFS(Assignments!$I$2:$I$769,Assignments!$C$2:$C$769,$A135,Assignments!$G$2:$G$769,"Active"))</f>
        <v/>
      </c>
      <c r="S135" s="20" t="inlineStr">
        <is>
          <t>WIP</t>
        </is>
      </c>
      <c r="T135" s="31" t="n"/>
      <c r="U135" s="36" t="n"/>
      <c r="V135" s="34">
        <f>IF($U135="","",IFERROR(INDEX(Templates!$K$3:$K$10,MATCH($U135,Templates!$A$3:$A$10,0)),""))</f>
        <v/>
      </c>
      <c r="W135" s="34">
        <f>IF($U135="","",IFERROR(INDEX(Templates!$L$3:$L$10,MATCH($U135,Templates!$A$3:$A$10,0)),""))</f>
        <v/>
      </c>
      <c r="X135" s="21">
        <f>IF($U135="","",IFERROR(INDEX(Templates!$J$3:$J$10,MATCH($U135,Templates!$A$3:$A$10,0)),""))</f>
        <v/>
      </c>
      <c r="Y135" s="35">
        <f>IF(OR($U135="",$I135="",$J135="",$X135=""),"",$I135+$X135*($J135-$I135))</f>
        <v/>
      </c>
      <c r="Z135" s="30" t="n">
        <v>46212</v>
      </c>
      <c r="AA135" s="38" t="n"/>
      <c r="AB135" s="39" t="n"/>
      <c r="AC135" s="39" t="n"/>
      <c r="AD135" s="19">
        <f>IF($A135="","",IF($AA135="",$H135,$AA135))</f>
        <v/>
      </c>
      <c r="AE135" s="35">
        <f>IF($A135="","",IF($AB135="",$I135,$AB135))</f>
        <v/>
      </c>
      <c r="AF135" s="35">
        <f>IF($A135="","",IF($AC135="",$J135,$AC135))</f>
        <v/>
      </c>
      <c r="AG135" s="35">
        <f>IF(OR($U135="",$AE135="",$AF135="",$X135=""),"",$AE135+$X135*($AF135-$AE135))</f>
        <v/>
      </c>
      <c r="AH135" s="36" t="n"/>
      <c r="AI135" s="36" t="n"/>
      <c r="AJ135" s="36" t="n"/>
      <c r="AK135" s="36" t="n"/>
      <c r="AL135" s="36" t="n"/>
      <c r="AM135" s="36" t="n"/>
      <c r="AN135" s="36" t="n"/>
      <c r="AO135" s="36" t="n"/>
      <c r="AP135" s="36" t="n"/>
      <c r="AQ135" s="36" t="n"/>
      <c r="AR135" s="36" t="n"/>
      <c r="AS135" s="36" t="n"/>
      <c r="AT135" s="36" t="n"/>
      <c r="AU135" s="36" t="n"/>
      <c r="AV135" s="36" t="n"/>
      <c r="AW135" s="36" t="n"/>
      <c r="AX135" s="36" t="n"/>
    </row>
    <row r="136">
      <c r="A136" s="28" t="inlineStr">
        <is>
          <t>Papago_1</t>
        </is>
      </c>
      <c r="B136" s="20" t="inlineStr">
        <is>
          <t>Harbert Management Corporation</t>
        </is>
      </c>
      <c r="C136" s="28" t="inlineStr">
        <is>
          <t>Harbert Management Corporation</t>
        </is>
      </c>
      <c r="D136" s="28" t="inlineStr"/>
      <c r="E136" s="28" t="inlineStr">
        <is>
          <t>No</t>
        </is>
      </c>
      <c r="F136" s="28" t="inlineStr">
        <is>
          <t>Active</t>
        </is>
      </c>
      <c r="G136" s="36" t="n"/>
      <c r="H136" s="29" t="n">
        <v>1</v>
      </c>
      <c r="I136" s="37" t="n"/>
      <c r="J136" s="37" t="n"/>
      <c r="K136" s="31" t="n"/>
      <c r="L136" s="31" t="n"/>
      <c r="M136" s="31" t="n"/>
      <c r="N136" s="31" t="n"/>
      <c r="O136" s="31" t="n"/>
      <c r="P136" s="31" t="n"/>
      <c r="Q136" s="23">
        <f>IF($A136="","",COUNTIFS(Assignments!$C$2:$C$769,$A136,Assignments!$G$2:$G$769,"Active"))</f>
        <v/>
      </c>
      <c r="R136" s="32">
        <f>IF($A136="","",SUMIFS(Assignments!$I$2:$I$769,Assignments!$C$2:$C$769,$A136,Assignments!$G$2:$G$769,"Active"))</f>
        <v/>
      </c>
      <c r="S136" s="20" t="inlineStr">
        <is>
          <t>WIP</t>
        </is>
      </c>
      <c r="T136" s="31" t="n"/>
      <c r="U136" s="36" t="n"/>
      <c r="V136" s="34">
        <f>IF($U136="","",IFERROR(INDEX(Templates!$K$3:$K$10,MATCH($U136,Templates!$A$3:$A$10,0)),""))</f>
        <v/>
      </c>
      <c r="W136" s="34">
        <f>IF($U136="","",IFERROR(INDEX(Templates!$L$3:$L$10,MATCH($U136,Templates!$A$3:$A$10,0)),""))</f>
        <v/>
      </c>
      <c r="X136" s="21">
        <f>IF($U136="","",IFERROR(INDEX(Templates!$J$3:$J$10,MATCH($U136,Templates!$A$3:$A$10,0)),""))</f>
        <v/>
      </c>
      <c r="Y136" s="35">
        <f>IF(OR($U136="",$I136="",$J136="",$X136=""),"",$I136+$X136*($J136-$I136))</f>
        <v/>
      </c>
      <c r="Z136" s="30" t="n">
        <v>46212</v>
      </c>
      <c r="AA136" s="38" t="n"/>
      <c r="AB136" s="39" t="n"/>
      <c r="AC136" s="39" t="n"/>
      <c r="AD136" s="19">
        <f>IF($A136="","",IF($AA136="",$H136,$AA136))</f>
        <v/>
      </c>
      <c r="AE136" s="35">
        <f>IF($A136="","",IF($AB136="",$I136,$AB136))</f>
        <v/>
      </c>
      <c r="AF136" s="35">
        <f>IF($A136="","",IF($AC136="",$J136,$AC136))</f>
        <v/>
      </c>
      <c r="AG136" s="35">
        <f>IF(OR($U136="",$AE136="",$AF136="",$X136=""),"",$AE136+$X136*($AF136-$AE136))</f>
        <v/>
      </c>
      <c r="AH136" s="36" t="n"/>
      <c r="AI136" s="36" t="n"/>
      <c r="AJ136" s="36" t="n"/>
      <c r="AK136" s="36" t="n"/>
      <c r="AL136" s="36" t="n"/>
      <c r="AM136" s="36" t="n"/>
      <c r="AN136" s="36" t="n"/>
      <c r="AO136" s="36" t="n"/>
      <c r="AP136" s="36" t="n"/>
      <c r="AQ136" s="36" t="n"/>
      <c r="AR136" s="36" t="n"/>
      <c r="AS136" s="36" t="n"/>
      <c r="AT136" s="36" t="n"/>
      <c r="AU136" s="36" t="n"/>
      <c r="AV136" s="36" t="n"/>
      <c r="AW136" s="36" t="n"/>
      <c r="AX136" s="36" t="n"/>
    </row>
    <row r="137">
      <c r="A137" s="28" t="inlineStr">
        <is>
          <t>PearlX_1</t>
        </is>
      </c>
      <c r="B137" s="20" t="inlineStr">
        <is>
          <t>Sands Point Risk</t>
        </is>
      </c>
      <c r="C137" s="28" t="inlineStr">
        <is>
          <t>Sands Point Risk</t>
        </is>
      </c>
      <c r="D137" s="28" t="inlineStr"/>
      <c r="E137" s="28" t="inlineStr">
        <is>
          <t>No</t>
        </is>
      </c>
      <c r="F137" s="28" t="inlineStr">
        <is>
          <t>Active</t>
        </is>
      </c>
      <c r="G137" s="36" t="n"/>
      <c r="H137" s="29" t="n">
        <v>1</v>
      </c>
      <c r="I137" s="37" t="n"/>
      <c r="J137" s="37" t="n"/>
      <c r="K137" s="31" t="n"/>
      <c r="L137" s="31" t="n"/>
      <c r="M137" s="31" t="n"/>
      <c r="N137" s="31" t="n"/>
      <c r="O137" s="31" t="n"/>
      <c r="P137" s="31" t="n"/>
      <c r="Q137" s="23">
        <f>IF($A137="","",COUNTIFS(Assignments!$C$2:$C$769,$A137,Assignments!$G$2:$G$769,"Active"))</f>
        <v/>
      </c>
      <c r="R137" s="32">
        <f>IF($A137="","",SUMIFS(Assignments!$I$2:$I$769,Assignments!$C$2:$C$769,$A137,Assignments!$G$2:$G$769,"Active"))</f>
        <v/>
      </c>
      <c r="S137" s="20" t="inlineStr">
        <is>
          <t>WIP</t>
        </is>
      </c>
      <c r="T137" s="31" t="n"/>
      <c r="U137" s="36" t="n"/>
      <c r="V137" s="34">
        <f>IF($U137="","",IFERROR(INDEX(Templates!$K$3:$K$10,MATCH($U137,Templates!$A$3:$A$10,0)),""))</f>
        <v/>
      </c>
      <c r="W137" s="34">
        <f>IF($U137="","",IFERROR(INDEX(Templates!$L$3:$L$10,MATCH($U137,Templates!$A$3:$A$10,0)),""))</f>
        <v/>
      </c>
      <c r="X137" s="21">
        <f>IF($U137="","",IFERROR(INDEX(Templates!$J$3:$J$10,MATCH($U137,Templates!$A$3:$A$10,0)),""))</f>
        <v/>
      </c>
      <c r="Y137" s="35">
        <f>IF(OR($U137="",$I137="",$J137="",$X137=""),"",$I137+$X137*($J137-$I137))</f>
        <v/>
      </c>
      <c r="Z137" s="30" t="n">
        <v>46212</v>
      </c>
      <c r="AA137" s="38" t="n"/>
      <c r="AB137" s="39" t="n"/>
      <c r="AC137" s="39" t="n"/>
      <c r="AD137" s="19">
        <f>IF($A137="","",IF($AA137="",$H137,$AA137))</f>
        <v/>
      </c>
      <c r="AE137" s="35">
        <f>IF($A137="","",IF($AB137="",$I137,$AB137))</f>
        <v/>
      </c>
      <c r="AF137" s="35">
        <f>IF($A137="","",IF($AC137="",$J137,$AC137))</f>
        <v/>
      </c>
      <c r="AG137" s="35">
        <f>IF(OR($U137="",$AE137="",$AF137="",$X137=""),"",$AE137+$X137*($AF137-$AE137))</f>
        <v/>
      </c>
      <c r="AH137" s="36" t="n"/>
      <c r="AI137" s="36" t="n"/>
      <c r="AJ137" s="36" t="n"/>
      <c r="AK137" s="36" t="n"/>
      <c r="AL137" s="36" t="n"/>
      <c r="AM137" s="36" t="n"/>
      <c r="AN137" s="36" t="n"/>
      <c r="AO137" s="36" t="n"/>
      <c r="AP137" s="36" t="n"/>
      <c r="AQ137" s="36" t="n"/>
      <c r="AR137" s="36" t="n"/>
      <c r="AS137" s="36" t="n"/>
      <c r="AT137" s="36" t="n"/>
      <c r="AU137" s="36" t="n"/>
      <c r="AV137" s="36" t="n"/>
      <c r="AW137" s="36" t="n"/>
      <c r="AX137" s="36" t="n"/>
    </row>
    <row r="138">
      <c r="A138" s="28" t="inlineStr">
        <is>
          <t>Pet_1</t>
        </is>
      </c>
      <c r="B138" s="20" t="inlineStr">
        <is>
          <t>Gateway</t>
        </is>
      </c>
      <c r="C138" s="28" t="inlineStr">
        <is>
          <t>Gateway</t>
        </is>
      </c>
      <c r="D138" s="28" t="inlineStr"/>
      <c r="E138" s="28" t="inlineStr">
        <is>
          <t>No</t>
        </is>
      </c>
      <c r="F138" s="28" t="inlineStr">
        <is>
          <t>Active</t>
        </is>
      </c>
      <c r="G138" s="36" t="n"/>
      <c r="H138" s="29" t="n">
        <v>1</v>
      </c>
      <c r="I138" s="37" t="n"/>
      <c r="J138" s="37" t="n"/>
      <c r="K138" s="31" t="n"/>
      <c r="L138" s="31" t="n"/>
      <c r="M138" s="31" t="n"/>
      <c r="N138" s="31" t="n"/>
      <c r="O138" s="31" t="n"/>
      <c r="P138" s="31" t="n"/>
      <c r="Q138" s="23">
        <f>IF($A138="","",COUNTIFS(Assignments!$C$2:$C$769,$A138,Assignments!$G$2:$G$769,"Active"))</f>
        <v/>
      </c>
      <c r="R138" s="32">
        <f>IF($A138="","",SUMIFS(Assignments!$I$2:$I$769,Assignments!$C$2:$C$769,$A138,Assignments!$G$2:$G$769,"Active"))</f>
        <v/>
      </c>
      <c r="S138" s="20" t="inlineStr">
        <is>
          <t>WIP</t>
        </is>
      </c>
      <c r="T138" s="31" t="n"/>
      <c r="U138" s="36" t="n"/>
      <c r="V138" s="34">
        <f>IF($U138="","",IFERROR(INDEX(Templates!$K$3:$K$10,MATCH($U138,Templates!$A$3:$A$10,0)),""))</f>
        <v/>
      </c>
      <c r="W138" s="34">
        <f>IF($U138="","",IFERROR(INDEX(Templates!$L$3:$L$10,MATCH($U138,Templates!$A$3:$A$10,0)),""))</f>
        <v/>
      </c>
      <c r="X138" s="21">
        <f>IF($U138="","",IFERROR(INDEX(Templates!$J$3:$J$10,MATCH($U138,Templates!$A$3:$A$10,0)),""))</f>
        <v/>
      </c>
      <c r="Y138" s="35">
        <f>IF(OR($U138="",$I138="",$J138="",$X138=""),"",$I138+$X138*($J138-$I138))</f>
        <v/>
      </c>
      <c r="Z138" s="30" t="n">
        <v>46212</v>
      </c>
      <c r="AA138" s="38" t="n"/>
      <c r="AB138" s="39" t="n"/>
      <c r="AC138" s="39" t="n"/>
      <c r="AD138" s="19">
        <f>IF($A138="","",IF($AA138="",$H138,$AA138))</f>
        <v/>
      </c>
      <c r="AE138" s="35">
        <f>IF($A138="","",IF($AB138="",$I138,$AB138))</f>
        <v/>
      </c>
      <c r="AF138" s="35">
        <f>IF($A138="","",IF($AC138="",$J138,$AC138))</f>
        <v/>
      </c>
      <c r="AG138" s="35">
        <f>IF(OR($U138="",$AE138="",$AF138="",$X138=""),"",$AE138+$X138*($AF138-$AE138))</f>
        <v/>
      </c>
      <c r="AH138" s="36" t="n"/>
      <c r="AI138" s="36" t="n"/>
      <c r="AJ138" s="36" t="n"/>
      <c r="AK138" s="36" t="n"/>
      <c r="AL138" s="36" t="n"/>
      <c r="AM138" s="36" t="n"/>
      <c r="AN138" s="36" t="n"/>
      <c r="AO138" s="36" t="n"/>
      <c r="AP138" s="36" t="n"/>
      <c r="AQ138" s="36" t="n"/>
      <c r="AR138" s="36" t="n"/>
      <c r="AS138" s="36" t="n"/>
      <c r="AT138" s="36" t="n"/>
      <c r="AU138" s="36" t="n"/>
      <c r="AV138" s="36" t="n"/>
      <c r="AW138" s="36" t="n"/>
      <c r="AX138" s="36" t="n"/>
    </row>
    <row r="139">
      <c r="A139" s="28" t="inlineStr">
        <is>
          <t>Pine_1</t>
        </is>
      </c>
      <c r="B139" s="20" t="inlineStr">
        <is>
          <t>Euclid Transactional</t>
        </is>
      </c>
      <c r="C139" s="28" t="inlineStr">
        <is>
          <t>Euclid Transactional</t>
        </is>
      </c>
      <c r="D139" s="28" t="inlineStr"/>
      <c r="E139" s="28" t="inlineStr">
        <is>
          <t>No</t>
        </is>
      </c>
      <c r="F139" s="28" t="inlineStr">
        <is>
          <t>Active</t>
        </is>
      </c>
      <c r="G139" s="36" t="n"/>
      <c r="H139" s="29" t="n">
        <v>1</v>
      </c>
      <c r="I139" s="37" t="n"/>
      <c r="J139" s="37" t="n"/>
      <c r="K139" s="31" t="n"/>
      <c r="L139" s="31" t="n"/>
      <c r="M139" s="31" t="n"/>
      <c r="N139" s="31" t="n"/>
      <c r="O139" s="31" t="n"/>
      <c r="P139" s="31" t="n"/>
      <c r="Q139" s="23">
        <f>IF($A139="","",COUNTIFS(Assignments!$C$2:$C$769,$A139,Assignments!$G$2:$G$769,"Active"))</f>
        <v/>
      </c>
      <c r="R139" s="32">
        <f>IF($A139="","",SUMIFS(Assignments!$I$2:$I$769,Assignments!$C$2:$C$769,$A139,Assignments!$G$2:$G$769,"Active"))</f>
        <v/>
      </c>
      <c r="S139" s="20" t="inlineStr">
        <is>
          <t>WIP</t>
        </is>
      </c>
      <c r="T139" s="31" t="n"/>
      <c r="U139" s="36" t="n"/>
      <c r="V139" s="34">
        <f>IF($U139="","",IFERROR(INDEX(Templates!$K$3:$K$10,MATCH($U139,Templates!$A$3:$A$10,0)),""))</f>
        <v/>
      </c>
      <c r="W139" s="34">
        <f>IF($U139="","",IFERROR(INDEX(Templates!$L$3:$L$10,MATCH($U139,Templates!$A$3:$A$10,0)),""))</f>
        <v/>
      </c>
      <c r="X139" s="21">
        <f>IF($U139="","",IFERROR(INDEX(Templates!$J$3:$J$10,MATCH($U139,Templates!$A$3:$A$10,0)),""))</f>
        <v/>
      </c>
      <c r="Y139" s="35">
        <f>IF(OR($U139="",$I139="",$J139="",$X139=""),"",$I139+$X139*($J139-$I139))</f>
        <v/>
      </c>
      <c r="Z139" s="30" t="n">
        <v>46212</v>
      </c>
      <c r="AA139" s="38" t="n"/>
      <c r="AB139" s="39" t="n"/>
      <c r="AC139" s="39" t="n"/>
      <c r="AD139" s="19">
        <f>IF($A139="","",IF($AA139="",$H139,$AA139))</f>
        <v/>
      </c>
      <c r="AE139" s="35">
        <f>IF($A139="","",IF($AB139="",$I139,$AB139))</f>
        <v/>
      </c>
      <c r="AF139" s="35">
        <f>IF($A139="","",IF($AC139="",$J139,$AC139))</f>
        <v/>
      </c>
      <c r="AG139" s="35">
        <f>IF(OR($U139="",$AE139="",$AF139="",$X139=""),"",$AE139+$X139*($AF139-$AE139))</f>
        <v/>
      </c>
      <c r="AH139" s="36" t="n"/>
      <c r="AI139" s="36" t="n"/>
      <c r="AJ139" s="36" t="n"/>
      <c r="AK139" s="36" t="n"/>
      <c r="AL139" s="36" t="n"/>
      <c r="AM139" s="36" t="n"/>
      <c r="AN139" s="36" t="n"/>
      <c r="AO139" s="36" t="n"/>
      <c r="AP139" s="36" t="n"/>
      <c r="AQ139" s="36" t="n"/>
      <c r="AR139" s="36" t="n"/>
      <c r="AS139" s="36" t="n"/>
      <c r="AT139" s="36" t="n"/>
      <c r="AU139" s="36" t="n"/>
      <c r="AV139" s="36" t="n"/>
      <c r="AW139" s="36" t="n"/>
      <c r="AX139" s="36" t="n"/>
    </row>
    <row r="140">
      <c r="A140" s="28" t="inlineStr">
        <is>
          <t>Pinecreek_1</t>
        </is>
      </c>
      <c r="B140" s="20" t="inlineStr">
        <is>
          <t>Euclid Transactional</t>
        </is>
      </c>
      <c r="C140" s="28" t="inlineStr">
        <is>
          <t>Euclid Transactional</t>
        </is>
      </c>
      <c r="D140" s="28" t="inlineStr"/>
      <c r="E140" s="28" t="inlineStr">
        <is>
          <t>No</t>
        </is>
      </c>
      <c r="F140" s="28" t="inlineStr">
        <is>
          <t>Active</t>
        </is>
      </c>
      <c r="G140" s="36" t="n"/>
      <c r="H140" s="29" t="n">
        <v>1</v>
      </c>
      <c r="I140" s="37" t="n"/>
      <c r="J140" s="37" t="n"/>
      <c r="K140" s="31" t="n"/>
      <c r="L140" s="31" t="n"/>
      <c r="M140" s="31" t="n"/>
      <c r="N140" s="31" t="n"/>
      <c r="O140" s="31" t="n"/>
      <c r="P140" s="31" t="n"/>
      <c r="Q140" s="23">
        <f>IF($A140="","",COUNTIFS(Assignments!$C$2:$C$769,$A140,Assignments!$G$2:$G$769,"Active"))</f>
        <v/>
      </c>
      <c r="R140" s="32">
        <f>IF($A140="","",SUMIFS(Assignments!$I$2:$I$769,Assignments!$C$2:$C$769,$A140,Assignments!$G$2:$G$769,"Active"))</f>
        <v/>
      </c>
      <c r="S140" s="20" t="inlineStr">
        <is>
          <t>WIP</t>
        </is>
      </c>
      <c r="T140" s="31" t="n"/>
      <c r="U140" s="36" t="n"/>
      <c r="V140" s="34">
        <f>IF($U140="","",IFERROR(INDEX(Templates!$K$3:$K$10,MATCH($U140,Templates!$A$3:$A$10,0)),""))</f>
        <v/>
      </c>
      <c r="W140" s="34">
        <f>IF($U140="","",IFERROR(INDEX(Templates!$L$3:$L$10,MATCH($U140,Templates!$A$3:$A$10,0)),""))</f>
        <v/>
      </c>
      <c r="X140" s="21">
        <f>IF($U140="","",IFERROR(INDEX(Templates!$J$3:$J$10,MATCH($U140,Templates!$A$3:$A$10,0)),""))</f>
        <v/>
      </c>
      <c r="Y140" s="35">
        <f>IF(OR($U140="",$I140="",$J140="",$X140=""),"",$I140+$X140*($J140-$I140))</f>
        <v/>
      </c>
      <c r="Z140" s="30" t="n">
        <v>46212</v>
      </c>
      <c r="AA140" s="38" t="n"/>
      <c r="AB140" s="39" t="n"/>
      <c r="AC140" s="39" t="n"/>
      <c r="AD140" s="19">
        <f>IF($A140="","",IF($AA140="",$H140,$AA140))</f>
        <v/>
      </c>
      <c r="AE140" s="35">
        <f>IF($A140="","",IF($AB140="",$I140,$AB140))</f>
        <v/>
      </c>
      <c r="AF140" s="35">
        <f>IF($A140="","",IF($AC140="",$J140,$AC140))</f>
        <v/>
      </c>
      <c r="AG140" s="35">
        <f>IF(OR($U140="",$AE140="",$AF140="",$X140=""),"",$AE140+$X140*($AF140-$AE140))</f>
        <v/>
      </c>
      <c r="AH140" s="36" t="n"/>
      <c r="AI140" s="36" t="n"/>
      <c r="AJ140" s="36" t="n"/>
      <c r="AK140" s="36" t="n"/>
      <c r="AL140" s="36" t="n"/>
      <c r="AM140" s="36" t="n"/>
      <c r="AN140" s="36" t="n"/>
      <c r="AO140" s="36" t="n"/>
      <c r="AP140" s="36" t="n"/>
      <c r="AQ140" s="36" t="n"/>
      <c r="AR140" s="36" t="n"/>
      <c r="AS140" s="36" t="n"/>
      <c r="AT140" s="36" t="n"/>
      <c r="AU140" s="36" t="n"/>
      <c r="AV140" s="36" t="n"/>
      <c r="AW140" s="36" t="n"/>
      <c r="AX140" s="36" t="n"/>
    </row>
    <row r="141">
      <c r="A141" s="28" t="inlineStr">
        <is>
          <t>Pivot_3</t>
        </is>
      </c>
      <c r="B141" s="20" t="inlineStr">
        <is>
          <t>Liberty GTS</t>
        </is>
      </c>
      <c r="C141" s="28" t="inlineStr">
        <is>
          <t>Liberty GTS</t>
        </is>
      </c>
      <c r="D141" s="28" t="inlineStr"/>
      <c r="E141" s="28" t="inlineStr">
        <is>
          <t>No</t>
        </is>
      </c>
      <c r="F141" s="28" t="inlineStr">
        <is>
          <t>Active</t>
        </is>
      </c>
      <c r="G141" s="36" t="n"/>
      <c r="H141" s="29" t="n">
        <v>1</v>
      </c>
      <c r="I141" s="37" t="n"/>
      <c r="J141" s="37" t="n"/>
      <c r="K141" s="31" t="n"/>
      <c r="L141" s="31" t="n"/>
      <c r="M141" s="31" t="n"/>
      <c r="N141" s="31" t="n"/>
      <c r="O141" s="31" t="n"/>
      <c r="P141" s="31" t="n"/>
      <c r="Q141" s="23">
        <f>IF($A141="","",COUNTIFS(Assignments!$C$2:$C$769,$A141,Assignments!$G$2:$G$769,"Active"))</f>
        <v/>
      </c>
      <c r="R141" s="32">
        <f>IF($A141="","",SUMIFS(Assignments!$I$2:$I$769,Assignments!$C$2:$C$769,$A141,Assignments!$G$2:$G$769,"Active"))</f>
        <v/>
      </c>
      <c r="S141" s="20" t="inlineStr">
        <is>
          <t>WIP</t>
        </is>
      </c>
      <c r="T141" s="31" t="n"/>
      <c r="U141" s="36" t="n"/>
      <c r="V141" s="34">
        <f>IF($U141="","",IFERROR(INDEX(Templates!$K$3:$K$10,MATCH($U141,Templates!$A$3:$A$10,0)),""))</f>
        <v/>
      </c>
      <c r="W141" s="34">
        <f>IF($U141="","",IFERROR(INDEX(Templates!$L$3:$L$10,MATCH($U141,Templates!$A$3:$A$10,0)),""))</f>
        <v/>
      </c>
      <c r="X141" s="21">
        <f>IF($U141="","",IFERROR(INDEX(Templates!$J$3:$J$10,MATCH($U141,Templates!$A$3:$A$10,0)),""))</f>
        <v/>
      </c>
      <c r="Y141" s="35">
        <f>IF(OR($U141="",$I141="",$J141="",$X141=""),"",$I141+$X141*($J141-$I141))</f>
        <v/>
      </c>
      <c r="Z141" s="30" t="n">
        <v>46212</v>
      </c>
      <c r="AA141" s="38" t="n"/>
      <c r="AB141" s="39" t="n"/>
      <c r="AC141" s="39" t="n"/>
      <c r="AD141" s="19">
        <f>IF($A141="","",IF($AA141="",$H141,$AA141))</f>
        <v/>
      </c>
      <c r="AE141" s="35">
        <f>IF($A141="","",IF($AB141="",$I141,$AB141))</f>
        <v/>
      </c>
      <c r="AF141" s="35">
        <f>IF($A141="","",IF($AC141="",$J141,$AC141))</f>
        <v/>
      </c>
      <c r="AG141" s="35">
        <f>IF(OR($U141="",$AE141="",$AF141="",$X141=""),"",$AE141+$X141*($AF141-$AE141))</f>
        <v/>
      </c>
      <c r="AH141" s="36" t="n"/>
      <c r="AI141" s="36" t="n"/>
      <c r="AJ141" s="36" t="n"/>
      <c r="AK141" s="36" t="n"/>
      <c r="AL141" s="36" t="n"/>
      <c r="AM141" s="36" t="n"/>
      <c r="AN141" s="36" t="n"/>
      <c r="AO141" s="36" t="n"/>
      <c r="AP141" s="36" t="n"/>
      <c r="AQ141" s="36" t="n"/>
      <c r="AR141" s="36" t="n"/>
      <c r="AS141" s="36" t="n"/>
      <c r="AT141" s="36" t="n"/>
      <c r="AU141" s="36" t="n"/>
      <c r="AV141" s="36" t="n"/>
      <c r="AW141" s="36" t="n"/>
      <c r="AX141" s="36" t="n"/>
    </row>
    <row r="142">
      <c r="A142" s="28" t="inlineStr">
        <is>
          <t>Plasma_1</t>
        </is>
      </c>
      <c r="B142" s="20" t="inlineStr">
        <is>
          <t>Beacon Software, Inc.</t>
        </is>
      </c>
      <c r="C142" s="28" t="inlineStr">
        <is>
          <t>Beacon Software, Inc.</t>
        </is>
      </c>
      <c r="D142" s="28" t="inlineStr"/>
      <c r="E142" s="28" t="inlineStr">
        <is>
          <t>No</t>
        </is>
      </c>
      <c r="F142" s="28" t="inlineStr">
        <is>
          <t>Active</t>
        </is>
      </c>
      <c r="G142" s="36" t="n"/>
      <c r="H142" s="29" t="n">
        <v>1</v>
      </c>
      <c r="I142" s="37" t="n"/>
      <c r="J142" s="37" t="n"/>
      <c r="K142" s="31" t="n"/>
      <c r="L142" s="31" t="n"/>
      <c r="M142" s="31" t="n"/>
      <c r="N142" s="31" t="n"/>
      <c r="O142" s="31" t="n"/>
      <c r="P142" s="31" t="n"/>
      <c r="Q142" s="23">
        <f>IF($A142="","",COUNTIFS(Assignments!$C$2:$C$769,$A142,Assignments!$G$2:$G$769,"Active"))</f>
        <v/>
      </c>
      <c r="R142" s="32">
        <f>IF($A142="","",SUMIFS(Assignments!$I$2:$I$769,Assignments!$C$2:$C$769,$A142,Assignments!$G$2:$G$769,"Active"))</f>
        <v/>
      </c>
      <c r="S142" s="20" t="inlineStr">
        <is>
          <t>WIP</t>
        </is>
      </c>
      <c r="T142" s="31" t="n"/>
      <c r="U142" s="36" t="n"/>
      <c r="V142" s="34">
        <f>IF($U142="","",IFERROR(INDEX(Templates!$K$3:$K$10,MATCH($U142,Templates!$A$3:$A$10,0)),""))</f>
        <v/>
      </c>
      <c r="W142" s="34">
        <f>IF($U142="","",IFERROR(INDEX(Templates!$L$3:$L$10,MATCH($U142,Templates!$A$3:$A$10,0)),""))</f>
        <v/>
      </c>
      <c r="X142" s="21">
        <f>IF($U142="","",IFERROR(INDEX(Templates!$J$3:$J$10,MATCH($U142,Templates!$A$3:$A$10,0)),""))</f>
        <v/>
      </c>
      <c r="Y142" s="35">
        <f>IF(OR($U142="",$I142="",$J142="",$X142=""),"",$I142+$X142*($J142-$I142))</f>
        <v/>
      </c>
      <c r="Z142" s="30" t="n">
        <v>46212</v>
      </c>
      <c r="AA142" s="38" t="n"/>
      <c r="AB142" s="39" t="n"/>
      <c r="AC142" s="39" t="n"/>
      <c r="AD142" s="19">
        <f>IF($A142="","",IF($AA142="",$H142,$AA142))</f>
        <v/>
      </c>
      <c r="AE142" s="35">
        <f>IF($A142="","",IF($AB142="",$I142,$AB142))</f>
        <v/>
      </c>
      <c r="AF142" s="35">
        <f>IF($A142="","",IF($AC142="",$J142,$AC142))</f>
        <v/>
      </c>
      <c r="AG142" s="35">
        <f>IF(OR($U142="",$AE142="",$AF142="",$X142=""),"",$AE142+$X142*($AF142-$AE142))</f>
        <v/>
      </c>
      <c r="AH142" s="36" t="n"/>
      <c r="AI142" s="36" t="n"/>
      <c r="AJ142" s="36" t="n"/>
      <c r="AK142" s="36" t="n"/>
      <c r="AL142" s="36" t="n"/>
      <c r="AM142" s="36" t="n"/>
      <c r="AN142" s="36" t="n"/>
      <c r="AO142" s="36" t="n"/>
      <c r="AP142" s="36" t="n"/>
      <c r="AQ142" s="36" t="n"/>
      <c r="AR142" s="36" t="n"/>
      <c r="AS142" s="36" t="n"/>
      <c r="AT142" s="36" t="n"/>
      <c r="AU142" s="36" t="n"/>
      <c r="AV142" s="36" t="n"/>
      <c r="AW142" s="36" t="n"/>
      <c r="AX142" s="36" t="n"/>
    </row>
    <row r="143">
      <c r="A143" s="28" t="inlineStr">
        <is>
          <t>PMD_1</t>
        </is>
      </c>
      <c r="B143" s="20" t="inlineStr">
        <is>
          <t>DW Healthcare Partners</t>
        </is>
      </c>
      <c r="C143" s="28" t="inlineStr">
        <is>
          <t>DW Healthcare Partners</t>
        </is>
      </c>
      <c r="D143" s="28" t="inlineStr"/>
      <c r="E143" s="28" t="inlineStr">
        <is>
          <t>No</t>
        </is>
      </c>
      <c r="F143" s="28" t="inlineStr">
        <is>
          <t>Active</t>
        </is>
      </c>
      <c r="G143" s="36" t="n"/>
      <c r="H143" s="29" t="n">
        <v>1</v>
      </c>
      <c r="I143" s="37" t="n"/>
      <c r="J143" s="37" t="n"/>
      <c r="K143" s="31" t="n"/>
      <c r="L143" s="31" t="n"/>
      <c r="M143" s="31" t="n"/>
      <c r="N143" s="31" t="n"/>
      <c r="O143" s="31" t="n"/>
      <c r="P143" s="31" t="n"/>
      <c r="Q143" s="23">
        <f>IF($A143="","",COUNTIFS(Assignments!$C$2:$C$769,$A143,Assignments!$G$2:$G$769,"Active"))</f>
        <v/>
      </c>
      <c r="R143" s="32">
        <f>IF($A143="","",SUMIFS(Assignments!$I$2:$I$769,Assignments!$C$2:$C$769,$A143,Assignments!$G$2:$G$769,"Active"))</f>
        <v/>
      </c>
      <c r="S143" s="20" t="inlineStr">
        <is>
          <t>WIP</t>
        </is>
      </c>
      <c r="T143" s="31" t="n"/>
      <c r="U143" s="36" t="n"/>
      <c r="V143" s="34">
        <f>IF($U143="","",IFERROR(INDEX(Templates!$K$3:$K$10,MATCH($U143,Templates!$A$3:$A$10,0)),""))</f>
        <v/>
      </c>
      <c r="W143" s="34">
        <f>IF($U143="","",IFERROR(INDEX(Templates!$L$3:$L$10,MATCH($U143,Templates!$A$3:$A$10,0)),""))</f>
        <v/>
      </c>
      <c r="X143" s="21">
        <f>IF($U143="","",IFERROR(INDEX(Templates!$J$3:$J$10,MATCH($U143,Templates!$A$3:$A$10,0)),""))</f>
        <v/>
      </c>
      <c r="Y143" s="35">
        <f>IF(OR($U143="",$I143="",$J143="",$X143=""),"",$I143+$X143*($J143-$I143))</f>
        <v/>
      </c>
      <c r="Z143" s="30" t="n">
        <v>46212</v>
      </c>
      <c r="AA143" s="38" t="n"/>
      <c r="AB143" s="39" t="n"/>
      <c r="AC143" s="39" t="n"/>
      <c r="AD143" s="19">
        <f>IF($A143="","",IF($AA143="",$H143,$AA143))</f>
        <v/>
      </c>
      <c r="AE143" s="35">
        <f>IF($A143="","",IF($AB143="",$I143,$AB143))</f>
        <v/>
      </c>
      <c r="AF143" s="35">
        <f>IF($A143="","",IF($AC143="",$J143,$AC143))</f>
        <v/>
      </c>
      <c r="AG143" s="35">
        <f>IF(OR($U143="",$AE143="",$AF143="",$X143=""),"",$AE143+$X143*($AF143-$AE143))</f>
        <v/>
      </c>
      <c r="AH143" s="36" t="n"/>
      <c r="AI143" s="36" t="n"/>
      <c r="AJ143" s="36" t="n"/>
      <c r="AK143" s="36" t="n"/>
      <c r="AL143" s="36" t="n"/>
      <c r="AM143" s="36" t="n"/>
      <c r="AN143" s="36" t="n"/>
      <c r="AO143" s="36" t="n"/>
      <c r="AP143" s="36" t="n"/>
      <c r="AQ143" s="36" t="n"/>
      <c r="AR143" s="36" t="n"/>
      <c r="AS143" s="36" t="n"/>
      <c r="AT143" s="36" t="n"/>
      <c r="AU143" s="36" t="n"/>
      <c r="AV143" s="36" t="n"/>
      <c r="AW143" s="36" t="n"/>
      <c r="AX143" s="36" t="n"/>
    </row>
    <row r="144">
      <c r="A144" s="28" t="inlineStr">
        <is>
          <t>Pocket_1</t>
        </is>
      </c>
      <c r="B144" s="20" t="inlineStr">
        <is>
          <t>Eight Advisory</t>
        </is>
      </c>
      <c r="C144" s="28" t="inlineStr">
        <is>
          <t>Eight Advisory</t>
        </is>
      </c>
      <c r="D144" s="28" t="inlineStr"/>
      <c r="E144" s="28" t="inlineStr">
        <is>
          <t>No</t>
        </is>
      </c>
      <c r="F144" s="28" t="inlineStr">
        <is>
          <t>Active</t>
        </is>
      </c>
      <c r="G144" s="36" t="n"/>
      <c r="H144" s="29" t="n">
        <v>1</v>
      </c>
      <c r="I144" s="37" t="n"/>
      <c r="J144" s="37" t="n"/>
      <c r="K144" s="31" t="n"/>
      <c r="L144" s="31" t="n"/>
      <c r="M144" s="31" t="n"/>
      <c r="N144" s="31" t="n"/>
      <c r="O144" s="31" t="n"/>
      <c r="P144" s="31" t="n"/>
      <c r="Q144" s="23">
        <f>IF($A144="","",COUNTIFS(Assignments!$C$2:$C$769,$A144,Assignments!$G$2:$G$769,"Active"))</f>
        <v/>
      </c>
      <c r="R144" s="32">
        <f>IF($A144="","",SUMIFS(Assignments!$I$2:$I$769,Assignments!$C$2:$C$769,$A144,Assignments!$G$2:$G$769,"Active"))</f>
        <v/>
      </c>
      <c r="S144" s="20" t="inlineStr">
        <is>
          <t>WIP</t>
        </is>
      </c>
      <c r="T144" s="31" t="n"/>
      <c r="U144" s="36" t="n"/>
      <c r="V144" s="34">
        <f>IF($U144="","",IFERROR(INDEX(Templates!$K$3:$K$10,MATCH($U144,Templates!$A$3:$A$10,0)),""))</f>
        <v/>
      </c>
      <c r="W144" s="34">
        <f>IF($U144="","",IFERROR(INDEX(Templates!$L$3:$L$10,MATCH($U144,Templates!$A$3:$A$10,0)),""))</f>
        <v/>
      </c>
      <c r="X144" s="21">
        <f>IF($U144="","",IFERROR(INDEX(Templates!$J$3:$J$10,MATCH($U144,Templates!$A$3:$A$10,0)),""))</f>
        <v/>
      </c>
      <c r="Y144" s="35">
        <f>IF(OR($U144="",$I144="",$J144="",$X144=""),"",$I144+$X144*($J144-$I144))</f>
        <v/>
      </c>
      <c r="Z144" s="30" t="n">
        <v>46212</v>
      </c>
      <c r="AA144" s="38" t="n"/>
      <c r="AB144" s="39" t="n"/>
      <c r="AC144" s="39" t="n"/>
      <c r="AD144" s="19">
        <f>IF($A144="","",IF($AA144="",$H144,$AA144))</f>
        <v/>
      </c>
      <c r="AE144" s="35">
        <f>IF($A144="","",IF($AB144="",$I144,$AB144))</f>
        <v/>
      </c>
      <c r="AF144" s="35">
        <f>IF($A144="","",IF($AC144="",$J144,$AC144))</f>
        <v/>
      </c>
      <c r="AG144" s="35">
        <f>IF(OR($U144="",$AE144="",$AF144="",$X144=""),"",$AE144+$X144*($AF144-$AE144))</f>
        <v/>
      </c>
      <c r="AH144" s="36" t="n"/>
      <c r="AI144" s="36" t="n"/>
      <c r="AJ144" s="36" t="n"/>
      <c r="AK144" s="36" t="n"/>
      <c r="AL144" s="36" t="n"/>
      <c r="AM144" s="36" t="n"/>
      <c r="AN144" s="36" t="n"/>
      <c r="AO144" s="36" t="n"/>
      <c r="AP144" s="36" t="n"/>
      <c r="AQ144" s="36" t="n"/>
      <c r="AR144" s="36" t="n"/>
      <c r="AS144" s="36" t="n"/>
      <c r="AT144" s="36" t="n"/>
      <c r="AU144" s="36" t="n"/>
      <c r="AV144" s="36" t="n"/>
      <c r="AW144" s="36" t="n"/>
      <c r="AX144" s="36" t="n"/>
    </row>
    <row r="145">
      <c r="A145" s="28" t="inlineStr">
        <is>
          <t>Prince_2</t>
        </is>
      </c>
      <c r="B145" s="20" t="inlineStr">
        <is>
          <t>Euclid Transactional</t>
        </is>
      </c>
      <c r="C145" s="28" t="inlineStr">
        <is>
          <t>Euclid Transactional</t>
        </is>
      </c>
      <c r="D145" s="28" t="inlineStr"/>
      <c r="E145" s="28" t="inlineStr">
        <is>
          <t>No</t>
        </is>
      </c>
      <c r="F145" s="28" t="inlineStr">
        <is>
          <t>Active</t>
        </is>
      </c>
      <c r="G145" s="36" t="n"/>
      <c r="H145" s="29" t="n">
        <v>1</v>
      </c>
      <c r="I145" s="37" t="n"/>
      <c r="J145" s="37" t="n"/>
      <c r="K145" s="31" t="n"/>
      <c r="L145" s="31" t="n"/>
      <c r="M145" s="31" t="n"/>
      <c r="N145" s="31" t="n"/>
      <c r="O145" s="31" t="n"/>
      <c r="P145" s="31" t="n"/>
      <c r="Q145" s="23">
        <f>IF($A145="","",COUNTIFS(Assignments!$C$2:$C$769,$A145,Assignments!$G$2:$G$769,"Active"))</f>
        <v/>
      </c>
      <c r="R145" s="32">
        <f>IF($A145="","",SUMIFS(Assignments!$I$2:$I$769,Assignments!$C$2:$C$769,$A145,Assignments!$G$2:$G$769,"Active"))</f>
        <v/>
      </c>
      <c r="S145" s="20" t="inlineStr">
        <is>
          <t>WIP</t>
        </is>
      </c>
      <c r="T145" s="31" t="n"/>
      <c r="U145" s="36" t="n"/>
      <c r="V145" s="34">
        <f>IF($U145="","",IFERROR(INDEX(Templates!$K$3:$K$10,MATCH($U145,Templates!$A$3:$A$10,0)),""))</f>
        <v/>
      </c>
      <c r="W145" s="34">
        <f>IF($U145="","",IFERROR(INDEX(Templates!$L$3:$L$10,MATCH($U145,Templates!$A$3:$A$10,0)),""))</f>
        <v/>
      </c>
      <c r="X145" s="21">
        <f>IF($U145="","",IFERROR(INDEX(Templates!$J$3:$J$10,MATCH($U145,Templates!$A$3:$A$10,0)),""))</f>
        <v/>
      </c>
      <c r="Y145" s="35">
        <f>IF(OR($U145="",$I145="",$J145="",$X145=""),"",$I145+$X145*($J145-$I145))</f>
        <v/>
      </c>
      <c r="Z145" s="30" t="n">
        <v>46212</v>
      </c>
      <c r="AA145" s="38" t="n"/>
      <c r="AB145" s="39" t="n"/>
      <c r="AC145" s="39" t="n"/>
      <c r="AD145" s="19">
        <f>IF($A145="","",IF($AA145="",$H145,$AA145))</f>
        <v/>
      </c>
      <c r="AE145" s="35">
        <f>IF($A145="","",IF($AB145="",$I145,$AB145))</f>
        <v/>
      </c>
      <c r="AF145" s="35">
        <f>IF($A145="","",IF($AC145="",$J145,$AC145))</f>
        <v/>
      </c>
      <c r="AG145" s="35">
        <f>IF(OR($U145="",$AE145="",$AF145="",$X145=""),"",$AE145+$X145*($AF145-$AE145))</f>
        <v/>
      </c>
      <c r="AH145" s="36" t="n"/>
      <c r="AI145" s="36" t="n"/>
      <c r="AJ145" s="36" t="n"/>
      <c r="AK145" s="36" t="n"/>
      <c r="AL145" s="36" t="n"/>
      <c r="AM145" s="36" t="n"/>
      <c r="AN145" s="36" t="n"/>
      <c r="AO145" s="36" t="n"/>
      <c r="AP145" s="36" t="n"/>
      <c r="AQ145" s="36" t="n"/>
      <c r="AR145" s="36" t="n"/>
      <c r="AS145" s="36" t="n"/>
      <c r="AT145" s="36" t="n"/>
      <c r="AU145" s="36" t="n"/>
      <c r="AV145" s="36" t="n"/>
      <c r="AW145" s="36" t="n"/>
      <c r="AX145" s="36" t="n"/>
    </row>
    <row r="146">
      <c r="A146" s="28" t="inlineStr">
        <is>
          <t>Prince_3</t>
        </is>
      </c>
      <c r="B146" s="20" t="inlineStr">
        <is>
          <t>Northampton Capital Partners</t>
        </is>
      </c>
      <c r="C146" s="28" t="inlineStr">
        <is>
          <t>Northampton Capital Partners</t>
        </is>
      </c>
      <c r="D146" s="28" t="inlineStr"/>
      <c r="E146" s="28" t="inlineStr">
        <is>
          <t>No</t>
        </is>
      </c>
      <c r="F146" s="28" t="inlineStr">
        <is>
          <t>Active</t>
        </is>
      </c>
      <c r="G146" s="36" t="n"/>
      <c r="H146" s="29" t="n">
        <v>1</v>
      </c>
      <c r="I146" s="37" t="n"/>
      <c r="J146" s="37" t="n"/>
      <c r="K146" s="31" t="n"/>
      <c r="L146" s="31" t="n"/>
      <c r="M146" s="31" t="n"/>
      <c r="N146" s="31" t="n"/>
      <c r="O146" s="31" t="n"/>
      <c r="P146" s="31" t="n"/>
      <c r="Q146" s="23">
        <f>IF($A146="","",COUNTIFS(Assignments!$C$2:$C$769,$A146,Assignments!$G$2:$G$769,"Active"))</f>
        <v/>
      </c>
      <c r="R146" s="32">
        <f>IF($A146="","",SUMIFS(Assignments!$I$2:$I$769,Assignments!$C$2:$C$769,$A146,Assignments!$G$2:$G$769,"Active"))</f>
        <v/>
      </c>
      <c r="S146" s="20" t="inlineStr">
        <is>
          <t>WIP</t>
        </is>
      </c>
      <c r="T146" s="31" t="n"/>
      <c r="U146" s="36" t="n"/>
      <c r="V146" s="34">
        <f>IF($U146="","",IFERROR(INDEX(Templates!$K$3:$K$10,MATCH($U146,Templates!$A$3:$A$10,0)),""))</f>
        <v/>
      </c>
      <c r="W146" s="34">
        <f>IF($U146="","",IFERROR(INDEX(Templates!$L$3:$L$10,MATCH($U146,Templates!$A$3:$A$10,0)),""))</f>
        <v/>
      </c>
      <c r="X146" s="21">
        <f>IF($U146="","",IFERROR(INDEX(Templates!$J$3:$J$10,MATCH($U146,Templates!$A$3:$A$10,0)),""))</f>
        <v/>
      </c>
      <c r="Y146" s="35">
        <f>IF(OR($U146="",$I146="",$J146="",$X146=""),"",$I146+$X146*($J146-$I146))</f>
        <v/>
      </c>
      <c r="Z146" s="30" t="n">
        <v>46212</v>
      </c>
      <c r="AA146" s="38" t="n"/>
      <c r="AB146" s="39" t="n"/>
      <c r="AC146" s="39" t="n"/>
      <c r="AD146" s="19">
        <f>IF($A146="","",IF($AA146="",$H146,$AA146))</f>
        <v/>
      </c>
      <c r="AE146" s="35">
        <f>IF($A146="","",IF($AB146="",$I146,$AB146))</f>
        <v/>
      </c>
      <c r="AF146" s="35">
        <f>IF($A146="","",IF($AC146="",$J146,$AC146))</f>
        <v/>
      </c>
      <c r="AG146" s="35">
        <f>IF(OR($U146="",$AE146="",$AF146="",$X146=""),"",$AE146+$X146*($AF146-$AE146))</f>
        <v/>
      </c>
      <c r="AH146" s="36" t="n"/>
      <c r="AI146" s="36" t="n"/>
      <c r="AJ146" s="36" t="n"/>
      <c r="AK146" s="36" t="n"/>
      <c r="AL146" s="36" t="n"/>
      <c r="AM146" s="36" t="n"/>
      <c r="AN146" s="36" t="n"/>
      <c r="AO146" s="36" t="n"/>
      <c r="AP146" s="36" t="n"/>
      <c r="AQ146" s="36" t="n"/>
      <c r="AR146" s="36" t="n"/>
      <c r="AS146" s="36" t="n"/>
      <c r="AT146" s="36" t="n"/>
      <c r="AU146" s="36" t="n"/>
      <c r="AV146" s="36" t="n"/>
      <c r="AW146" s="36" t="n"/>
      <c r="AX146" s="36" t="n"/>
    </row>
    <row r="147">
      <c r="A147" s="28" t="inlineStr">
        <is>
          <t>Prolydian_1</t>
        </is>
      </c>
      <c r="B147" s="20" t="inlineStr">
        <is>
          <t>Beacon Software, Inc.</t>
        </is>
      </c>
      <c r="C147" s="28" t="inlineStr">
        <is>
          <t>Beacon Software, Inc.</t>
        </is>
      </c>
      <c r="D147" s="28" t="inlineStr"/>
      <c r="E147" s="28" t="inlineStr">
        <is>
          <t>No</t>
        </is>
      </c>
      <c r="F147" s="28" t="inlineStr">
        <is>
          <t>Active</t>
        </is>
      </c>
      <c r="G147" s="36" t="n"/>
      <c r="H147" s="29" t="n">
        <v>1</v>
      </c>
      <c r="I147" s="37" t="n"/>
      <c r="J147" s="37" t="n"/>
      <c r="K147" s="31" t="n"/>
      <c r="L147" s="31" t="n"/>
      <c r="M147" s="31" t="n"/>
      <c r="N147" s="31" t="n"/>
      <c r="O147" s="31" t="n"/>
      <c r="P147" s="31" t="n"/>
      <c r="Q147" s="23">
        <f>IF($A147="","",COUNTIFS(Assignments!$C$2:$C$769,$A147,Assignments!$G$2:$G$769,"Active"))</f>
        <v/>
      </c>
      <c r="R147" s="32">
        <f>IF($A147="","",SUMIFS(Assignments!$I$2:$I$769,Assignments!$C$2:$C$769,$A147,Assignments!$G$2:$G$769,"Active"))</f>
        <v/>
      </c>
      <c r="S147" s="20" t="inlineStr">
        <is>
          <t>WIP</t>
        </is>
      </c>
      <c r="T147" s="31" t="n"/>
      <c r="U147" s="36" t="n"/>
      <c r="V147" s="34">
        <f>IF($U147="","",IFERROR(INDEX(Templates!$K$3:$K$10,MATCH($U147,Templates!$A$3:$A$10,0)),""))</f>
        <v/>
      </c>
      <c r="W147" s="34">
        <f>IF($U147="","",IFERROR(INDEX(Templates!$L$3:$L$10,MATCH($U147,Templates!$A$3:$A$10,0)),""))</f>
        <v/>
      </c>
      <c r="X147" s="21">
        <f>IF($U147="","",IFERROR(INDEX(Templates!$J$3:$J$10,MATCH($U147,Templates!$A$3:$A$10,0)),""))</f>
        <v/>
      </c>
      <c r="Y147" s="35">
        <f>IF(OR($U147="",$I147="",$J147="",$X147=""),"",$I147+$X147*($J147-$I147))</f>
        <v/>
      </c>
      <c r="Z147" s="30" t="n">
        <v>46212</v>
      </c>
      <c r="AA147" s="38" t="n"/>
      <c r="AB147" s="39" t="n"/>
      <c r="AC147" s="39" t="n"/>
      <c r="AD147" s="19">
        <f>IF($A147="","",IF($AA147="",$H147,$AA147))</f>
        <v/>
      </c>
      <c r="AE147" s="35">
        <f>IF($A147="","",IF($AB147="",$I147,$AB147))</f>
        <v/>
      </c>
      <c r="AF147" s="35">
        <f>IF($A147="","",IF($AC147="",$J147,$AC147))</f>
        <v/>
      </c>
      <c r="AG147" s="35">
        <f>IF(OR($U147="",$AE147="",$AF147="",$X147=""),"",$AE147+$X147*($AF147-$AE147))</f>
        <v/>
      </c>
      <c r="AH147" s="36" t="n"/>
      <c r="AI147" s="36" t="n"/>
      <c r="AJ147" s="36" t="n"/>
      <c r="AK147" s="36" t="n"/>
      <c r="AL147" s="36" t="n"/>
      <c r="AM147" s="36" t="n"/>
      <c r="AN147" s="36" t="n"/>
      <c r="AO147" s="36" t="n"/>
      <c r="AP147" s="36" t="n"/>
      <c r="AQ147" s="36" t="n"/>
      <c r="AR147" s="36" t="n"/>
      <c r="AS147" s="36" t="n"/>
      <c r="AT147" s="36" t="n"/>
      <c r="AU147" s="36" t="n"/>
      <c r="AV147" s="36" t="n"/>
      <c r="AW147" s="36" t="n"/>
      <c r="AX147" s="36" t="n"/>
    </row>
    <row r="148">
      <c r="A148" s="28" t="inlineStr">
        <is>
          <t>Pythagoras_1</t>
        </is>
      </c>
      <c r="B148" s="20" t="inlineStr">
        <is>
          <t>Infrared Capital Partners</t>
        </is>
      </c>
      <c r="C148" s="28" t="inlineStr">
        <is>
          <t>Infrared Capital Partners</t>
        </is>
      </c>
      <c r="D148" s="28" t="inlineStr"/>
      <c r="E148" s="28" t="inlineStr">
        <is>
          <t>No</t>
        </is>
      </c>
      <c r="F148" s="28" t="inlineStr">
        <is>
          <t>Active</t>
        </is>
      </c>
      <c r="G148" s="36" t="n"/>
      <c r="H148" s="29" t="n">
        <v>1</v>
      </c>
      <c r="I148" s="37" t="n"/>
      <c r="J148" s="37" t="n"/>
      <c r="K148" s="31" t="n"/>
      <c r="L148" s="31" t="n"/>
      <c r="M148" s="31" t="n"/>
      <c r="N148" s="31" t="n"/>
      <c r="O148" s="31" t="n"/>
      <c r="P148" s="31" t="n"/>
      <c r="Q148" s="23">
        <f>IF($A148="","",COUNTIFS(Assignments!$C$2:$C$769,$A148,Assignments!$G$2:$G$769,"Active"))</f>
        <v/>
      </c>
      <c r="R148" s="32">
        <f>IF($A148="","",SUMIFS(Assignments!$I$2:$I$769,Assignments!$C$2:$C$769,$A148,Assignments!$G$2:$G$769,"Active"))</f>
        <v/>
      </c>
      <c r="S148" s="20" t="inlineStr">
        <is>
          <t>WIP</t>
        </is>
      </c>
      <c r="T148" s="31" t="n"/>
      <c r="U148" s="36" t="n"/>
      <c r="V148" s="34">
        <f>IF($U148="","",IFERROR(INDEX(Templates!$K$3:$K$10,MATCH($U148,Templates!$A$3:$A$10,0)),""))</f>
        <v/>
      </c>
      <c r="W148" s="34">
        <f>IF($U148="","",IFERROR(INDEX(Templates!$L$3:$L$10,MATCH($U148,Templates!$A$3:$A$10,0)),""))</f>
        <v/>
      </c>
      <c r="X148" s="21">
        <f>IF($U148="","",IFERROR(INDEX(Templates!$J$3:$J$10,MATCH($U148,Templates!$A$3:$A$10,0)),""))</f>
        <v/>
      </c>
      <c r="Y148" s="35">
        <f>IF(OR($U148="",$I148="",$J148="",$X148=""),"",$I148+$X148*($J148-$I148))</f>
        <v/>
      </c>
      <c r="Z148" s="30" t="n">
        <v>46212</v>
      </c>
      <c r="AA148" s="38" t="n"/>
      <c r="AB148" s="39" t="n"/>
      <c r="AC148" s="39" t="n"/>
      <c r="AD148" s="19">
        <f>IF($A148="","",IF($AA148="",$H148,$AA148))</f>
        <v/>
      </c>
      <c r="AE148" s="35">
        <f>IF($A148="","",IF($AB148="",$I148,$AB148))</f>
        <v/>
      </c>
      <c r="AF148" s="35">
        <f>IF($A148="","",IF($AC148="",$J148,$AC148))</f>
        <v/>
      </c>
      <c r="AG148" s="35">
        <f>IF(OR($U148="",$AE148="",$AF148="",$X148=""),"",$AE148+$X148*($AF148-$AE148))</f>
        <v/>
      </c>
      <c r="AH148" s="36" t="n"/>
      <c r="AI148" s="36" t="n"/>
      <c r="AJ148" s="36" t="n"/>
      <c r="AK148" s="36" t="n"/>
      <c r="AL148" s="36" t="n"/>
      <c r="AM148" s="36" t="n"/>
      <c r="AN148" s="36" t="n"/>
      <c r="AO148" s="36" t="n"/>
      <c r="AP148" s="36" t="n"/>
      <c r="AQ148" s="36" t="n"/>
      <c r="AR148" s="36" t="n"/>
      <c r="AS148" s="36" t="n"/>
      <c r="AT148" s="36" t="n"/>
      <c r="AU148" s="36" t="n"/>
      <c r="AV148" s="36" t="n"/>
      <c r="AW148" s="36" t="n"/>
      <c r="AX148" s="36" t="n"/>
    </row>
    <row r="149">
      <c r="A149" s="28" t="inlineStr">
        <is>
          <t>RBC Leaf_2</t>
        </is>
      </c>
      <c r="B149" s="20" t="inlineStr">
        <is>
          <t>Royal Bank of Canada : RBC Community Investments, LLC</t>
        </is>
      </c>
      <c r="C149" s="28" t="inlineStr">
        <is>
          <t>Royal Bank of Canada</t>
        </is>
      </c>
      <c r="D149" s="28" t="inlineStr">
        <is>
          <t>RBC Community Investments, LLC</t>
        </is>
      </c>
      <c r="E149" s="28" t="inlineStr">
        <is>
          <t>No</t>
        </is>
      </c>
      <c r="F149" s="28" t="inlineStr">
        <is>
          <t>Active</t>
        </is>
      </c>
      <c r="G149" s="36" t="n"/>
      <c r="H149" s="29" t="n">
        <v>1</v>
      </c>
      <c r="I149" s="37" t="n"/>
      <c r="J149" s="37" t="n"/>
      <c r="K149" s="31" t="n"/>
      <c r="L149" s="31" t="n"/>
      <c r="M149" s="31" t="n"/>
      <c r="N149" s="31" t="n"/>
      <c r="O149" s="31" t="n"/>
      <c r="P149" s="31" t="n"/>
      <c r="Q149" s="23">
        <f>IF($A149="","",COUNTIFS(Assignments!$C$2:$C$769,$A149,Assignments!$G$2:$G$769,"Active"))</f>
        <v/>
      </c>
      <c r="R149" s="32">
        <f>IF($A149="","",SUMIFS(Assignments!$I$2:$I$769,Assignments!$C$2:$C$769,$A149,Assignments!$G$2:$G$769,"Active"))</f>
        <v/>
      </c>
      <c r="S149" s="20" t="inlineStr">
        <is>
          <t>WIP</t>
        </is>
      </c>
      <c r="T149" s="31" t="n"/>
      <c r="U149" s="36" t="n"/>
      <c r="V149" s="34">
        <f>IF($U149="","",IFERROR(INDEX(Templates!$K$3:$K$10,MATCH($U149,Templates!$A$3:$A$10,0)),""))</f>
        <v/>
      </c>
      <c r="W149" s="34">
        <f>IF($U149="","",IFERROR(INDEX(Templates!$L$3:$L$10,MATCH($U149,Templates!$A$3:$A$10,0)),""))</f>
        <v/>
      </c>
      <c r="X149" s="21">
        <f>IF($U149="","",IFERROR(INDEX(Templates!$J$3:$J$10,MATCH($U149,Templates!$A$3:$A$10,0)),""))</f>
        <v/>
      </c>
      <c r="Y149" s="35">
        <f>IF(OR($U149="",$I149="",$J149="",$X149=""),"",$I149+$X149*($J149-$I149))</f>
        <v/>
      </c>
      <c r="Z149" s="30" t="n">
        <v>46212</v>
      </c>
      <c r="AA149" s="38" t="n"/>
      <c r="AB149" s="39" t="n"/>
      <c r="AC149" s="39" t="n"/>
      <c r="AD149" s="19">
        <f>IF($A149="","",IF($AA149="",$H149,$AA149))</f>
        <v/>
      </c>
      <c r="AE149" s="35">
        <f>IF($A149="","",IF($AB149="",$I149,$AB149))</f>
        <v/>
      </c>
      <c r="AF149" s="35">
        <f>IF($A149="","",IF($AC149="",$J149,$AC149))</f>
        <v/>
      </c>
      <c r="AG149" s="35">
        <f>IF(OR($U149="",$AE149="",$AF149="",$X149=""),"",$AE149+$X149*($AF149-$AE149))</f>
        <v/>
      </c>
      <c r="AH149" s="36" t="n"/>
      <c r="AI149" s="36" t="n"/>
      <c r="AJ149" s="36" t="n"/>
      <c r="AK149" s="36" t="n"/>
      <c r="AL149" s="36" t="n"/>
      <c r="AM149" s="36" t="n"/>
      <c r="AN149" s="36" t="n"/>
      <c r="AO149" s="36" t="n"/>
      <c r="AP149" s="36" t="n"/>
      <c r="AQ149" s="36" t="n"/>
      <c r="AR149" s="36" t="n"/>
      <c r="AS149" s="36" t="n"/>
      <c r="AT149" s="36" t="n"/>
      <c r="AU149" s="36" t="n"/>
      <c r="AV149" s="36" t="n"/>
      <c r="AW149" s="36" t="n"/>
      <c r="AX149" s="36" t="n"/>
    </row>
    <row r="150">
      <c r="A150" s="28" t="inlineStr">
        <is>
          <t>RBC Petal_1</t>
        </is>
      </c>
      <c r="B150" s="20" t="inlineStr">
        <is>
          <t>Royal Bank of Canada : RBC Community Investments, LLC</t>
        </is>
      </c>
      <c r="C150" s="28" t="inlineStr">
        <is>
          <t>Royal Bank of Canada</t>
        </is>
      </c>
      <c r="D150" s="28" t="inlineStr">
        <is>
          <t>RBC Community Investments, LLC</t>
        </is>
      </c>
      <c r="E150" s="28" t="inlineStr">
        <is>
          <t>No</t>
        </is>
      </c>
      <c r="F150" s="28" t="inlineStr">
        <is>
          <t>Active</t>
        </is>
      </c>
      <c r="G150" s="36" t="n"/>
      <c r="H150" s="29" t="n">
        <v>1</v>
      </c>
      <c r="I150" s="37" t="n"/>
      <c r="J150" s="37" t="n"/>
      <c r="K150" s="31" t="n"/>
      <c r="L150" s="31" t="n"/>
      <c r="M150" s="31" t="n"/>
      <c r="N150" s="31" t="n"/>
      <c r="O150" s="31" t="n"/>
      <c r="P150" s="31" t="n"/>
      <c r="Q150" s="23">
        <f>IF($A150="","",COUNTIFS(Assignments!$C$2:$C$769,$A150,Assignments!$G$2:$G$769,"Active"))</f>
        <v/>
      </c>
      <c r="R150" s="32">
        <f>IF($A150="","",SUMIFS(Assignments!$I$2:$I$769,Assignments!$C$2:$C$769,$A150,Assignments!$G$2:$G$769,"Active"))</f>
        <v/>
      </c>
      <c r="S150" s="20" t="inlineStr">
        <is>
          <t>WIP</t>
        </is>
      </c>
      <c r="T150" s="31" t="n"/>
      <c r="U150" s="36" t="n"/>
      <c r="V150" s="34">
        <f>IF($U150="","",IFERROR(INDEX(Templates!$K$3:$K$10,MATCH($U150,Templates!$A$3:$A$10,0)),""))</f>
        <v/>
      </c>
      <c r="W150" s="34">
        <f>IF($U150="","",IFERROR(INDEX(Templates!$L$3:$L$10,MATCH($U150,Templates!$A$3:$A$10,0)),""))</f>
        <v/>
      </c>
      <c r="X150" s="21">
        <f>IF($U150="","",IFERROR(INDEX(Templates!$J$3:$J$10,MATCH($U150,Templates!$A$3:$A$10,0)),""))</f>
        <v/>
      </c>
      <c r="Y150" s="35">
        <f>IF(OR($U150="",$I150="",$J150="",$X150=""),"",$I150+$X150*($J150-$I150))</f>
        <v/>
      </c>
      <c r="Z150" s="30" t="n">
        <v>46212</v>
      </c>
      <c r="AA150" s="38" t="n"/>
      <c r="AB150" s="39" t="n"/>
      <c r="AC150" s="39" t="n"/>
      <c r="AD150" s="19">
        <f>IF($A150="","",IF($AA150="",$H150,$AA150))</f>
        <v/>
      </c>
      <c r="AE150" s="35">
        <f>IF($A150="","",IF($AB150="",$I150,$AB150))</f>
        <v/>
      </c>
      <c r="AF150" s="35">
        <f>IF($A150="","",IF($AC150="",$J150,$AC150))</f>
        <v/>
      </c>
      <c r="AG150" s="35">
        <f>IF(OR($U150="",$AE150="",$AF150="",$X150=""),"",$AE150+$X150*($AF150-$AE150))</f>
        <v/>
      </c>
      <c r="AH150" s="36" t="n"/>
      <c r="AI150" s="36" t="n"/>
      <c r="AJ150" s="36" t="n"/>
      <c r="AK150" s="36" t="n"/>
      <c r="AL150" s="36" t="n"/>
      <c r="AM150" s="36" t="n"/>
      <c r="AN150" s="36" t="n"/>
      <c r="AO150" s="36" t="n"/>
      <c r="AP150" s="36" t="n"/>
      <c r="AQ150" s="36" t="n"/>
      <c r="AR150" s="36" t="n"/>
      <c r="AS150" s="36" t="n"/>
      <c r="AT150" s="36" t="n"/>
      <c r="AU150" s="36" t="n"/>
      <c r="AV150" s="36" t="n"/>
      <c r="AW150" s="36" t="n"/>
      <c r="AX150" s="36" t="n"/>
    </row>
    <row r="151">
      <c r="A151" s="28" t="inlineStr">
        <is>
          <t>Realty_1</t>
        </is>
      </c>
      <c r="B151" s="20" t="inlineStr">
        <is>
          <t>Mosaic Insurance</t>
        </is>
      </c>
      <c r="C151" s="28" t="inlineStr">
        <is>
          <t>Mosaic Insurance</t>
        </is>
      </c>
      <c r="D151" s="28" t="inlineStr"/>
      <c r="E151" s="28" t="inlineStr">
        <is>
          <t>No</t>
        </is>
      </c>
      <c r="F151" s="28" t="inlineStr">
        <is>
          <t>Active</t>
        </is>
      </c>
      <c r="G151" s="36" t="n"/>
      <c r="H151" s="29" t="n">
        <v>1</v>
      </c>
      <c r="I151" s="37" t="n"/>
      <c r="J151" s="37" t="n"/>
      <c r="K151" s="31" t="n"/>
      <c r="L151" s="31" t="n"/>
      <c r="M151" s="31" t="n"/>
      <c r="N151" s="31" t="n"/>
      <c r="O151" s="31" t="n"/>
      <c r="P151" s="31" t="n"/>
      <c r="Q151" s="23">
        <f>IF($A151="","",COUNTIFS(Assignments!$C$2:$C$769,$A151,Assignments!$G$2:$G$769,"Active"))</f>
        <v/>
      </c>
      <c r="R151" s="32">
        <f>IF($A151="","",SUMIFS(Assignments!$I$2:$I$769,Assignments!$C$2:$C$769,$A151,Assignments!$G$2:$G$769,"Active"))</f>
        <v/>
      </c>
      <c r="S151" s="20" t="inlineStr">
        <is>
          <t>WIP</t>
        </is>
      </c>
      <c r="T151" s="31" t="n"/>
      <c r="U151" s="36" t="n"/>
      <c r="V151" s="34">
        <f>IF($U151="","",IFERROR(INDEX(Templates!$K$3:$K$10,MATCH($U151,Templates!$A$3:$A$10,0)),""))</f>
        <v/>
      </c>
      <c r="W151" s="34">
        <f>IF($U151="","",IFERROR(INDEX(Templates!$L$3:$L$10,MATCH($U151,Templates!$A$3:$A$10,0)),""))</f>
        <v/>
      </c>
      <c r="X151" s="21">
        <f>IF($U151="","",IFERROR(INDEX(Templates!$J$3:$J$10,MATCH($U151,Templates!$A$3:$A$10,0)),""))</f>
        <v/>
      </c>
      <c r="Y151" s="35">
        <f>IF(OR($U151="",$I151="",$J151="",$X151=""),"",$I151+$X151*($J151-$I151))</f>
        <v/>
      </c>
      <c r="Z151" s="30" t="n">
        <v>46212</v>
      </c>
      <c r="AA151" s="38" t="n"/>
      <c r="AB151" s="39" t="n"/>
      <c r="AC151" s="39" t="n"/>
      <c r="AD151" s="19">
        <f>IF($A151="","",IF($AA151="",$H151,$AA151))</f>
        <v/>
      </c>
      <c r="AE151" s="35">
        <f>IF($A151="","",IF($AB151="",$I151,$AB151))</f>
        <v/>
      </c>
      <c r="AF151" s="35">
        <f>IF($A151="","",IF($AC151="",$J151,$AC151))</f>
        <v/>
      </c>
      <c r="AG151" s="35">
        <f>IF(OR($U151="",$AE151="",$AF151="",$X151=""),"",$AE151+$X151*($AF151-$AE151))</f>
        <v/>
      </c>
      <c r="AH151" s="36" t="n"/>
      <c r="AI151" s="36" t="n"/>
      <c r="AJ151" s="36" t="n"/>
      <c r="AK151" s="36" t="n"/>
      <c r="AL151" s="36" t="n"/>
      <c r="AM151" s="36" t="n"/>
      <c r="AN151" s="36" t="n"/>
      <c r="AO151" s="36" t="n"/>
      <c r="AP151" s="36" t="n"/>
      <c r="AQ151" s="36" t="n"/>
      <c r="AR151" s="36" t="n"/>
      <c r="AS151" s="36" t="n"/>
      <c r="AT151" s="36" t="n"/>
      <c r="AU151" s="36" t="n"/>
      <c r="AV151" s="36" t="n"/>
      <c r="AW151" s="36" t="n"/>
      <c r="AX151" s="36" t="n"/>
    </row>
    <row r="152">
      <c r="A152" s="28" t="inlineStr">
        <is>
          <t>Redball_6</t>
        </is>
      </c>
      <c r="B152" s="20" t="inlineStr">
        <is>
          <t>Ethos Specialty Insurance Services</t>
        </is>
      </c>
      <c r="C152" s="28" t="inlineStr">
        <is>
          <t>Ethos Specialty Insurance Services</t>
        </is>
      </c>
      <c r="D152" s="28" t="inlineStr"/>
      <c r="E152" s="28" t="inlineStr">
        <is>
          <t>No</t>
        </is>
      </c>
      <c r="F152" s="28" t="inlineStr">
        <is>
          <t>Active</t>
        </is>
      </c>
      <c r="G152" s="36" t="n"/>
      <c r="H152" s="29" t="n">
        <v>1</v>
      </c>
      <c r="I152" s="37" t="n"/>
      <c r="J152" s="37" t="n"/>
      <c r="K152" s="31" t="n"/>
      <c r="L152" s="31" t="n"/>
      <c r="M152" s="31" t="n"/>
      <c r="N152" s="31" t="n"/>
      <c r="O152" s="31" t="n"/>
      <c r="P152" s="31" t="n"/>
      <c r="Q152" s="23">
        <f>IF($A152="","",COUNTIFS(Assignments!$C$2:$C$769,$A152,Assignments!$G$2:$G$769,"Active"))</f>
        <v/>
      </c>
      <c r="R152" s="32">
        <f>IF($A152="","",SUMIFS(Assignments!$I$2:$I$769,Assignments!$C$2:$C$769,$A152,Assignments!$G$2:$G$769,"Active"))</f>
        <v/>
      </c>
      <c r="S152" s="20" t="inlineStr">
        <is>
          <t>WIP</t>
        </is>
      </c>
      <c r="T152" s="31" t="n"/>
      <c r="U152" s="36" t="n"/>
      <c r="V152" s="34">
        <f>IF($U152="","",IFERROR(INDEX(Templates!$K$3:$K$10,MATCH($U152,Templates!$A$3:$A$10,0)),""))</f>
        <v/>
      </c>
      <c r="W152" s="34">
        <f>IF($U152="","",IFERROR(INDEX(Templates!$L$3:$L$10,MATCH($U152,Templates!$A$3:$A$10,0)),""))</f>
        <v/>
      </c>
      <c r="X152" s="21">
        <f>IF($U152="","",IFERROR(INDEX(Templates!$J$3:$J$10,MATCH($U152,Templates!$A$3:$A$10,0)),""))</f>
        <v/>
      </c>
      <c r="Y152" s="35">
        <f>IF(OR($U152="",$I152="",$J152="",$X152=""),"",$I152+$X152*($J152-$I152))</f>
        <v/>
      </c>
      <c r="Z152" s="30" t="n">
        <v>46212</v>
      </c>
      <c r="AA152" s="38" t="n"/>
      <c r="AB152" s="39" t="n"/>
      <c r="AC152" s="39" t="n"/>
      <c r="AD152" s="19">
        <f>IF($A152="","",IF($AA152="",$H152,$AA152))</f>
        <v/>
      </c>
      <c r="AE152" s="35">
        <f>IF($A152="","",IF($AB152="",$I152,$AB152))</f>
        <v/>
      </c>
      <c r="AF152" s="35">
        <f>IF($A152="","",IF($AC152="",$J152,$AC152))</f>
        <v/>
      </c>
      <c r="AG152" s="35">
        <f>IF(OR($U152="",$AE152="",$AF152="",$X152=""),"",$AE152+$X152*($AF152-$AE152))</f>
        <v/>
      </c>
      <c r="AH152" s="36" t="n"/>
      <c r="AI152" s="36" t="n"/>
      <c r="AJ152" s="36" t="n"/>
      <c r="AK152" s="36" t="n"/>
      <c r="AL152" s="36" t="n"/>
      <c r="AM152" s="36" t="n"/>
      <c r="AN152" s="36" t="n"/>
      <c r="AO152" s="36" t="n"/>
      <c r="AP152" s="36" t="n"/>
      <c r="AQ152" s="36" t="n"/>
      <c r="AR152" s="36" t="n"/>
      <c r="AS152" s="36" t="n"/>
      <c r="AT152" s="36" t="n"/>
      <c r="AU152" s="36" t="n"/>
      <c r="AV152" s="36" t="n"/>
      <c r="AW152" s="36" t="n"/>
      <c r="AX152" s="36" t="n"/>
    </row>
    <row r="153">
      <c r="A153" s="28" t="inlineStr">
        <is>
          <t>Redwood_1</t>
        </is>
      </c>
      <c r="B153" s="20" t="inlineStr">
        <is>
          <t>Maven Advisory LLC</t>
        </is>
      </c>
      <c r="C153" s="28" t="inlineStr">
        <is>
          <t>Maven Advisory LLC</t>
        </is>
      </c>
      <c r="D153" s="28" t="inlineStr"/>
      <c r="E153" s="28" t="inlineStr">
        <is>
          <t>No</t>
        </is>
      </c>
      <c r="F153" s="28" t="inlineStr">
        <is>
          <t>Active</t>
        </is>
      </c>
      <c r="G153" s="36" t="n"/>
      <c r="H153" s="29" t="n">
        <v>1</v>
      </c>
      <c r="I153" s="37" t="n"/>
      <c r="J153" s="37" t="n"/>
      <c r="K153" s="31" t="n"/>
      <c r="L153" s="31" t="n"/>
      <c r="M153" s="31" t="n"/>
      <c r="N153" s="31" t="n"/>
      <c r="O153" s="31" t="n"/>
      <c r="P153" s="31" t="n"/>
      <c r="Q153" s="23">
        <f>IF($A153="","",COUNTIFS(Assignments!$C$2:$C$769,$A153,Assignments!$G$2:$G$769,"Active"))</f>
        <v/>
      </c>
      <c r="R153" s="32">
        <f>IF($A153="","",SUMIFS(Assignments!$I$2:$I$769,Assignments!$C$2:$C$769,$A153,Assignments!$G$2:$G$769,"Active"))</f>
        <v/>
      </c>
      <c r="S153" s="20" t="inlineStr">
        <is>
          <t>WIP</t>
        </is>
      </c>
      <c r="T153" s="31" t="n"/>
      <c r="U153" s="36" t="n"/>
      <c r="V153" s="34">
        <f>IF($U153="","",IFERROR(INDEX(Templates!$K$3:$K$10,MATCH($U153,Templates!$A$3:$A$10,0)),""))</f>
        <v/>
      </c>
      <c r="W153" s="34">
        <f>IF($U153="","",IFERROR(INDEX(Templates!$L$3:$L$10,MATCH($U153,Templates!$A$3:$A$10,0)),""))</f>
        <v/>
      </c>
      <c r="X153" s="21">
        <f>IF($U153="","",IFERROR(INDEX(Templates!$J$3:$J$10,MATCH($U153,Templates!$A$3:$A$10,0)),""))</f>
        <v/>
      </c>
      <c r="Y153" s="35">
        <f>IF(OR($U153="",$I153="",$J153="",$X153=""),"",$I153+$X153*($J153-$I153))</f>
        <v/>
      </c>
      <c r="Z153" s="30" t="n">
        <v>46212</v>
      </c>
      <c r="AA153" s="38" t="n"/>
      <c r="AB153" s="39" t="n"/>
      <c r="AC153" s="39" t="n"/>
      <c r="AD153" s="19">
        <f>IF($A153="","",IF($AA153="",$H153,$AA153))</f>
        <v/>
      </c>
      <c r="AE153" s="35">
        <f>IF($A153="","",IF($AB153="",$I153,$AB153))</f>
        <v/>
      </c>
      <c r="AF153" s="35">
        <f>IF($A153="","",IF($AC153="",$J153,$AC153))</f>
        <v/>
      </c>
      <c r="AG153" s="35">
        <f>IF(OR($U153="",$AE153="",$AF153="",$X153=""),"",$AE153+$X153*($AF153-$AE153))</f>
        <v/>
      </c>
      <c r="AH153" s="36" t="n"/>
      <c r="AI153" s="36" t="n"/>
      <c r="AJ153" s="36" t="n"/>
      <c r="AK153" s="36" t="n"/>
      <c r="AL153" s="36" t="n"/>
      <c r="AM153" s="36" t="n"/>
      <c r="AN153" s="36" t="n"/>
      <c r="AO153" s="36" t="n"/>
      <c r="AP153" s="36" t="n"/>
      <c r="AQ153" s="36" t="n"/>
      <c r="AR153" s="36" t="n"/>
      <c r="AS153" s="36" t="n"/>
      <c r="AT153" s="36" t="n"/>
      <c r="AU153" s="36" t="n"/>
      <c r="AV153" s="36" t="n"/>
      <c r="AW153" s="36" t="n"/>
      <c r="AX153" s="36" t="n"/>
    </row>
    <row r="154">
      <c r="A154" s="28" t="inlineStr">
        <is>
          <t>Redwood_2</t>
        </is>
      </c>
      <c r="B154" s="20" t="inlineStr">
        <is>
          <t>BlackRock : Global Infrastructure Partners : Clearway Energy</t>
        </is>
      </c>
      <c r="C154" s="28" t="inlineStr">
        <is>
          <t>BlackRock</t>
        </is>
      </c>
      <c r="D154" s="28" t="inlineStr">
        <is>
          <t>Clearway Energy</t>
        </is>
      </c>
      <c r="E154" s="28" t="inlineStr">
        <is>
          <t>No</t>
        </is>
      </c>
      <c r="F154" s="28" t="inlineStr">
        <is>
          <t>Active</t>
        </is>
      </c>
      <c r="G154" s="36" t="n"/>
      <c r="H154" s="29" t="n">
        <v>1</v>
      </c>
      <c r="I154" s="37" t="n"/>
      <c r="J154" s="37" t="n"/>
      <c r="K154" s="31" t="n"/>
      <c r="L154" s="31" t="n"/>
      <c r="M154" s="31" t="n"/>
      <c r="N154" s="31" t="n"/>
      <c r="O154" s="31" t="n"/>
      <c r="P154" s="31" t="n"/>
      <c r="Q154" s="23">
        <f>IF($A154="","",COUNTIFS(Assignments!$C$2:$C$769,$A154,Assignments!$G$2:$G$769,"Active"))</f>
        <v/>
      </c>
      <c r="R154" s="32">
        <f>IF($A154="","",SUMIFS(Assignments!$I$2:$I$769,Assignments!$C$2:$C$769,$A154,Assignments!$G$2:$G$769,"Active"))</f>
        <v/>
      </c>
      <c r="S154" s="20" t="inlineStr">
        <is>
          <t>WIP</t>
        </is>
      </c>
      <c r="T154" s="31" t="n"/>
      <c r="U154" s="36" t="n"/>
      <c r="V154" s="34">
        <f>IF($U154="","",IFERROR(INDEX(Templates!$K$3:$K$10,MATCH($U154,Templates!$A$3:$A$10,0)),""))</f>
        <v/>
      </c>
      <c r="W154" s="34">
        <f>IF($U154="","",IFERROR(INDEX(Templates!$L$3:$L$10,MATCH($U154,Templates!$A$3:$A$10,0)),""))</f>
        <v/>
      </c>
      <c r="X154" s="21">
        <f>IF($U154="","",IFERROR(INDEX(Templates!$J$3:$J$10,MATCH($U154,Templates!$A$3:$A$10,0)),""))</f>
        <v/>
      </c>
      <c r="Y154" s="35">
        <f>IF(OR($U154="",$I154="",$J154="",$X154=""),"",$I154+$X154*($J154-$I154))</f>
        <v/>
      </c>
      <c r="Z154" s="30" t="n">
        <v>46212</v>
      </c>
      <c r="AA154" s="38" t="n"/>
      <c r="AB154" s="39" t="n"/>
      <c r="AC154" s="39" t="n"/>
      <c r="AD154" s="19">
        <f>IF($A154="","",IF($AA154="",$H154,$AA154))</f>
        <v/>
      </c>
      <c r="AE154" s="35">
        <f>IF($A154="","",IF($AB154="",$I154,$AB154))</f>
        <v/>
      </c>
      <c r="AF154" s="35">
        <f>IF($A154="","",IF($AC154="",$J154,$AC154))</f>
        <v/>
      </c>
      <c r="AG154" s="35">
        <f>IF(OR($U154="",$AE154="",$AF154="",$X154=""),"",$AE154+$X154*($AF154-$AE154))</f>
        <v/>
      </c>
      <c r="AH154" s="36" t="n"/>
      <c r="AI154" s="36" t="n"/>
      <c r="AJ154" s="36" t="n"/>
      <c r="AK154" s="36" t="n"/>
      <c r="AL154" s="36" t="n"/>
      <c r="AM154" s="36" t="n"/>
      <c r="AN154" s="36" t="n"/>
      <c r="AO154" s="36" t="n"/>
      <c r="AP154" s="36" t="n"/>
      <c r="AQ154" s="36" t="n"/>
      <c r="AR154" s="36" t="n"/>
      <c r="AS154" s="36" t="n"/>
      <c r="AT154" s="36" t="n"/>
      <c r="AU154" s="36" t="n"/>
      <c r="AV154" s="36" t="n"/>
      <c r="AW154" s="36" t="n"/>
      <c r="AX154" s="36" t="n"/>
    </row>
    <row r="155">
      <c r="A155" s="28" t="inlineStr">
        <is>
          <t>Resenergize_1</t>
        </is>
      </c>
      <c r="B155" s="20" t="inlineStr">
        <is>
          <t>Ryan Transactional Risk : Themis Underwriting</t>
        </is>
      </c>
      <c r="C155" s="28" t="inlineStr">
        <is>
          <t>Ryan Transactional Risk</t>
        </is>
      </c>
      <c r="D155" s="28" t="inlineStr">
        <is>
          <t>Themis Underwriting</t>
        </is>
      </c>
      <c r="E155" s="28" t="inlineStr">
        <is>
          <t>No</t>
        </is>
      </c>
      <c r="F155" s="28" t="inlineStr">
        <is>
          <t>Active</t>
        </is>
      </c>
      <c r="G155" s="36" t="n"/>
      <c r="H155" s="29" t="n">
        <v>1</v>
      </c>
      <c r="I155" s="37" t="n"/>
      <c r="J155" s="37" t="n"/>
      <c r="K155" s="31" t="n"/>
      <c r="L155" s="31" t="n"/>
      <c r="M155" s="31" t="n"/>
      <c r="N155" s="31" t="n"/>
      <c r="O155" s="31" t="n"/>
      <c r="P155" s="31" t="n"/>
      <c r="Q155" s="23">
        <f>IF($A155="","",COUNTIFS(Assignments!$C$2:$C$769,$A155,Assignments!$G$2:$G$769,"Active"))</f>
        <v/>
      </c>
      <c r="R155" s="32">
        <f>IF($A155="","",SUMIFS(Assignments!$I$2:$I$769,Assignments!$C$2:$C$769,$A155,Assignments!$G$2:$G$769,"Active"))</f>
        <v/>
      </c>
      <c r="S155" s="20" t="inlineStr">
        <is>
          <t>WIP</t>
        </is>
      </c>
      <c r="T155" s="31" t="n"/>
      <c r="U155" s="36" t="n"/>
      <c r="V155" s="34">
        <f>IF($U155="","",IFERROR(INDEX(Templates!$K$3:$K$10,MATCH($U155,Templates!$A$3:$A$10,0)),""))</f>
        <v/>
      </c>
      <c r="W155" s="34">
        <f>IF($U155="","",IFERROR(INDEX(Templates!$L$3:$L$10,MATCH($U155,Templates!$A$3:$A$10,0)),""))</f>
        <v/>
      </c>
      <c r="X155" s="21">
        <f>IF($U155="","",IFERROR(INDEX(Templates!$J$3:$J$10,MATCH($U155,Templates!$A$3:$A$10,0)),""))</f>
        <v/>
      </c>
      <c r="Y155" s="35">
        <f>IF(OR($U155="",$I155="",$J155="",$X155=""),"",$I155+$X155*($J155-$I155))</f>
        <v/>
      </c>
      <c r="Z155" s="30" t="n">
        <v>46212</v>
      </c>
      <c r="AA155" s="38" t="n"/>
      <c r="AB155" s="39" t="n"/>
      <c r="AC155" s="39" t="n"/>
      <c r="AD155" s="19">
        <f>IF($A155="","",IF($AA155="",$H155,$AA155))</f>
        <v/>
      </c>
      <c r="AE155" s="35">
        <f>IF($A155="","",IF($AB155="",$I155,$AB155))</f>
        <v/>
      </c>
      <c r="AF155" s="35">
        <f>IF($A155="","",IF($AC155="",$J155,$AC155))</f>
        <v/>
      </c>
      <c r="AG155" s="35">
        <f>IF(OR($U155="",$AE155="",$AF155="",$X155=""),"",$AE155+$X155*($AF155-$AE155))</f>
        <v/>
      </c>
      <c r="AH155" s="36" t="n"/>
      <c r="AI155" s="36" t="n"/>
      <c r="AJ155" s="36" t="n"/>
      <c r="AK155" s="36" t="n"/>
      <c r="AL155" s="36" t="n"/>
      <c r="AM155" s="36" t="n"/>
      <c r="AN155" s="36" t="n"/>
      <c r="AO155" s="36" t="n"/>
      <c r="AP155" s="36" t="n"/>
      <c r="AQ155" s="36" t="n"/>
      <c r="AR155" s="36" t="n"/>
      <c r="AS155" s="36" t="n"/>
      <c r="AT155" s="36" t="n"/>
      <c r="AU155" s="36" t="n"/>
      <c r="AV155" s="36" t="n"/>
      <c r="AW155" s="36" t="n"/>
      <c r="AX155" s="36" t="n"/>
    </row>
    <row r="156">
      <c r="A156" s="28" t="inlineStr">
        <is>
          <t>Resolute_1</t>
        </is>
      </c>
      <c r="B156" s="20" t="inlineStr">
        <is>
          <t>Gavin Generation Holdco, LLC.</t>
        </is>
      </c>
      <c r="C156" s="28" t="inlineStr">
        <is>
          <t>Gavin Generation Holdco, LLC.</t>
        </is>
      </c>
      <c r="D156" s="28" t="inlineStr"/>
      <c r="E156" s="28" t="inlineStr">
        <is>
          <t>No</t>
        </is>
      </c>
      <c r="F156" s="28" t="inlineStr">
        <is>
          <t>Active</t>
        </is>
      </c>
      <c r="G156" s="36" t="n"/>
      <c r="H156" s="29" t="n">
        <v>1</v>
      </c>
      <c r="I156" s="37" t="n"/>
      <c r="J156" s="37" t="n"/>
      <c r="K156" s="31" t="n"/>
      <c r="L156" s="31" t="n"/>
      <c r="M156" s="31" t="n"/>
      <c r="N156" s="31" t="n"/>
      <c r="O156" s="31" t="n"/>
      <c r="P156" s="31" t="n"/>
      <c r="Q156" s="23">
        <f>IF($A156="","",COUNTIFS(Assignments!$C$2:$C$769,$A156,Assignments!$G$2:$G$769,"Active"))</f>
        <v/>
      </c>
      <c r="R156" s="32">
        <f>IF($A156="","",SUMIFS(Assignments!$I$2:$I$769,Assignments!$C$2:$C$769,$A156,Assignments!$G$2:$G$769,"Active"))</f>
        <v/>
      </c>
      <c r="S156" s="20" t="inlineStr">
        <is>
          <t>WIP</t>
        </is>
      </c>
      <c r="T156" s="31" t="n"/>
      <c r="U156" s="36" t="n"/>
      <c r="V156" s="34">
        <f>IF($U156="","",IFERROR(INDEX(Templates!$K$3:$K$10,MATCH($U156,Templates!$A$3:$A$10,0)),""))</f>
        <v/>
      </c>
      <c r="W156" s="34">
        <f>IF($U156="","",IFERROR(INDEX(Templates!$L$3:$L$10,MATCH($U156,Templates!$A$3:$A$10,0)),""))</f>
        <v/>
      </c>
      <c r="X156" s="21">
        <f>IF($U156="","",IFERROR(INDEX(Templates!$J$3:$J$10,MATCH($U156,Templates!$A$3:$A$10,0)),""))</f>
        <v/>
      </c>
      <c r="Y156" s="35">
        <f>IF(OR($U156="",$I156="",$J156="",$X156=""),"",$I156+$X156*($J156-$I156))</f>
        <v/>
      </c>
      <c r="Z156" s="30" t="n">
        <v>46212</v>
      </c>
      <c r="AA156" s="38" t="n"/>
      <c r="AB156" s="39" t="n"/>
      <c r="AC156" s="39" t="n"/>
      <c r="AD156" s="19">
        <f>IF($A156="","",IF($AA156="",$H156,$AA156))</f>
        <v/>
      </c>
      <c r="AE156" s="35">
        <f>IF($A156="","",IF($AB156="",$I156,$AB156))</f>
        <v/>
      </c>
      <c r="AF156" s="35">
        <f>IF($A156="","",IF($AC156="",$J156,$AC156))</f>
        <v/>
      </c>
      <c r="AG156" s="35">
        <f>IF(OR($U156="",$AE156="",$AF156="",$X156=""),"",$AE156+$X156*($AF156-$AE156))</f>
        <v/>
      </c>
      <c r="AH156" s="36" t="n"/>
      <c r="AI156" s="36" t="n"/>
      <c r="AJ156" s="36" t="n"/>
      <c r="AK156" s="36" t="n"/>
      <c r="AL156" s="36" t="n"/>
      <c r="AM156" s="36" t="n"/>
      <c r="AN156" s="36" t="n"/>
      <c r="AO156" s="36" t="n"/>
      <c r="AP156" s="36" t="n"/>
      <c r="AQ156" s="36" t="n"/>
      <c r="AR156" s="36" t="n"/>
      <c r="AS156" s="36" t="n"/>
      <c r="AT156" s="36" t="n"/>
      <c r="AU156" s="36" t="n"/>
      <c r="AV156" s="36" t="n"/>
      <c r="AW156" s="36" t="n"/>
      <c r="AX156" s="36" t="n"/>
    </row>
    <row r="157">
      <c r="A157" s="28" t="inlineStr">
        <is>
          <t>Rover_3</t>
        </is>
      </c>
      <c r="B157" s="20" t="inlineStr">
        <is>
          <t>Susan Strom</t>
        </is>
      </c>
      <c r="C157" s="28" t="inlineStr">
        <is>
          <t>Susan Strom</t>
        </is>
      </c>
      <c r="D157" s="28" t="inlineStr"/>
      <c r="E157" s="28" t="inlineStr">
        <is>
          <t>No</t>
        </is>
      </c>
      <c r="F157" s="28" t="inlineStr">
        <is>
          <t>Active</t>
        </is>
      </c>
      <c r="G157" s="36" t="n"/>
      <c r="H157" s="29" t="n">
        <v>1</v>
      </c>
      <c r="I157" s="37" t="n"/>
      <c r="J157" s="37" t="n"/>
      <c r="K157" s="31" t="n"/>
      <c r="L157" s="31" t="n"/>
      <c r="M157" s="31" t="n"/>
      <c r="N157" s="31" t="n"/>
      <c r="O157" s="31" t="n"/>
      <c r="P157" s="31" t="n"/>
      <c r="Q157" s="23">
        <f>IF($A157="","",COUNTIFS(Assignments!$C$2:$C$769,$A157,Assignments!$G$2:$G$769,"Active"))</f>
        <v/>
      </c>
      <c r="R157" s="32">
        <f>IF($A157="","",SUMIFS(Assignments!$I$2:$I$769,Assignments!$C$2:$C$769,$A157,Assignments!$G$2:$G$769,"Active"))</f>
        <v/>
      </c>
      <c r="S157" s="20" t="inlineStr">
        <is>
          <t>WIP</t>
        </is>
      </c>
      <c r="T157" s="31" t="n"/>
      <c r="U157" s="36" t="n"/>
      <c r="V157" s="34">
        <f>IF($U157="","",IFERROR(INDEX(Templates!$K$3:$K$10,MATCH($U157,Templates!$A$3:$A$10,0)),""))</f>
        <v/>
      </c>
      <c r="W157" s="34">
        <f>IF($U157="","",IFERROR(INDEX(Templates!$L$3:$L$10,MATCH($U157,Templates!$A$3:$A$10,0)),""))</f>
        <v/>
      </c>
      <c r="X157" s="21">
        <f>IF($U157="","",IFERROR(INDEX(Templates!$J$3:$J$10,MATCH($U157,Templates!$A$3:$A$10,0)),""))</f>
        <v/>
      </c>
      <c r="Y157" s="35">
        <f>IF(OR($U157="",$I157="",$J157="",$X157=""),"",$I157+$X157*($J157-$I157))</f>
        <v/>
      </c>
      <c r="Z157" s="30" t="n">
        <v>46212</v>
      </c>
      <c r="AA157" s="38" t="n"/>
      <c r="AB157" s="39" t="n"/>
      <c r="AC157" s="39" t="n"/>
      <c r="AD157" s="19">
        <f>IF($A157="","",IF($AA157="",$H157,$AA157))</f>
        <v/>
      </c>
      <c r="AE157" s="35">
        <f>IF($A157="","",IF($AB157="",$I157,$AB157))</f>
        <v/>
      </c>
      <c r="AF157" s="35">
        <f>IF($A157="","",IF($AC157="",$J157,$AC157))</f>
        <v/>
      </c>
      <c r="AG157" s="35">
        <f>IF(OR($U157="",$AE157="",$AF157="",$X157=""),"",$AE157+$X157*($AF157-$AE157))</f>
        <v/>
      </c>
      <c r="AH157" s="36" t="n"/>
      <c r="AI157" s="36" t="n"/>
      <c r="AJ157" s="36" t="n"/>
      <c r="AK157" s="36" t="n"/>
      <c r="AL157" s="36" t="n"/>
      <c r="AM157" s="36" t="n"/>
      <c r="AN157" s="36" t="n"/>
      <c r="AO157" s="36" t="n"/>
      <c r="AP157" s="36" t="n"/>
      <c r="AQ157" s="36" t="n"/>
      <c r="AR157" s="36" t="n"/>
      <c r="AS157" s="36" t="n"/>
      <c r="AT157" s="36" t="n"/>
      <c r="AU157" s="36" t="n"/>
      <c r="AV157" s="36" t="n"/>
      <c r="AW157" s="36" t="n"/>
      <c r="AX157" s="36" t="n"/>
    </row>
    <row r="158">
      <c r="A158" s="28" t="inlineStr">
        <is>
          <t>Sakura</t>
        </is>
      </c>
      <c r="B158" s="20" t="inlineStr">
        <is>
          <t>ECP</t>
        </is>
      </c>
      <c r="C158" s="28" t="inlineStr">
        <is>
          <t>ECP</t>
        </is>
      </c>
      <c r="D158" s="28" t="inlineStr"/>
      <c r="E158" s="28" t="inlineStr">
        <is>
          <t>No</t>
        </is>
      </c>
      <c r="F158" s="28" t="inlineStr">
        <is>
          <t>Active</t>
        </is>
      </c>
      <c r="G158" s="36" t="n"/>
      <c r="H158" s="29" t="n">
        <v>1</v>
      </c>
      <c r="I158" s="37" t="n"/>
      <c r="J158" s="37" t="n"/>
      <c r="K158" s="31" t="n"/>
      <c r="L158" s="31" t="n"/>
      <c r="M158" s="31" t="n"/>
      <c r="N158" s="31" t="n"/>
      <c r="O158" s="31" t="n"/>
      <c r="P158" s="31" t="n"/>
      <c r="Q158" s="23">
        <f>IF($A158="","",COUNTIFS(Assignments!$C$2:$C$769,$A158,Assignments!$G$2:$G$769,"Active"))</f>
        <v/>
      </c>
      <c r="R158" s="32">
        <f>IF($A158="","",SUMIFS(Assignments!$I$2:$I$769,Assignments!$C$2:$C$769,$A158,Assignments!$G$2:$G$769,"Active"))</f>
        <v/>
      </c>
      <c r="S158" s="20" t="inlineStr">
        <is>
          <t>WIP</t>
        </is>
      </c>
      <c r="T158" s="31" t="n"/>
      <c r="U158" s="36" t="n"/>
      <c r="V158" s="34">
        <f>IF($U158="","",IFERROR(INDEX(Templates!$K$3:$K$10,MATCH($U158,Templates!$A$3:$A$10,0)),""))</f>
        <v/>
      </c>
      <c r="W158" s="34">
        <f>IF($U158="","",IFERROR(INDEX(Templates!$L$3:$L$10,MATCH($U158,Templates!$A$3:$A$10,0)),""))</f>
        <v/>
      </c>
      <c r="X158" s="21">
        <f>IF($U158="","",IFERROR(INDEX(Templates!$J$3:$J$10,MATCH($U158,Templates!$A$3:$A$10,0)),""))</f>
        <v/>
      </c>
      <c r="Y158" s="35">
        <f>IF(OR($U158="",$I158="",$J158="",$X158=""),"",$I158+$X158*($J158-$I158))</f>
        <v/>
      </c>
      <c r="Z158" s="30" t="n">
        <v>46212</v>
      </c>
      <c r="AA158" s="38" t="n"/>
      <c r="AB158" s="39" t="n"/>
      <c r="AC158" s="39" t="n"/>
      <c r="AD158" s="19">
        <f>IF($A158="","",IF($AA158="",$H158,$AA158))</f>
        <v/>
      </c>
      <c r="AE158" s="35">
        <f>IF($A158="","",IF($AB158="",$I158,$AB158))</f>
        <v/>
      </c>
      <c r="AF158" s="35">
        <f>IF($A158="","",IF($AC158="",$J158,$AC158))</f>
        <v/>
      </c>
      <c r="AG158" s="35">
        <f>IF(OR($U158="",$AE158="",$AF158="",$X158=""),"",$AE158+$X158*($AF158-$AE158))</f>
        <v/>
      </c>
      <c r="AH158" s="36" t="n"/>
      <c r="AI158" s="36" t="n"/>
      <c r="AJ158" s="36" t="n"/>
      <c r="AK158" s="36" t="n"/>
      <c r="AL158" s="36" t="n"/>
      <c r="AM158" s="36" t="n"/>
      <c r="AN158" s="36" t="n"/>
      <c r="AO158" s="36" t="n"/>
      <c r="AP158" s="36" t="n"/>
      <c r="AQ158" s="36" t="n"/>
      <c r="AR158" s="36" t="n"/>
      <c r="AS158" s="36" t="n"/>
      <c r="AT158" s="36" t="n"/>
      <c r="AU158" s="36" t="n"/>
      <c r="AV158" s="36" t="n"/>
      <c r="AW158" s="36" t="n"/>
      <c r="AX158" s="36" t="n"/>
    </row>
    <row r="159">
      <c r="A159" s="28" t="inlineStr">
        <is>
          <t>Scale_4</t>
        </is>
      </c>
      <c r="B159" s="20" t="inlineStr">
        <is>
          <t>Mainsail Partners</t>
        </is>
      </c>
      <c r="C159" s="28" t="inlineStr">
        <is>
          <t>Mainsail Partners</t>
        </is>
      </c>
      <c r="D159" s="28" t="inlineStr"/>
      <c r="E159" s="28" t="inlineStr">
        <is>
          <t>No</t>
        </is>
      </c>
      <c r="F159" s="28" t="inlineStr">
        <is>
          <t>Active</t>
        </is>
      </c>
      <c r="G159" s="36" t="n"/>
      <c r="H159" s="29" t="n">
        <v>1</v>
      </c>
      <c r="I159" s="37" t="n"/>
      <c r="J159" s="37" t="n"/>
      <c r="K159" s="31" t="n"/>
      <c r="L159" s="31" t="n"/>
      <c r="M159" s="31" t="n"/>
      <c r="N159" s="31" t="n"/>
      <c r="O159" s="31" t="n"/>
      <c r="P159" s="31" t="n"/>
      <c r="Q159" s="23">
        <f>IF($A159="","",COUNTIFS(Assignments!$C$2:$C$769,$A159,Assignments!$G$2:$G$769,"Active"))</f>
        <v/>
      </c>
      <c r="R159" s="32">
        <f>IF($A159="","",SUMIFS(Assignments!$I$2:$I$769,Assignments!$C$2:$C$769,$A159,Assignments!$G$2:$G$769,"Active"))</f>
        <v/>
      </c>
      <c r="S159" s="20" t="inlineStr">
        <is>
          <t>WIP</t>
        </is>
      </c>
      <c r="T159" s="31" t="n"/>
      <c r="U159" s="36" t="n"/>
      <c r="V159" s="34">
        <f>IF($U159="","",IFERROR(INDEX(Templates!$K$3:$K$10,MATCH($U159,Templates!$A$3:$A$10,0)),""))</f>
        <v/>
      </c>
      <c r="W159" s="34">
        <f>IF($U159="","",IFERROR(INDEX(Templates!$L$3:$L$10,MATCH($U159,Templates!$A$3:$A$10,0)),""))</f>
        <v/>
      </c>
      <c r="X159" s="21">
        <f>IF($U159="","",IFERROR(INDEX(Templates!$J$3:$J$10,MATCH($U159,Templates!$A$3:$A$10,0)),""))</f>
        <v/>
      </c>
      <c r="Y159" s="35">
        <f>IF(OR($U159="",$I159="",$J159="",$X159=""),"",$I159+$X159*($J159-$I159))</f>
        <v/>
      </c>
      <c r="Z159" s="30" t="n">
        <v>46212</v>
      </c>
      <c r="AA159" s="38" t="n"/>
      <c r="AB159" s="39" t="n"/>
      <c r="AC159" s="39" t="n"/>
      <c r="AD159" s="19">
        <f>IF($A159="","",IF($AA159="",$H159,$AA159))</f>
        <v/>
      </c>
      <c r="AE159" s="35">
        <f>IF($A159="","",IF($AB159="",$I159,$AB159))</f>
        <v/>
      </c>
      <c r="AF159" s="35">
        <f>IF($A159="","",IF($AC159="",$J159,$AC159))</f>
        <v/>
      </c>
      <c r="AG159" s="35">
        <f>IF(OR($U159="",$AE159="",$AF159="",$X159=""),"",$AE159+$X159*($AF159-$AE159))</f>
        <v/>
      </c>
      <c r="AH159" s="36" t="n"/>
      <c r="AI159" s="36" t="n"/>
      <c r="AJ159" s="36" t="n"/>
      <c r="AK159" s="36" t="n"/>
      <c r="AL159" s="36" t="n"/>
      <c r="AM159" s="36" t="n"/>
      <c r="AN159" s="36" t="n"/>
      <c r="AO159" s="36" t="n"/>
      <c r="AP159" s="36" t="n"/>
      <c r="AQ159" s="36" t="n"/>
      <c r="AR159" s="36" t="n"/>
      <c r="AS159" s="36" t="n"/>
      <c r="AT159" s="36" t="n"/>
      <c r="AU159" s="36" t="n"/>
      <c r="AV159" s="36" t="n"/>
      <c r="AW159" s="36" t="n"/>
      <c r="AX159" s="36" t="n"/>
    </row>
    <row r="160">
      <c r="A160" s="28" t="inlineStr">
        <is>
          <t>Scan_1</t>
        </is>
      </c>
      <c r="B160" s="20" t="inlineStr">
        <is>
          <t>CFGI</t>
        </is>
      </c>
      <c r="C160" s="28" t="inlineStr">
        <is>
          <t>CFGI</t>
        </is>
      </c>
      <c r="D160" s="28" t="inlineStr"/>
      <c r="E160" s="28" t="inlineStr">
        <is>
          <t>No</t>
        </is>
      </c>
      <c r="F160" s="28" t="inlineStr">
        <is>
          <t>Active</t>
        </is>
      </c>
      <c r="G160" s="36" t="n"/>
      <c r="H160" s="29" t="n">
        <v>1</v>
      </c>
      <c r="I160" s="37" t="n"/>
      <c r="J160" s="37" t="n"/>
      <c r="K160" s="31" t="n"/>
      <c r="L160" s="31" t="n"/>
      <c r="M160" s="31" t="n"/>
      <c r="N160" s="31" t="n"/>
      <c r="O160" s="31" t="n"/>
      <c r="P160" s="31" t="n"/>
      <c r="Q160" s="23">
        <f>IF($A160="","",COUNTIFS(Assignments!$C$2:$C$769,$A160,Assignments!$G$2:$G$769,"Active"))</f>
        <v/>
      </c>
      <c r="R160" s="32">
        <f>IF($A160="","",SUMIFS(Assignments!$I$2:$I$769,Assignments!$C$2:$C$769,$A160,Assignments!$G$2:$G$769,"Active"))</f>
        <v/>
      </c>
      <c r="S160" s="20" t="inlineStr">
        <is>
          <t>WIP</t>
        </is>
      </c>
      <c r="T160" s="31" t="n"/>
      <c r="U160" s="36" t="n"/>
      <c r="V160" s="34">
        <f>IF($U160="","",IFERROR(INDEX(Templates!$K$3:$K$10,MATCH($U160,Templates!$A$3:$A$10,0)),""))</f>
        <v/>
      </c>
      <c r="W160" s="34">
        <f>IF($U160="","",IFERROR(INDEX(Templates!$L$3:$L$10,MATCH($U160,Templates!$A$3:$A$10,0)),""))</f>
        <v/>
      </c>
      <c r="X160" s="21">
        <f>IF($U160="","",IFERROR(INDEX(Templates!$J$3:$J$10,MATCH($U160,Templates!$A$3:$A$10,0)),""))</f>
        <v/>
      </c>
      <c r="Y160" s="35">
        <f>IF(OR($U160="",$I160="",$J160="",$X160=""),"",$I160+$X160*($J160-$I160))</f>
        <v/>
      </c>
      <c r="Z160" s="30" t="n">
        <v>46212</v>
      </c>
      <c r="AA160" s="38" t="n"/>
      <c r="AB160" s="39" t="n"/>
      <c r="AC160" s="39" t="n"/>
      <c r="AD160" s="19">
        <f>IF($A160="","",IF($AA160="",$H160,$AA160))</f>
        <v/>
      </c>
      <c r="AE160" s="35">
        <f>IF($A160="","",IF($AB160="",$I160,$AB160))</f>
        <v/>
      </c>
      <c r="AF160" s="35">
        <f>IF($A160="","",IF($AC160="",$J160,$AC160))</f>
        <v/>
      </c>
      <c r="AG160" s="35">
        <f>IF(OR($U160="",$AE160="",$AF160="",$X160=""),"",$AE160+$X160*($AF160-$AE160))</f>
        <v/>
      </c>
      <c r="AH160" s="36" t="n"/>
      <c r="AI160" s="36" t="n"/>
      <c r="AJ160" s="36" t="n"/>
      <c r="AK160" s="36" t="n"/>
      <c r="AL160" s="36" t="n"/>
      <c r="AM160" s="36" t="n"/>
      <c r="AN160" s="36" t="n"/>
      <c r="AO160" s="36" t="n"/>
      <c r="AP160" s="36" t="n"/>
      <c r="AQ160" s="36" t="n"/>
      <c r="AR160" s="36" t="n"/>
      <c r="AS160" s="36" t="n"/>
      <c r="AT160" s="36" t="n"/>
      <c r="AU160" s="36" t="n"/>
      <c r="AV160" s="36" t="n"/>
      <c r="AW160" s="36" t="n"/>
      <c r="AX160" s="36" t="n"/>
    </row>
    <row r="161">
      <c r="A161" s="28" t="inlineStr">
        <is>
          <t>Scion_1</t>
        </is>
      </c>
      <c r="B161" s="20" t="inlineStr">
        <is>
          <t>Eight Advisory</t>
        </is>
      </c>
      <c r="C161" s="28" t="inlineStr">
        <is>
          <t>Eight Advisory</t>
        </is>
      </c>
      <c r="D161" s="28" t="inlineStr"/>
      <c r="E161" s="28" t="inlineStr">
        <is>
          <t>No</t>
        </is>
      </c>
      <c r="F161" s="28" t="inlineStr">
        <is>
          <t>Active</t>
        </is>
      </c>
      <c r="G161" s="36" t="n"/>
      <c r="H161" s="29" t="n">
        <v>1</v>
      </c>
      <c r="I161" s="37" t="n"/>
      <c r="J161" s="37" t="n"/>
      <c r="K161" s="31" t="n"/>
      <c r="L161" s="31" t="n"/>
      <c r="M161" s="31" t="n"/>
      <c r="N161" s="31" t="n"/>
      <c r="O161" s="31" t="n"/>
      <c r="P161" s="31" t="n"/>
      <c r="Q161" s="23">
        <f>IF($A161="","",COUNTIFS(Assignments!$C$2:$C$769,$A161,Assignments!$G$2:$G$769,"Active"))</f>
        <v/>
      </c>
      <c r="R161" s="32">
        <f>IF($A161="","",SUMIFS(Assignments!$I$2:$I$769,Assignments!$C$2:$C$769,$A161,Assignments!$G$2:$G$769,"Active"))</f>
        <v/>
      </c>
      <c r="S161" s="20" t="inlineStr">
        <is>
          <t>WIP</t>
        </is>
      </c>
      <c r="T161" s="31" t="n"/>
      <c r="U161" s="36" t="n"/>
      <c r="V161" s="34">
        <f>IF($U161="","",IFERROR(INDEX(Templates!$K$3:$K$10,MATCH($U161,Templates!$A$3:$A$10,0)),""))</f>
        <v/>
      </c>
      <c r="W161" s="34">
        <f>IF($U161="","",IFERROR(INDEX(Templates!$L$3:$L$10,MATCH($U161,Templates!$A$3:$A$10,0)),""))</f>
        <v/>
      </c>
      <c r="X161" s="21">
        <f>IF($U161="","",IFERROR(INDEX(Templates!$J$3:$J$10,MATCH($U161,Templates!$A$3:$A$10,0)),""))</f>
        <v/>
      </c>
      <c r="Y161" s="35">
        <f>IF(OR($U161="",$I161="",$J161="",$X161=""),"",$I161+$X161*($J161-$I161))</f>
        <v/>
      </c>
      <c r="Z161" s="30" t="n">
        <v>46212</v>
      </c>
      <c r="AA161" s="38" t="n"/>
      <c r="AB161" s="39" t="n"/>
      <c r="AC161" s="39" t="n"/>
      <c r="AD161" s="19">
        <f>IF($A161="","",IF($AA161="",$H161,$AA161))</f>
        <v/>
      </c>
      <c r="AE161" s="35">
        <f>IF($A161="","",IF($AB161="",$I161,$AB161))</f>
        <v/>
      </c>
      <c r="AF161" s="35">
        <f>IF($A161="","",IF($AC161="",$J161,$AC161))</f>
        <v/>
      </c>
      <c r="AG161" s="35">
        <f>IF(OR($U161="",$AE161="",$AF161="",$X161=""),"",$AE161+$X161*($AF161-$AE161))</f>
        <v/>
      </c>
      <c r="AH161" s="36" t="n"/>
      <c r="AI161" s="36" t="n"/>
      <c r="AJ161" s="36" t="n"/>
      <c r="AK161" s="36" t="n"/>
      <c r="AL161" s="36" t="n"/>
      <c r="AM161" s="36" t="n"/>
      <c r="AN161" s="36" t="n"/>
      <c r="AO161" s="36" t="n"/>
      <c r="AP161" s="36" t="n"/>
      <c r="AQ161" s="36" t="n"/>
      <c r="AR161" s="36" t="n"/>
      <c r="AS161" s="36" t="n"/>
      <c r="AT161" s="36" t="n"/>
      <c r="AU161" s="36" t="n"/>
      <c r="AV161" s="36" t="n"/>
      <c r="AW161" s="36" t="n"/>
      <c r="AX161" s="36" t="n"/>
    </row>
    <row r="162">
      <c r="A162" s="28" t="inlineStr">
        <is>
          <t>Seven2 PFIC_1</t>
        </is>
      </c>
      <c r="B162" s="20" t="inlineStr">
        <is>
          <t>Arsene TaxAnd</t>
        </is>
      </c>
      <c r="C162" s="28" t="inlineStr">
        <is>
          <t>Arsene TaxAnd</t>
        </is>
      </c>
      <c r="D162" s="28" t="inlineStr"/>
      <c r="E162" s="28" t="inlineStr">
        <is>
          <t>No</t>
        </is>
      </c>
      <c r="F162" s="28" t="inlineStr">
        <is>
          <t>Active</t>
        </is>
      </c>
      <c r="G162" s="36" t="n"/>
      <c r="H162" s="29" t="n">
        <v>1</v>
      </c>
      <c r="I162" s="37" t="n"/>
      <c r="J162" s="37" t="n"/>
      <c r="K162" s="31" t="n"/>
      <c r="L162" s="31" t="n"/>
      <c r="M162" s="31" t="n"/>
      <c r="N162" s="31" t="n"/>
      <c r="O162" s="31" t="n"/>
      <c r="P162" s="31" t="n"/>
      <c r="Q162" s="23">
        <f>IF($A162="","",COUNTIFS(Assignments!$C$2:$C$769,$A162,Assignments!$G$2:$G$769,"Active"))</f>
        <v/>
      </c>
      <c r="R162" s="32">
        <f>IF($A162="","",SUMIFS(Assignments!$I$2:$I$769,Assignments!$C$2:$C$769,$A162,Assignments!$G$2:$G$769,"Active"))</f>
        <v/>
      </c>
      <c r="S162" s="20" t="inlineStr">
        <is>
          <t>WIP</t>
        </is>
      </c>
      <c r="T162" s="31" t="n"/>
      <c r="U162" s="36" t="n"/>
      <c r="V162" s="34">
        <f>IF($U162="","",IFERROR(INDEX(Templates!$K$3:$K$10,MATCH($U162,Templates!$A$3:$A$10,0)),""))</f>
        <v/>
      </c>
      <c r="W162" s="34">
        <f>IF($U162="","",IFERROR(INDEX(Templates!$L$3:$L$10,MATCH($U162,Templates!$A$3:$A$10,0)),""))</f>
        <v/>
      </c>
      <c r="X162" s="21">
        <f>IF($U162="","",IFERROR(INDEX(Templates!$J$3:$J$10,MATCH($U162,Templates!$A$3:$A$10,0)),""))</f>
        <v/>
      </c>
      <c r="Y162" s="35">
        <f>IF(OR($U162="",$I162="",$J162="",$X162=""),"",$I162+$X162*($J162-$I162))</f>
        <v/>
      </c>
      <c r="Z162" s="30" t="n">
        <v>46212</v>
      </c>
      <c r="AA162" s="38" t="n"/>
      <c r="AB162" s="39" t="n"/>
      <c r="AC162" s="39" t="n"/>
      <c r="AD162" s="19">
        <f>IF($A162="","",IF($AA162="",$H162,$AA162))</f>
        <v/>
      </c>
      <c r="AE162" s="35">
        <f>IF($A162="","",IF($AB162="",$I162,$AB162))</f>
        <v/>
      </c>
      <c r="AF162" s="35">
        <f>IF($A162="","",IF($AC162="",$J162,$AC162))</f>
        <v/>
      </c>
      <c r="AG162" s="35">
        <f>IF(OR($U162="",$AE162="",$AF162="",$X162=""),"",$AE162+$X162*($AF162-$AE162))</f>
        <v/>
      </c>
      <c r="AH162" s="36" t="n"/>
      <c r="AI162" s="36" t="n"/>
      <c r="AJ162" s="36" t="n"/>
      <c r="AK162" s="36" t="n"/>
      <c r="AL162" s="36" t="n"/>
      <c r="AM162" s="36" t="n"/>
      <c r="AN162" s="36" t="n"/>
      <c r="AO162" s="36" t="n"/>
      <c r="AP162" s="36" t="n"/>
      <c r="AQ162" s="36" t="n"/>
      <c r="AR162" s="36" t="n"/>
      <c r="AS162" s="36" t="n"/>
      <c r="AT162" s="36" t="n"/>
      <c r="AU162" s="36" t="n"/>
      <c r="AV162" s="36" t="n"/>
      <c r="AW162" s="36" t="n"/>
      <c r="AX162" s="36" t="n"/>
    </row>
    <row r="163">
      <c r="A163" s="28" t="inlineStr">
        <is>
          <t>Shika_1</t>
        </is>
      </c>
      <c r="B163" s="20" t="inlineStr">
        <is>
          <t>Riveron</t>
        </is>
      </c>
      <c r="C163" s="28" t="inlineStr">
        <is>
          <t>Riveron</t>
        </is>
      </c>
      <c r="D163" s="28" t="inlineStr"/>
      <c r="E163" s="28" t="inlineStr">
        <is>
          <t>No</t>
        </is>
      </c>
      <c r="F163" s="28" t="inlineStr">
        <is>
          <t>Active</t>
        </is>
      </c>
      <c r="G163" s="36" t="n"/>
      <c r="H163" s="29" t="n">
        <v>1</v>
      </c>
      <c r="I163" s="37" t="n"/>
      <c r="J163" s="37" t="n"/>
      <c r="K163" s="31" t="n"/>
      <c r="L163" s="31" t="n"/>
      <c r="M163" s="31" t="n"/>
      <c r="N163" s="31" t="n"/>
      <c r="O163" s="31" t="n"/>
      <c r="P163" s="31" t="n"/>
      <c r="Q163" s="23">
        <f>IF($A163="","",COUNTIFS(Assignments!$C$2:$C$769,$A163,Assignments!$G$2:$G$769,"Active"))</f>
        <v/>
      </c>
      <c r="R163" s="32">
        <f>IF($A163="","",SUMIFS(Assignments!$I$2:$I$769,Assignments!$C$2:$C$769,$A163,Assignments!$G$2:$G$769,"Active"))</f>
        <v/>
      </c>
      <c r="S163" s="20" t="inlineStr">
        <is>
          <t>WIP</t>
        </is>
      </c>
      <c r="T163" s="31" t="n"/>
      <c r="U163" s="36" t="n"/>
      <c r="V163" s="34">
        <f>IF($U163="","",IFERROR(INDEX(Templates!$K$3:$K$10,MATCH($U163,Templates!$A$3:$A$10,0)),""))</f>
        <v/>
      </c>
      <c r="W163" s="34">
        <f>IF($U163="","",IFERROR(INDEX(Templates!$L$3:$L$10,MATCH($U163,Templates!$A$3:$A$10,0)),""))</f>
        <v/>
      </c>
      <c r="X163" s="21">
        <f>IF($U163="","",IFERROR(INDEX(Templates!$J$3:$J$10,MATCH($U163,Templates!$A$3:$A$10,0)),""))</f>
        <v/>
      </c>
      <c r="Y163" s="35">
        <f>IF(OR($U163="",$I163="",$J163="",$X163=""),"",$I163+$X163*($J163-$I163))</f>
        <v/>
      </c>
      <c r="Z163" s="30" t="n">
        <v>46212</v>
      </c>
      <c r="AA163" s="38" t="n"/>
      <c r="AB163" s="39" t="n"/>
      <c r="AC163" s="39" t="n"/>
      <c r="AD163" s="19">
        <f>IF($A163="","",IF($AA163="",$H163,$AA163))</f>
        <v/>
      </c>
      <c r="AE163" s="35">
        <f>IF($A163="","",IF($AB163="",$I163,$AB163))</f>
        <v/>
      </c>
      <c r="AF163" s="35">
        <f>IF($A163="","",IF($AC163="",$J163,$AC163))</f>
        <v/>
      </c>
      <c r="AG163" s="35">
        <f>IF(OR($U163="",$AE163="",$AF163="",$X163=""),"",$AE163+$X163*($AF163-$AE163))</f>
        <v/>
      </c>
      <c r="AH163" s="36" t="n"/>
      <c r="AI163" s="36" t="n"/>
      <c r="AJ163" s="36" t="n"/>
      <c r="AK163" s="36" t="n"/>
      <c r="AL163" s="36" t="n"/>
      <c r="AM163" s="36" t="n"/>
      <c r="AN163" s="36" t="n"/>
      <c r="AO163" s="36" t="n"/>
      <c r="AP163" s="36" t="n"/>
      <c r="AQ163" s="36" t="n"/>
      <c r="AR163" s="36" t="n"/>
      <c r="AS163" s="36" t="n"/>
      <c r="AT163" s="36" t="n"/>
      <c r="AU163" s="36" t="n"/>
      <c r="AV163" s="36" t="n"/>
      <c r="AW163" s="36" t="n"/>
      <c r="AX163" s="36" t="n"/>
    </row>
    <row r="164">
      <c r="A164" s="28" t="inlineStr">
        <is>
          <t>Sierra_3</t>
        </is>
      </c>
      <c r="B164" s="20" t="inlineStr">
        <is>
          <t>ICEN Risk</t>
        </is>
      </c>
      <c r="C164" s="28" t="inlineStr">
        <is>
          <t>ICEN Risk</t>
        </is>
      </c>
      <c r="D164" s="28" t="inlineStr"/>
      <c r="E164" s="28" t="inlineStr">
        <is>
          <t>No</t>
        </is>
      </c>
      <c r="F164" s="28" t="inlineStr">
        <is>
          <t>Active</t>
        </is>
      </c>
      <c r="G164" s="36" t="n"/>
      <c r="H164" s="29" t="n">
        <v>1</v>
      </c>
      <c r="I164" s="37" t="n"/>
      <c r="J164" s="37" t="n"/>
      <c r="K164" s="31" t="n"/>
      <c r="L164" s="31" t="n"/>
      <c r="M164" s="31" t="n"/>
      <c r="N164" s="31" t="n"/>
      <c r="O164" s="31" t="n"/>
      <c r="P164" s="31" t="n"/>
      <c r="Q164" s="23">
        <f>IF($A164="","",COUNTIFS(Assignments!$C$2:$C$769,$A164,Assignments!$G$2:$G$769,"Active"))</f>
        <v/>
      </c>
      <c r="R164" s="32">
        <f>IF($A164="","",SUMIFS(Assignments!$I$2:$I$769,Assignments!$C$2:$C$769,$A164,Assignments!$G$2:$G$769,"Active"))</f>
        <v/>
      </c>
      <c r="S164" s="20" t="inlineStr">
        <is>
          <t>WIP</t>
        </is>
      </c>
      <c r="T164" s="31" t="n"/>
      <c r="U164" s="36" t="n"/>
      <c r="V164" s="34">
        <f>IF($U164="","",IFERROR(INDEX(Templates!$K$3:$K$10,MATCH($U164,Templates!$A$3:$A$10,0)),""))</f>
        <v/>
      </c>
      <c r="W164" s="34">
        <f>IF($U164="","",IFERROR(INDEX(Templates!$L$3:$L$10,MATCH($U164,Templates!$A$3:$A$10,0)),""))</f>
        <v/>
      </c>
      <c r="X164" s="21">
        <f>IF($U164="","",IFERROR(INDEX(Templates!$J$3:$J$10,MATCH($U164,Templates!$A$3:$A$10,0)),""))</f>
        <v/>
      </c>
      <c r="Y164" s="35">
        <f>IF(OR($U164="",$I164="",$J164="",$X164=""),"",$I164+$X164*($J164-$I164))</f>
        <v/>
      </c>
      <c r="Z164" s="30" t="n">
        <v>46212</v>
      </c>
      <c r="AA164" s="38" t="n"/>
      <c r="AB164" s="39" t="n"/>
      <c r="AC164" s="39" t="n"/>
      <c r="AD164" s="19">
        <f>IF($A164="","",IF($AA164="",$H164,$AA164))</f>
        <v/>
      </c>
      <c r="AE164" s="35">
        <f>IF($A164="","",IF($AB164="",$I164,$AB164))</f>
        <v/>
      </c>
      <c r="AF164" s="35">
        <f>IF($A164="","",IF($AC164="",$J164,$AC164))</f>
        <v/>
      </c>
      <c r="AG164" s="35">
        <f>IF(OR($U164="",$AE164="",$AF164="",$X164=""),"",$AE164+$X164*($AF164-$AE164))</f>
        <v/>
      </c>
      <c r="AH164" s="36" t="n"/>
      <c r="AI164" s="36" t="n"/>
      <c r="AJ164" s="36" t="n"/>
      <c r="AK164" s="36" t="n"/>
      <c r="AL164" s="36" t="n"/>
      <c r="AM164" s="36" t="n"/>
      <c r="AN164" s="36" t="n"/>
      <c r="AO164" s="36" t="n"/>
      <c r="AP164" s="36" t="n"/>
      <c r="AQ164" s="36" t="n"/>
      <c r="AR164" s="36" t="n"/>
      <c r="AS164" s="36" t="n"/>
      <c r="AT164" s="36" t="n"/>
      <c r="AU164" s="36" t="n"/>
      <c r="AV164" s="36" t="n"/>
      <c r="AW164" s="36" t="n"/>
      <c r="AX164" s="36" t="n"/>
    </row>
    <row r="165">
      <c r="A165" s="28" t="inlineStr">
        <is>
          <t>SolarEdge DC Adder_1</t>
        </is>
      </c>
      <c r="B165" s="20" t="inlineStr">
        <is>
          <t>Ethos Specialty Insurance Services</t>
        </is>
      </c>
      <c r="C165" s="28" t="inlineStr">
        <is>
          <t>Ethos Specialty Insurance Services</t>
        </is>
      </c>
      <c r="D165" s="28" t="inlineStr"/>
      <c r="E165" s="28" t="inlineStr">
        <is>
          <t>No</t>
        </is>
      </c>
      <c r="F165" s="28" t="inlineStr">
        <is>
          <t>Active</t>
        </is>
      </c>
      <c r="G165" s="36" t="n"/>
      <c r="H165" s="29" t="n">
        <v>1</v>
      </c>
      <c r="I165" s="37" t="n"/>
      <c r="J165" s="37" t="n"/>
      <c r="K165" s="31" t="n"/>
      <c r="L165" s="31" t="n"/>
      <c r="M165" s="31" t="n"/>
      <c r="N165" s="31" t="n"/>
      <c r="O165" s="31" t="n"/>
      <c r="P165" s="31" t="n"/>
      <c r="Q165" s="23">
        <f>IF($A165="","",COUNTIFS(Assignments!$C$2:$C$769,$A165,Assignments!$G$2:$G$769,"Active"))</f>
        <v/>
      </c>
      <c r="R165" s="32">
        <f>IF($A165="","",SUMIFS(Assignments!$I$2:$I$769,Assignments!$C$2:$C$769,$A165,Assignments!$G$2:$G$769,"Active"))</f>
        <v/>
      </c>
      <c r="S165" s="20" t="inlineStr">
        <is>
          <t>WIP</t>
        </is>
      </c>
      <c r="T165" s="31" t="n"/>
      <c r="U165" s="36" t="n"/>
      <c r="V165" s="34">
        <f>IF($U165="","",IFERROR(INDEX(Templates!$K$3:$K$10,MATCH($U165,Templates!$A$3:$A$10,0)),""))</f>
        <v/>
      </c>
      <c r="W165" s="34">
        <f>IF($U165="","",IFERROR(INDEX(Templates!$L$3:$L$10,MATCH($U165,Templates!$A$3:$A$10,0)),""))</f>
        <v/>
      </c>
      <c r="X165" s="21">
        <f>IF($U165="","",IFERROR(INDEX(Templates!$J$3:$J$10,MATCH($U165,Templates!$A$3:$A$10,0)),""))</f>
        <v/>
      </c>
      <c r="Y165" s="35">
        <f>IF(OR($U165="",$I165="",$J165="",$X165=""),"",$I165+$X165*($J165-$I165))</f>
        <v/>
      </c>
      <c r="Z165" s="30" t="n">
        <v>46212</v>
      </c>
      <c r="AA165" s="38" t="n"/>
      <c r="AB165" s="39" t="n"/>
      <c r="AC165" s="39" t="n"/>
      <c r="AD165" s="19">
        <f>IF($A165="","",IF($AA165="",$H165,$AA165))</f>
        <v/>
      </c>
      <c r="AE165" s="35">
        <f>IF($A165="","",IF($AB165="",$I165,$AB165))</f>
        <v/>
      </c>
      <c r="AF165" s="35">
        <f>IF($A165="","",IF($AC165="",$J165,$AC165))</f>
        <v/>
      </c>
      <c r="AG165" s="35">
        <f>IF(OR($U165="",$AE165="",$AF165="",$X165=""),"",$AE165+$X165*($AF165-$AE165))</f>
        <v/>
      </c>
      <c r="AH165" s="36" t="n"/>
      <c r="AI165" s="36" t="n"/>
      <c r="AJ165" s="36" t="n"/>
      <c r="AK165" s="36" t="n"/>
      <c r="AL165" s="36" t="n"/>
      <c r="AM165" s="36" t="n"/>
      <c r="AN165" s="36" t="n"/>
      <c r="AO165" s="36" t="n"/>
      <c r="AP165" s="36" t="n"/>
      <c r="AQ165" s="36" t="n"/>
      <c r="AR165" s="36" t="n"/>
      <c r="AS165" s="36" t="n"/>
      <c r="AT165" s="36" t="n"/>
      <c r="AU165" s="36" t="n"/>
      <c r="AV165" s="36" t="n"/>
      <c r="AW165" s="36" t="n"/>
      <c r="AX165" s="36" t="n"/>
    </row>
    <row r="166">
      <c r="A166" s="28" t="inlineStr">
        <is>
          <t>SolRite_1</t>
        </is>
      </c>
      <c r="B166" s="20" t="inlineStr">
        <is>
          <t>Ethos Specialty Insurance Services</t>
        </is>
      </c>
      <c r="C166" s="28" t="inlineStr">
        <is>
          <t>Ethos Specialty Insurance Services</t>
        </is>
      </c>
      <c r="D166" s="28" t="inlineStr"/>
      <c r="E166" s="28" t="inlineStr">
        <is>
          <t>No</t>
        </is>
      </c>
      <c r="F166" s="28" t="inlineStr">
        <is>
          <t>Active</t>
        </is>
      </c>
      <c r="G166" s="36" t="n"/>
      <c r="H166" s="29" t="n">
        <v>1</v>
      </c>
      <c r="I166" s="37" t="n"/>
      <c r="J166" s="37" t="n"/>
      <c r="K166" s="31" t="n"/>
      <c r="L166" s="31" t="n"/>
      <c r="M166" s="31" t="n"/>
      <c r="N166" s="31" t="n"/>
      <c r="O166" s="31" t="n"/>
      <c r="P166" s="31" t="n"/>
      <c r="Q166" s="23">
        <f>IF($A166="","",COUNTIFS(Assignments!$C$2:$C$769,$A166,Assignments!$G$2:$G$769,"Active"))</f>
        <v/>
      </c>
      <c r="R166" s="32">
        <f>IF($A166="","",SUMIFS(Assignments!$I$2:$I$769,Assignments!$C$2:$C$769,$A166,Assignments!$G$2:$G$769,"Active"))</f>
        <v/>
      </c>
      <c r="S166" s="20" t="inlineStr">
        <is>
          <t>WIP</t>
        </is>
      </c>
      <c r="T166" s="31" t="n"/>
      <c r="U166" s="36" t="n"/>
      <c r="V166" s="34">
        <f>IF($U166="","",IFERROR(INDEX(Templates!$K$3:$K$10,MATCH($U166,Templates!$A$3:$A$10,0)),""))</f>
        <v/>
      </c>
      <c r="W166" s="34">
        <f>IF($U166="","",IFERROR(INDEX(Templates!$L$3:$L$10,MATCH($U166,Templates!$A$3:$A$10,0)),""))</f>
        <v/>
      </c>
      <c r="X166" s="21">
        <f>IF($U166="","",IFERROR(INDEX(Templates!$J$3:$J$10,MATCH($U166,Templates!$A$3:$A$10,0)),""))</f>
        <v/>
      </c>
      <c r="Y166" s="35">
        <f>IF(OR($U166="",$I166="",$J166="",$X166=""),"",$I166+$X166*($J166-$I166))</f>
        <v/>
      </c>
      <c r="Z166" s="30" t="n">
        <v>46212</v>
      </c>
      <c r="AA166" s="38" t="n"/>
      <c r="AB166" s="39" t="n"/>
      <c r="AC166" s="39" t="n"/>
      <c r="AD166" s="19">
        <f>IF($A166="","",IF($AA166="",$H166,$AA166))</f>
        <v/>
      </c>
      <c r="AE166" s="35">
        <f>IF($A166="","",IF($AB166="",$I166,$AB166))</f>
        <v/>
      </c>
      <c r="AF166" s="35">
        <f>IF($A166="","",IF($AC166="",$J166,$AC166))</f>
        <v/>
      </c>
      <c r="AG166" s="35">
        <f>IF(OR($U166="",$AE166="",$AF166="",$X166=""),"",$AE166+$X166*($AF166-$AE166))</f>
        <v/>
      </c>
      <c r="AH166" s="36" t="n"/>
      <c r="AI166" s="36" t="n"/>
      <c r="AJ166" s="36" t="n"/>
      <c r="AK166" s="36" t="n"/>
      <c r="AL166" s="36" t="n"/>
      <c r="AM166" s="36" t="n"/>
      <c r="AN166" s="36" t="n"/>
      <c r="AO166" s="36" t="n"/>
      <c r="AP166" s="36" t="n"/>
      <c r="AQ166" s="36" t="n"/>
      <c r="AR166" s="36" t="n"/>
      <c r="AS166" s="36" t="n"/>
      <c r="AT166" s="36" t="n"/>
      <c r="AU166" s="36" t="n"/>
      <c r="AV166" s="36" t="n"/>
      <c r="AW166" s="36" t="n"/>
      <c r="AX166" s="36" t="n"/>
    </row>
    <row r="167">
      <c r="A167" s="28" t="inlineStr">
        <is>
          <t>Soltra_1</t>
        </is>
      </c>
      <c r="B167" s="20" t="inlineStr">
        <is>
          <t>Fengate</t>
        </is>
      </c>
      <c r="C167" s="28" t="inlineStr">
        <is>
          <t>Fengate</t>
        </is>
      </c>
      <c r="D167" s="28" t="inlineStr"/>
      <c r="E167" s="28" t="inlineStr">
        <is>
          <t>No</t>
        </is>
      </c>
      <c r="F167" s="28" t="inlineStr">
        <is>
          <t>Active</t>
        </is>
      </c>
      <c r="G167" s="36" t="n"/>
      <c r="H167" s="29" t="n">
        <v>1</v>
      </c>
      <c r="I167" s="37" t="n"/>
      <c r="J167" s="37" t="n"/>
      <c r="K167" s="31" t="n"/>
      <c r="L167" s="31" t="n"/>
      <c r="M167" s="31" t="n"/>
      <c r="N167" s="31" t="n"/>
      <c r="O167" s="31" t="n"/>
      <c r="P167" s="31" t="n"/>
      <c r="Q167" s="23">
        <f>IF($A167="","",COUNTIFS(Assignments!$C$2:$C$769,$A167,Assignments!$G$2:$G$769,"Active"))</f>
        <v/>
      </c>
      <c r="R167" s="32">
        <f>IF($A167="","",SUMIFS(Assignments!$I$2:$I$769,Assignments!$C$2:$C$769,$A167,Assignments!$G$2:$G$769,"Active"))</f>
        <v/>
      </c>
      <c r="S167" s="20" t="inlineStr">
        <is>
          <t>WIP</t>
        </is>
      </c>
      <c r="T167" s="31" t="n"/>
      <c r="U167" s="36" t="n"/>
      <c r="V167" s="34">
        <f>IF($U167="","",IFERROR(INDEX(Templates!$K$3:$K$10,MATCH($U167,Templates!$A$3:$A$10,0)),""))</f>
        <v/>
      </c>
      <c r="W167" s="34">
        <f>IF($U167="","",IFERROR(INDEX(Templates!$L$3:$L$10,MATCH($U167,Templates!$A$3:$A$10,0)),""))</f>
        <v/>
      </c>
      <c r="X167" s="21">
        <f>IF($U167="","",IFERROR(INDEX(Templates!$J$3:$J$10,MATCH($U167,Templates!$A$3:$A$10,0)),""))</f>
        <v/>
      </c>
      <c r="Y167" s="35">
        <f>IF(OR($U167="",$I167="",$J167="",$X167=""),"",$I167+$X167*($J167-$I167))</f>
        <v/>
      </c>
      <c r="Z167" s="30" t="n">
        <v>46212</v>
      </c>
      <c r="AA167" s="38" t="n"/>
      <c r="AB167" s="39" t="n"/>
      <c r="AC167" s="39" t="n"/>
      <c r="AD167" s="19">
        <f>IF($A167="","",IF($AA167="",$H167,$AA167))</f>
        <v/>
      </c>
      <c r="AE167" s="35">
        <f>IF($A167="","",IF($AB167="",$I167,$AB167))</f>
        <v/>
      </c>
      <c r="AF167" s="35">
        <f>IF($A167="","",IF($AC167="",$J167,$AC167))</f>
        <v/>
      </c>
      <c r="AG167" s="35">
        <f>IF(OR($U167="",$AE167="",$AF167="",$X167=""),"",$AE167+$X167*($AF167-$AE167))</f>
        <v/>
      </c>
      <c r="AH167" s="36" t="n"/>
      <c r="AI167" s="36" t="n"/>
      <c r="AJ167" s="36" t="n"/>
      <c r="AK167" s="36" t="n"/>
      <c r="AL167" s="36" t="n"/>
      <c r="AM167" s="36" t="n"/>
      <c r="AN167" s="36" t="n"/>
      <c r="AO167" s="36" t="n"/>
      <c r="AP167" s="36" t="n"/>
      <c r="AQ167" s="36" t="n"/>
      <c r="AR167" s="36" t="n"/>
      <c r="AS167" s="36" t="n"/>
      <c r="AT167" s="36" t="n"/>
      <c r="AU167" s="36" t="n"/>
      <c r="AV167" s="36" t="n"/>
      <c r="AW167" s="36" t="n"/>
      <c r="AX167" s="36" t="n"/>
    </row>
    <row r="168">
      <c r="A168" s="28" t="inlineStr">
        <is>
          <t>Spark_1</t>
        </is>
      </c>
      <c r="B168" s="20" t="inlineStr">
        <is>
          <t>Broadwind, Inc.</t>
        </is>
      </c>
      <c r="C168" s="28" t="inlineStr">
        <is>
          <t>Broadwind, Inc.</t>
        </is>
      </c>
      <c r="D168" s="28" t="inlineStr"/>
      <c r="E168" s="28" t="inlineStr">
        <is>
          <t>No</t>
        </is>
      </c>
      <c r="F168" s="28" t="inlineStr">
        <is>
          <t>Active</t>
        </is>
      </c>
      <c r="G168" s="36" t="n"/>
      <c r="H168" s="29" t="n">
        <v>1</v>
      </c>
      <c r="I168" s="37" t="n"/>
      <c r="J168" s="37" t="n"/>
      <c r="K168" s="31" t="n"/>
      <c r="L168" s="31" t="n"/>
      <c r="M168" s="31" t="n"/>
      <c r="N168" s="31" t="n"/>
      <c r="O168" s="31" t="n"/>
      <c r="P168" s="31" t="n"/>
      <c r="Q168" s="23">
        <f>IF($A168="","",COUNTIFS(Assignments!$C$2:$C$769,$A168,Assignments!$G$2:$G$769,"Active"))</f>
        <v/>
      </c>
      <c r="R168" s="32">
        <f>IF($A168="","",SUMIFS(Assignments!$I$2:$I$769,Assignments!$C$2:$C$769,$A168,Assignments!$G$2:$G$769,"Active"))</f>
        <v/>
      </c>
      <c r="S168" s="20" t="inlineStr">
        <is>
          <t>WIP</t>
        </is>
      </c>
      <c r="T168" s="31" t="n"/>
      <c r="U168" s="36" t="n"/>
      <c r="V168" s="34">
        <f>IF($U168="","",IFERROR(INDEX(Templates!$K$3:$K$10,MATCH($U168,Templates!$A$3:$A$10,0)),""))</f>
        <v/>
      </c>
      <c r="W168" s="34">
        <f>IF($U168="","",IFERROR(INDEX(Templates!$L$3:$L$10,MATCH($U168,Templates!$A$3:$A$10,0)),""))</f>
        <v/>
      </c>
      <c r="X168" s="21">
        <f>IF($U168="","",IFERROR(INDEX(Templates!$J$3:$J$10,MATCH($U168,Templates!$A$3:$A$10,0)),""))</f>
        <v/>
      </c>
      <c r="Y168" s="35">
        <f>IF(OR($U168="",$I168="",$J168="",$X168=""),"",$I168+$X168*($J168-$I168))</f>
        <v/>
      </c>
      <c r="Z168" s="30" t="n">
        <v>46212</v>
      </c>
      <c r="AA168" s="38" t="n"/>
      <c r="AB168" s="39" t="n"/>
      <c r="AC168" s="39" t="n"/>
      <c r="AD168" s="19">
        <f>IF($A168="","",IF($AA168="",$H168,$AA168))</f>
        <v/>
      </c>
      <c r="AE168" s="35">
        <f>IF($A168="","",IF($AB168="",$I168,$AB168))</f>
        <v/>
      </c>
      <c r="AF168" s="35">
        <f>IF($A168="","",IF($AC168="",$J168,$AC168))</f>
        <v/>
      </c>
      <c r="AG168" s="35">
        <f>IF(OR($U168="",$AE168="",$AF168="",$X168=""),"",$AE168+$X168*($AF168-$AE168))</f>
        <v/>
      </c>
      <c r="AH168" s="36" t="n"/>
      <c r="AI168" s="36" t="n"/>
      <c r="AJ168" s="36" t="n"/>
      <c r="AK168" s="36" t="n"/>
      <c r="AL168" s="36" t="n"/>
      <c r="AM168" s="36" t="n"/>
      <c r="AN168" s="36" t="n"/>
      <c r="AO168" s="36" t="n"/>
      <c r="AP168" s="36" t="n"/>
      <c r="AQ168" s="36" t="n"/>
      <c r="AR168" s="36" t="n"/>
      <c r="AS168" s="36" t="n"/>
      <c r="AT168" s="36" t="n"/>
      <c r="AU168" s="36" t="n"/>
      <c r="AV168" s="36" t="n"/>
      <c r="AW168" s="36" t="n"/>
      <c r="AX168" s="36" t="n"/>
    </row>
    <row r="169">
      <c r="A169" s="28" t="inlineStr">
        <is>
          <t>Spring_6</t>
        </is>
      </c>
      <c r="B169" s="20" t="inlineStr">
        <is>
          <t>Ethos Specialty Insurance Services</t>
        </is>
      </c>
      <c r="C169" s="28" t="inlineStr">
        <is>
          <t>Ethos Specialty Insurance Services</t>
        </is>
      </c>
      <c r="D169" s="28" t="inlineStr"/>
      <c r="E169" s="28" t="inlineStr">
        <is>
          <t>No</t>
        </is>
      </c>
      <c r="F169" s="28" t="inlineStr">
        <is>
          <t>Active</t>
        </is>
      </c>
      <c r="G169" s="36" t="n"/>
      <c r="H169" s="29" t="n">
        <v>1</v>
      </c>
      <c r="I169" s="37" t="n"/>
      <c r="J169" s="37" t="n"/>
      <c r="K169" s="31" t="n"/>
      <c r="L169" s="31" t="n"/>
      <c r="M169" s="31" t="n"/>
      <c r="N169" s="31" t="n"/>
      <c r="O169" s="31" t="n"/>
      <c r="P169" s="31" t="n"/>
      <c r="Q169" s="23">
        <f>IF($A169="","",COUNTIFS(Assignments!$C$2:$C$769,$A169,Assignments!$G$2:$G$769,"Active"))</f>
        <v/>
      </c>
      <c r="R169" s="32">
        <f>IF($A169="","",SUMIFS(Assignments!$I$2:$I$769,Assignments!$C$2:$C$769,$A169,Assignments!$G$2:$G$769,"Active"))</f>
        <v/>
      </c>
      <c r="S169" s="20" t="inlineStr">
        <is>
          <t>WIP</t>
        </is>
      </c>
      <c r="T169" s="31" t="n"/>
      <c r="U169" s="36" t="n"/>
      <c r="V169" s="34">
        <f>IF($U169="","",IFERROR(INDEX(Templates!$K$3:$K$10,MATCH($U169,Templates!$A$3:$A$10,0)),""))</f>
        <v/>
      </c>
      <c r="W169" s="34">
        <f>IF($U169="","",IFERROR(INDEX(Templates!$L$3:$L$10,MATCH($U169,Templates!$A$3:$A$10,0)),""))</f>
        <v/>
      </c>
      <c r="X169" s="21">
        <f>IF($U169="","",IFERROR(INDEX(Templates!$J$3:$J$10,MATCH($U169,Templates!$A$3:$A$10,0)),""))</f>
        <v/>
      </c>
      <c r="Y169" s="35">
        <f>IF(OR($U169="",$I169="",$J169="",$X169=""),"",$I169+$X169*($J169-$I169))</f>
        <v/>
      </c>
      <c r="Z169" s="30" t="n">
        <v>46212</v>
      </c>
      <c r="AA169" s="38" t="n"/>
      <c r="AB169" s="39" t="n"/>
      <c r="AC169" s="39" t="n"/>
      <c r="AD169" s="19">
        <f>IF($A169="","",IF($AA169="",$H169,$AA169))</f>
        <v/>
      </c>
      <c r="AE169" s="35">
        <f>IF($A169="","",IF($AB169="",$I169,$AB169))</f>
        <v/>
      </c>
      <c r="AF169" s="35">
        <f>IF($A169="","",IF($AC169="",$J169,$AC169))</f>
        <v/>
      </c>
      <c r="AG169" s="35">
        <f>IF(OR($U169="",$AE169="",$AF169="",$X169=""),"",$AE169+$X169*($AF169-$AE169))</f>
        <v/>
      </c>
      <c r="AH169" s="36" t="n"/>
      <c r="AI169" s="36" t="n"/>
      <c r="AJ169" s="36" t="n"/>
      <c r="AK169" s="36" t="n"/>
      <c r="AL169" s="36" t="n"/>
      <c r="AM169" s="36" t="n"/>
      <c r="AN169" s="36" t="n"/>
      <c r="AO169" s="36" t="n"/>
      <c r="AP169" s="36" t="n"/>
      <c r="AQ169" s="36" t="n"/>
      <c r="AR169" s="36" t="n"/>
      <c r="AS169" s="36" t="n"/>
      <c r="AT169" s="36" t="n"/>
      <c r="AU169" s="36" t="n"/>
      <c r="AV169" s="36" t="n"/>
      <c r="AW169" s="36" t="n"/>
      <c r="AX169" s="36" t="n"/>
    </row>
    <row r="170">
      <c r="A170" s="28" t="inlineStr">
        <is>
          <t>Starshade and Radar_1</t>
        </is>
      </c>
      <c r="B170" s="20" t="inlineStr">
        <is>
          <t>Ethos Specialty Insurance Services</t>
        </is>
      </c>
      <c r="C170" s="28" t="inlineStr">
        <is>
          <t>Ethos Specialty Insurance Services</t>
        </is>
      </c>
      <c r="D170" s="28" t="inlineStr"/>
      <c r="E170" s="28" t="inlineStr">
        <is>
          <t>No</t>
        </is>
      </c>
      <c r="F170" s="28" t="inlineStr">
        <is>
          <t>Active</t>
        </is>
      </c>
      <c r="G170" s="36" t="n"/>
      <c r="H170" s="29" t="n">
        <v>1</v>
      </c>
      <c r="I170" s="37" t="n"/>
      <c r="J170" s="37" t="n"/>
      <c r="K170" s="31" t="n"/>
      <c r="L170" s="31" t="n"/>
      <c r="M170" s="31" t="n"/>
      <c r="N170" s="31" t="n"/>
      <c r="O170" s="31" t="n"/>
      <c r="P170" s="31" t="n"/>
      <c r="Q170" s="23">
        <f>IF($A170="","",COUNTIFS(Assignments!$C$2:$C$769,$A170,Assignments!$G$2:$G$769,"Active"))</f>
        <v/>
      </c>
      <c r="R170" s="32">
        <f>IF($A170="","",SUMIFS(Assignments!$I$2:$I$769,Assignments!$C$2:$C$769,$A170,Assignments!$G$2:$G$769,"Active"))</f>
        <v/>
      </c>
      <c r="S170" s="20" t="inlineStr">
        <is>
          <t>WIP</t>
        </is>
      </c>
      <c r="T170" s="31" t="n"/>
      <c r="U170" s="36" t="n"/>
      <c r="V170" s="34">
        <f>IF($U170="","",IFERROR(INDEX(Templates!$K$3:$K$10,MATCH($U170,Templates!$A$3:$A$10,0)),""))</f>
        <v/>
      </c>
      <c r="W170" s="34">
        <f>IF($U170="","",IFERROR(INDEX(Templates!$L$3:$L$10,MATCH($U170,Templates!$A$3:$A$10,0)),""))</f>
        <v/>
      </c>
      <c r="X170" s="21">
        <f>IF($U170="","",IFERROR(INDEX(Templates!$J$3:$J$10,MATCH($U170,Templates!$A$3:$A$10,0)),""))</f>
        <v/>
      </c>
      <c r="Y170" s="35">
        <f>IF(OR($U170="",$I170="",$J170="",$X170=""),"",$I170+$X170*($J170-$I170))</f>
        <v/>
      </c>
      <c r="Z170" s="30" t="n">
        <v>46212</v>
      </c>
      <c r="AA170" s="38" t="n"/>
      <c r="AB170" s="39" t="n"/>
      <c r="AC170" s="39" t="n"/>
      <c r="AD170" s="19">
        <f>IF($A170="","",IF($AA170="",$H170,$AA170))</f>
        <v/>
      </c>
      <c r="AE170" s="35">
        <f>IF($A170="","",IF($AB170="",$I170,$AB170))</f>
        <v/>
      </c>
      <c r="AF170" s="35">
        <f>IF($A170="","",IF($AC170="",$J170,$AC170))</f>
        <v/>
      </c>
      <c r="AG170" s="35">
        <f>IF(OR($U170="",$AE170="",$AF170="",$X170=""),"",$AE170+$X170*($AF170-$AE170))</f>
        <v/>
      </c>
      <c r="AH170" s="36" t="n"/>
      <c r="AI170" s="36" t="n"/>
      <c r="AJ170" s="36" t="n"/>
      <c r="AK170" s="36" t="n"/>
      <c r="AL170" s="36" t="n"/>
      <c r="AM170" s="36" t="n"/>
      <c r="AN170" s="36" t="n"/>
      <c r="AO170" s="36" t="n"/>
      <c r="AP170" s="36" t="n"/>
      <c r="AQ170" s="36" t="n"/>
      <c r="AR170" s="36" t="n"/>
      <c r="AS170" s="36" t="n"/>
      <c r="AT170" s="36" t="n"/>
      <c r="AU170" s="36" t="n"/>
      <c r="AV170" s="36" t="n"/>
      <c r="AW170" s="36" t="n"/>
      <c r="AX170" s="36" t="n"/>
    </row>
    <row r="171">
      <c r="A171" s="28" t="inlineStr">
        <is>
          <t>Steam_2</t>
        </is>
      </c>
      <c r="B171" s="20" t="inlineStr">
        <is>
          <t>Fengate</t>
        </is>
      </c>
      <c r="C171" s="28" t="inlineStr">
        <is>
          <t>Fengate</t>
        </is>
      </c>
      <c r="D171" s="28" t="inlineStr"/>
      <c r="E171" s="28" t="inlineStr">
        <is>
          <t>No</t>
        </is>
      </c>
      <c r="F171" s="28" t="inlineStr">
        <is>
          <t>Active</t>
        </is>
      </c>
      <c r="G171" s="36" t="n"/>
      <c r="H171" s="29" t="n">
        <v>1</v>
      </c>
      <c r="I171" s="37" t="n"/>
      <c r="J171" s="37" t="n"/>
      <c r="K171" s="31" t="n"/>
      <c r="L171" s="31" t="n"/>
      <c r="M171" s="31" t="n"/>
      <c r="N171" s="31" t="n"/>
      <c r="O171" s="31" t="n"/>
      <c r="P171" s="31" t="n"/>
      <c r="Q171" s="23">
        <f>IF($A171="","",COUNTIFS(Assignments!$C$2:$C$769,$A171,Assignments!$G$2:$G$769,"Active"))</f>
        <v/>
      </c>
      <c r="R171" s="32">
        <f>IF($A171="","",SUMIFS(Assignments!$I$2:$I$769,Assignments!$C$2:$C$769,$A171,Assignments!$G$2:$G$769,"Active"))</f>
        <v/>
      </c>
      <c r="S171" s="20" t="inlineStr">
        <is>
          <t>WIP</t>
        </is>
      </c>
      <c r="T171" s="31" t="n"/>
      <c r="U171" s="36" t="n"/>
      <c r="V171" s="34">
        <f>IF($U171="","",IFERROR(INDEX(Templates!$K$3:$K$10,MATCH($U171,Templates!$A$3:$A$10,0)),""))</f>
        <v/>
      </c>
      <c r="W171" s="34">
        <f>IF($U171="","",IFERROR(INDEX(Templates!$L$3:$L$10,MATCH($U171,Templates!$A$3:$A$10,0)),""))</f>
        <v/>
      </c>
      <c r="X171" s="21">
        <f>IF($U171="","",IFERROR(INDEX(Templates!$J$3:$J$10,MATCH($U171,Templates!$A$3:$A$10,0)),""))</f>
        <v/>
      </c>
      <c r="Y171" s="35">
        <f>IF(OR($U171="",$I171="",$J171="",$X171=""),"",$I171+$X171*($J171-$I171))</f>
        <v/>
      </c>
      <c r="Z171" s="30" t="n">
        <v>46212</v>
      </c>
      <c r="AA171" s="38" t="n"/>
      <c r="AB171" s="39" t="n"/>
      <c r="AC171" s="39" t="n"/>
      <c r="AD171" s="19">
        <f>IF($A171="","",IF($AA171="",$H171,$AA171))</f>
        <v/>
      </c>
      <c r="AE171" s="35">
        <f>IF($A171="","",IF($AB171="",$I171,$AB171))</f>
        <v/>
      </c>
      <c r="AF171" s="35">
        <f>IF($A171="","",IF($AC171="",$J171,$AC171))</f>
        <v/>
      </c>
      <c r="AG171" s="35">
        <f>IF(OR($U171="",$AE171="",$AF171="",$X171=""),"",$AE171+$X171*($AF171-$AE171))</f>
        <v/>
      </c>
      <c r="AH171" s="36" t="n"/>
      <c r="AI171" s="36" t="n"/>
      <c r="AJ171" s="36" t="n"/>
      <c r="AK171" s="36" t="n"/>
      <c r="AL171" s="36" t="n"/>
      <c r="AM171" s="36" t="n"/>
      <c r="AN171" s="36" t="n"/>
      <c r="AO171" s="36" t="n"/>
      <c r="AP171" s="36" t="n"/>
      <c r="AQ171" s="36" t="n"/>
      <c r="AR171" s="36" t="n"/>
      <c r="AS171" s="36" t="n"/>
      <c r="AT171" s="36" t="n"/>
      <c r="AU171" s="36" t="n"/>
      <c r="AV171" s="36" t="n"/>
      <c r="AW171" s="36" t="n"/>
      <c r="AX171" s="36" t="n"/>
    </row>
    <row r="172">
      <c r="A172" s="28" t="inlineStr">
        <is>
          <t>Sun Pond_1</t>
        </is>
      </c>
      <c r="B172" s="20" t="inlineStr">
        <is>
          <t>Euclid Transactional</t>
        </is>
      </c>
      <c r="C172" s="28" t="inlineStr">
        <is>
          <t>Euclid Transactional</t>
        </is>
      </c>
      <c r="D172" s="28" t="inlineStr"/>
      <c r="E172" s="28" t="inlineStr">
        <is>
          <t>No</t>
        </is>
      </c>
      <c r="F172" s="28" t="inlineStr">
        <is>
          <t>Active</t>
        </is>
      </c>
      <c r="G172" s="36" t="n"/>
      <c r="H172" s="29" t="n">
        <v>1</v>
      </c>
      <c r="I172" s="37" t="n"/>
      <c r="J172" s="37" t="n"/>
      <c r="K172" s="31" t="n"/>
      <c r="L172" s="31" t="n"/>
      <c r="M172" s="31" t="n"/>
      <c r="N172" s="31" t="n"/>
      <c r="O172" s="31" t="n"/>
      <c r="P172" s="31" t="n"/>
      <c r="Q172" s="23">
        <f>IF($A172="","",COUNTIFS(Assignments!$C$2:$C$769,$A172,Assignments!$G$2:$G$769,"Active"))</f>
        <v/>
      </c>
      <c r="R172" s="32">
        <f>IF($A172="","",SUMIFS(Assignments!$I$2:$I$769,Assignments!$C$2:$C$769,$A172,Assignments!$G$2:$G$769,"Active"))</f>
        <v/>
      </c>
      <c r="S172" s="20" t="inlineStr">
        <is>
          <t>WIP</t>
        </is>
      </c>
      <c r="T172" s="31" t="n"/>
      <c r="U172" s="36" t="n"/>
      <c r="V172" s="34">
        <f>IF($U172="","",IFERROR(INDEX(Templates!$K$3:$K$10,MATCH($U172,Templates!$A$3:$A$10,0)),""))</f>
        <v/>
      </c>
      <c r="W172" s="34">
        <f>IF($U172="","",IFERROR(INDEX(Templates!$L$3:$L$10,MATCH($U172,Templates!$A$3:$A$10,0)),""))</f>
        <v/>
      </c>
      <c r="X172" s="21">
        <f>IF($U172="","",IFERROR(INDEX(Templates!$J$3:$J$10,MATCH($U172,Templates!$A$3:$A$10,0)),""))</f>
        <v/>
      </c>
      <c r="Y172" s="35">
        <f>IF(OR($U172="",$I172="",$J172="",$X172=""),"",$I172+$X172*($J172-$I172))</f>
        <v/>
      </c>
      <c r="Z172" s="30" t="n">
        <v>46212</v>
      </c>
      <c r="AA172" s="38" t="n"/>
      <c r="AB172" s="39" t="n"/>
      <c r="AC172" s="39" t="n"/>
      <c r="AD172" s="19">
        <f>IF($A172="","",IF($AA172="",$H172,$AA172))</f>
        <v/>
      </c>
      <c r="AE172" s="35">
        <f>IF($A172="","",IF($AB172="",$I172,$AB172))</f>
        <v/>
      </c>
      <c r="AF172" s="35">
        <f>IF($A172="","",IF($AC172="",$J172,$AC172))</f>
        <v/>
      </c>
      <c r="AG172" s="35">
        <f>IF(OR($U172="",$AE172="",$AF172="",$X172=""),"",$AE172+$X172*($AF172-$AE172))</f>
        <v/>
      </c>
      <c r="AH172" s="36" t="n"/>
      <c r="AI172" s="36" t="n"/>
      <c r="AJ172" s="36" t="n"/>
      <c r="AK172" s="36" t="n"/>
      <c r="AL172" s="36" t="n"/>
      <c r="AM172" s="36" t="n"/>
      <c r="AN172" s="36" t="n"/>
      <c r="AO172" s="36" t="n"/>
      <c r="AP172" s="36" t="n"/>
      <c r="AQ172" s="36" t="n"/>
      <c r="AR172" s="36" t="n"/>
      <c r="AS172" s="36" t="n"/>
      <c r="AT172" s="36" t="n"/>
      <c r="AU172" s="36" t="n"/>
      <c r="AV172" s="36" t="n"/>
      <c r="AW172" s="36" t="n"/>
      <c r="AX172" s="36" t="n"/>
    </row>
    <row r="173">
      <c r="A173" s="28" t="inlineStr">
        <is>
          <t>Sunnova - TEP 8-H_1</t>
        </is>
      </c>
      <c r="B173" s="20" t="inlineStr">
        <is>
          <t>Ryan Transactional Risk : Themis Underwriting</t>
        </is>
      </c>
      <c r="C173" s="28" t="inlineStr">
        <is>
          <t>Ryan Transactional Risk</t>
        </is>
      </c>
      <c r="D173" s="28" t="inlineStr">
        <is>
          <t>Themis Underwriting</t>
        </is>
      </c>
      <c r="E173" s="28" t="inlineStr">
        <is>
          <t>No</t>
        </is>
      </c>
      <c r="F173" s="28" t="inlineStr">
        <is>
          <t>Active</t>
        </is>
      </c>
      <c r="G173" s="36" t="n"/>
      <c r="H173" s="29" t="n">
        <v>1</v>
      </c>
      <c r="I173" s="37" t="n"/>
      <c r="J173" s="37" t="n"/>
      <c r="K173" s="31" t="n"/>
      <c r="L173" s="31" t="n"/>
      <c r="M173" s="31" t="n"/>
      <c r="N173" s="31" t="n"/>
      <c r="O173" s="31" t="n"/>
      <c r="P173" s="31" t="n"/>
      <c r="Q173" s="23">
        <f>IF($A173="","",COUNTIFS(Assignments!$C$2:$C$769,$A173,Assignments!$G$2:$G$769,"Active"))</f>
        <v/>
      </c>
      <c r="R173" s="32">
        <f>IF($A173="","",SUMIFS(Assignments!$I$2:$I$769,Assignments!$C$2:$C$769,$A173,Assignments!$G$2:$G$769,"Active"))</f>
        <v/>
      </c>
      <c r="S173" s="20" t="inlineStr">
        <is>
          <t>WIP</t>
        </is>
      </c>
      <c r="T173" s="31" t="n"/>
      <c r="U173" s="36" t="n"/>
      <c r="V173" s="34">
        <f>IF($U173="","",IFERROR(INDEX(Templates!$K$3:$K$10,MATCH($U173,Templates!$A$3:$A$10,0)),""))</f>
        <v/>
      </c>
      <c r="W173" s="34">
        <f>IF($U173="","",IFERROR(INDEX(Templates!$L$3:$L$10,MATCH($U173,Templates!$A$3:$A$10,0)),""))</f>
        <v/>
      </c>
      <c r="X173" s="21">
        <f>IF($U173="","",IFERROR(INDEX(Templates!$J$3:$J$10,MATCH($U173,Templates!$A$3:$A$10,0)),""))</f>
        <v/>
      </c>
      <c r="Y173" s="35">
        <f>IF(OR($U173="",$I173="",$J173="",$X173=""),"",$I173+$X173*($J173-$I173))</f>
        <v/>
      </c>
      <c r="Z173" s="30" t="n">
        <v>46212</v>
      </c>
      <c r="AA173" s="38" t="n"/>
      <c r="AB173" s="39" t="n"/>
      <c r="AC173" s="39" t="n"/>
      <c r="AD173" s="19">
        <f>IF($A173="","",IF($AA173="",$H173,$AA173))</f>
        <v/>
      </c>
      <c r="AE173" s="35">
        <f>IF($A173="","",IF($AB173="",$I173,$AB173))</f>
        <v/>
      </c>
      <c r="AF173" s="35">
        <f>IF($A173="","",IF($AC173="",$J173,$AC173))</f>
        <v/>
      </c>
      <c r="AG173" s="35">
        <f>IF(OR($U173="",$AE173="",$AF173="",$X173=""),"",$AE173+$X173*($AF173-$AE173))</f>
        <v/>
      </c>
      <c r="AH173" s="36" t="n"/>
      <c r="AI173" s="36" t="n"/>
      <c r="AJ173" s="36" t="n"/>
      <c r="AK173" s="36" t="n"/>
      <c r="AL173" s="36" t="n"/>
      <c r="AM173" s="36" t="n"/>
      <c r="AN173" s="36" t="n"/>
      <c r="AO173" s="36" t="n"/>
      <c r="AP173" s="36" t="n"/>
      <c r="AQ173" s="36" t="n"/>
      <c r="AR173" s="36" t="n"/>
      <c r="AS173" s="36" t="n"/>
      <c r="AT173" s="36" t="n"/>
      <c r="AU173" s="36" t="n"/>
      <c r="AV173" s="36" t="n"/>
      <c r="AW173" s="36" t="n"/>
      <c r="AX173" s="36" t="n"/>
    </row>
    <row r="174">
      <c r="A174" s="28" t="inlineStr">
        <is>
          <t>Sunnova TEP 8-I - Homebuilder_1</t>
        </is>
      </c>
      <c r="B174" s="20" t="inlineStr">
        <is>
          <t>Sunnova - TEP 8-H_1 Ryan Transactional Risk : Themis Underwriting : *Sunnova - TEP 8-H</t>
        </is>
      </c>
      <c r="C174" s="28" t="inlineStr">
        <is>
          <t>Sunnova - TEP 8-H_1 Ryan Transactional Risk</t>
        </is>
      </c>
      <c r="D174" s="28" t="inlineStr">
        <is>
          <t>*Sunnova - TEP 8-H</t>
        </is>
      </c>
      <c r="E174" s="28" t="inlineStr">
        <is>
          <t>No</t>
        </is>
      </c>
      <c r="F174" s="28" t="inlineStr">
        <is>
          <t>Active</t>
        </is>
      </c>
      <c r="G174" s="36" t="n"/>
      <c r="H174" s="29" t="n">
        <v>1</v>
      </c>
      <c r="I174" s="37" t="n"/>
      <c r="J174" s="37" t="n"/>
      <c r="K174" s="31" t="n"/>
      <c r="L174" s="31" t="n"/>
      <c r="M174" s="31" t="n"/>
      <c r="N174" s="31" t="n"/>
      <c r="O174" s="31" t="n"/>
      <c r="P174" s="31" t="n"/>
      <c r="Q174" s="23">
        <f>IF($A174="","",COUNTIFS(Assignments!$C$2:$C$769,$A174,Assignments!$G$2:$G$769,"Active"))</f>
        <v/>
      </c>
      <c r="R174" s="32">
        <f>IF($A174="","",SUMIFS(Assignments!$I$2:$I$769,Assignments!$C$2:$C$769,$A174,Assignments!$G$2:$G$769,"Active"))</f>
        <v/>
      </c>
      <c r="S174" s="20" t="inlineStr">
        <is>
          <t>WIP</t>
        </is>
      </c>
      <c r="T174" s="31" t="n"/>
      <c r="U174" s="36" t="n"/>
      <c r="V174" s="34">
        <f>IF($U174="","",IFERROR(INDEX(Templates!$K$3:$K$10,MATCH($U174,Templates!$A$3:$A$10,0)),""))</f>
        <v/>
      </c>
      <c r="W174" s="34">
        <f>IF($U174="","",IFERROR(INDEX(Templates!$L$3:$L$10,MATCH($U174,Templates!$A$3:$A$10,0)),""))</f>
        <v/>
      </c>
      <c r="X174" s="21">
        <f>IF($U174="","",IFERROR(INDEX(Templates!$J$3:$J$10,MATCH($U174,Templates!$A$3:$A$10,0)),""))</f>
        <v/>
      </c>
      <c r="Y174" s="35">
        <f>IF(OR($U174="",$I174="",$J174="",$X174=""),"",$I174+$X174*($J174-$I174))</f>
        <v/>
      </c>
      <c r="Z174" s="30" t="n">
        <v>46212</v>
      </c>
      <c r="AA174" s="38" t="n"/>
      <c r="AB174" s="39" t="n"/>
      <c r="AC174" s="39" t="n"/>
      <c r="AD174" s="19">
        <f>IF($A174="","",IF($AA174="",$H174,$AA174))</f>
        <v/>
      </c>
      <c r="AE174" s="35">
        <f>IF($A174="","",IF($AB174="",$I174,$AB174))</f>
        <v/>
      </c>
      <c r="AF174" s="35">
        <f>IF($A174="","",IF($AC174="",$J174,$AC174))</f>
        <v/>
      </c>
      <c r="AG174" s="35">
        <f>IF(OR($U174="",$AE174="",$AF174="",$X174=""),"",$AE174+$X174*($AF174-$AE174))</f>
        <v/>
      </c>
      <c r="AH174" s="36" t="n"/>
      <c r="AI174" s="36" t="n"/>
      <c r="AJ174" s="36" t="n"/>
      <c r="AK174" s="36" t="n"/>
      <c r="AL174" s="36" t="n"/>
      <c r="AM174" s="36" t="n"/>
      <c r="AN174" s="36" t="n"/>
      <c r="AO174" s="36" t="n"/>
      <c r="AP174" s="36" t="n"/>
      <c r="AQ174" s="36" t="n"/>
      <c r="AR174" s="36" t="n"/>
      <c r="AS174" s="36" t="n"/>
      <c r="AT174" s="36" t="n"/>
      <c r="AU174" s="36" t="n"/>
      <c r="AV174" s="36" t="n"/>
      <c r="AW174" s="36" t="n"/>
      <c r="AX174" s="36" t="n"/>
    </row>
    <row r="175">
      <c r="A175" s="28" t="inlineStr">
        <is>
          <t>Sunrise_5</t>
        </is>
      </c>
      <c r="B175" s="20" t="inlineStr">
        <is>
          <t>Eight Advisory</t>
        </is>
      </c>
      <c r="C175" s="28" t="inlineStr">
        <is>
          <t>Eight Advisory</t>
        </is>
      </c>
      <c r="D175" s="28" t="inlineStr"/>
      <c r="E175" s="28" t="inlineStr">
        <is>
          <t>No</t>
        </is>
      </c>
      <c r="F175" s="28" t="inlineStr">
        <is>
          <t>Active</t>
        </is>
      </c>
      <c r="G175" s="36" t="n"/>
      <c r="H175" s="29" t="n">
        <v>1</v>
      </c>
      <c r="I175" s="37" t="n"/>
      <c r="J175" s="37" t="n"/>
      <c r="K175" s="31" t="n"/>
      <c r="L175" s="31" t="n"/>
      <c r="M175" s="31" t="n"/>
      <c r="N175" s="31" t="n"/>
      <c r="O175" s="31" t="n"/>
      <c r="P175" s="31" t="n"/>
      <c r="Q175" s="23">
        <f>IF($A175="","",COUNTIFS(Assignments!$C$2:$C$769,$A175,Assignments!$G$2:$G$769,"Active"))</f>
        <v/>
      </c>
      <c r="R175" s="32">
        <f>IF($A175="","",SUMIFS(Assignments!$I$2:$I$769,Assignments!$C$2:$C$769,$A175,Assignments!$G$2:$G$769,"Active"))</f>
        <v/>
      </c>
      <c r="S175" s="20" t="inlineStr">
        <is>
          <t>WIP</t>
        </is>
      </c>
      <c r="T175" s="31" t="n"/>
      <c r="U175" s="36" t="n"/>
      <c r="V175" s="34">
        <f>IF($U175="","",IFERROR(INDEX(Templates!$K$3:$K$10,MATCH($U175,Templates!$A$3:$A$10,0)),""))</f>
        <v/>
      </c>
      <c r="W175" s="34">
        <f>IF($U175="","",IFERROR(INDEX(Templates!$L$3:$L$10,MATCH($U175,Templates!$A$3:$A$10,0)),""))</f>
        <v/>
      </c>
      <c r="X175" s="21">
        <f>IF($U175="","",IFERROR(INDEX(Templates!$J$3:$J$10,MATCH($U175,Templates!$A$3:$A$10,0)),""))</f>
        <v/>
      </c>
      <c r="Y175" s="35">
        <f>IF(OR($U175="",$I175="",$J175="",$X175=""),"",$I175+$X175*($J175-$I175))</f>
        <v/>
      </c>
      <c r="Z175" s="30" t="n">
        <v>46212</v>
      </c>
      <c r="AA175" s="38" t="n"/>
      <c r="AB175" s="39" t="n"/>
      <c r="AC175" s="39" t="n"/>
      <c r="AD175" s="19">
        <f>IF($A175="","",IF($AA175="",$H175,$AA175))</f>
        <v/>
      </c>
      <c r="AE175" s="35">
        <f>IF($A175="","",IF($AB175="",$I175,$AB175))</f>
        <v/>
      </c>
      <c r="AF175" s="35">
        <f>IF($A175="","",IF($AC175="",$J175,$AC175))</f>
        <v/>
      </c>
      <c r="AG175" s="35">
        <f>IF(OR($U175="",$AE175="",$AF175="",$X175=""),"",$AE175+$X175*($AF175-$AE175))</f>
        <v/>
      </c>
      <c r="AH175" s="36" t="n"/>
      <c r="AI175" s="36" t="n"/>
      <c r="AJ175" s="36" t="n"/>
      <c r="AK175" s="36" t="n"/>
      <c r="AL175" s="36" t="n"/>
      <c r="AM175" s="36" t="n"/>
      <c r="AN175" s="36" t="n"/>
      <c r="AO175" s="36" t="n"/>
      <c r="AP175" s="36" t="n"/>
      <c r="AQ175" s="36" t="n"/>
      <c r="AR175" s="36" t="n"/>
      <c r="AS175" s="36" t="n"/>
      <c r="AT175" s="36" t="n"/>
      <c r="AU175" s="36" t="n"/>
      <c r="AV175" s="36" t="n"/>
      <c r="AW175" s="36" t="n"/>
      <c r="AX175" s="36" t="n"/>
    </row>
    <row r="176">
      <c r="A176" s="28" t="inlineStr">
        <is>
          <t>Sunshine_4</t>
        </is>
      </c>
      <c r="B176" s="20" t="inlineStr">
        <is>
          <t>Nuveen</t>
        </is>
      </c>
      <c r="C176" s="28" t="inlineStr">
        <is>
          <t>Nuveen</t>
        </is>
      </c>
      <c r="D176" s="28" t="inlineStr"/>
      <c r="E176" s="28" t="inlineStr">
        <is>
          <t>No</t>
        </is>
      </c>
      <c r="F176" s="28" t="inlineStr">
        <is>
          <t>Active</t>
        </is>
      </c>
      <c r="G176" s="36" t="n"/>
      <c r="H176" s="29" t="n">
        <v>1</v>
      </c>
      <c r="I176" s="37" t="n"/>
      <c r="J176" s="37" t="n"/>
      <c r="K176" s="31" t="n"/>
      <c r="L176" s="31" t="n"/>
      <c r="M176" s="31" t="n"/>
      <c r="N176" s="31" t="n"/>
      <c r="O176" s="31" t="n"/>
      <c r="P176" s="31" t="n"/>
      <c r="Q176" s="23">
        <f>IF($A176="","",COUNTIFS(Assignments!$C$2:$C$769,$A176,Assignments!$G$2:$G$769,"Active"))</f>
        <v/>
      </c>
      <c r="R176" s="32">
        <f>IF($A176="","",SUMIFS(Assignments!$I$2:$I$769,Assignments!$C$2:$C$769,$A176,Assignments!$G$2:$G$769,"Active"))</f>
        <v/>
      </c>
      <c r="S176" s="20" t="inlineStr">
        <is>
          <t>WIP</t>
        </is>
      </c>
      <c r="T176" s="31" t="n"/>
      <c r="U176" s="36" t="n"/>
      <c r="V176" s="34">
        <f>IF($U176="","",IFERROR(INDEX(Templates!$K$3:$K$10,MATCH($U176,Templates!$A$3:$A$10,0)),""))</f>
        <v/>
      </c>
      <c r="W176" s="34">
        <f>IF($U176="","",IFERROR(INDEX(Templates!$L$3:$L$10,MATCH($U176,Templates!$A$3:$A$10,0)),""))</f>
        <v/>
      </c>
      <c r="X176" s="21">
        <f>IF($U176="","",IFERROR(INDEX(Templates!$J$3:$J$10,MATCH($U176,Templates!$A$3:$A$10,0)),""))</f>
        <v/>
      </c>
      <c r="Y176" s="35">
        <f>IF(OR($U176="",$I176="",$J176="",$X176=""),"",$I176+$X176*($J176-$I176))</f>
        <v/>
      </c>
      <c r="Z176" s="30" t="n">
        <v>46212</v>
      </c>
      <c r="AA176" s="38" t="n"/>
      <c r="AB176" s="39" t="n"/>
      <c r="AC176" s="39" t="n"/>
      <c r="AD176" s="19">
        <f>IF($A176="","",IF($AA176="",$H176,$AA176))</f>
        <v/>
      </c>
      <c r="AE176" s="35">
        <f>IF($A176="","",IF($AB176="",$I176,$AB176))</f>
        <v/>
      </c>
      <c r="AF176" s="35">
        <f>IF($A176="","",IF($AC176="",$J176,$AC176))</f>
        <v/>
      </c>
      <c r="AG176" s="35">
        <f>IF(OR($U176="",$AE176="",$AF176="",$X176=""),"",$AE176+$X176*($AF176-$AE176))</f>
        <v/>
      </c>
      <c r="AH176" s="36" t="n"/>
      <c r="AI176" s="36" t="n"/>
      <c r="AJ176" s="36" t="n"/>
      <c r="AK176" s="36" t="n"/>
      <c r="AL176" s="36" t="n"/>
      <c r="AM176" s="36" t="n"/>
      <c r="AN176" s="36" t="n"/>
      <c r="AO176" s="36" t="n"/>
      <c r="AP176" s="36" t="n"/>
      <c r="AQ176" s="36" t="n"/>
      <c r="AR176" s="36" t="n"/>
      <c r="AS176" s="36" t="n"/>
      <c r="AT176" s="36" t="n"/>
      <c r="AU176" s="36" t="n"/>
      <c r="AV176" s="36" t="n"/>
      <c r="AW176" s="36" t="n"/>
      <c r="AX176" s="36" t="n"/>
    </row>
    <row r="177">
      <c r="A177" s="28" t="inlineStr">
        <is>
          <t>Sunzia_3</t>
        </is>
      </c>
      <c r="B177" s="20" t="inlineStr">
        <is>
          <t>Muenchener Rueckversicherungs-Gesellschaft Aktiengesellschaft (Munich Re Group)</t>
        </is>
      </c>
      <c r="C177" s="28" t="inlineStr">
        <is>
          <t>Muenchener Rueckversicherungs-Gesellschaft Aktiengesellschaft (Munich Re Group)</t>
        </is>
      </c>
      <c r="D177" s="28" t="inlineStr"/>
      <c r="E177" s="28" t="inlineStr">
        <is>
          <t>No</t>
        </is>
      </c>
      <c r="F177" s="28" t="inlineStr">
        <is>
          <t>Active</t>
        </is>
      </c>
      <c r="G177" s="36" t="n"/>
      <c r="H177" s="29" t="n">
        <v>1</v>
      </c>
      <c r="I177" s="37" t="n"/>
      <c r="J177" s="37" t="n"/>
      <c r="K177" s="31" t="n"/>
      <c r="L177" s="31" t="n"/>
      <c r="M177" s="31" t="n"/>
      <c r="N177" s="31" t="n"/>
      <c r="O177" s="31" t="n"/>
      <c r="P177" s="31" t="n"/>
      <c r="Q177" s="23">
        <f>IF($A177="","",COUNTIFS(Assignments!$C$2:$C$769,$A177,Assignments!$G$2:$G$769,"Active"))</f>
        <v/>
      </c>
      <c r="R177" s="32">
        <f>IF($A177="","",SUMIFS(Assignments!$I$2:$I$769,Assignments!$C$2:$C$769,$A177,Assignments!$G$2:$G$769,"Active"))</f>
        <v/>
      </c>
      <c r="S177" s="20" t="inlineStr">
        <is>
          <t>WIP</t>
        </is>
      </c>
      <c r="T177" s="31" t="n"/>
      <c r="U177" s="36" t="n"/>
      <c r="V177" s="34">
        <f>IF($U177="","",IFERROR(INDEX(Templates!$K$3:$K$10,MATCH($U177,Templates!$A$3:$A$10,0)),""))</f>
        <v/>
      </c>
      <c r="W177" s="34">
        <f>IF($U177="","",IFERROR(INDEX(Templates!$L$3:$L$10,MATCH($U177,Templates!$A$3:$A$10,0)),""))</f>
        <v/>
      </c>
      <c r="X177" s="21">
        <f>IF($U177="","",IFERROR(INDEX(Templates!$J$3:$J$10,MATCH($U177,Templates!$A$3:$A$10,0)),""))</f>
        <v/>
      </c>
      <c r="Y177" s="35">
        <f>IF(OR($U177="",$I177="",$J177="",$X177=""),"",$I177+$X177*($J177-$I177))</f>
        <v/>
      </c>
      <c r="Z177" s="30" t="n">
        <v>46212</v>
      </c>
      <c r="AA177" s="38" t="n"/>
      <c r="AB177" s="39" t="n"/>
      <c r="AC177" s="39" t="n"/>
      <c r="AD177" s="19">
        <f>IF($A177="","",IF($AA177="",$H177,$AA177))</f>
        <v/>
      </c>
      <c r="AE177" s="35">
        <f>IF($A177="","",IF($AB177="",$I177,$AB177))</f>
        <v/>
      </c>
      <c r="AF177" s="35">
        <f>IF($A177="","",IF($AC177="",$J177,$AC177))</f>
        <v/>
      </c>
      <c r="AG177" s="35">
        <f>IF(OR($U177="",$AE177="",$AF177="",$X177=""),"",$AE177+$X177*($AF177-$AE177))</f>
        <v/>
      </c>
      <c r="AH177" s="36" t="n"/>
      <c r="AI177" s="36" t="n"/>
      <c r="AJ177" s="36" t="n"/>
      <c r="AK177" s="36" t="n"/>
      <c r="AL177" s="36" t="n"/>
      <c r="AM177" s="36" t="n"/>
      <c r="AN177" s="36" t="n"/>
      <c r="AO177" s="36" t="n"/>
      <c r="AP177" s="36" t="n"/>
      <c r="AQ177" s="36" t="n"/>
      <c r="AR177" s="36" t="n"/>
      <c r="AS177" s="36" t="n"/>
      <c r="AT177" s="36" t="n"/>
      <c r="AU177" s="36" t="n"/>
      <c r="AV177" s="36" t="n"/>
      <c r="AW177" s="36" t="n"/>
      <c r="AX177" s="36" t="n"/>
    </row>
    <row r="178">
      <c r="A178" s="28" t="inlineStr">
        <is>
          <t>Tailgate_1</t>
        </is>
      </c>
      <c r="B178" s="20" t="inlineStr">
        <is>
          <t>CDS</t>
        </is>
      </c>
      <c r="C178" s="28" t="inlineStr">
        <is>
          <t>CDS</t>
        </is>
      </c>
      <c r="D178" s="28" t="inlineStr"/>
      <c r="E178" s="28" t="inlineStr">
        <is>
          <t>No</t>
        </is>
      </c>
      <c r="F178" s="28" t="inlineStr">
        <is>
          <t>Active</t>
        </is>
      </c>
      <c r="G178" s="36" t="n"/>
      <c r="H178" s="29" t="n">
        <v>1</v>
      </c>
      <c r="I178" s="37" t="n"/>
      <c r="J178" s="37" t="n"/>
      <c r="K178" s="31" t="n"/>
      <c r="L178" s="31" t="n"/>
      <c r="M178" s="31" t="n"/>
      <c r="N178" s="31" t="n"/>
      <c r="O178" s="31" t="n"/>
      <c r="P178" s="31" t="n"/>
      <c r="Q178" s="23">
        <f>IF($A178="","",COUNTIFS(Assignments!$C$2:$C$769,$A178,Assignments!$G$2:$G$769,"Active"))</f>
        <v/>
      </c>
      <c r="R178" s="32">
        <f>IF($A178="","",SUMIFS(Assignments!$I$2:$I$769,Assignments!$C$2:$C$769,$A178,Assignments!$G$2:$G$769,"Active"))</f>
        <v/>
      </c>
      <c r="S178" s="20" t="inlineStr">
        <is>
          <t>WIP</t>
        </is>
      </c>
      <c r="T178" s="31" t="n"/>
      <c r="U178" s="36" t="n"/>
      <c r="V178" s="34">
        <f>IF($U178="","",IFERROR(INDEX(Templates!$K$3:$K$10,MATCH($U178,Templates!$A$3:$A$10,0)),""))</f>
        <v/>
      </c>
      <c r="W178" s="34">
        <f>IF($U178="","",IFERROR(INDEX(Templates!$L$3:$L$10,MATCH($U178,Templates!$A$3:$A$10,0)),""))</f>
        <v/>
      </c>
      <c r="X178" s="21">
        <f>IF($U178="","",IFERROR(INDEX(Templates!$J$3:$J$10,MATCH($U178,Templates!$A$3:$A$10,0)),""))</f>
        <v/>
      </c>
      <c r="Y178" s="35">
        <f>IF(OR($U178="",$I178="",$J178="",$X178=""),"",$I178+$X178*($J178-$I178))</f>
        <v/>
      </c>
      <c r="Z178" s="30" t="n">
        <v>46212</v>
      </c>
      <c r="AA178" s="38" t="n"/>
      <c r="AB178" s="39" t="n"/>
      <c r="AC178" s="39" t="n"/>
      <c r="AD178" s="19">
        <f>IF($A178="","",IF($AA178="",$H178,$AA178))</f>
        <v/>
      </c>
      <c r="AE178" s="35">
        <f>IF($A178="","",IF($AB178="",$I178,$AB178))</f>
        <v/>
      </c>
      <c r="AF178" s="35">
        <f>IF($A178="","",IF($AC178="",$J178,$AC178))</f>
        <v/>
      </c>
      <c r="AG178" s="35">
        <f>IF(OR($U178="",$AE178="",$AF178="",$X178=""),"",$AE178+$X178*($AF178-$AE178))</f>
        <v/>
      </c>
      <c r="AH178" s="36" t="n"/>
      <c r="AI178" s="36" t="n"/>
      <c r="AJ178" s="36" t="n"/>
      <c r="AK178" s="36" t="n"/>
      <c r="AL178" s="36" t="n"/>
      <c r="AM178" s="36" t="n"/>
      <c r="AN178" s="36" t="n"/>
      <c r="AO178" s="36" t="n"/>
      <c r="AP178" s="36" t="n"/>
      <c r="AQ178" s="36" t="n"/>
      <c r="AR178" s="36" t="n"/>
      <c r="AS178" s="36" t="n"/>
      <c r="AT178" s="36" t="n"/>
      <c r="AU178" s="36" t="n"/>
      <c r="AV178" s="36" t="n"/>
      <c r="AW178" s="36" t="n"/>
      <c r="AX178" s="36" t="n"/>
    </row>
    <row r="179">
      <c r="A179" s="28" t="inlineStr">
        <is>
          <t>Talon_1</t>
        </is>
      </c>
      <c r="B179" s="20" t="inlineStr">
        <is>
          <t>Twin Eagle</t>
        </is>
      </c>
      <c r="C179" s="28" t="inlineStr">
        <is>
          <t>Twin Eagle</t>
        </is>
      </c>
      <c r="D179" s="28" t="inlineStr"/>
      <c r="E179" s="28" t="inlineStr">
        <is>
          <t>No</t>
        </is>
      </c>
      <c r="F179" s="28" t="inlineStr">
        <is>
          <t>Active</t>
        </is>
      </c>
      <c r="G179" s="36" t="n"/>
      <c r="H179" s="29" t="n">
        <v>1</v>
      </c>
      <c r="I179" s="37" t="n"/>
      <c r="J179" s="37" t="n"/>
      <c r="K179" s="31" t="n"/>
      <c r="L179" s="31" t="n"/>
      <c r="M179" s="31" t="n"/>
      <c r="N179" s="31" t="n"/>
      <c r="O179" s="31" t="n"/>
      <c r="P179" s="31" t="n"/>
      <c r="Q179" s="23">
        <f>IF($A179="","",COUNTIFS(Assignments!$C$2:$C$769,$A179,Assignments!$G$2:$G$769,"Active"))</f>
        <v/>
      </c>
      <c r="R179" s="32">
        <f>IF($A179="","",SUMIFS(Assignments!$I$2:$I$769,Assignments!$C$2:$C$769,$A179,Assignments!$G$2:$G$769,"Active"))</f>
        <v/>
      </c>
      <c r="S179" s="20" t="inlineStr">
        <is>
          <t>WIP</t>
        </is>
      </c>
      <c r="T179" s="31" t="n"/>
      <c r="U179" s="36" t="n"/>
      <c r="V179" s="34">
        <f>IF($U179="","",IFERROR(INDEX(Templates!$K$3:$K$10,MATCH($U179,Templates!$A$3:$A$10,0)),""))</f>
        <v/>
      </c>
      <c r="W179" s="34">
        <f>IF($U179="","",IFERROR(INDEX(Templates!$L$3:$L$10,MATCH($U179,Templates!$A$3:$A$10,0)),""))</f>
        <v/>
      </c>
      <c r="X179" s="21">
        <f>IF($U179="","",IFERROR(INDEX(Templates!$J$3:$J$10,MATCH($U179,Templates!$A$3:$A$10,0)),""))</f>
        <v/>
      </c>
      <c r="Y179" s="35">
        <f>IF(OR($U179="",$I179="",$J179="",$X179=""),"",$I179+$X179*($J179-$I179))</f>
        <v/>
      </c>
      <c r="Z179" s="30" t="n">
        <v>46212</v>
      </c>
      <c r="AA179" s="38" t="n"/>
      <c r="AB179" s="39" t="n"/>
      <c r="AC179" s="39" t="n"/>
      <c r="AD179" s="19">
        <f>IF($A179="","",IF($AA179="",$H179,$AA179))</f>
        <v/>
      </c>
      <c r="AE179" s="35">
        <f>IF($A179="","",IF($AB179="",$I179,$AB179))</f>
        <v/>
      </c>
      <c r="AF179" s="35">
        <f>IF($A179="","",IF($AC179="",$J179,$AC179))</f>
        <v/>
      </c>
      <c r="AG179" s="35">
        <f>IF(OR($U179="",$AE179="",$AF179="",$X179=""),"",$AE179+$X179*($AF179-$AE179))</f>
        <v/>
      </c>
      <c r="AH179" s="36" t="n"/>
      <c r="AI179" s="36" t="n"/>
      <c r="AJ179" s="36" t="n"/>
      <c r="AK179" s="36" t="n"/>
      <c r="AL179" s="36" t="n"/>
      <c r="AM179" s="36" t="n"/>
      <c r="AN179" s="36" t="n"/>
      <c r="AO179" s="36" t="n"/>
      <c r="AP179" s="36" t="n"/>
      <c r="AQ179" s="36" t="n"/>
      <c r="AR179" s="36" t="n"/>
      <c r="AS179" s="36" t="n"/>
      <c r="AT179" s="36" t="n"/>
      <c r="AU179" s="36" t="n"/>
      <c r="AV179" s="36" t="n"/>
      <c r="AW179" s="36" t="n"/>
      <c r="AX179" s="36" t="n"/>
    </row>
    <row r="180">
      <c r="A180" s="28" t="inlineStr">
        <is>
          <t>Tax_7</t>
        </is>
      </c>
      <c r="B180" s="20" t="inlineStr">
        <is>
          <t>reNRG TX 8 LLC</t>
        </is>
      </c>
      <c r="C180" s="28" t="inlineStr">
        <is>
          <t>reNRG TX 8 LLC</t>
        </is>
      </c>
      <c r="D180" s="28" t="inlineStr"/>
      <c r="E180" s="28" t="inlineStr">
        <is>
          <t>No</t>
        </is>
      </c>
      <c r="F180" s="28" t="inlineStr">
        <is>
          <t>Active</t>
        </is>
      </c>
      <c r="G180" s="36" t="n"/>
      <c r="H180" s="29" t="n">
        <v>1</v>
      </c>
      <c r="I180" s="37" t="n"/>
      <c r="J180" s="37" t="n"/>
      <c r="K180" s="31" t="n"/>
      <c r="L180" s="31" t="n"/>
      <c r="M180" s="31" t="n"/>
      <c r="N180" s="31" t="n"/>
      <c r="O180" s="31" t="n"/>
      <c r="P180" s="31" t="n"/>
      <c r="Q180" s="23">
        <f>IF($A180="","",COUNTIFS(Assignments!$C$2:$C$769,$A180,Assignments!$G$2:$G$769,"Active"))</f>
        <v/>
      </c>
      <c r="R180" s="32">
        <f>IF($A180="","",SUMIFS(Assignments!$I$2:$I$769,Assignments!$C$2:$C$769,$A180,Assignments!$G$2:$G$769,"Active"))</f>
        <v/>
      </c>
      <c r="S180" s="20" t="inlineStr">
        <is>
          <t>WIP</t>
        </is>
      </c>
      <c r="T180" s="31" t="n"/>
      <c r="U180" s="36" t="n"/>
      <c r="V180" s="34">
        <f>IF($U180="","",IFERROR(INDEX(Templates!$K$3:$K$10,MATCH($U180,Templates!$A$3:$A$10,0)),""))</f>
        <v/>
      </c>
      <c r="W180" s="34">
        <f>IF($U180="","",IFERROR(INDEX(Templates!$L$3:$L$10,MATCH($U180,Templates!$A$3:$A$10,0)),""))</f>
        <v/>
      </c>
      <c r="X180" s="21">
        <f>IF($U180="","",IFERROR(INDEX(Templates!$J$3:$J$10,MATCH($U180,Templates!$A$3:$A$10,0)),""))</f>
        <v/>
      </c>
      <c r="Y180" s="35">
        <f>IF(OR($U180="",$I180="",$J180="",$X180=""),"",$I180+$X180*($J180-$I180))</f>
        <v/>
      </c>
      <c r="Z180" s="30" t="n">
        <v>46212</v>
      </c>
      <c r="AA180" s="38" t="n"/>
      <c r="AB180" s="39" t="n"/>
      <c r="AC180" s="39" t="n"/>
      <c r="AD180" s="19">
        <f>IF($A180="","",IF($AA180="",$H180,$AA180))</f>
        <v/>
      </c>
      <c r="AE180" s="35">
        <f>IF($A180="","",IF($AB180="",$I180,$AB180))</f>
        <v/>
      </c>
      <c r="AF180" s="35">
        <f>IF($A180="","",IF($AC180="",$J180,$AC180))</f>
        <v/>
      </c>
      <c r="AG180" s="35">
        <f>IF(OR($U180="",$AE180="",$AF180="",$X180=""),"",$AE180+$X180*($AF180-$AE180))</f>
        <v/>
      </c>
      <c r="AH180" s="36" t="n"/>
      <c r="AI180" s="36" t="n"/>
      <c r="AJ180" s="36" t="n"/>
      <c r="AK180" s="36" t="n"/>
      <c r="AL180" s="36" t="n"/>
      <c r="AM180" s="36" t="n"/>
      <c r="AN180" s="36" t="n"/>
      <c r="AO180" s="36" t="n"/>
      <c r="AP180" s="36" t="n"/>
      <c r="AQ180" s="36" t="n"/>
      <c r="AR180" s="36" t="n"/>
      <c r="AS180" s="36" t="n"/>
      <c r="AT180" s="36" t="n"/>
      <c r="AU180" s="36" t="n"/>
      <c r="AV180" s="36" t="n"/>
      <c r="AW180" s="36" t="n"/>
      <c r="AX180" s="36" t="n"/>
    </row>
    <row r="181">
      <c r="A181" s="28" t="inlineStr">
        <is>
          <t>Tax_8</t>
        </is>
      </c>
      <c r="B181" s="20" t="inlineStr">
        <is>
          <t>Uriel Renewables, Inc.</t>
        </is>
      </c>
      <c r="C181" s="28" t="inlineStr">
        <is>
          <t>Uriel Renewables, Inc.</t>
        </is>
      </c>
      <c r="D181" s="28" t="inlineStr"/>
      <c r="E181" s="28" t="inlineStr">
        <is>
          <t>No</t>
        </is>
      </c>
      <c r="F181" s="28" t="inlineStr">
        <is>
          <t>Active</t>
        </is>
      </c>
      <c r="G181" s="36" t="n"/>
      <c r="H181" s="29" t="n">
        <v>1</v>
      </c>
      <c r="I181" s="37" t="n"/>
      <c r="J181" s="37" t="n"/>
      <c r="K181" s="31" t="n"/>
      <c r="L181" s="31" t="n"/>
      <c r="M181" s="31" t="n"/>
      <c r="N181" s="31" t="n"/>
      <c r="O181" s="31" t="n"/>
      <c r="P181" s="31" t="n"/>
      <c r="Q181" s="23">
        <f>IF($A181="","",COUNTIFS(Assignments!$C$2:$C$769,$A181,Assignments!$G$2:$G$769,"Active"))</f>
        <v/>
      </c>
      <c r="R181" s="32">
        <f>IF($A181="","",SUMIFS(Assignments!$I$2:$I$769,Assignments!$C$2:$C$769,$A181,Assignments!$G$2:$G$769,"Active"))</f>
        <v/>
      </c>
      <c r="S181" s="20" t="inlineStr">
        <is>
          <t>WIP</t>
        </is>
      </c>
      <c r="T181" s="31" t="n"/>
      <c r="U181" s="36" t="n"/>
      <c r="V181" s="34">
        <f>IF($U181="","",IFERROR(INDEX(Templates!$K$3:$K$10,MATCH($U181,Templates!$A$3:$A$10,0)),""))</f>
        <v/>
      </c>
      <c r="W181" s="34">
        <f>IF($U181="","",IFERROR(INDEX(Templates!$L$3:$L$10,MATCH($U181,Templates!$A$3:$A$10,0)),""))</f>
        <v/>
      </c>
      <c r="X181" s="21">
        <f>IF($U181="","",IFERROR(INDEX(Templates!$J$3:$J$10,MATCH($U181,Templates!$A$3:$A$10,0)),""))</f>
        <v/>
      </c>
      <c r="Y181" s="35">
        <f>IF(OR($U181="",$I181="",$J181="",$X181=""),"",$I181+$X181*($J181-$I181))</f>
        <v/>
      </c>
      <c r="Z181" s="30" t="n">
        <v>46212</v>
      </c>
      <c r="AA181" s="38" t="n"/>
      <c r="AB181" s="39" t="n"/>
      <c r="AC181" s="39" t="n"/>
      <c r="AD181" s="19">
        <f>IF($A181="","",IF($AA181="",$H181,$AA181))</f>
        <v/>
      </c>
      <c r="AE181" s="35">
        <f>IF($A181="","",IF($AB181="",$I181,$AB181))</f>
        <v/>
      </c>
      <c r="AF181" s="35">
        <f>IF($A181="","",IF($AC181="",$J181,$AC181))</f>
        <v/>
      </c>
      <c r="AG181" s="35">
        <f>IF(OR($U181="",$AE181="",$AF181="",$X181=""),"",$AE181+$X181*($AF181-$AE181))</f>
        <v/>
      </c>
      <c r="AH181" s="36" t="n"/>
      <c r="AI181" s="36" t="n"/>
      <c r="AJ181" s="36" t="n"/>
      <c r="AK181" s="36" t="n"/>
      <c r="AL181" s="36" t="n"/>
      <c r="AM181" s="36" t="n"/>
      <c r="AN181" s="36" t="n"/>
      <c r="AO181" s="36" t="n"/>
      <c r="AP181" s="36" t="n"/>
      <c r="AQ181" s="36" t="n"/>
      <c r="AR181" s="36" t="n"/>
      <c r="AS181" s="36" t="n"/>
      <c r="AT181" s="36" t="n"/>
      <c r="AU181" s="36" t="n"/>
      <c r="AV181" s="36" t="n"/>
      <c r="AW181" s="36" t="n"/>
      <c r="AX181" s="36" t="n"/>
    </row>
    <row r="182">
      <c r="A182" s="28" t="inlineStr">
        <is>
          <t>Tennessee_1</t>
        </is>
      </c>
      <c r="B182" s="20" t="inlineStr">
        <is>
          <t>Ardian : ASTM North America</t>
        </is>
      </c>
      <c r="C182" s="28" t="inlineStr">
        <is>
          <t>Ardian</t>
        </is>
      </c>
      <c r="D182" s="28" t="inlineStr">
        <is>
          <t>ASTM North America</t>
        </is>
      </c>
      <c r="E182" s="28" t="inlineStr">
        <is>
          <t>No</t>
        </is>
      </c>
      <c r="F182" s="28" t="inlineStr">
        <is>
          <t>Active</t>
        </is>
      </c>
      <c r="G182" s="36" t="n"/>
      <c r="H182" s="29" t="n">
        <v>1</v>
      </c>
      <c r="I182" s="37" t="n"/>
      <c r="J182" s="37" t="n"/>
      <c r="K182" s="31" t="n"/>
      <c r="L182" s="31" t="n"/>
      <c r="M182" s="31" t="n"/>
      <c r="N182" s="31" t="n"/>
      <c r="O182" s="31" t="n"/>
      <c r="P182" s="31" t="n"/>
      <c r="Q182" s="23">
        <f>IF($A182="","",COUNTIFS(Assignments!$C$2:$C$769,$A182,Assignments!$G$2:$G$769,"Active"))</f>
        <v/>
      </c>
      <c r="R182" s="32">
        <f>IF($A182="","",SUMIFS(Assignments!$I$2:$I$769,Assignments!$C$2:$C$769,$A182,Assignments!$G$2:$G$769,"Active"))</f>
        <v/>
      </c>
      <c r="S182" s="20" t="inlineStr">
        <is>
          <t>WIP</t>
        </is>
      </c>
      <c r="T182" s="31" t="n"/>
      <c r="U182" s="36" t="n"/>
      <c r="V182" s="34">
        <f>IF($U182="","",IFERROR(INDEX(Templates!$K$3:$K$10,MATCH($U182,Templates!$A$3:$A$10,0)),""))</f>
        <v/>
      </c>
      <c r="W182" s="34">
        <f>IF($U182="","",IFERROR(INDEX(Templates!$L$3:$L$10,MATCH($U182,Templates!$A$3:$A$10,0)),""))</f>
        <v/>
      </c>
      <c r="X182" s="21">
        <f>IF($U182="","",IFERROR(INDEX(Templates!$J$3:$J$10,MATCH($U182,Templates!$A$3:$A$10,0)),""))</f>
        <v/>
      </c>
      <c r="Y182" s="35">
        <f>IF(OR($U182="",$I182="",$J182="",$X182=""),"",$I182+$X182*($J182-$I182))</f>
        <v/>
      </c>
      <c r="Z182" s="30" t="n">
        <v>46212</v>
      </c>
      <c r="AA182" s="38" t="n"/>
      <c r="AB182" s="39" t="n"/>
      <c r="AC182" s="39" t="n"/>
      <c r="AD182" s="19">
        <f>IF($A182="","",IF($AA182="",$H182,$AA182))</f>
        <v/>
      </c>
      <c r="AE182" s="35">
        <f>IF($A182="","",IF($AB182="",$I182,$AB182))</f>
        <v/>
      </c>
      <c r="AF182" s="35">
        <f>IF($A182="","",IF($AC182="",$J182,$AC182))</f>
        <v/>
      </c>
      <c r="AG182" s="35">
        <f>IF(OR($U182="",$AE182="",$AF182="",$X182=""),"",$AE182+$X182*($AF182-$AE182))</f>
        <v/>
      </c>
      <c r="AH182" s="36" t="n"/>
      <c r="AI182" s="36" t="n"/>
      <c r="AJ182" s="36" t="n"/>
      <c r="AK182" s="36" t="n"/>
      <c r="AL182" s="36" t="n"/>
      <c r="AM182" s="36" t="n"/>
      <c r="AN182" s="36" t="n"/>
      <c r="AO182" s="36" t="n"/>
      <c r="AP182" s="36" t="n"/>
      <c r="AQ182" s="36" t="n"/>
      <c r="AR182" s="36" t="n"/>
      <c r="AS182" s="36" t="n"/>
      <c r="AT182" s="36" t="n"/>
      <c r="AU182" s="36" t="n"/>
      <c r="AV182" s="36" t="n"/>
      <c r="AW182" s="36" t="n"/>
      <c r="AX182" s="36" t="n"/>
    </row>
    <row r="183">
      <c r="A183" s="28" t="inlineStr">
        <is>
          <t>TEP Structuring_3</t>
        </is>
      </c>
      <c r="B183" s="20" t="inlineStr">
        <is>
          <t>Trajectory Energy Partners</t>
        </is>
      </c>
      <c r="C183" s="28" t="inlineStr">
        <is>
          <t>Trajectory Energy Partners</t>
        </is>
      </c>
      <c r="D183" s="28" t="inlineStr"/>
      <c r="E183" s="28" t="inlineStr">
        <is>
          <t>No</t>
        </is>
      </c>
      <c r="F183" s="28" t="inlineStr">
        <is>
          <t>Active</t>
        </is>
      </c>
      <c r="G183" s="36" t="n"/>
      <c r="H183" s="29" t="n">
        <v>1</v>
      </c>
      <c r="I183" s="37" t="n"/>
      <c r="J183" s="37" t="n"/>
      <c r="K183" s="31" t="n"/>
      <c r="L183" s="31" t="n"/>
      <c r="M183" s="31" t="n"/>
      <c r="N183" s="31" t="n"/>
      <c r="O183" s="31" t="n"/>
      <c r="P183" s="31" t="n"/>
      <c r="Q183" s="23">
        <f>IF($A183="","",COUNTIFS(Assignments!$C$2:$C$769,$A183,Assignments!$G$2:$G$769,"Active"))</f>
        <v/>
      </c>
      <c r="R183" s="32">
        <f>IF($A183="","",SUMIFS(Assignments!$I$2:$I$769,Assignments!$C$2:$C$769,$A183,Assignments!$G$2:$G$769,"Active"))</f>
        <v/>
      </c>
      <c r="S183" s="20" t="inlineStr">
        <is>
          <t>WIP</t>
        </is>
      </c>
      <c r="T183" s="31" t="n"/>
      <c r="U183" s="36" t="n"/>
      <c r="V183" s="34">
        <f>IF($U183="","",IFERROR(INDEX(Templates!$K$3:$K$10,MATCH($U183,Templates!$A$3:$A$10,0)),""))</f>
        <v/>
      </c>
      <c r="W183" s="34">
        <f>IF($U183="","",IFERROR(INDEX(Templates!$L$3:$L$10,MATCH($U183,Templates!$A$3:$A$10,0)),""))</f>
        <v/>
      </c>
      <c r="X183" s="21">
        <f>IF($U183="","",IFERROR(INDEX(Templates!$J$3:$J$10,MATCH($U183,Templates!$A$3:$A$10,0)),""))</f>
        <v/>
      </c>
      <c r="Y183" s="35">
        <f>IF(OR($U183="",$I183="",$J183="",$X183=""),"",$I183+$X183*($J183-$I183))</f>
        <v/>
      </c>
      <c r="Z183" s="30" t="n">
        <v>46212</v>
      </c>
      <c r="AA183" s="38" t="n"/>
      <c r="AB183" s="39" t="n"/>
      <c r="AC183" s="39" t="n"/>
      <c r="AD183" s="19">
        <f>IF($A183="","",IF($AA183="",$H183,$AA183))</f>
        <v/>
      </c>
      <c r="AE183" s="35">
        <f>IF($A183="","",IF($AB183="",$I183,$AB183))</f>
        <v/>
      </c>
      <c r="AF183" s="35">
        <f>IF($A183="","",IF($AC183="",$J183,$AC183))</f>
        <v/>
      </c>
      <c r="AG183" s="35">
        <f>IF(OR($U183="",$AE183="",$AF183="",$X183=""),"",$AE183+$X183*($AF183-$AE183))</f>
        <v/>
      </c>
      <c r="AH183" s="36" t="n"/>
      <c r="AI183" s="36" t="n"/>
      <c r="AJ183" s="36" t="n"/>
      <c r="AK183" s="36" t="n"/>
      <c r="AL183" s="36" t="n"/>
      <c r="AM183" s="36" t="n"/>
      <c r="AN183" s="36" t="n"/>
      <c r="AO183" s="36" t="n"/>
      <c r="AP183" s="36" t="n"/>
      <c r="AQ183" s="36" t="n"/>
      <c r="AR183" s="36" t="n"/>
      <c r="AS183" s="36" t="n"/>
      <c r="AT183" s="36" t="n"/>
      <c r="AU183" s="36" t="n"/>
      <c r="AV183" s="36" t="n"/>
      <c r="AW183" s="36" t="n"/>
      <c r="AX183" s="36" t="n"/>
    </row>
    <row r="184">
      <c r="A184" s="28" t="inlineStr">
        <is>
          <t>TEP Tax_1</t>
        </is>
      </c>
      <c r="B184" s="20" t="inlineStr">
        <is>
          <t>TEP Tax_1</t>
        </is>
      </c>
      <c r="C184" s="28" t="inlineStr">
        <is>
          <t>TEP Tax_1</t>
        </is>
      </c>
      <c r="D184" s="28" t="inlineStr"/>
      <c r="E184" s="28" t="inlineStr">
        <is>
          <t>No</t>
        </is>
      </c>
      <c r="F184" s="28" t="inlineStr">
        <is>
          <t>Active</t>
        </is>
      </c>
      <c r="G184" s="36" t="n"/>
      <c r="H184" s="29" t="n">
        <v>1</v>
      </c>
      <c r="I184" s="37" t="n"/>
      <c r="J184" s="37" t="n"/>
      <c r="K184" s="31" t="n"/>
      <c r="L184" s="31" t="n"/>
      <c r="M184" s="31" t="n"/>
      <c r="N184" s="31" t="n"/>
      <c r="O184" s="31" t="n"/>
      <c r="P184" s="31" t="n"/>
      <c r="Q184" s="23">
        <f>IF($A184="","",COUNTIFS(Assignments!$C$2:$C$769,$A184,Assignments!$G$2:$G$769,"Active"))</f>
        <v/>
      </c>
      <c r="R184" s="32">
        <f>IF($A184="","",SUMIFS(Assignments!$I$2:$I$769,Assignments!$C$2:$C$769,$A184,Assignments!$G$2:$G$769,"Active"))</f>
        <v/>
      </c>
      <c r="S184" s="20" t="inlineStr">
        <is>
          <t>WIP</t>
        </is>
      </c>
      <c r="T184" s="31" t="n"/>
      <c r="U184" s="36" t="n"/>
      <c r="V184" s="34">
        <f>IF($U184="","",IFERROR(INDEX(Templates!$K$3:$K$10,MATCH($U184,Templates!$A$3:$A$10,0)),""))</f>
        <v/>
      </c>
      <c r="W184" s="34">
        <f>IF($U184="","",IFERROR(INDEX(Templates!$L$3:$L$10,MATCH($U184,Templates!$A$3:$A$10,0)),""))</f>
        <v/>
      </c>
      <c r="X184" s="21">
        <f>IF($U184="","",IFERROR(INDEX(Templates!$J$3:$J$10,MATCH($U184,Templates!$A$3:$A$10,0)),""))</f>
        <v/>
      </c>
      <c r="Y184" s="35">
        <f>IF(OR($U184="",$I184="",$J184="",$X184=""),"",$I184+$X184*($J184-$I184))</f>
        <v/>
      </c>
      <c r="Z184" s="30" t="n">
        <v>46212</v>
      </c>
      <c r="AA184" s="38" t="n"/>
      <c r="AB184" s="39" t="n"/>
      <c r="AC184" s="39" t="n"/>
      <c r="AD184" s="19">
        <f>IF($A184="","",IF($AA184="",$H184,$AA184))</f>
        <v/>
      </c>
      <c r="AE184" s="35">
        <f>IF($A184="","",IF($AB184="",$I184,$AB184))</f>
        <v/>
      </c>
      <c r="AF184" s="35">
        <f>IF($A184="","",IF($AC184="",$J184,$AC184))</f>
        <v/>
      </c>
      <c r="AG184" s="35">
        <f>IF(OR($U184="",$AE184="",$AF184="",$X184=""),"",$AE184+$X184*($AF184-$AE184))</f>
        <v/>
      </c>
      <c r="AH184" s="36" t="n"/>
      <c r="AI184" s="36" t="n"/>
      <c r="AJ184" s="36" t="n"/>
      <c r="AK184" s="36" t="n"/>
      <c r="AL184" s="36" t="n"/>
      <c r="AM184" s="36" t="n"/>
      <c r="AN184" s="36" t="n"/>
      <c r="AO184" s="36" t="n"/>
      <c r="AP184" s="36" t="n"/>
      <c r="AQ184" s="36" t="n"/>
      <c r="AR184" s="36" t="n"/>
      <c r="AS184" s="36" t="n"/>
      <c r="AT184" s="36" t="n"/>
      <c r="AU184" s="36" t="n"/>
      <c r="AV184" s="36" t="n"/>
      <c r="AW184" s="36" t="n"/>
      <c r="AX184" s="36" t="n"/>
    </row>
    <row r="185">
      <c r="A185" s="28" t="inlineStr">
        <is>
          <t>Theoden_1</t>
        </is>
      </c>
      <c r="B185" s="20" t="inlineStr">
        <is>
          <t>SkyKnight Capital</t>
        </is>
      </c>
      <c r="C185" s="28" t="inlineStr">
        <is>
          <t>SkyKnight Capital</t>
        </is>
      </c>
      <c r="D185" s="28" t="inlineStr"/>
      <c r="E185" s="28" t="inlineStr">
        <is>
          <t>No</t>
        </is>
      </c>
      <c r="F185" s="28" t="inlineStr">
        <is>
          <t>Active</t>
        </is>
      </c>
      <c r="G185" s="36" t="n"/>
      <c r="H185" s="29" t="n">
        <v>1</v>
      </c>
      <c r="I185" s="37" t="n"/>
      <c r="J185" s="37" t="n"/>
      <c r="K185" s="31" t="n"/>
      <c r="L185" s="31" t="n"/>
      <c r="M185" s="31" t="n"/>
      <c r="N185" s="31" t="n"/>
      <c r="O185" s="31" t="n"/>
      <c r="P185" s="31" t="n"/>
      <c r="Q185" s="23">
        <f>IF($A185="","",COUNTIFS(Assignments!$C$2:$C$769,$A185,Assignments!$G$2:$G$769,"Active"))</f>
        <v/>
      </c>
      <c r="R185" s="32">
        <f>IF($A185="","",SUMIFS(Assignments!$I$2:$I$769,Assignments!$C$2:$C$769,$A185,Assignments!$G$2:$G$769,"Active"))</f>
        <v/>
      </c>
      <c r="S185" s="20" t="inlineStr">
        <is>
          <t>WIP</t>
        </is>
      </c>
      <c r="T185" s="31" t="n"/>
      <c r="U185" s="36" t="n"/>
      <c r="V185" s="34">
        <f>IF($U185="","",IFERROR(INDEX(Templates!$K$3:$K$10,MATCH($U185,Templates!$A$3:$A$10,0)),""))</f>
        <v/>
      </c>
      <c r="W185" s="34">
        <f>IF($U185="","",IFERROR(INDEX(Templates!$L$3:$L$10,MATCH($U185,Templates!$A$3:$A$10,0)),""))</f>
        <v/>
      </c>
      <c r="X185" s="21">
        <f>IF($U185="","",IFERROR(INDEX(Templates!$J$3:$J$10,MATCH($U185,Templates!$A$3:$A$10,0)),""))</f>
        <v/>
      </c>
      <c r="Y185" s="35">
        <f>IF(OR($U185="",$I185="",$J185="",$X185=""),"",$I185+$X185*($J185-$I185))</f>
        <v/>
      </c>
      <c r="Z185" s="30" t="n">
        <v>46212</v>
      </c>
      <c r="AA185" s="38" t="n"/>
      <c r="AB185" s="39" t="n"/>
      <c r="AC185" s="39" t="n"/>
      <c r="AD185" s="19">
        <f>IF($A185="","",IF($AA185="",$H185,$AA185))</f>
        <v/>
      </c>
      <c r="AE185" s="35">
        <f>IF($A185="","",IF($AB185="",$I185,$AB185))</f>
        <v/>
      </c>
      <c r="AF185" s="35">
        <f>IF($A185="","",IF($AC185="",$J185,$AC185))</f>
        <v/>
      </c>
      <c r="AG185" s="35">
        <f>IF(OR($U185="",$AE185="",$AF185="",$X185=""),"",$AE185+$X185*($AF185-$AE185))</f>
        <v/>
      </c>
      <c r="AH185" s="36" t="n"/>
      <c r="AI185" s="36" t="n"/>
      <c r="AJ185" s="36" t="n"/>
      <c r="AK185" s="36" t="n"/>
      <c r="AL185" s="36" t="n"/>
      <c r="AM185" s="36" t="n"/>
      <c r="AN185" s="36" t="n"/>
      <c r="AO185" s="36" t="n"/>
      <c r="AP185" s="36" t="n"/>
      <c r="AQ185" s="36" t="n"/>
      <c r="AR185" s="36" t="n"/>
      <c r="AS185" s="36" t="n"/>
      <c r="AT185" s="36" t="n"/>
      <c r="AU185" s="36" t="n"/>
      <c r="AV185" s="36" t="n"/>
      <c r="AW185" s="36" t="n"/>
      <c r="AX185" s="36" t="n"/>
    </row>
    <row r="186">
      <c r="A186" s="28" t="inlineStr">
        <is>
          <t>Torch_4</t>
        </is>
      </c>
      <c r="B186" s="20" t="inlineStr">
        <is>
          <t>Morgan Stanley : Morgan Stanley Infrastructure Partners : Torch Clean Energy</t>
        </is>
      </c>
      <c r="C186" s="28" t="inlineStr">
        <is>
          <t>Morgan Stanley</t>
        </is>
      </c>
      <c r="D186" s="28" t="inlineStr">
        <is>
          <t>Torch Clean Energy</t>
        </is>
      </c>
      <c r="E186" s="28" t="inlineStr">
        <is>
          <t>No</t>
        </is>
      </c>
      <c r="F186" s="28" t="inlineStr">
        <is>
          <t>Active</t>
        </is>
      </c>
      <c r="G186" s="36" t="n"/>
      <c r="H186" s="29" t="n">
        <v>1</v>
      </c>
      <c r="I186" s="37" t="n"/>
      <c r="J186" s="37" t="n"/>
      <c r="K186" s="31" t="n"/>
      <c r="L186" s="31" t="n"/>
      <c r="M186" s="31" t="n"/>
      <c r="N186" s="31" t="n"/>
      <c r="O186" s="31" t="n"/>
      <c r="P186" s="31" t="n"/>
      <c r="Q186" s="23">
        <f>IF($A186="","",COUNTIFS(Assignments!$C$2:$C$769,$A186,Assignments!$G$2:$G$769,"Active"))</f>
        <v/>
      </c>
      <c r="R186" s="32">
        <f>IF($A186="","",SUMIFS(Assignments!$I$2:$I$769,Assignments!$C$2:$C$769,$A186,Assignments!$G$2:$G$769,"Active"))</f>
        <v/>
      </c>
      <c r="S186" s="20" t="inlineStr">
        <is>
          <t>WIP</t>
        </is>
      </c>
      <c r="T186" s="31" t="n"/>
      <c r="U186" s="36" t="n"/>
      <c r="V186" s="34">
        <f>IF($U186="","",IFERROR(INDEX(Templates!$K$3:$K$10,MATCH($U186,Templates!$A$3:$A$10,0)),""))</f>
        <v/>
      </c>
      <c r="W186" s="34">
        <f>IF($U186="","",IFERROR(INDEX(Templates!$L$3:$L$10,MATCH($U186,Templates!$A$3:$A$10,0)),""))</f>
        <v/>
      </c>
      <c r="X186" s="21">
        <f>IF($U186="","",IFERROR(INDEX(Templates!$J$3:$J$10,MATCH($U186,Templates!$A$3:$A$10,0)),""))</f>
        <v/>
      </c>
      <c r="Y186" s="35">
        <f>IF(OR($U186="",$I186="",$J186="",$X186=""),"",$I186+$X186*($J186-$I186))</f>
        <v/>
      </c>
      <c r="Z186" s="30" t="n">
        <v>46212</v>
      </c>
      <c r="AA186" s="38" t="n"/>
      <c r="AB186" s="39" t="n"/>
      <c r="AC186" s="39" t="n"/>
      <c r="AD186" s="19">
        <f>IF($A186="","",IF($AA186="",$H186,$AA186))</f>
        <v/>
      </c>
      <c r="AE186" s="35">
        <f>IF($A186="","",IF($AB186="",$I186,$AB186))</f>
        <v/>
      </c>
      <c r="AF186" s="35">
        <f>IF($A186="","",IF($AC186="",$J186,$AC186))</f>
        <v/>
      </c>
      <c r="AG186" s="35">
        <f>IF(OR($U186="",$AE186="",$AF186="",$X186=""),"",$AE186+$X186*($AF186-$AE186))</f>
        <v/>
      </c>
      <c r="AH186" s="36" t="n"/>
      <c r="AI186" s="36" t="n"/>
      <c r="AJ186" s="36" t="n"/>
      <c r="AK186" s="36" t="n"/>
      <c r="AL186" s="36" t="n"/>
      <c r="AM186" s="36" t="n"/>
      <c r="AN186" s="36" t="n"/>
      <c r="AO186" s="36" t="n"/>
      <c r="AP186" s="36" t="n"/>
      <c r="AQ186" s="36" t="n"/>
      <c r="AR186" s="36" t="n"/>
      <c r="AS186" s="36" t="n"/>
      <c r="AT186" s="36" t="n"/>
      <c r="AU186" s="36" t="n"/>
      <c r="AV186" s="36" t="n"/>
      <c r="AW186" s="36" t="n"/>
      <c r="AX186" s="36" t="n"/>
    </row>
    <row r="187">
      <c r="A187" s="28" t="inlineStr">
        <is>
          <t>Truman_1</t>
        </is>
      </c>
      <c r="B187" s="20" t="inlineStr">
        <is>
          <t>RELX Plc</t>
        </is>
      </c>
      <c r="C187" s="28" t="inlineStr">
        <is>
          <t>RELX Plc</t>
        </is>
      </c>
      <c r="D187" s="28" t="inlineStr"/>
      <c r="E187" s="28" t="inlineStr">
        <is>
          <t>No</t>
        </is>
      </c>
      <c r="F187" s="28" t="inlineStr">
        <is>
          <t>Active</t>
        </is>
      </c>
      <c r="G187" s="36" t="n"/>
      <c r="H187" s="29" t="n">
        <v>1</v>
      </c>
      <c r="I187" s="37" t="n"/>
      <c r="J187" s="37" t="n"/>
      <c r="K187" s="31" t="n"/>
      <c r="L187" s="31" t="n"/>
      <c r="M187" s="31" t="n"/>
      <c r="N187" s="31" t="n"/>
      <c r="O187" s="31" t="n"/>
      <c r="P187" s="31" t="n"/>
      <c r="Q187" s="23">
        <f>IF($A187="","",COUNTIFS(Assignments!$C$2:$C$769,$A187,Assignments!$G$2:$G$769,"Active"))</f>
        <v/>
      </c>
      <c r="R187" s="32">
        <f>IF($A187="","",SUMIFS(Assignments!$I$2:$I$769,Assignments!$C$2:$C$769,$A187,Assignments!$G$2:$G$769,"Active"))</f>
        <v/>
      </c>
      <c r="S187" s="20" t="inlineStr">
        <is>
          <t>WIP</t>
        </is>
      </c>
      <c r="T187" s="31" t="n"/>
      <c r="U187" s="36" t="n"/>
      <c r="V187" s="34">
        <f>IF($U187="","",IFERROR(INDEX(Templates!$K$3:$K$10,MATCH($U187,Templates!$A$3:$A$10,0)),""))</f>
        <v/>
      </c>
      <c r="W187" s="34">
        <f>IF($U187="","",IFERROR(INDEX(Templates!$L$3:$L$10,MATCH($U187,Templates!$A$3:$A$10,0)),""))</f>
        <v/>
      </c>
      <c r="X187" s="21">
        <f>IF($U187="","",IFERROR(INDEX(Templates!$J$3:$J$10,MATCH($U187,Templates!$A$3:$A$10,0)),""))</f>
        <v/>
      </c>
      <c r="Y187" s="35">
        <f>IF(OR($U187="",$I187="",$J187="",$X187=""),"",$I187+$X187*($J187-$I187))</f>
        <v/>
      </c>
      <c r="Z187" s="30" t="n">
        <v>46212</v>
      </c>
      <c r="AA187" s="38" t="n"/>
      <c r="AB187" s="39" t="n"/>
      <c r="AC187" s="39" t="n"/>
      <c r="AD187" s="19">
        <f>IF($A187="","",IF($AA187="",$H187,$AA187))</f>
        <v/>
      </c>
      <c r="AE187" s="35">
        <f>IF($A187="","",IF($AB187="",$I187,$AB187))</f>
        <v/>
      </c>
      <c r="AF187" s="35">
        <f>IF($A187="","",IF($AC187="",$J187,$AC187))</f>
        <v/>
      </c>
      <c r="AG187" s="35">
        <f>IF(OR($U187="",$AE187="",$AF187="",$X187=""),"",$AE187+$X187*($AF187-$AE187))</f>
        <v/>
      </c>
      <c r="AH187" s="36" t="n"/>
      <c r="AI187" s="36" t="n"/>
      <c r="AJ187" s="36" t="n"/>
      <c r="AK187" s="36" t="n"/>
      <c r="AL187" s="36" t="n"/>
      <c r="AM187" s="36" t="n"/>
      <c r="AN187" s="36" t="n"/>
      <c r="AO187" s="36" t="n"/>
      <c r="AP187" s="36" t="n"/>
      <c r="AQ187" s="36" t="n"/>
      <c r="AR187" s="36" t="n"/>
      <c r="AS187" s="36" t="n"/>
      <c r="AT187" s="36" t="n"/>
      <c r="AU187" s="36" t="n"/>
      <c r="AV187" s="36" t="n"/>
      <c r="AW187" s="36" t="n"/>
      <c r="AX187" s="36" t="n"/>
    </row>
    <row r="188">
      <c r="A188" s="28" t="inlineStr">
        <is>
          <t>Truman_2</t>
        </is>
      </c>
      <c r="B188" s="20" t="inlineStr">
        <is>
          <t>Morgan Stanley : Morgan Stanley Infrastructure Partners</t>
        </is>
      </c>
      <c r="C188" s="28" t="inlineStr">
        <is>
          <t>Morgan Stanley</t>
        </is>
      </c>
      <c r="D188" s="28" t="inlineStr">
        <is>
          <t>Morgan Stanley Infrastructure Partners</t>
        </is>
      </c>
      <c r="E188" s="28" t="inlineStr">
        <is>
          <t>No</t>
        </is>
      </c>
      <c r="F188" s="28" t="inlineStr">
        <is>
          <t>Active</t>
        </is>
      </c>
      <c r="G188" s="36" t="n"/>
      <c r="H188" s="29" t="n">
        <v>1</v>
      </c>
      <c r="I188" s="37" t="n"/>
      <c r="J188" s="37" t="n"/>
      <c r="K188" s="31" t="n"/>
      <c r="L188" s="31" t="n"/>
      <c r="M188" s="31" t="n"/>
      <c r="N188" s="31" t="n"/>
      <c r="O188" s="31" t="n"/>
      <c r="P188" s="31" t="n"/>
      <c r="Q188" s="23">
        <f>IF($A188="","",COUNTIFS(Assignments!$C$2:$C$769,$A188,Assignments!$G$2:$G$769,"Active"))</f>
        <v/>
      </c>
      <c r="R188" s="32">
        <f>IF($A188="","",SUMIFS(Assignments!$I$2:$I$769,Assignments!$C$2:$C$769,$A188,Assignments!$G$2:$G$769,"Active"))</f>
        <v/>
      </c>
      <c r="S188" s="20" t="inlineStr">
        <is>
          <t>WIP</t>
        </is>
      </c>
      <c r="T188" s="31" t="n"/>
      <c r="U188" s="36" t="n"/>
      <c r="V188" s="34">
        <f>IF($U188="","",IFERROR(INDEX(Templates!$K$3:$K$10,MATCH($U188,Templates!$A$3:$A$10,0)),""))</f>
        <v/>
      </c>
      <c r="W188" s="34">
        <f>IF($U188="","",IFERROR(INDEX(Templates!$L$3:$L$10,MATCH($U188,Templates!$A$3:$A$10,0)),""))</f>
        <v/>
      </c>
      <c r="X188" s="21">
        <f>IF($U188="","",IFERROR(INDEX(Templates!$J$3:$J$10,MATCH($U188,Templates!$A$3:$A$10,0)),""))</f>
        <v/>
      </c>
      <c r="Y188" s="35">
        <f>IF(OR($U188="",$I188="",$J188="",$X188=""),"",$I188+$X188*($J188-$I188))</f>
        <v/>
      </c>
      <c r="Z188" s="30" t="n">
        <v>46212</v>
      </c>
      <c r="AA188" s="38" t="n"/>
      <c r="AB188" s="39" t="n"/>
      <c r="AC188" s="39" t="n"/>
      <c r="AD188" s="19">
        <f>IF($A188="","",IF($AA188="",$H188,$AA188))</f>
        <v/>
      </c>
      <c r="AE188" s="35">
        <f>IF($A188="","",IF($AB188="",$I188,$AB188))</f>
        <v/>
      </c>
      <c r="AF188" s="35">
        <f>IF($A188="","",IF($AC188="",$J188,$AC188))</f>
        <v/>
      </c>
      <c r="AG188" s="35">
        <f>IF(OR($U188="",$AE188="",$AF188="",$X188=""),"",$AE188+$X188*($AF188-$AE188))</f>
        <v/>
      </c>
      <c r="AH188" s="36" t="n"/>
      <c r="AI188" s="36" t="n"/>
      <c r="AJ188" s="36" t="n"/>
      <c r="AK188" s="36" t="n"/>
      <c r="AL188" s="36" t="n"/>
      <c r="AM188" s="36" t="n"/>
      <c r="AN188" s="36" t="n"/>
      <c r="AO188" s="36" t="n"/>
      <c r="AP188" s="36" t="n"/>
      <c r="AQ188" s="36" t="n"/>
      <c r="AR188" s="36" t="n"/>
      <c r="AS188" s="36" t="n"/>
      <c r="AT188" s="36" t="n"/>
      <c r="AU188" s="36" t="n"/>
      <c r="AV188" s="36" t="n"/>
      <c r="AW188" s="36" t="n"/>
      <c r="AX188" s="36" t="n"/>
    </row>
    <row r="189">
      <c r="A189" s="28" t="inlineStr">
        <is>
          <t>Ulysses_2</t>
        </is>
      </c>
      <c r="B189" s="20" t="inlineStr">
        <is>
          <t>Ethos Specialty Insurance Services</t>
        </is>
      </c>
      <c r="C189" s="28" t="inlineStr">
        <is>
          <t>Ethos Specialty Insurance Services</t>
        </is>
      </c>
      <c r="D189" s="28" t="inlineStr"/>
      <c r="E189" s="28" t="inlineStr">
        <is>
          <t>No</t>
        </is>
      </c>
      <c r="F189" s="28" t="inlineStr">
        <is>
          <t>Active</t>
        </is>
      </c>
      <c r="G189" s="36" t="n"/>
      <c r="H189" s="29" t="n">
        <v>1</v>
      </c>
      <c r="I189" s="37" t="n"/>
      <c r="J189" s="37" t="n"/>
      <c r="K189" s="31" t="n"/>
      <c r="L189" s="31" t="n"/>
      <c r="M189" s="31" t="n"/>
      <c r="N189" s="31" t="n"/>
      <c r="O189" s="31" t="n"/>
      <c r="P189" s="31" t="n"/>
      <c r="Q189" s="23">
        <f>IF($A189="","",COUNTIFS(Assignments!$C$2:$C$769,$A189,Assignments!$G$2:$G$769,"Active"))</f>
        <v/>
      </c>
      <c r="R189" s="32">
        <f>IF($A189="","",SUMIFS(Assignments!$I$2:$I$769,Assignments!$C$2:$C$769,$A189,Assignments!$G$2:$G$769,"Active"))</f>
        <v/>
      </c>
      <c r="S189" s="20" t="inlineStr">
        <is>
          <t>WIP</t>
        </is>
      </c>
      <c r="T189" s="31" t="n"/>
      <c r="U189" s="36" t="n"/>
      <c r="V189" s="34">
        <f>IF($U189="","",IFERROR(INDEX(Templates!$K$3:$K$10,MATCH($U189,Templates!$A$3:$A$10,0)),""))</f>
        <v/>
      </c>
      <c r="W189" s="34">
        <f>IF($U189="","",IFERROR(INDEX(Templates!$L$3:$L$10,MATCH($U189,Templates!$A$3:$A$10,0)),""))</f>
        <v/>
      </c>
      <c r="X189" s="21">
        <f>IF($U189="","",IFERROR(INDEX(Templates!$J$3:$J$10,MATCH($U189,Templates!$A$3:$A$10,0)),""))</f>
        <v/>
      </c>
      <c r="Y189" s="35">
        <f>IF(OR($U189="",$I189="",$J189="",$X189=""),"",$I189+$X189*($J189-$I189))</f>
        <v/>
      </c>
      <c r="Z189" s="30" t="n">
        <v>46212</v>
      </c>
      <c r="AA189" s="38" t="n"/>
      <c r="AB189" s="39" t="n"/>
      <c r="AC189" s="39" t="n"/>
      <c r="AD189" s="19">
        <f>IF($A189="","",IF($AA189="",$H189,$AA189))</f>
        <v/>
      </c>
      <c r="AE189" s="35">
        <f>IF($A189="","",IF($AB189="",$I189,$AB189))</f>
        <v/>
      </c>
      <c r="AF189" s="35">
        <f>IF($A189="","",IF($AC189="",$J189,$AC189))</f>
        <v/>
      </c>
      <c r="AG189" s="35">
        <f>IF(OR($U189="",$AE189="",$AF189="",$X189=""),"",$AE189+$X189*($AF189-$AE189))</f>
        <v/>
      </c>
      <c r="AH189" s="36" t="n"/>
      <c r="AI189" s="36" t="n"/>
      <c r="AJ189" s="36" t="n"/>
      <c r="AK189" s="36" t="n"/>
      <c r="AL189" s="36" t="n"/>
      <c r="AM189" s="36" t="n"/>
      <c r="AN189" s="36" t="n"/>
      <c r="AO189" s="36" t="n"/>
      <c r="AP189" s="36" t="n"/>
      <c r="AQ189" s="36" t="n"/>
      <c r="AR189" s="36" t="n"/>
      <c r="AS189" s="36" t="n"/>
      <c r="AT189" s="36" t="n"/>
      <c r="AU189" s="36" t="n"/>
      <c r="AV189" s="36" t="n"/>
      <c r="AW189" s="36" t="n"/>
      <c r="AX189" s="36" t="n"/>
    </row>
    <row r="190">
      <c r="A190" s="28" t="inlineStr">
        <is>
          <t>Upstream_3</t>
        </is>
      </c>
      <c r="B190" s="20" t="inlineStr">
        <is>
          <t>Upstream LLC</t>
        </is>
      </c>
      <c r="C190" s="28" t="inlineStr">
        <is>
          <t>Upstream LLC</t>
        </is>
      </c>
      <c r="D190" s="28" t="inlineStr"/>
      <c r="E190" s="28" t="inlineStr">
        <is>
          <t>No</t>
        </is>
      </c>
      <c r="F190" s="28" t="inlineStr">
        <is>
          <t>Active</t>
        </is>
      </c>
      <c r="G190" s="36" t="n"/>
      <c r="H190" s="29" t="n">
        <v>1</v>
      </c>
      <c r="I190" s="37" t="n"/>
      <c r="J190" s="37" t="n"/>
      <c r="K190" s="31" t="n"/>
      <c r="L190" s="31" t="n"/>
      <c r="M190" s="31" t="n"/>
      <c r="N190" s="31" t="n"/>
      <c r="O190" s="31" t="n"/>
      <c r="P190" s="31" t="n"/>
      <c r="Q190" s="23">
        <f>IF($A190="","",COUNTIFS(Assignments!$C$2:$C$769,$A190,Assignments!$G$2:$G$769,"Active"))</f>
        <v/>
      </c>
      <c r="R190" s="32">
        <f>IF($A190="","",SUMIFS(Assignments!$I$2:$I$769,Assignments!$C$2:$C$769,$A190,Assignments!$G$2:$G$769,"Active"))</f>
        <v/>
      </c>
      <c r="S190" s="20" t="inlineStr">
        <is>
          <t>WIP</t>
        </is>
      </c>
      <c r="T190" s="31" t="n"/>
      <c r="U190" s="36" t="n"/>
      <c r="V190" s="34">
        <f>IF($U190="","",IFERROR(INDEX(Templates!$K$3:$K$10,MATCH($U190,Templates!$A$3:$A$10,0)),""))</f>
        <v/>
      </c>
      <c r="W190" s="34">
        <f>IF($U190="","",IFERROR(INDEX(Templates!$L$3:$L$10,MATCH($U190,Templates!$A$3:$A$10,0)),""))</f>
        <v/>
      </c>
      <c r="X190" s="21">
        <f>IF($U190="","",IFERROR(INDEX(Templates!$J$3:$J$10,MATCH($U190,Templates!$A$3:$A$10,0)),""))</f>
        <v/>
      </c>
      <c r="Y190" s="35">
        <f>IF(OR($U190="",$I190="",$J190="",$X190=""),"",$I190+$X190*($J190-$I190))</f>
        <v/>
      </c>
      <c r="Z190" s="30" t="n">
        <v>46212</v>
      </c>
      <c r="AA190" s="38" t="n"/>
      <c r="AB190" s="39" t="n"/>
      <c r="AC190" s="39" t="n"/>
      <c r="AD190" s="19">
        <f>IF($A190="","",IF($AA190="",$H190,$AA190))</f>
        <v/>
      </c>
      <c r="AE190" s="35">
        <f>IF($A190="","",IF($AB190="",$I190,$AB190))</f>
        <v/>
      </c>
      <c r="AF190" s="35">
        <f>IF($A190="","",IF($AC190="",$J190,$AC190))</f>
        <v/>
      </c>
      <c r="AG190" s="35">
        <f>IF(OR($U190="",$AE190="",$AF190="",$X190=""),"",$AE190+$X190*($AF190-$AE190))</f>
        <v/>
      </c>
      <c r="AH190" s="36" t="n"/>
      <c r="AI190" s="36" t="n"/>
      <c r="AJ190" s="36" t="n"/>
      <c r="AK190" s="36" t="n"/>
      <c r="AL190" s="36" t="n"/>
      <c r="AM190" s="36" t="n"/>
      <c r="AN190" s="36" t="n"/>
      <c r="AO190" s="36" t="n"/>
      <c r="AP190" s="36" t="n"/>
      <c r="AQ190" s="36" t="n"/>
      <c r="AR190" s="36" t="n"/>
      <c r="AS190" s="36" t="n"/>
      <c r="AT190" s="36" t="n"/>
      <c r="AU190" s="36" t="n"/>
      <c r="AV190" s="36" t="n"/>
      <c r="AW190" s="36" t="n"/>
      <c r="AX190" s="36" t="n"/>
    </row>
    <row r="191">
      <c r="A191" s="28" t="inlineStr">
        <is>
          <t>Ursa_1</t>
        </is>
      </c>
      <c r="B191" s="20" t="inlineStr">
        <is>
          <t>Ares Management Corporation</t>
        </is>
      </c>
      <c r="C191" s="28" t="inlineStr">
        <is>
          <t>Ares Management Corporation</t>
        </is>
      </c>
      <c r="D191" s="28" t="inlineStr"/>
      <c r="E191" s="28" t="inlineStr">
        <is>
          <t>No</t>
        </is>
      </c>
      <c r="F191" s="28" t="inlineStr">
        <is>
          <t>Active</t>
        </is>
      </c>
      <c r="G191" s="36" t="n"/>
      <c r="H191" s="29" t="n">
        <v>1</v>
      </c>
      <c r="I191" s="37" t="n"/>
      <c r="J191" s="37" t="n"/>
      <c r="K191" s="31" t="n"/>
      <c r="L191" s="31" t="n"/>
      <c r="M191" s="31" t="n"/>
      <c r="N191" s="31" t="n"/>
      <c r="O191" s="31" t="n"/>
      <c r="P191" s="31" t="n"/>
      <c r="Q191" s="23">
        <f>IF($A191="","",COUNTIFS(Assignments!$C$2:$C$769,$A191,Assignments!$G$2:$G$769,"Active"))</f>
        <v/>
      </c>
      <c r="R191" s="32">
        <f>IF($A191="","",SUMIFS(Assignments!$I$2:$I$769,Assignments!$C$2:$C$769,$A191,Assignments!$G$2:$G$769,"Active"))</f>
        <v/>
      </c>
      <c r="S191" s="20" t="inlineStr">
        <is>
          <t>WIP</t>
        </is>
      </c>
      <c r="T191" s="31" t="n"/>
      <c r="U191" s="36" t="n"/>
      <c r="V191" s="34">
        <f>IF($U191="","",IFERROR(INDEX(Templates!$K$3:$K$10,MATCH($U191,Templates!$A$3:$A$10,0)),""))</f>
        <v/>
      </c>
      <c r="W191" s="34">
        <f>IF($U191="","",IFERROR(INDEX(Templates!$L$3:$L$10,MATCH($U191,Templates!$A$3:$A$10,0)),""))</f>
        <v/>
      </c>
      <c r="X191" s="21">
        <f>IF($U191="","",IFERROR(INDEX(Templates!$J$3:$J$10,MATCH($U191,Templates!$A$3:$A$10,0)),""))</f>
        <v/>
      </c>
      <c r="Y191" s="35">
        <f>IF(OR($U191="",$I191="",$J191="",$X191=""),"",$I191+$X191*($J191-$I191))</f>
        <v/>
      </c>
      <c r="Z191" s="30" t="n">
        <v>46212</v>
      </c>
      <c r="AA191" s="38" t="n"/>
      <c r="AB191" s="39" t="n"/>
      <c r="AC191" s="39" t="n"/>
      <c r="AD191" s="19">
        <f>IF($A191="","",IF($AA191="",$H191,$AA191))</f>
        <v/>
      </c>
      <c r="AE191" s="35">
        <f>IF($A191="","",IF($AB191="",$I191,$AB191))</f>
        <v/>
      </c>
      <c r="AF191" s="35">
        <f>IF($A191="","",IF($AC191="",$J191,$AC191))</f>
        <v/>
      </c>
      <c r="AG191" s="35">
        <f>IF(OR($U191="",$AE191="",$AF191="",$X191=""),"",$AE191+$X191*($AF191-$AE191))</f>
        <v/>
      </c>
      <c r="AH191" s="36" t="n"/>
      <c r="AI191" s="36" t="n"/>
      <c r="AJ191" s="36" t="n"/>
      <c r="AK191" s="36" t="n"/>
      <c r="AL191" s="36" t="n"/>
      <c r="AM191" s="36" t="n"/>
      <c r="AN191" s="36" t="n"/>
      <c r="AO191" s="36" t="n"/>
      <c r="AP191" s="36" t="n"/>
      <c r="AQ191" s="36" t="n"/>
      <c r="AR191" s="36" t="n"/>
      <c r="AS191" s="36" t="n"/>
      <c r="AT191" s="36" t="n"/>
      <c r="AU191" s="36" t="n"/>
      <c r="AV191" s="36" t="n"/>
      <c r="AW191" s="36" t="n"/>
      <c r="AX191" s="36" t="n"/>
    </row>
    <row r="192">
      <c r="A192" s="28" t="inlineStr">
        <is>
          <t>ValorC3_1</t>
        </is>
      </c>
      <c r="B192" s="20" t="inlineStr">
        <is>
          <t>CVC Capital Partners : DIF Capital Partners : ValorC3</t>
        </is>
      </c>
      <c r="C192" s="28" t="inlineStr">
        <is>
          <t>CVC Capital Partners</t>
        </is>
      </c>
      <c r="D192" s="28" t="inlineStr">
        <is>
          <t>ValorC3</t>
        </is>
      </c>
      <c r="E192" s="28" t="inlineStr">
        <is>
          <t>No</t>
        </is>
      </c>
      <c r="F192" s="28" t="inlineStr">
        <is>
          <t>Active</t>
        </is>
      </c>
      <c r="G192" s="36" t="n"/>
      <c r="H192" s="29" t="n">
        <v>1</v>
      </c>
      <c r="I192" s="37" t="n"/>
      <c r="J192" s="37" t="n"/>
      <c r="K192" s="31" t="n"/>
      <c r="L192" s="31" t="n"/>
      <c r="M192" s="31" t="n"/>
      <c r="N192" s="31" t="n"/>
      <c r="O192" s="31" t="n"/>
      <c r="P192" s="31" t="n"/>
      <c r="Q192" s="23">
        <f>IF($A192="","",COUNTIFS(Assignments!$C$2:$C$769,$A192,Assignments!$G$2:$G$769,"Active"))</f>
        <v/>
      </c>
      <c r="R192" s="32">
        <f>IF($A192="","",SUMIFS(Assignments!$I$2:$I$769,Assignments!$C$2:$C$769,$A192,Assignments!$G$2:$G$769,"Active"))</f>
        <v/>
      </c>
      <c r="S192" s="20" t="inlineStr">
        <is>
          <t>WIP</t>
        </is>
      </c>
      <c r="T192" s="31" t="n"/>
      <c r="U192" s="36" t="n"/>
      <c r="V192" s="34">
        <f>IF($U192="","",IFERROR(INDEX(Templates!$K$3:$K$10,MATCH($U192,Templates!$A$3:$A$10,0)),""))</f>
        <v/>
      </c>
      <c r="W192" s="34">
        <f>IF($U192="","",IFERROR(INDEX(Templates!$L$3:$L$10,MATCH($U192,Templates!$A$3:$A$10,0)),""))</f>
        <v/>
      </c>
      <c r="X192" s="21">
        <f>IF($U192="","",IFERROR(INDEX(Templates!$J$3:$J$10,MATCH($U192,Templates!$A$3:$A$10,0)),""))</f>
        <v/>
      </c>
      <c r="Y192" s="35">
        <f>IF(OR($U192="",$I192="",$J192="",$X192=""),"",$I192+$X192*($J192-$I192))</f>
        <v/>
      </c>
      <c r="Z192" s="30" t="n">
        <v>46212</v>
      </c>
      <c r="AA192" s="38" t="n"/>
      <c r="AB192" s="39" t="n"/>
      <c r="AC192" s="39" t="n"/>
      <c r="AD192" s="19">
        <f>IF($A192="","",IF($AA192="",$H192,$AA192))</f>
        <v/>
      </c>
      <c r="AE192" s="35">
        <f>IF($A192="","",IF($AB192="",$I192,$AB192))</f>
        <v/>
      </c>
      <c r="AF192" s="35">
        <f>IF($A192="","",IF($AC192="",$J192,$AC192))</f>
        <v/>
      </c>
      <c r="AG192" s="35">
        <f>IF(OR($U192="",$AE192="",$AF192="",$X192=""),"",$AE192+$X192*($AF192-$AE192))</f>
        <v/>
      </c>
      <c r="AH192" s="36" t="n"/>
      <c r="AI192" s="36" t="n"/>
      <c r="AJ192" s="36" t="n"/>
      <c r="AK192" s="36" t="n"/>
      <c r="AL192" s="36" t="n"/>
      <c r="AM192" s="36" t="n"/>
      <c r="AN192" s="36" t="n"/>
      <c r="AO192" s="36" t="n"/>
      <c r="AP192" s="36" t="n"/>
      <c r="AQ192" s="36" t="n"/>
      <c r="AR192" s="36" t="n"/>
      <c r="AS192" s="36" t="n"/>
      <c r="AT192" s="36" t="n"/>
      <c r="AU192" s="36" t="n"/>
      <c r="AV192" s="36" t="n"/>
      <c r="AW192" s="36" t="n"/>
      <c r="AX192" s="36" t="n"/>
    </row>
    <row r="193">
      <c r="A193" s="28" t="inlineStr">
        <is>
          <t>Vega_1</t>
        </is>
      </c>
      <c r="B193" s="20" t="inlineStr">
        <is>
          <t>Vitol : VC Renewables</t>
        </is>
      </c>
      <c r="C193" s="28" t="inlineStr">
        <is>
          <t>Vitol</t>
        </is>
      </c>
      <c r="D193" s="28" t="inlineStr">
        <is>
          <t>VC Renewables</t>
        </is>
      </c>
      <c r="E193" s="28" t="inlineStr">
        <is>
          <t>No</t>
        </is>
      </c>
      <c r="F193" s="28" t="inlineStr">
        <is>
          <t>Active</t>
        </is>
      </c>
      <c r="G193" s="36" t="n"/>
      <c r="H193" s="29" t="n">
        <v>1</v>
      </c>
      <c r="I193" s="37" t="n"/>
      <c r="J193" s="37" t="n"/>
      <c r="K193" s="31" t="n"/>
      <c r="L193" s="31" t="n"/>
      <c r="M193" s="31" t="n"/>
      <c r="N193" s="31" t="n"/>
      <c r="O193" s="31" t="n"/>
      <c r="P193" s="31" t="n"/>
      <c r="Q193" s="23">
        <f>IF($A193="","",COUNTIFS(Assignments!$C$2:$C$769,$A193,Assignments!$G$2:$G$769,"Active"))</f>
        <v/>
      </c>
      <c r="R193" s="32">
        <f>IF($A193="","",SUMIFS(Assignments!$I$2:$I$769,Assignments!$C$2:$C$769,$A193,Assignments!$G$2:$G$769,"Active"))</f>
        <v/>
      </c>
      <c r="S193" s="20" t="inlineStr">
        <is>
          <t>WIP</t>
        </is>
      </c>
      <c r="T193" s="31" t="n"/>
      <c r="U193" s="36" t="n"/>
      <c r="V193" s="34">
        <f>IF($U193="","",IFERROR(INDEX(Templates!$K$3:$K$10,MATCH($U193,Templates!$A$3:$A$10,0)),""))</f>
        <v/>
      </c>
      <c r="W193" s="34">
        <f>IF($U193="","",IFERROR(INDEX(Templates!$L$3:$L$10,MATCH($U193,Templates!$A$3:$A$10,0)),""))</f>
        <v/>
      </c>
      <c r="X193" s="21">
        <f>IF($U193="","",IFERROR(INDEX(Templates!$J$3:$J$10,MATCH($U193,Templates!$A$3:$A$10,0)),""))</f>
        <v/>
      </c>
      <c r="Y193" s="35">
        <f>IF(OR($U193="",$I193="",$J193="",$X193=""),"",$I193+$X193*($J193-$I193))</f>
        <v/>
      </c>
      <c r="Z193" s="30" t="n">
        <v>46212</v>
      </c>
      <c r="AA193" s="38" t="n"/>
      <c r="AB193" s="39" t="n"/>
      <c r="AC193" s="39" t="n"/>
      <c r="AD193" s="19">
        <f>IF($A193="","",IF($AA193="",$H193,$AA193))</f>
        <v/>
      </c>
      <c r="AE193" s="35">
        <f>IF($A193="","",IF($AB193="",$I193,$AB193))</f>
        <v/>
      </c>
      <c r="AF193" s="35">
        <f>IF($A193="","",IF($AC193="",$J193,$AC193))</f>
        <v/>
      </c>
      <c r="AG193" s="35">
        <f>IF(OR($U193="",$AE193="",$AF193="",$X193=""),"",$AE193+$X193*($AF193-$AE193))</f>
        <v/>
      </c>
      <c r="AH193" s="36" t="n"/>
      <c r="AI193" s="36" t="n"/>
      <c r="AJ193" s="36" t="n"/>
      <c r="AK193" s="36" t="n"/>
      <c r="AL193" s="36" t="n"/>
      <c r="AM193" s="36" t="n"/>
      <c r="AN193" s="36" t="n"/>
      <c r="AO193" s="36" t="n"/>
      <c r="AP193" s="36" t="n"/>
      <c r="AQ193" s="36" t="n"/>
      <c r="AR193" s="36" t="n"/>
      <c r="AS193" s="36" t="n"/>
      <c r="AT193" s="36" t="n"/>
      <c r="AU193" s="36" t="n"/>
      <c r="AV193" s="36" t="n"/>
      <c r="AW193" s="36" t="n"/>
      <c r="AX193" s="36" t="n"/>
    </row>
    <row r="194">
      <c r="A194" s="28" t="inlineStr">
        <is>
          <t>Veritas_1</t>
        </is>
      </c>
      <c r="B194" s="20" t="inlineStr">
        <is>
          <t>Manulife : John Hancock</t>
        </is>
      </c>
      <c r="C194" s="28" t="inlineStr">
        <is>
          <t>Manulife</t>
        </is>
      </c>
      <c r="D194" s="28" t="inlineStr">
        <is>
          <t>John Hancock</t>
        </is>
      </c>
      <c r="E194" s="28" t="inlineStr">
        <is>
          <t>No</t>
        </is>
      </c>
      <c r="F194" s="28" t="inlineStr">
        <is>
          <t>Active</t>
        </is>
      </c>
      <c r="G194" s="36" t="n"/>
      <c r="H194" s="29" t="n">
        <v>1</v>
      </c>
      <c r="I194" s="37" t="n"/>
      <c r="J194" s="37" t="n"/>
      <c r="K194" s="31" t="n"/>
      <c r="L194" s="31" t="n"/>
      <c r="M194" s="31" t="n"/>
      <c r="N194" s="31" t="n"/>
      <c r="O194" s="31" t="n"/>
      <c r="P194" s="31" t="n"/>
      <c r="Q194" s="23">
        <f>IF($A194="","",COUNTIFS(Assignments!$C$2:$C$769,$A194,Assignments!$G$2:$G$769,"Active"))</f>
        <v/>
      </c>
      <c r="R194" s="32">
        <f>IF($A194="","",SUMIFS(Assignments!$I$2:$I$769,Assignments!$C$2:$C$769,$A194,Assignments!$G$2:$G$769,"Active"))</f>
        <v/>
      </c>
      <c r="S194" s="20" t="inlineStr">
        <is>
          <t>WIP</t>
        </is>
      </c>
      <c r="T194" s="31" t="n"/>
      <c r="U194" s="36" t="n"/>
      <c r="V194" s="34">
        <f>IF($U194="","",IFERROR(INDEX(Templates!$K$3:$K$10,MATCH($U194,Templates!$A$3:$A$10,0)),""))</f>
        <v/>
      </c>
      <c r="W194" s="34">
        <f>IF($U194="","",IFERROR(INDEX(Templates!$L$3:$L$10,MATCH($U194,Templates!$A$3:$A$10,0)),""))</f>
        <v/>
      </c>
      <c r="X194" s="21">
        <f>IF($U194="","",IFERROR(INDEX(Templates!$J$3:$J$10,MATCH($U194,Templates!$A$3:$A$10,0)),""))</f>
        <v/>
      </c>
      <c r="Y194" s="35">
        <f>IF(OR($U194="",$I194="",$J194="",$X194=""),"",$I194+$X194*($J194-$I194))</f>
        <v/>
      </c>
      <c r="Z194" s="30" t="n">
        <v>46212</v>
      </c>
      <c r="AA194" s="38" t="n"/>
      <c r="AB194" s="39" t="n"/>
      <c r="AC194" s="39" t="n"/>
      <c r="AD194" s="19">
        <f>IF($A194="","",IF($AA194="",$H194,$AA194))</f>
        <v/>
      </c>
      <c r="AE194" s="35">
        <f>IF($A194="","",IF($AB194="",$I194,$AB194))</f>
        <v/>
      </c>
      <c r="AF194" s="35">
        <f>IF($A194="","",IF($AC194="",$J194,$AC194))</f>
        <v/>
      </c>
      <c r="AG194" s="35">
        <f>IF(OR($U194="",$AE194="",$AF194="",$X194=""),"",$AE194+$X194*($AF194-$AE194))</f>
        <v/>
      </c>
      <c r="AH194" s="36" t="n"/>
      <c r="AI194" s="36" t="n"/>
      <c r="AJ194" s="36" t="n"/>
      <c r="AK194" s="36" t="n"/>
      <c r="AL194" s="36" t="n"/>
      <c r="AM194" s="36" t="n"/>
      <c r="AN194" s="36" t="n"/>
      <c r="AO194" s="36" t="n"/>
      <c r="AP194" s="36" t="n"/>
      <c r="AQ194" s="36" t="n"/>
      <c r="AR194" s="36" t="n"/>
      <c r="AS194" s="36" t="n"/>
      <c r="AT194" s="36" t="n"/>
      <c r="AU194" s="36" t="n"/>
      <c r="AV194" s="36" t="n"/>
      <c r="AW194" s="36" t="n"/>
      <c r="AX194" s="36" t="n"/>
    </row>
    <row r="195">
      <c r="A195" s="28" t="inlineStr">
        <is>
          <t>Vero_1</t>
        </is>
      </c>
      <c r="B195" s="20" t="inlineStr">
        <is>
          <t>Euclid Transactional</t>
        </is>
      </c>
      <c r="C195" s="28" t="inlineStr">
        <is>
          <t>Euclid Transactional</t>
        </is>
      </c>
      <c r="D195" s="28" t="inlineStr"/>
      <c r="E195" s="28" t="inlineStr">
        <is>
          <t>No</t>
        </is>
      </c>
      <c r="F195" s="28" t="inlineStr">
        <is>
          <t>Active</t>
        </is>
      </c>
      <c r="G195" s="36" t="n"/>
      <c r="H195" s="29" t="n">
        <v>1</v>
      </c>
      <c r="I195" s="37" t="n"/>
      <c r="J195" s="37" t="n"/>
      <c r="K195" s="31" t="n"/>
      <c r="L195" s="31" t="n"/>
      <c r="M195" s="31" t="n"/>
      <c r="N195" s="31" t="n"/>
      <c r="O195" s="31" t="n"/>
      <c r="P195" s="31" t="n"/>
      <c r="Q195" s="23">
        <f>IF($A195="","",COUNTIFS(Assignments!$C$2:$C$769,$A195,Assignments!$G$2:$G$769,"Active"))</f>
        <v/>
      </c>
      <c r="R195" s="32">
        <f>IF($A195="","",SUMIFS(Assignments!$I$2:$I$769,Assignments!$C$2:$C$769,$A195,Assignments!$G$2:$G$769,"Active"))</f>
        <v/>
      </c>
      <c r="S195" s="20" t="inlineStr">
        <is>
          <t>WIP</t>
        </is>
      </c>
      <c r="T195" s="31" t="n"/>
      <c r="U195" s="36" t="n"/>
      <c r="V195" s="34">
        <f>IF($U195="","",IFERROR(INDEX(Templates!$K$3:$K$10,MATCH($U195,Templates!$A$3:$A$10,0)),""))</f>
        <v/>
      </c>
      <c r="W195" s="34">
        <f>IF($U195="","",IFERROR(INDEX(Templates!$L$3:$L$10,MATCH($U195,Templates!$A$3:$A$10,0)),""))</f>
        <v/>
      </c>
      <c r="X195" s="21">
        <f>IF($U195="","",IFERROR(INDEX(Templates!$J$3:$J$10,MATCH($U195,Templates!$A$3:$A$10,0)),""))</f>
        <v/>
      </c>
      <c r="Y195" s="35">
        <f>IF(OR($U195="",$I195="",$J195="",$X195=""),"",$I195+$X195*($J195-$I195))</f>
        <v/>
      </c>
      <c r="Z195" s="30" t="n">
        <v>46212</v>
      </c>
      <c r="AA195" s="38" t="n"/>
      <c r="AB195" s="39" t="n"/>
      <c r="AC195" s="39" t="n"/>
      <c r="AD195" s="19">
        <f>IF($A195="","",IF($AA195="",$H195,$AA195))</f>
        <v/>
      </c>
      <c r="AE195" s="35">
        <f>IF($A195="","",IF($AB195="",$I195,$AB195))</f>
        <v/>
      </c>
      <c r="AF195" s="35">
        <f>IF($A195="","",IF($AC195="",$J195,$AC195))</f>
        <v/>
      </c>
      <c r="AG195" s="35">
        <f>IF(OR($U195="",$AE195="",$AF195="",$X195=""),"",$AE195+$X195*($AF195-$AE195))</f>
        <v/>
      </c>
      <c r="AH195" s="36" t="n"/>
      <c r="AI195" s="36" t="n"/>
      <c r="AJ195" s="36" t="n"/>
      <c r="AK195" s="36" t="n"/>
      <c r="AL195" s="36" t="n"/>
      <c r="AM195" s="36" t="n"/>
      <c r="AN195" s="36" t="n"/>
      <c r="AO195" s="36" t="n"/>
      <c r="AP195" s="36" t="n"/>
      <c r="AQ195" s="36" t="n"/>
      <c r="AR195" s="36" t="n"/>
      <c r="AS195" s="36" t="n"/>
      <c r="AT195" s="36" t="n"/>
      <c r="AU195" s="36" t="n"/>
      <c r="AV195" s="36" t="n"/>
      <c r="AW195" s="36" t="n"/>
      <c r="AX195" s="36" t="n"/>
    </row>
    <row r="196">
      <c r="A196" s="28" t="inlineStr">
        <is>
          <t>Voyager_1</t>
        </is>
      </c>
      <c r="B196" s="20" t="inlineStr">
        <is>
          <t>Ares Management Corporation</t>
        </is>
      </c>
      <c r="C196" s="28" t="inlineStr">
        <is>
          <t>Ares Management Corporation</t>
        </is>
      </c>
      <c r="D196" s="28" t="inlineStr"/>
      <c r="E196" s="28" t="inlineStr">
        <is>
          <t>No</t>
        </is>
      </c>
      <c r="F196" s="28" t="inlineStr">
        <is>
          <t>Active</t>
        </is>
      </c>
      <c r="G196" s="36" t="n"/>
      <c r="H196" s="29" t="n">
        <v>1</v>
      </c>
      <c r="I196" s="37" t="n"/>
      <c r="J196" s="37" t="n"/>
      <c r="K196" s="31" t="n"/>
      <c r="L196" s="31" t="n"/>
      <c r="M196" s="31" t="n"/>
      <c r="N196" s="31" t="n"/>
      <c r="O196" s="31" t="n"/>
      <c r="P196" s="31" t="n"/>
      <c r="Q196" s="23">
        <f>IF($A196="","",COUNTIFS(Assignments!$C$2:$C$769,$A196,Assignments!$G$2:$G$769,"Active"))</f>
        <v/>
      </c>
      <c r="R196" s="32">
        <f>IF($A196="","",SUMIFS(Assignments!$I$2:$I$769,Assignments!$C$2:$C$769,$A196,Assignments!$G$2:$G$769,"Active"))</f>
        <v/>
      </c>
      <c r="S196" s="20" t="inlineStr">
        <is>
          <t>WIP</t>
        </is>
      </c>
      <c r="T196" s="31" t="n"/>
      <c r="U196" s="36" t="n"/>
      <c r="V196" s="34">
        <f>IF($U196="","",IFERROR(INDEX(Templates!$K$3:$K$10,MATCH($U196,Templates!$A$3:$A$10,0)),""))</f>
        <v/>
      </c>
      <c r="W196" s="34">
        <f>IF($U196="","",IFERROR(INDEX(Templates!$L$3:$L$10,MATCH($U196,Templates!$A$3:$A$10,0)),""))</f>
        <v/>
      </c>
      <c r="X196" s="21">
        <f>IF($U196="","",IFERROR(INDEX(Templates!$J$3:$J$10,MATCH($U196,Templates!$A$3:$A$10,0)),""))</f>
        <v/>
      </c>
      <c r="Y196" s="35">
        <f>IF(OR($U196="",$I196="",$J196="",$X196=""),"",$I196+$X196*($J196-$I196))</f>
        <v/>
      </c>
      <c r="Z196" s="30" t="n">
        <v>46212</v>
      </c>
      <c r="AA196" s="38" t="n"/>
      <c r="AB196" s="39" t="n"/>
      <c r="AC196" s="39" t="n"/>
      <c r="AD196" s="19">
        <f>IF($A196="","",IF($AA196="",$H196,$AA196))</f>
        <v/>
      </c>
      <c r="AE196" s="35">
        <f>IF($A196="","",IF($AB196="",$I196,$AB196))</f>
        <v/>
      </c>
      <c r="AF196" s="35">
        <f>IF($A196="","",IF($AC196="",$J196,$AC196))</f>
        <v/>
      </c>
      <c r="AG196" s="35">
        <f>IF(OR($U196="",$AE196="",$AF196="",$X196=""),"",$AE196+$X196*($AF196-$AE196))</f>
        <v/>
      </c>
      <c r="AH196" s="36" t="n"/>
      <c r="AI196" s="36" t="n"/>
      <c r="AJ196" s="36" t="n"/>
      <c r="AK196" s="36" t="n"/>
      <c r="AL196" s="36" t="n"/>
      <c r="AM196" s="36" t="n"/>
      <c r="AN196" s="36" t="n"/>
      <c r="AO196" s="36" t="n"/>
      <c r="AP196" s="36" t="n"/>
      <c r="AQ196" s="36" t="n"/>
      <c r="AR196" s="36" t="n"/>
      <c r="AS196" s="36" t="n"/>
      <c r="AT196" s="36" t="n"/>
      <c r="AU196" s="36" t="n"/>
      <c r="AV196" s="36" t="n"/>
      <c r="AW196" s="36" t="n"/>
      <c r="AX196" s="36" t="n"/>
    </row>
    <row r="197">
      <c r="A197" s="28" t="inlineStr">
        <is>
          <t>VW1_1</t>
        </is>
      </c>
      <c r="B197" s="20" t="inlineStr">
        <is>
          <t>Ethos Specialty Insurance Services</t>
        </is>
      </c>
      <c r="C197" s="28" t="inlineStr">
        <is>
          <t>Ethos Specialty Insurance Services</t>
        </is>
      </c>
      <c r="D197" s="28" t="inlineStr"/>
      <c r="E197" s="28" t="inlineStr">
        <is>
          <t>No</t>
        </is>
      </c>
      <c r="F197" s="28" t="inlineStr">
        <is>
          <t>Active</t>
        </is>
      </c>
      <c r="G197" s="36" t="n"/>
      <c r="H197" s="29" t="n">
        <v>1</v>
      </c>
      <c r="I197" s="37" t="n"/>
      <c r="J197" s="37" t="n"/>
      <c r="K197" s="31" t="n"/>
      <c r="L197" s="31" t="n"/>
      <c r="M197" s="31" t="n"/>
      <c r="N197" s="31" t="n"/>
      <c r="O197" s="31" t="n"/>
      <c r="P197" s="31" t="n"/>
      <c r="Q197" s="23">
        <f>IF($A197="","",COUNTIFS(Assignments!$C$2:$C$769,$A197,Assignments!$G$2:$G$769,"Active"))</f>
        <v/>
      </c>
      <c r="R197" s="32">
        <f>IF($A197="","",SUMIFS(Assignments!$I$2:$I$769,Assignments!$C$2:$C$769,$A197,Assignments!$G$2:$G$769,"Active"))</f>
        <v/>
      </c>
      <c r="S197" s="20" t="inlineStr">
        <is>
          <t>WIP</t>
        </is>
      </c>
      <c r="T197" s="31" t="n"/>
      <c r="U197" s="36" t="n"/>
      <c r="V197" s="34">
        <f>IF($U197="","",IFERROR(INDEX(Templates!$K$3:$K$10,MATCH($U197,Templates!$A$3:$A$10,0)),""))</f>
        <v/>
      </c>
      <c r="W197" s="34">
        <f>IF($U197="","",IFERROR(INDEX(Templates!$L$3:$L$10,MATCH($U197,Templates!$A$3:$A$10,0)),""))</f>
        <v/>
      </c>
      <c r="X197" s="21">
        <f>IF($U197="","",IFERROR(INDEX(Templates!$J$3:$J$10,MATCH($U197,Templates!$A$3:$A$10,0)),""))</f>
        <v/>
      </c>
      <c r="Y197" s="35">
        <f>IF(OR($U197="",$I197="",$J197="",$X197=""),"",$I197+$X197*($J197-$I197))</f>
        <v/>
      </c>
      <c r="Z197" s="30" t="n">
        <v>46212</v>
      </c>
      <c r="AA197" s="38" t="n"/>
      <c r="AB197" s="39" t="n"/>
      <c r="AC197" s="39" t="n"/>
      <c r="AD197" s="19">
        <f>IF($A197="","",IF($AA197="",$H197,$AA197))</f>
        <v/>
      </c>
      <c r="AE197" s="35">
        <f>IF($A197="","",IF($AB197="",$I197,$AB197))</f>
        <v/>
      </c>
      <c r="AF197" s="35">
        <f>IF($A197="","",IF($AC197="",$J197,$AC197))</f>
        <v/>
      </c>
      <c r="AG197" s="35">
        <f>IF(OR($U197="",$AE197="",$AF197="",$X197=""),"",$AE197+$X197*($AF197-$AE197))</f>
        <v/>
      </c>
      <c r="AH197" s="36" t="n"/>
      <c r="AI197" s="36" t="n"/>
      <c r="AJ197" s="36" t="n"/>
      <c r="AK197" s="36" t="n"/>
      <c r="AL197" s="36" t="n"/>
      <c r="AM197" s="36" t="n"/>
      <c r="AN197" s="36" t="n"/>
      <c r="AO197" s="36" t="n"/>
      <c r="AP197" s="36" t="n"/>
      <c r="AQ197" s="36" t="n"/>
      <c r="AR197" s="36" t="n"/>
      <c r="AS197" s="36" t="n"/>
      <c r="AT197" s="36" t="n"/>
      <c r="AU197" s="36" t="n"/>
      <c r="AV197" s="36" t="n"/>
      <c r="AW197" s="36" t="n"/>
      <c r="AX197" s="36" t="n"/>
    </row>
    <row r="198">
      <c r="A198" s="28" t="inlineStr">
        <is>
          <t>WASP_2</t>
        </is>
      </c>
      <c r="B198" s="20" t="inlineStr">
        <is>
          <t>Taxand Global : Arsene TaxAnd</t>
        </is>
      </c>
      <c r="C198" s="28" t="inlineStr">
        <is>
          <t>Taxand Global</t>
        </is>
      </c>
      <c r="D198" s="28" t="inlineStr">
        <is>
          <t>Arsene TaxAnd</t>
        </is>
      </c>
      <c r="E198" s="28" t="inlineStr">
        <is>
          <t>No</t>
        </is>
      </c>
      <c r="F198" s="28" t="inlineStr">
        <is>
          <t>Active</t>
        </is>
      </c>
      <c r="G198" s="36" t="n"/>
      <c r="H198" s="29" t="n">
        <v>1</v>
      </c>
      <c r="I198" s="37" t="n"/>
      <c r="J198" s="37" t="n"/>
      <c r="K198" s="31" t="n"/>
      <c r="L198" s="31" t="n"/>
      <c r="M198" s="31" t="n"/>
      <c r="N198" s="31" t="n"/>
      <c r="O198" s="31" t="n"/>
      <c r="P198" s="31" t="n"/>
      <c r="Q198" s="23">
        <f>IF($A198="","",COUNTIFS(Assignments!$C$2:$C$769,$A198,Assignments!$G$2:$G$769,"Active"))</f>
        <v/>
      </c>
      <c r="R198" s="32">
        <f>IF($A198="","",SUMIFS(Assignments!$I$2:$I$769,Assignments!$C$2:$C$769,$A198,Assignments!$G$2:$G$769,"Active"))</f>
        <v/>
      </c>
      <c r="S198" s="20" t="inlineStr">
        <is>
          <t>WIP</t>
        </is>
      </c>
      <c r="T198" s="31" t="n"/>
      <c r="U198" s="36" t="n"/>
      <c r="V198" s="34">
        <f>IF($U198="","",IFERROR(INDEX(Templates!$K$3:$K$10,MATCH($U198,Templates!$A$3:$A$10,0)),""))</f>
        <v/>
      </c>
      <c r="W198" s="34">
        <f>IF($U198="","",IFERROR(INDEX(Templates!$L$3:$L$10,MATCH($U198,Templates!$A$3:$A$10,0)),""))</f>
        <v/>
      </c>
      <c r="X198" s="21">
        <f>IF($U198="","",IFERROR(INDEX(Templates!$J$3:$J$10,MATCH($U198,Templates!$A$3:$A$10,0)),""))</f>
        <v/>
      </c>
      <c r="Y198" s="35">
        <f>IF(OR($U198="",$I198="",$J198="",$X198=""),"",$I198+$X198*($J198-$I198))</f>
        <v/>
      </c>
      <c r="Z198" s="30" t="n">
        <v>46212</v>
      </c>
      <c r="AA198" s="38" t="n"/>
      <c r="AB198" s="39" t="n"/>
      <c r="AC198" s="39" t="n"/>
      <c r="AD198" s="19">
        <f>IF($A198="","",IF($AA198="",$H198,$AA198))</f>
        <v/>
      </c>
      <c r="AE198" s="35">
        <f>IF($A198="","",IF($AB198="",$I198,$AB198))</f>
        <v/>
      </c>
      <c r="AF198" s="35">
        <f>IF($A198="","",IF($AC198="",$J198,$AC198))</f>
        <v/>
      </c>
      <c r="AG198" s="35">
        <f>IF(OR($U198="",$AE198="",$AF198="",$X198=""),"",$AE198+$X198*($AF198-$AE198))</f>
        <v/>
      </c>
      <c r="AH198" s="36" t="n"/>
      <c r="AI198" s="36" t="n"/>
      <c r="AJ198" s="36" t="n"/>
      <c r="AK198" s="36" t="n"/>
      <c r="AL198" s="36" t="n"/>
      <c r="AM198" s="36" t="n"/>
      <c r="AN198" s="36" t="n"/>
      <c r="AO198" s="36" t="n"/>
      <c r="AP198" s="36" t="n"/>
      <c r="AQ198" s="36" t="n"/>
      <c r="AR198" s="36" t="n"/>
      <c r="AS198" s="36" t="n"/>
      <c r="AT198" s="36" t="n"/>
      <c r="AU198" s="36" t="n"/>
      <c r="AV198" s="36" t="n"/>
      <c r="AW198" s="36" t="n"/>
      <c r="AX198" s="36" t="n"/>
    </row>
    <row r="199">
      <c r="A199" s="28" t="inlineStr">
        <is>
          <t>Westfold</t>
        </is>
      </c>
      <c r="B199" s="20" t="inlineStr">
        <is>
          <t>EQT Group</t>
        </is>
      </c>
      <c r="C199" s="28" t="inlineStr">
        <is>
          <t>EQT Group</t>
        </is>
      </c>
      <c r="D199" s="28" t="inlineStr"/>
      <c r="E199" s="28" t="inlineStr">
        <is>
          <t>No</t>
        </is>
      </c>
      <c r="F199" s="28" t="inlineStr">
        <is>
          <t>Active</t>
        </is>
      </c>
      <c r="G199" s="36" t="n"/>
      <c r="H199" s="29" t="n">
        <v>1</v>
      </c>
      <c r="I199" s="37" t="n"/>
      <c r="J199" s="37" t="n"/>
      <c r="K199" s="31" t="n"/>
      <c r="L199" s="31" t="n"/>
      <c r="M199" s="31" t="n"/>
      <c r="N199" s="31" t="n"/>
      <c r="O199" s="31" t="n"/>
      <c r="P199" s="31" t="n"/>
      <c r="Q199" s="23">
        <f>IF($A199="","",COUNTIFS(Assignments!$C$2:$C$769,$A199,Assignments!$G$2:$G$769,"Active"))</f>
        <v/>
      </c>
      <c r="R199" s="32">
        <f>IF($A199="","",SUMIFS(Assignments!$I$2:$I$769,Assignments!$C$2:$C$769,$A199,Assignments!$G$2:$G$769,"Active"))</f>
        <v/>
      </c>
      <c r="S199" s="20" t="inlineStr">
        <is>
          <t>Summary tab only (WIP)</t>
        </is>
      </c>
      <c r="T199" s="31" t="n"/>
      <c r="U199" s="36" t="n"/>
      <c r="V199" s="34">
        <f>IF($U199="","",IFERROR(INDEX(Templates!$K$3:$K$10,MATCH($U199,Templates!$A$3:$A$10,0)),""))</f>
        <v/>
      </c>
      <c r="W199" s="34">
        <f>IF($U199="","",IFERROR(INDEX(Templates!$L$3:$L$10,MATCH($U199,Templates!$A$3:$A$10,0)),""))</f>
        <v/>
      </c>
      <c r="X199" s="21">
        <f>IF($U199="","",IFERROR(INDEX(Templates!$J$3:$J$10,MATCH($U199,Templates!$A$3:$A$10,0)),""))</f>
        <v/>
      </c>
      <c r="Y199" s="35">
        <f>IF(OR($U199="",$I199="",$J199="",$X199=""),"",$I199+$X199*($J199-$I199))</f>
        <v/>
      </c>
      <c r="Z199" s="30" t="n">
        <v>46212</v>
      </c>
      <c r="AA199" s="38" t="n"/>
      <c r="AB199" s="39" t="n"/>
      <c r="AC199" s="39" t="n"/>
      <c r="AD199" s="19">
        <f>IF($A199="","",IF($AA199="",$H199,$AA199))</f>
        <v/>
      </c>
      <c r="AE199" s="35">
        <f>IF($A199="","",IF($AB199="",$I199,$AB199))</f>
        <v/>
      </c>
      <c r="AF199" s="35">
        <f>IF($A199="","",IF($AC199="",$J199,$AC199))</f>
        <v/>
      </c>
      <c r="AG199" s="35">
        <f>IF(OR($U199="",$AE199="",$AF199="",$X199=""),"",$AE199+$X199*($AF199-$AE199))</f>
        <v/>
      </c>
      <c r="AH199" s="36" t="n"/>
      <c r="AI199" s="36" t="n"/>
      <c r="AJ199" s="36" t="n"/>
      <c r="AK199" s="36" t="n"/>
      <c r="AL199" s="36" t="n"/>
      <c r="AM199" s="36" t="n"/>
      <c r="AN199" s="36" t="n"/>
      <c r="AO199" s="36" t="n"/>
      <c r="AP199" s="36" t="n"/>
      <c r="AQ199" s="36" t="n"/>
      <c r="AR199" s="36" t="n"/>
      <c r="AS199" s="36" t="n"/>
      <c r="AT199" s="36" t="n"/>
      <c r="AU199" s="36" t="n"/>
      <c r="AV199" s="36" t="n"/>
      <c r="AW199" s="36" t="n"/>
      <c r="AX199" s="36" t="n"/>
    </row>
    <row r="200">
      <c r="A200" s="28" t="inlineStr">
        <is>
          <t>Whale_3</t>
        </is>
      </c>
      <c r="B200" s="20" t="inlineStr">
        <is>
          <t>Certa</t>
        </is>
      </c>
      <c r="C200" s="28" t="inlineStr">
        <is>
          <t>Certa</t>
        </is>
      </c>
      <c r="D200" s="28" t="inlineStr"/>
      <c r="E200" s="28" t="inlineStr">
        <is>
          <t>No</t>
        </is>
      </c>
      <c r="F200" s="28" t="inlineStr">
        <is>
          <t>Active</t>
        </is>
      </c>
      <c r="G200" s="36" t="n"/>
      <c r="H200" s="29" t="n">
        <v>1</v>
      </c>
      <c r="I200" s="37" t="n"/>
      <c r="J200" s="37" t="n"/>
      <c r="K200" s="31" t="n"/>
      <c r="L200" s="31" t="n"/>
      <c r="M200" s="31" t="n"/>
      <c r="N200" s="31" t="n"/>
      <c r="O200" s="31" t="n"/>
      <c r="P200" s="31" t="n"/>
      <c r="Q200" s="23">
        <f>IF($A200="","",COUNTIFS(Assignments!$C$2:$C$769,$A200,Assignments!$G$2:$G$769,"Active"))</f>
        <v/>
      </c>
      <c r="R200" s="32">
        <f>IF($A200="","",SUMIFS(Assignments!$I$2:$I$769,Assignments!$C$2:$C$769,$A200,Assignments!$G$2:$G$769,"Active"))</f>
        <v/>
      </c>
      <c r="S200" s="20" t="inlineStr">
        <is>
          <t>WIP</t>
        </is>
      </c>
      <c r="T200" s="31" t="n"/>
      <c r="U200" s="36" t="n"/>
      <c r="V200" s="34">
        <f>IF($U200="","",IFERROR(INDEX(Templates!$K$3:$K$10,MATCH($U200,Templates!$A$3:$A$10,0)),""))</f>
        <v/>
      </c>
      <c r="W200" s="34">
        <f>IF($U200="","",IFERROR(INDEX(Templates!$L$3:$L$10,MATCH($U200,Templates!$A$3:$A$10,0)),""))</f>
        <v/>
      </c>
      <c r="X200" s="21">
        <f>IF($U200="","",IFERROR(INDEX(Templates!$J$3:$J$10,MATCH($U200,Templates!$A$3:$A$10,0)),""))</f>
        <v/>
      </c>
      <c r="Y200" s="35">
        <f>IF(OR($U200="",$I200="",$J200="",$X200=""),"",$I200+$X200*($J200-$I200))</f>
        <v/>
      </c>
      <c r="Z200" s="30" t="n">
        <v>46212</v>
      </c>
      <c r="AA200" s="38" t="n"/>
      <c r="AB200" s="39" t="n"/>
      <c r="AC200" s="39" t="n"/>
      <c r="AD200" s="19">
        <f>IF($A200="","",IF($AA200="",$H200,$AA200))</f>
        <v/>
      </c>
      <c r="AE200" s="35">
        <f>IF($A200="","",IF($AB200="",$I200,$AB200))</f>
        <v/>
      </c>
      <c r="AF200" s="35">
        <f>IF($A200="","",IF($AC200="",$J200,$AC200))</f>
        <v/>
      </c>
      <c r="AG200" s="35">
        <f>IF(OR($U200="",$AE200="",$AF200="",$X200=""),"",$AE200+$X200*($AF200-$AE200))</f>
        <v/>
      </c>
      <c r="AH200" s="36" t="n"/>
      <c r="AI200" s="36" t="n"/>
      <c r="AJ200" s="36" t="n"/>
      <c r="AK200" s="36" t="n"/>
      <c r="AL200" s="36" t="n"/>
      <c r="AM200" s="36" t="n"/>
      <c r="AN200" s="36" t="n"/>
      <c r="AO200" s="36" t="n"/>
      <c r="AP200" s="36" t="n"/>
      <c r="AQ200" s="36" t="n"/>
      <c r="AR200" s="36" t="n"/>
      <c r="AS200" s="36" t="n"/>
      <c r="AT200" s="36" t="n"/>
      <c r="AU200" s="36" t="n"/>
      <c r="AV200" s="36" t="n"/>
      <c r="AW200" s="36" t="n"/>
      <c r="AX200" s="36" t="n"/>
    </row>
    <row r="201">
      <c r="A201" s="28" t="inlineStr">
        <is>
          <t>White Tail_2</t>
        </is>
      </c>
      <c r="B201" s="20" t="inlineStr">
        <is>
          <t>Ryan Transactional Risk</t>
        </is>
      </c>
      <c r="C201" s="28" t="inlineStr">
        <is>
          <t>Ryan Transactional Risk</t>
        </is>
      </c>
      <c r="D201" s="28" t="inlineStr"/>
      <c r="E201" s="28" t="inlineStr">
        <is>
          <t>No</t>
        </is>
      </c>
      <c r="F201" s="28" t="inlineStr">
        <is>
          <t>Active</t>
        </is>
      </c>
      <c r="G201" s="36" t="n"/>
      <c r="H201" s="29" t="n">
        <v>1</v>
      </c>
      <c r="I201" s="37" t="n"/>
      <c r="J201" s="37" t="n"/>
      <c r="K201" s="31" t="n"/>
      <c r="L201" s="31" t="n"/>
      <c r="M201" s="31" t="n"/>
      <c r="N201" s="31" t="n"/>
      <c r="O201" s="31" t="n"/>
      <c r="P201" s="31" t="n"/>
      <c r="Q201" s="23">
        <f>IF($A201="","",COUNTIFS(Assignments!$C$2:$C$769,$A201,Assignments!$G$2:$G$769,"Active"))</f>
        <v/>
      </c>
      <c r="R201" s="32">
        <f>IF($A201="","",SUMIFS(Assignments!$I$2:$I$769,Assignments!$C$2:$C$769,$A201,Assignments!$G$2:$G$769,"Active"))</f>
        <v/>
      </c>
      <c r="S201" s="20" t="inlineStr">
        <is>
          <t>WIP</t>
        </is>
      </c>
      <c r="T201" s="31" t="n"/>
      <c r="U201" s="36" t="n"/>
      <c r="V201" s="34">
        <f>IF($U201="","",IFERROR(INDEX(Templates!$K$3:$K$10,MATCH($U201,Templates!$A$3:$A$10,0)),""))</f>
        <v/>
      </c>
      <c r="W201" s="34">
        <f>IF($U201="","",IFERROR(INDEX(Templates!$L$3:$L$10,MATCH($U201,Templates!$A$3:$A$10,0)),""))</f>
        <v/>
      </c>
      <c r="X201" s="21">
        <f>IF($U201="","",IFERROR(INDEX(Templates!$J$3:$J$10,MATCH($U201,Templates!$A$3:$A$10,0)),""))</f>
        <v/>
      </c>
      <c r="Y201" s="35">
        <f>IF(OR($U201="",$I201="",$J201="",$X201=""),"",$I201+$X201*($J201-$I201))</f>
        <v/>
      </c>
      <c r="Z201" s="30" t="n">
        <v>46212</v>
      </c>
      <c r="AA201" s="38" t="n"/>
      <c r="AB201" s="39" t="n"/>
      <c r="AC201" s="39" t="n"/>
      <c r="AD201" s="19">
        <f>IF($A201="","",IF($AA201="",$H201,$AA201))</f>
        <v/>
      </c>
      <c r="AE201" s="35">
        <f>IF($A201="","",IF($AB201="",$I201,$AB201))</f>
        <v/>
      </c>
      <c r="AF201" s="35">
        <f>IF($A201="","",IF($AC201="",$J201,$AC201))</f>
        <v/>
      </c>
      <c r="AG201" s="35">
        <f>IF(OR($U201="",$AE201="",$AF201="",$X201=""),"",$AE201+$X201*($AF201-$AE201))</f>
        <v/>
      </c>
      <c r="AH201" s="36" t="n"/>
      <c r="AI201" s="36" t="n"/>
      <c r="AJ201" s="36" t="n"/>
      <c r="AK201" s="36" t="n"/>
      <c r="AL201" s="36" t="n"/>
      <c r="AM201" s="36" t="n"/>
      <c r="AN201" s="36" t="n"/>
      <c r="AO201" s="36" t="n"/>
      <c r="AP201" s="36" t="n"/>
      <c r="AQ201" s="36" t="n"/>
      <c r="AR201" s="36" t="n"/>
      <c r="AS201" s="36" t="n"/>
      <c r="AT201" s="36" t="n"/>
      <c r="AU201" s="36" t="n"/>
      <c r="AV201" s="36" t="n"/>
      <c r="AW201" s="36" t="n"/>
      <c r="AX201" s="36" t="n"/>
    </row>
    <row r="202">
      <c r="A202" s="28" t="inlineStr">
        <is>
          <t>Winchester_1</t>
        </is>
      </c>
      <c r="B202" s="20" t="inlineStr">
        <is>
          <t>Ethos Specialty Insurance Services</t>
        </is>
      </c>
      <c r="C202" s="28" t="inlineStr">
        <is>
          <t>Ethos Specialty Insurance Services</t>
        </is>
      </c>
      <c r="D202" s="28" t="inlineStr"/>
      <c r="E202" s="28" t="inlineStr">
        <is>
          <t>No</t>
        </is>
      </c>
      <c r="F202" s="28" t="inlineStr">
        <is>
          <t>Active</t>
        </is>
      </c>
      <c r="G202" s="36" t="n"/>
      <c r="H202" s="29" t="n">
        <v>1</v>
      </c>
      <c r="I202" s="37" t="n"/>
      <c r="J202" s="37" t="n"/>
      <c r="K202" s="31" t="n"/>
      <c r="L202" s="31" t="n"/>
      <c r="M202" s="31" t="n"/>
      <c r="N202" s="31" t="n"/>
      <c r="O202" s="31" t="n"/>
      <c r="P202" s="31" t="n"/>
      <c r="Q202" s="23">
        <f>IF($A202="","",COUNTIFS(Assignments!$C$2:$C$769,$A202,Assignments!$G$2:$G$769,"Active"))</f>
        <v/>
      </c>
      <c r="R202" s="32">
        <f>IF($A202="","",SUMIFS(Assignments!$I$2:$I$769,Assignments!$C$2:$C$769,$A202,Assignments!$G$2:$G$769,"Active"))</f>
        <v/>
      </c>
      <c r="S202" s="20" t="inlineStr">
        <is>
          <t>WIP</t>
        </is>
      </c>
      <c r="T202" s="31" t="n"/>
      <c r="U202" s="36" t="n"/>
      <c r="V202" s="34">
        <f>IF($U202="","",IFERROR(INDEX(Templates!$K$3:$K$10,MATCH($U202,Templates!$A$3:$A$10,0)),""))</f>
        <v/>
      </c>
      <c r="W202" s="34">
        <f>IF($U202="","",IFERROR(INDEX(Templates!$L$3:$L$10,MATCH($U202,Templates!$A$3:$A$10,0)),""))</f>
        <v/>
      </c>
      <c r="X202" s="21">
        <f>IF($U202="","",IFERROR(INDEX(Templates!$J$3:$J$10,MATCH($U202,Templates!$A$3:$A$10,0)),""))</f>
        <v/>
      </c>
      <c r="Y202" s="35">
        <f>IF(OR($U202="",$I202="",$J202="",$X202=""),"",$I202+$X202*($J202-$I202))</f>
        <v/>
      </c>
      <c r="Z202" s="30" t="n">
        <v>46212</v>
      </c>
      <c r="AA202" s="38" t="n"/>
      <c r="AB202" s="39" t="n"/>
      <c r="AC202" s="39" t="n"/>
      <c r="AD202" s="19">
        <f>IF($A202="","",IF($AA202="",$H202,$AA202))</f>
        <v/>
      </c>
      <c r="AE202" s="35">
        <f>IF($A202="","",IF($AB202="",$I202,$AB202))</f>
        <v/>
      </c>
      <c r="AF202" s="35">
        <f>IF($A202="","",IF($AC202="",$J202,$AC202))</f>
        <v/>
      </c>
      <c r="AG202" s="35">
        <f>IF(OR($U202="",$AE202="",$AF202="",$X202=""),"",$AE202+$X202*($AF202-$AE202))</f>
        <v/>
      </c>
      <c r="AH202" s="36" t="n"/>
      <c r="AI202" s="36" t="n"/>
      <c r="AJ202" s="36" t="n"/>
      <c r="AK202" s="36" t="n"/>
      <c r="AL202" s="36" t="n"/>
      <c r="AM202" s="36" t="n"/>
      <c r="AN202" s="36" t="n"/>
      <c r="AO202" s="36" t="n"/>
      <c r="AP202" s="36" t="n"/>
      <c r="AQ202" s="36" t="n"/>
      <c r="AR202" s="36" t="n"/>
      <c r="AS202" s="36" t="n"/>
      <c r="AT202" s="36" t="n"/>
      <c r="AU202" s="36" t="n"/>
      <c r="AV202" s="36" t="n"/>
      <c r="AW202" s="36" t="n"/>
      <c r="AX202" s="36" t="n"/>
    </row>
    <row r="203">
      <c r="A203" s="28" t="inlineStr">
        <is>
          <t>Wolverine_3</t>
        </is>
      </c>
      <c r="B203" s="20" t="inlineStr">
        <is>
          <t>Infrared Capital Partners</t>
        </is>
      </c>
      <c r="C203" s="28" t="inlineStr">
        <is>
          <t>Infrared Capital Partners</t>
        </is>
      </c>
      <c r="D203" s="28" t="inlineStr"/>
      <c r="E203" s="28" t="inlineStr">
        <is>
          <t>No</t>
        </is>
      </c>
      <c r="F203" s="28" t="inlineStr">
        <is>
          <t>Active</t>
        </is>
      </c>
      <c r="G203" s="36" t="n"/>
      <c r="H203" s="29" t="n">
        <v>1</v>
      </c>
      <c r="I203" s="37" t="n"/>
      <c r="J203" s="37" t="n"/>
      <c r="K203" s="31" t="n"/>
      <c r="L203" s="31" t="n"/>
      <c r="M203" s="31" t="n"/>
      <c r="N203" s="31" t="n"/>
      <c r="O203" s="31" t="n"/>
      <c r="P203" s="31" t="n"/>
      <c r="Q203" s="23">
        <f>IF($A203="","",COUNTIFS(Assignments!$C$2:$C$769,$A203,Assignments!$G$2:$G$769,"Active"))</f>
        <v/>
      </c>
      <c r="R203" s="32">
        <f>IF($A203="","",SUMIFS(Assignments!$I$2:$I$769,Assignments!$C$2:$C$769,$A203,Assignments!$G$2:$G$769,"Active"))</f>
        <v/>
      </c>
      <c r="S203" s="20" t="inlineStr">
        <is>
          <t>WIP</t>
        </is>
      </c>
      <c r="T203" s="31" t="n"/>
      <c r="U203" s="36" t="n"/>
      <c r="V203" s="34">
        <f>IF($U203="","",IFERROR(INDEX(Templates!$K$3:$K$10,MATCH($U203,Templates!$A$3:$A$10,0)),""))</f>
        <v/>
      </c>
      <c r="W203" s="34">
        <f>IF($U203="","",IFERROR(INDEX(Templates!$L$3:$L$10,MATCH($U203,Templates!$A$3:$A$10,0)),""))</f>
        <v/>
      </c>
      <c r="X203" s="21">
        <f>IF($U203="","",IFERROR(INDEX(Templates!$J$3:$J$10,MATCH($U203,Templates!$A$3:$A$10,0)),""))</f>
        <v/>
      </c>
      <c r="Y203" s="35">
        <f>IF(OR($U203="",$I203="",$J203="",$X203=""),"",$I203+$X203*($J203-$I203))</f>
        <v/>
      </c>
      <c r="Z203" s="30" t="n">
        <v>46212</v>
      </c>
      <c r="AA203" s="38" t="n"/>
      <c r="AB203" s="39" t="n"/>
      <c r="AC203" s="39" t="n"/>
      <c r="AD203" s="19">
        <f>IF($A203="","",IF($AA203="",$H203,$AA203))</f>
        <v/>
      </c>
      <c r="AE203" s="35">
        <f>IF($A203="","",IF($AB203="",$I203,$AB203))</f>
        <v/>
      </c>
      <c r="AF203" s="35">
        <f>IF($A203="","",IF($AC203="",$J203,$AC203))</f>
        <v/>
      </c>
      <c r="AG203" s="35">
        <f>IF(OR($U203="",$AE203="",$AF203="",$X203=""),"",$AE203+$X203*($AF203-$AE203))</f>
        <v/>
      </c>
      <c r="AH203" s="36" t="n"/>
      <c r="AI203" s="36" t="n"/>
      <c r="AJ203" s="36" t="n"/>
      <c r="AK203" s="36" t="n"/>
      <c r="AL203" s="36" t="n"/>
      <c r="AM203" s="36" t="n"/>
      <c r="AN203" s="36" t="n"/>
      <c r="AO203" s="36" t="n"/>
      <c r="AP203" s="36" t="n"/>
      <c r="AQ203" s="36" t="n"/>
      <c r="AR203" s="36" t="n"/>
      <c r="AS203" s="36" t="n"/>
      <c r="AT203" s="36" t="n"/>
      <c r="AU203" s="36" t="n"/>
      <c r="AV203" s="36" t="n"/>
      <c r="AW203" s="36" t="n"/>
      <c r="AX203" s="36" t="n"/>
    </row>
    <row r="204">
      <c r="A204" s="28" t="inlineStr">
        <is>
          <t>Zeus_2</t>
        </is>
      </c>
      <c r="B204" s="20" t="inlineStr">
        <is>
          <t>Flick Gocke Schaumburg</t>
        </is>
      </c>
      <c r="C204" s="28" t="inlineStr">
        <is>
          <t>Flick Gocke Schaumburg</t>
        </is>
      </c>
      <c r="D204" s="28" t="inlineStr"/>
      <c r="E204" s="28" t="inlineStr">
        <is>
          <t>No</t>
        </is>
      </c>
      <c r="F204" s="28" t="inlineStr">
        <is>
          <t>Active</t>
        </is>
      </c>
      <c r="G204" s="36" t="n"/>
      <c r="H204" s="29" t="n">
        <v>1</v>
      </c>
      <c r="I204" s="37" t="n"/>
      <c r="J204" s="37" t="n"/>
      <c r="K204" s="31" t="n"/>
      <c r="L204" s="31" t="n"/>
      <c r="M204" s="31" t="n"/>
      <c r="N204" s="31" t="n"/>
      <c r="O204" s="31" t="n"/>
      <c r="P204" s="31" t="n"/>
      <c r="Q204" s="23">
        <f>IF($A204="","",COUNTIFS(Assignments!$C$2:$C$769,$A204,Assignments!$G$2:$G$769,"Active"))</f>
        <v/>
      </c>
      <c r="R204" s="32">
        <f>IF($A204="","",SUMIFS(Assignments!$I$2:$I$769,Assignments!$C$2:$C$769,$A204,Assignments!$G$2:$G$769,"Active"))</f>
        <v/>
      </c>
      <c r="S204" s="20" t="inlineStr">
        <is>
          <t>WIP</t>
        </is>
      </c>
      <c r="T204" s="31" t="n"/>
      <c r="U204" s="36" t="n"/>
      <c r="V204" s="34">
        <f>IF($U204="","",IFERROR(INDEX(Templates!$K$3:$K$10,MATCH($U204,Templates!$A$3:$A$10,0)),""))</f>
        <v/>
      </c>
      <c r="W204" s="34">
        <f>IF($U204="","",IFERROR(INDEX(Templates!$L$3:$L$10,MATCH($U204,Templates!$A$3:$A$10,0)),""))</f>
        <v/>
      </c>
      <c r="X204" s="21">
        <f>IF($U204="","",IFERROR(INDEX(Templates!$J$3:$J$10,MATCH($U204,Templates!$A$3:$A$10,0)),""))</f>
        <v/>
      </c>
      <c r="Y204" s="35">
        <f>IF(OR($U204="",$I204="",$J204="",$X204=""),"",$I204+$X204*($J204-$I204))</f>
        <v/>
      </c>
      <c r="Z204" s="30" t="n">
        <v>46212</v>
      </c>
      <c r="AA204" s="38" t="n"/>
      <c r="AB204" s="39" t="n"/>
      <c r="AC204" s="39" t="n"/>
      <c r="AD204" s="19">
        <f>IF($A204="","",IF($AA204="",$H204,$AA204))</f>
        <v/>
      </c>
      <c r="AE204" s="35">
        <f>IF($A204="","",IF($AB204="",$I204,$AB204))</f>
        <v/>
      </c>
      <c r="AF204" s="35">
        <f>IF($A204="","",IF($AC204="",$J204,$AC204))</f>
        <v/>
      </c>
      <c r="AG204" s="35">
        <f>IF(OR($U204="",$AE204="",$AF204="",$X204=""),"",$AE204+$X204*($AF204-$AE204))</f>
        <v/>
      </c>
      <c r="AH204" s="36" t="n"/>
      <c r="AI204" s="36" t="n"/>
      <c r="AJ204" s="36" t="n"/>
      <c r="AK204" s="36" t="n"/>
      <c r="AL204" s="36" t="n"/>
      <c r="AM204" s="36" t="n"/>
      <c r="AN204" s="36" t="n"/>
      <c r="AO204" s="36" t="n"/>
      <c r="AP204" s="36" t="n"/>
      <c r="AQ204" s="36" t="n"/>
      <c r="AR204" s="36" t="n"/>
      <c r="AS204" s="36" t="n"/>
      <c r="AT204" s="36" t="n"/>
      <c r="AU204" s="36" t="n"/>
      <c r="AV204" s="36" t="n"/>
      <c r="AW204" s="36" t="n"/>
      <c r="AX204" s="36" t="n"/>
    </row>
    <row r="205">
      <c r="A205" s="28" t="inlineStr">
        <is>
          <t>Zircon 2_1</t>
        </is>
      </c>
      <c r="B205" s="20" t="inlineStr">
        <is>
          <t>Northleaf Capital Partners</t>
        </is>
      </c>
      <c r="C205" s="28" t="inlineStr">
        <is>
          <t>Northleaf Capital Partners</t>
        </is>
      </c>
      <c r="D205" s="28" t="inlineStr"/>
      <c r="E205" s="28" t="inlineStr">
        <is>
          <t>No</t>
        </is>
      </c>
      <c r="F205" s="28" t="inlineStr">
        <is>
          <t>Active</t>
        </is>
      </c>
      <c r="G205" s="36" t="n"/>
      <c r="H205" s="29" t="n">
        <v>1</v>
      </c>
      <c r="I205" s="37" t="n"/>
      <c r="J205" s="37" t="n"/>
      <c r="K205" s="31" t="n"/>
      <c r="L205" s="31" t="n"/>
      <c r="M205" s="31" t="n"/>
      <c r="N205" s="31" t="n"/>
      <c r="O205" s="31" t="n"/>
      <c r="P205" s="31" t="n"/>
      <c r="Q205" s="23">
        <f>IF($A205="","",COUNTIFS(Assignments!$C$2:$C$769,$A205,Assignments!$G$2:$G$769,"Active"))</f>
        <v/>
      </c>
      <c r="R205" s="32">
        <f>IF($A205="","",SUMIFS(Assignments!$I$2:$I$769,Assignments!$C$2:$C$769,$A205,Assignments!$G$2:$G$769,"Active"))</f>
        <v/>
      </c>
      <c r="S205" s="20" t="inlineStr">
        <is>
          <t>WIP</t>
        </is>
      </c>
      <c r="T205" s="31" t="n"/>
      <c r="U205" s="36" t="n"/>
      <c r="V205" s="34">
        <f>IF($U205="","",IFERROR(INDEX(Templates!$K$3:$K$10,MATCH($U205,Templates!$A$3:$A$10,0)),""))</f>
        <v/>
      </c>
      <c r="W205" s="34">
        <f>IF($U205="","",IFERROR(INDEX(Templates!$L$3:$L$10,MATCH($U205,Templates!$A$3:$A$10,0)),""))</f>
        <v/>
      </c>
      <c r="X205" s="21">
        <f>IF($U205="","",IFERROR(INDEX(Templates!$J$3:$J$10,MATCH($U205,Templates!$A$3:$A$10,0)),""))</f>
        <v/>
      </c>
      <c r="Y205" s="35">
        <f>IF(OR($U205="",$I205="",$J205="",$X205=""),"",$I205+$X205*($J205-$I205))</f>
        <v/>
      </c>
      <c r="Z205" s="30" t="n">
        <v>46212</v>
      </c>
      <c r="AA205" s="38" t="n"/>
      <c r="AB205" s="39" t="n"/>
      <c r="AC205" s="39" t="n"/>
      <c r="AD205" s="19">
        <f>IF($A205="","",IF($AA205="",$H205,$AA205))</f>
        <v/>
      </c>
      <c r="AE205" s="35">
        <f>IF($A205="","",IF($AB205="",$I205,$AB205))</f>
        <v/>
      </c>
      <c r="AF205" s="35">
        <f>IF($A205="","",IF($AC205="",$J205,$AC205))</f>
        <v/>
      </c>
      <c r="AG205" s="35">
        <f>IF(OR($U205="",$AE205="",$AF205="",$X205=""),"",$AE205+$X205*($AF205-$AE205))</f>
        <v/>
      </c>
      <c r="AH205" s="36" t="n"/>
      <c r="AI205" s="36" t="n"/>
      <c r="AJ205" s="36" t="n"/>
      <c r="AK205" s="36" t="n"/>
      <c r="AL205" s="36" t="n"/>
      <c r="AM205" s="36" t="n"/>
      <c r="AN205" s="36" t="n"/>
      <c r="AO205" s="36" t="n"/>
      <c r="AP205" s="36" t="n"/>
      <c r="AQ205" s="36" t="n"/>
      <c r="AR205" s="36" t="n"/>
      <c r="AS205" s="36" t="n"/>
      <c r="AT205" s="36" t="n"/>
      <c r="AU205" s="36" t="n"/>
      <c r="AV205" s="36" t="n"/>
      <c r="AW205" s="36" t="n"/>
      <c r="AX205" s="36" t="n"/>
    </row>
    <row r="206">
      <c r="A206" s="28" t="inlineStr">
        <is>
          <t>Zora_1</t>
        </is>
      </c>
      <c r="B206" s="20" t="inlineStr">
        <is>
          <t>MEAG MUNICH ERGO AssetManagement GmbH</t>
        </is>
      </c>
      <c r="C206" s="28" t="inlineStr">
        <is>
          <t>MEAG MUNICH ERGO AssetManagement GmbH</t>
        </is>
      </c>
      <c r="D206" s="28" t="inlineStr"/>
      <c r="E206" s="28" t="inlineStr">
        <is>
          <t>No</t>
        </is>
      </c>
      <c r="F206" s="28" t="inlineStr">
        <is>
          <t>Active</t>
        </is>
      </c>
      <c r="G206" s="36" t="n"/>
      <c r="H206" s="29" t="n">
        <v>1</v>
      </c>
      <c r="I206" s="37" t="n"/>
      <c r="J206" s="37" t="n"/>
      <c r="K206" s="31" t="n"/>
      <c r="L206" s="31" t="n"/>
      <c r="M206" s="31" t="n"/>
      <c r="N206" s="31" t="n"/>
      <c r="O206" s="31" t="n"/>
      <c r="P206" s="31" t="n"/>
      <c r="Q206" s="23">
        <f>IF($A206="","",COUNTIFS(Assignments!$C$2:$C$769,$A206,Assignments!$G$2:$G$769,"Active"))</f>
        <v/>
      </c>
      <c r="R206" s="32">
        <f>IF($A206="","",SUMIFS(Assignments!$I$2:$I$769,Assignments!$C$2:$C$769,$A206,Assignments!$G$2:$G$769,"Active"))</f>
        <v/>
      </c>
      <c r="S206" s="20" t="inlineStr">
        <is>
          <t>WIP</t>
        </is>
      </c>
      <c r="T206" s="31" t="n"/>
      <c r="U206" s="36" t="n"/>
      <c r="V206" s="34">
        <f>IF($U206="","",IFERROR(INDEX(Templates!$K$3:$K$10,MATCH($U206,Templates!$A$3:$A$10,0)),""))</f>
        <v/>
      </c>
      <c r="W206" s="34">
        <f>IF($U206="","",IFERROR(INDEX(Templates!$L$3:$L$10,MATCH($U206,Templates!$A$3:$A$10,0)),""))</f>
        <v/>
      </c>
      <c r="X206" s="21">
        <f>IF($U206="","",IFERROR(INDEX(Templates!$J$3:$J$10,MATCH($U206,Templates!$A$3:$A$10,0)),""))</f>
        <v/>
      </c>
      <c r="Y206" s="35">
        <f>IF(OR($U206="",$I206="",$J206="",$X206=""),"",$I206+$X206*($J206-$I206))</f>
        <v/>
      </c>
      <c r="Z206" s="30" t="n">
        <v>46212</v>
      </c>
      <c r="AA206" s="38" t="n"/>
      <c r="AB206" s="39" t="n"/>
      <c r="AC206" s="39" t="n"/>
      <c r="AD206" s="19">
        <f>IF($A206="","",IF($AA206="",$H206,$AA206))</f>
        <v/>
      </c>
      <c r="AE206" s="35">
        <f>IF($A206="","",IF($AB206="",$I206,$AB206))</f>
        <v/>
      </c>
      <c r="AF206" s="35">
        <f>IF($A206="","",IF($AC206="",$J206,$AC206))</f>
        <v/>
      </c>
      <c r="AG206" s="35">
        <f>IF(OR($U206="",$AE206="",$AF206="",$X206=""),"",$AE206+$X206*($AF206-$AE206))</f>
        <v/>
      </c>
      <c r="AH206" s="36" t="n"/>
      <c r="AI206" s="36" t="n"/>
      <c r="AJ206" s="36" t="n"/>
      <c r="AK206" s="36" t="n"/>
      <c r="AL206" s="36" t="n"/>
      <c r="AM206" s="36" t="n"/>
      <c r="AN206" s="36" t="n"/>
      <c r="AO206" s="36" t="n"/>
      <c r="AP206" s="36" t="n"/>
      <c r="AQ206" s="36" t="n"/>
      <c r="AR206" s="36" t="n"/>
      <c r="AS206" s="36" t="n"/>
      <c r="AT206" s="36" t="n"/>
      <c r="AU206" s="36" t="n"/>
      <c r="AV206" s="36" t="n"/>
      <c r="AW206" s="36" t="n"/>
      <c r="AX206" s="36" t="n"/>
    </row>
    <row r="207">
      <c r="A207" s="28" t="inlineStr">
        <is>
          <t>Ace_2</t>
        </is>
      </c>
      <c r="B207" s="20" t="inlineStr">
        <is>
          <t>Northampton Capital Partners</t>
        </is>
      </c>
      <c r="C207" s="28" t="inlineStr">
        <is>
          <t>Northampton Capital Partners</t>
        </is>
      </c>
      <c r="D207" s="28" t="inlineStr"/>
      <c r="E207" s="28" t="inlineStr">
        <is>
          <t>No</t>
        </is>
      </c>
      <c r="F207" s="28" t="inlineStr">
        <is>
          <t>Proposal</t>
        </is>
      </c>
      <c r="G207" s="36" t="n"/>
      <c r="H207" s="40" t="n">
        <v>0.5</v>
      </c>
      <c r="I207" s="37" t="n"/>
      <c r="J207" s="37" t="n"/>
      <c r="K207" s="31" t="n"/>
      <c r="L207" s="31" t="n"/>
      <c r="M207" s="31" t="n"/>
      <c r="N207" s="31" t="n"/>
      <c r="O207" s="31" t="n"/>
      <c r="P207" s="31" t="n"/>
      <c r="Q207" s="23">
        <f>IF($A207="","",COUNTIFS(Assignments!$C$2:$C$769,$A207,Assignments!$G$2:$G$769,"Active"))</f>
        <v/>
      </c>
      <c r="R207" s="32">
        <f>IF($A207="","",SUMIFS(Assignments!$I$2:$I$769,Assignments!$C$2:$C$769,$A207,Assignments!$G$2:$G$769,"Active"))</f>
        <v/>
      </c>
      <c r="S207" s="20" t="inlineStr">
        <is>
          <t>Proposal</t>
        </is>
      </c>
      <c r="T207" s="31" t="n"/>
      <c r="U207" s="36" t="n"/>
      <c r="V207" s="34">
        <f>IF($U207="","",IFERROR(INDEX(Templates!$K$3:$K$10,MATCH($U207,Templates!$A$3:$A$10,0)),""))</f>
        <v/>
      </c>
      <c r="W207" s="34">
        <f>IF($U207="","",IFERROR(INDEX(Templates!$L$3:$L$10,MATCH($U207,Templates!$A$3:$A$10,0)),""))</f>
        <v/>
      </c>
      <c r="X207" s="21">
        <f>IF($U207="","",IFERROR(INDEX(Templates!$J$3:$J$10,MATCH($U207,Templates!$A$3:$A$10,0)),""))</f>
        <v/>
      </c>
      <c r="Y207" s="35">
        <f>IF(OR($U207="",$I207="",$J207="",$X207=""),"",$I207+$X207*($J207-$I207))</f>
        <v/>
      </c>
      <c r="Z207" s="30" t="n">
        <v>46212</v>
      </c>
      <c r="AA207" s="38" t="n"/>
      <c r="AB207" s="39" t="n"/>
      <c r="AC207" s="39" t="n"/>
      <c r="AD207" s="19">
        <f>IF($A207="","",IF($AA207="",$H207,$AA207))</f>
        <v/>
      </c>
      <c r="AE207" s="35">
        <f>IF($A207="","",IF($AB207="",$I207,$AB207))</f>
        <v/>
      </c>
      <c r="AF207" s="35">
        <f>IF($A207="","",IF($AC207="",$J207,$AC207))</f>
        <v/>
      </c>
      <c r="AG207" s="35">
        <f>IF(OR($U207="",$AE207="",$AF207="",$X207=""),"",$AE207+$X207*($AF207-$AE207))</f>
        <v/>
      </c>
      <c r="AH207" s="36" t="n"/>
      <c r="AI207" s="36" t="n"/>
      <c r="AJ207" s="36" t="n"/>
      <c r="AK207" s="36" t="n"/>
      <c r="AL207" s="36" t="n"/>
      <c r="AM207" s="36" t="n"/>
      <c r="AN207" s="36" t="n"/>
      <c r="AO207" s="36" t="n"/>
      <c r="AP207" s="36" t="n"/>
      <c r="AQ207" s="36" t="n"/>
      <c r="AR207" s="36" t="n"/>
      <c r="AS207" s="36" t="n"/>
      <c r="AT207" s="36" t="n"/>
      <c r="AU207" s="36" t="n"/>
      <c r="AV207" s="36" t="n"/>
      <c r="AW207" s="36" t="n"/>
      <c r="AX207" s="36" t="n"/>
    </row>
    <row r="208">
      <c r="A208" s="28" t="inlineStr">
        <is>
          <t>Ad-Hoc_1</t>
        </is>
      </c>
      <c r="B208" s="20" t="inlineStr">
        <is>
          <t>Wells Fargo</t>
        </is>
      </c>
      <c r="C208" s="28" t="inlineStr">
        <is>
          <t>Wells Fargo</t>
        </is>
      </c>
      <c r="D208" s="28" t="inlineStr"/>
      <c r="E208" s="28" t="inlineStr">
        <is>
          <t>No</t>
        </is>
      </c>
      <c r="F208" s="28" t="inlineStr">
        <is>
          <t>Proposal</t>
        </is>
      </c>
      <c r="G208" s="36" t="n"/>
      <c r="H208" s="40" t="n">
        <v>0.5</v>
      </c>
      <c r="I208" s="37" t="n"/>
      <c r="J208" s="37" t="n"/>
      <c r="K208" s="31" t="n"/>
      <c r="L208" s="31" t="n"/>
      <c r="M208" s="31" t="n"/>
      <c r="N208" s="31" t="n"/>
      <c r="O208" s="31" t="n"/>
      <c r="P208" s="31" t="n"/>
      <c r="Q208" s="23">
        <f>IF($A208="","",COUNTIFS(Assignments!$C$2:$C$769,$A208,Assignments!$G$2:$G$769,"Active"))</f>
        <v/>
      </c>
      <c r="R208" s="32">
        <f>IF($A208="","",SUMIFS(Assignments!$I$2:$I$769,Assignments!$C$2:$C$769,$A208,Assignments!$G$2:$G$769,"Active"))</f>
        <v/>
      </c>
      <c r="S208" s="20" t="inlineStr">
        <is>
          <t>Proposal</t>
        </is>
      </c>
      <c r="T208" s="31" t="n"/>
      <c r="U208" s="36" t="n"/>
      <c r="V208" s="34">
        <f>IF($U208="","",IFERROR(INDEX(Templates!$K$3:$K$10,MATCH($U208,Templates!$A$3:$A$10,0)),""))</f>
        <v/>
      </c>
      <c r="W208" s="34">
        <f>IF($U208="","",IFERROR(INDEX(Templates!$L$3:$L$10,MATCH($U208,Templates!$A$3:$A$10,0)),""))</f>
        <v/>
      </c>
      <c r="X208" s="21">
        <f>IF($U208="","",IFERROR(INDEX(Templates!$J$3:$J$10,MATCH($U208,Templates!$A$3:$A$10,0)),""))</f>
        <v/>
      </c>
      <c r="Y208" s="35">
        <f>IF(OR($U208="",$I208="",$J208="",$X208=""),"",$I208+$X208*($J208-$I208))</f>
        <v/>
      </c>
      <c r="Z208" s="30" t="n">
        <v>46212</v>
      </c>
      <c r="AA208" s="38" t="n"/>
      <c r="AB208" s="39" t="n"/>
      <c r="AC208" s="39" t="n"/>
      <c r="AD208" s="19">
        <f>IF($A208="","",IF($AA208="",$H208,$AA208))</f>
        <v/>
      </c>
      <c r="AE208" s="35">
        <f>IF($A208="","",IF($AB208="",$I208,$AB208))</f>
        <v/>
      </c>
      <c r="AF208" s="35">
        <f>IF($A208="","",IF($AC208="",$J208,$AC208))</f>
        <v/>
      </c>
      <c r="AG208" s="35">
        <f>IF(OR($U208="",$AE208="",$AF208="",$X208=""),"",$AE208+$X208*($AF208-$AE208))</f>
        <v/>
      </c>
      <c r="AH208" s="36" t="n"/>
      <c r="AI208" s="36" t="n"/>
      <c r="AJ208" s="36" t="n"/>
      <c r="AK208" s="36" t="n"/>
      <c r="AL208" s="36" t="n"/>
      <c r="AM208" s="36" t="n"/>
      <c r="AN208" s="36" t="n"/>
      <c r="AO208" s="36" t="n"/>
      <c r="AP208" s="36" t="n"/>
      <c r="AQ208" s="36" t="n"/>
      <c r="AR208" s="36" t="n"/>
      <c r="AS208" s="36" t="n"/>
      <c r="AT208" s="36" t="n"/>
      <c r="AU208" s="36" t="n"/>
      <c r="AV208" s="36" t="n"/>
      <c r="AW208" s="36" t="n"/>
      <c r="AX208" s="36" t="n"/>
    </row>
    <row r="209">
      <c r="A209" s="28" t="inlineStr">
        <is>
          <t>Alliance_1</t>
        </is>
      </c>
      <c r="B209" s="20" t="inlineStr">
        <is>
          <t>Argo Group</t>
        </is>
      </c>
      <c r="C209" s="28" t="inlineStr">
        <is>
          <t>Argo Group</t>
        </is>
      </c>
      <c r="D209" s="28" t="inlineStr"/>
      <c r="E209" s="28" t="inlineStr">
        <is>
          <t>No</t>
        </is>
      </c>
      <c r="F209" s="28" t="inlineStr">
        <is>
          <t>Proposal</t>
        </is>
      </c>
      <c r="G209" s="36" t="n"/>
      <c r="H209" s="40" t="n">
        <v>0.5</v>
      </c>
      <c r="I209" s="37" t="n"/>
      <c r="J209" s="37" t="n"/>
      <c r="K209" s="31" t="n"/>
      <c r="L209" s="31" t="n"/>
      <c r="M209" s="31" t="n"/>
      <c r="N209" s="31" t="n"/>
      <c r="O209" s="31" t="n"/>
      <c r="P209" s="31" t="n"/>
      <c r="Q209" s="23">
        <f>IF($A209="","",COUNTIFS(Assignments!$C$2:$C$769,$A209,Assignments!$G$2:$G$769,"Active"))</f>
        <v/>
      </c>
      <c r="R209" s="32">
        <f>IF($A209="","",SUMIFS(Assignments!$I$2:$I$769,Assignments!$C$2:$C$769,$A209,Assignments!$G$2:$G$769,"Active"))</f>
        <v/>
      </c>
      <c r="S209" s="20" t="inlineStr">
        <is>
          <t>Proposal</t>
        </is>
      </c>
      <c r="T209" s="31" t="n"/>
      <c r="U209" s="36" t="n"/>
      <c r="V209" s="34">
        <f>IF($U209="","",IFERROR(INDEX(Templates!$K$3:$K$10,MATCH($U209,Templates!$A$3:$A$10,0)),""))</f>
        <v/>
      </c>
      <c r="W209" s="34">
        <f>IF($U209="","",IFERROR(INDEX(Templates!$L$3:$L$10,MATCH($U209,Templates!$A$3:$A$10,0)),""))</f>
        <v/>
      </c>
      <c r="X209" s="21">
        <f>IF($U209="","",IFERROR(INDEX(Templates!$J$3:$J$10,MATCH($U209,Templates!$A$3:$A$10,0)),""))</f>
        <v/>
      </c>
      <c r="Y209" s="35">
        <f>IF(OR($U209="",$I209="",$J209="",$X209=""),"",$I209+$X209*($J209-$I209))</f>
        <v/>
      </c>
      <c r="Z209" s="30" t="n">
        <v>46212</v>
      </c>
      <c r="AA209" s="38" t="n"/>
      <c r="AB209" s="39" t="n"/>
      <c r="AC209" s="39" t="n"/>
      <c r="AD209" s="19">
        <f>IF($A209="","",IF($AA209="",$H209,$AA209))</f>
        <v/>
      </c>
      <c r="AE209" s="35">
        <f>IF($A209="","",IF($AB209="",$I209,$AB209))</f>
        <v/>
      </c>
      <c r="AF209" s="35">
        <f>IF($A209="","",IF($AC209="",$J209,$AC209))</f>
        <v/>
      </c>
      <c r="AG209" s="35">
        <f>IF(OR($U209="",$AE209="",$AF209="",$X209=""),"",$AE209+$X209*($AF209-$AE209))</f>
        <v/>
      </c>
      <c r="AH209" s="36" t="n"/>
      <c r="AI209" s="36" t="n"/>
      <c r="AJ209" s="36" t="n"/>
      <c r="AK209" s="36" t="n"/>
      <c r="AL209" s="36" t="n"/>
      <c r="AM209" s="36" t="n"/>
      <c r="AN209" s="36" t="n"/>
      <c r="AO209" s="36" t="n"/>
      <c r="AP209" s="36" t="n"/>
      <c r="AQ209" s="36" t="n"/>
      <c r="AR209" s="36" t="n"/>
      <c r="AS209" s="36" t="n"/>
      <c r="AT209" s="36" t="n"/>
      <c r="AU209" s="36" t="n"/>
      <c r="AV209" s="36" t="n"/>
      <c r="AW209" s="36" t="n"/>
      <c r="AX209" s="36" t="n"/>
    </row>
    <row r="210">
      <c r="A210" s="28" t="inlineStr">
        <is>
          <t>Amp_1</t>
        </is>
      </c>
      <c r="B210" s="20" t="inlineStr">
        <is>
          <t>ICEN Risk</t>
        </is>
      </c>
      <c r="C210" s="28" t="inlineStr">
        <is>
          <t>ICEN Risk</t>
        </is>
      </c>
      <c r="D210" s="28" t="inlineStr"/>
      <c r="E210" s="28" t="inlineStr">
        <is>
          <t>No</t>
        </is>
      </c>
      <c r="F210" s="28" t="inlineStr">
        <is>
          <t>Proposal</t>
        </is>
      </c>
      <c r="G210" s="36" t="n"/>
      <c r="H210" s="40" t="n">
        <v>0.5</v>
      </c>
      <c r="I210" s="37" t="n"/>
      <c r="J210" s="37" t="n"/>
      <c r="K210" s="31" t="n"/>
      <c r="L210" s="31" t="n"/>
      <c r="M210" s="31" t="n"/>
      <c r="N210" s="31" t="n"/>
      <c r="O210" s="31" t="n"/>
      <c r="P210" s="31" t="n"/>
      <c r="Q210" s="23">
        <f>IF($A210="","",COUNTIFS(Assignments!$C$2:$C$769,$A210,Assignments!$G$2:$G$769,"Active"))</f>
        <v/>
      </c>
      <c r="R210" s="32">
        <f>IF($A210="","",SUMIFS(Assignments!$I$2:$I$769,Assignments!$C$2:$C$769,$A210,Assignments!$G$2:$G$769,"Active"))</f>
        <v/>
      </c>
      <c r="S210" s="20" t="inlineStr">
        <is>
          <t>Proposal</t>
        </is>
      </c>
      <c r="T210" s="31" t="n"/>
      <c r="U210" s="36" t="n"/>
      <c r="V210" s="34">
        <f>IF($U210="","",IFERROR(INDEX(Templates!$K$3:$K$10,MATCH($U210,Templates!$A$3:$A$10,0)),""))</f>
        <v/>
      </c>
      <c r="W210" s="34">
        <f>IF($U210="","",IFERROR(INDEX(Templates!$L$3:$L$10,MATCH($U210,Templates!$A$3:$A$10,0)),""))</f>
        <v/>
      </c>
      <c r="X210" s="21">
        <f>IF($U210="","",IFERROR(INDEX(Templates!$J$3:$J$10,MATCH($U210,Templates!$A$3:$A$10,0)),""))</f>
        <v/>
      </c>
      <c r="Y210" s="35">
        <f>IF(OR($U210="",$I210="",$J210="",$X210=""),"",$I210+$X210*($J210-$I210))</f>
        <v/>
      </c>
      <c r="Z210" s="30" t="n">
        <v>46212</v>
      </c>
      <c r="AA210" s="38" t="n"/>
      <c r="AB210" s="39" t="n"/>
      <c r="AC210" s="39" t="n"/>
      <c r="AD210" s="19">
        <f>IF($A210="","",IF($AA210="",$H210,$AA210))</f>
        <v/>
      </c>
      <c r="AE210" s="35">
        <f>IF($A210="","",IF($AB210="",$I210,$AB210))</f>
        <v/>
      </c>
      <c r="AF210" s="35">
        <f>IF($A210="","",IF($AC210="",$J210,$AC210))</f>
        <v/>
      </c>
      <c r="AG210" s="35">
        <f>IF(OR($U210="",$AE210="",$AF210="",$X210=""),"",$AE210+$X210*($AF210-$AE210))</f>
        <v/>
      </c>
      <c r="AH210" s="36" t="n"/>
      <c r="AI210" s="36" t="n"/>
      <c r="AJ210" s="36" t="n"/>
      <c r="AK210" s="36" t="n"/>
      <c r="AL210" s="36" t="n"/>
      <c r="AM210" s="36" t="n"/>
      <c r="AN210" s="36" t="n"/>
      <c r="AO210" s="36" t="n"/>
      <c r="AP210" s="36" t="n"/>
      <c r="AQ210" s="36" t="n"/>
      <c r="AR210" s="36" t="n"/>
      <c r="AS210" s="36" t="n"/>
      <c r="AT210" s="36" t="n"/>
      <c r="AU210" s="36" t="n"/>
      <c r="AV210" s="36" t="n"/>
      <c r="AW210" s="36" t="n"/>
      <c r="AX210" s="36" t="n"/>
    </row>
    <row r="211">
      <c r="A211" s="28" t="inlineStr">
        <is>
          <t>AOP Model_1</t>
        </is>
      </c>
      <c r="B211" s="20" t="inlineStr">
        <is>
          <t>Fengate</t>
        </is>
      </c>
      <c r="C211" s="28" t="inlineStr">
        <is>
          <t>Fengate</t>
        </is>
      </c>
      <c r="D211" s="28" t="inlineStr"/>
      <c r="E211" s="28" t="inlineStr">
        <is>
          <t>No</t>
        </is>
      </c>
      <c r="F211" s="28" t="inlineStr">
        <is>
          <t>Proposal</t>
        </is>
      </c>
      <c r="G211" s="36" t="n"/>
      <c r="H211" s="40" t="n">
        <v>0.5</v>
      </c>
      <c r="I211" s="37" t="n"/>
      <c r="J211" s="37" t="n"/>
      <c r="K211" s="31" t="n"/>
      <c r="L211" s="31" t="n"/>
      <c r="M211" s="31" t="n"/>
      <c r="N211" s="31" t="n"/>
      <c r="O211" s="31" t="n"/>
      <c r="P211" s="31" t="n"/>
      <c r="Q211" s="23">
        <f>IF($A211="","",COUNTIFS(Assignments!$C$2:$C$769,$A211,Assignments!$G$2:$G$769,"Active"))</f>
        <v/>
      </c>
      <c r="R211" s="32">
        <f>IF($A211="","",SUMIFS(Assignments!$I$2:$I$769,Assignments!$C$2:$C$769,$A211,Assignments!$G$2:$G$769,"Active"))</f>
        <v/>
      </c>
      <c r="S211" s="20" t="inlineStr">
        <is>
          <t>Proposal</t>
        </is>
      </c>
      <c r="T211" s="31" t="n"/>
      <c r="U211" s="36" t="n"/>
      <c r="V211" s="34">
        <f>IF($U211="","",IFERROR(INDEX(Templates!$K$3:$K$10,MATCH($U211,Templates!$A$3:$A$10,0)),""))</f>
        <v/>
      </c>
      <c r="W211" s="34">
        <f>IF($U211="","",IFERROR(INDEX(Templates!$L$3:$L$10,MATCH($U211,Templates!$A$3:$A$10,0)),""))</f>
        <v/>
      </c>
      <c r="X211" s="21">
        <f>IF($U211="","",IFERROR(INDEX(Templates!$J$3:$J$10,MATCH($U211,Templates!$A$3:$A$10,0)),""))</f>
        <v/>
      </c>
      <c r="Y211" s="35">
        <f>IF(OR($U211="",$I211="",$J211="",$X211=""),"",$I211+$X211*($J211-$I211))</f>
        <v/>
      </c>
      <c r="Z211" s="30" t="n">
        <v>46212</v>
      </c>
      <c r="AA211" s="38" t="n"/>
      <c r="AB211" s="39" t="n"/>
      <c r="AC211" s="39" t="n"/>
      <c r="AD211" s="19">
        <f>IF($A211="","",IF($AA211="",$H211,$AA211))</f>
        <v/>
      </c>
      <c r="AE211" s="35">
        <f>IF($A211="","",IF($AB211="",$I211,$AB211))</f>
        <v/>
      </c>
      <c r="AF211" s="35">
        <f>IF($A211="","",IF($AC211="",$J211,$AC211))</f>
        <v/>
      </c>
      <c r="AG211" s="35">
        <f>IF(OR($U211="",$AE211="",$AF211="",$X211=""),"",$AE211+$X211*($AF211-$AE211))</f>
        <v/>
      </c>
      <c r="AH211" s="36" t="n"/>
      <c r="AI211" s="36" t="n"/>
      <c r="AJ211" s="36" t="n"/>
      <c r="AK211" s="36" t="n"/>
      <c r="AL211" s="36" t="n"/>
      <c r="AM211" s="36" t="n"/>
      <c r="AN211" s="36" t="n"/>
      <c r="AO211" s="36" t="n"/>
      <c r="AP211" s="36" t="n"/>
      <c r="AQ211" s="36" t="n"/>
      <c r="AR211" s="36" t="n"/>
      <c r="AS211" s="36" t="n"/>
      <c r="AT211" s="36" t="n"/>
      <c r="AU211" s="36" t="n"/>
      <c r="AV211" s="36" t="n"/>
      <c r="AW211" s="36" t="n"/>
      <c r="AX211" s="36" t="n"/>
    </row>
    <row r="212">
      <c r="A212" s="28" t="inlineStr">
        <is>
          <t>Apple_2</t>
        </is>
      </c>
      <c r="B212" s="20" t="inlineStr">
        <is>
          <t>Omnes Capital</t>
        </is>
      </c>
      <c r="C212" s="28" t="inlineStr">
        <is>
          <t>Omnes Capital</t>
        </is>
      </c>
      <c r="D212" s="28" t="inlineStr"/>
      <c r="E212" s="28" t="inlineStr">
        <is>
          <t>No</t>
        </is>
      </c>
      <c r="F212" s="28" t="inlineStr">
        <is>
          <t>Proposal</t>
        </is>
      </c>
      <c r="G212" s="36" t="n"/>
      <c r="H212" s="40" t="n">
        <v>0.5</v>
      </c>
      <c r="I212" s="37" t="n"/>
      <c r="J212" s="37" t="n"/>
      <c r="K212" s="31" t="n"/>
      <c r="L212" s="31" t="n"/>
      <c r="M212" s="31" t="n"/>
      <c r="N212" s="31" t="n"/>
      <c r="O212" s="31" t="n"/>
      <c r="P212" s="31" t="n"/>
      <c r="Q212" s="23">
        <f>IF($A212="","",COUNTIFS(Assignments!$C$2:$C$769,$A212,Assignments!$G$2:$G$769,"Active"))</f>
        <v/>
      </c>
      <c r="R212" s="32">
        <f>IF($A212="","",SUMIFS(Assignments!$I$2:$I$769,Assignments!$C$2:$C$769,$A212,Assignments!$G$2:$G$769,"Active"))</f>
        <v/>
      </c>
      <c r="S212" s="20" t="inlineStr">
        <is>
          <t>Proposal</t>
        </is>
      </c>
      <c r="T212" s="31" t="n"/>
      <c r="U212" s="36" t="n"/>
      <c r="V212" s="34">
        <f>IF($U212="","",IFERROR(INDEX(Templates!$K$3:$K$10,MATCH($U212,Templates!$A$3:$A$10,0)),""))</f>
        <v/>
      </c>
      <c r="W212" s="34">
        <f>IF($U212="","",IFERROR(INDEX(Templates!$L$3:$L$10,MATCH($U212,Templates!$A$3:$A$10,0)),""))</f>
        <v/>
      </c>
      <c r="X212" s="21">
        <f>IF($U212="","",IFERROR(INDEX(Templates!$J$3:$J$10,MATCH($U212,Templates!$A$3:$A$10,0)),""))</f>
        <v/>
      </c>
      <c r="Y212" s="35">
        <f>IF(OR($U212="",$I212="",$J212="",$X212=""),"",$I212+$X212*($J212-$I212))</f>
        <v/>
      </c>
      <c r="Z212" s="30" t="n">
        <v>46212</v>
      </c>
      <c r="AA212" s="38" t="n"/>
      <c r="AB212" s="39" t="n"/>
      <c r="AC212" s="39" t="n"/>
      <c r="AD212" s="19">
        <f>IF($A212="","",IF($AA212="",$H212,$AA212))</f>
        <v/>
      </c>
      <c r="AE212" s="35">
        <f>IF($A212="","",IF($AB212="",$I212,$AB212))</f>
        <v/>
      </c>
      <c r="AF212" s="35">
        <f>IF($A212="","",IF($AC212="",$J212,$AC212))</f>
        <v/>
      </c>
      <c r="AG212" s="35">
        <f>IF(OR($U212="",$AE212="",$AF212="",$X212=""),"",$AE212+$X212*($AF212-$AE212))</f>
        <v/>
      </c>
      <c r="AH212" s="36" t="n"/>
      <c r="AI212" s="36" t="n"/>
      <c r="AJ212" s="36" t="n"/>
      <c r="AK212" s="36" t="n"/>
      <c r="AL212" s="36" t="n"/>
      <c r="AM212" s="36" t="n"/>
      <c r="AN212" s="36" t="n"/>
      <c r="AO212" s="36" t="n"/>
      <c r="AP212" s="36" t="n"/>
      <c r="AQ212" s="36" t="n"/>
      <c r="AR212" s="36" t="n"/>
      <c r="AS212" s="36" t="n"/>
      <c r="AT212" s="36" t="n"/>
      <c r="AU212" s="36" t="n"/>
      <c r="AV212" s="36" t="n"/>
      <c r="AW212" s="36" t="n"/>
      <c r="AX212" s="36" t="n"/>
    </row>
    <row r="213">
      <c r="A213" s="28" t="inlineStr">
        <is>
          <t>Arctic_2</t>
        </is>
      </c>
      <c r="B213" s="20" t="inlineStr">
        <is>
          <t>IFM Investors</t>
        </is>
      </c>
      <c r="C213" s="28" t="inlineStr">
        <is>
          <t>IFM Investors</t>
        </is>
      </c>
      <c r="D213" s="28" t="inlineStr"/>
      <c r="E213" s="28" t="inlineStr">
        <is>
          <t>No</t>
        </is>
      </c>
      <c r="F213" s="28" t="inlineStr">
        <is>
          <t>Proposal</t>
        </is>
      </c>
      <c r="G213" s="36" t="n"/>
      <c r="H213" s="40" t="n">
        <v>0.5</v>
      </c>
      <c r="I213" s="37" t="n"/>
      <c r="J213" s="37" t="n"/>
      <c r="K213" s="31" t="n"/>
      <c r="L213" s="31" t="n"/>
      <c r="M213" s="31" t="n"/>
      <c r="N213" s="31" t="n"/>
      <c r="O213" s="31" t="n"/>
      <c r="P213" s="31" t="n"/>
      <c r="Q213" s="23">
        <f>IF($A213="","",COUNTIFS(Assignments!$C$2:$C$769,$A213,Assignments!$G$2:$G$769,"Active"))</f>
        <v/>
      </c>
      <c r="R213" s="32">
        <f>IF($A213="","",SUMIFS(Assignments!$I$2:$I$769,Assignments!$C$2:$C$769,$A213,Assignments!$G$2:$G$769,"Active"))</f>
        <v/>
      </c>
      <c r="S213" s="20" t="inlineStr">
        <is>
          <t>Proposal</t>
        </is>
      </c>
      <c r="T213" s="31" t="n"/>
      <c r="U213" s="36" t="n"/>
      <c r="V213" s="34">
        <f>IF($U213="","",IFERROR(INDEX(Templates!$K$3:$K$10,MATCH($U213,Templates!$A$3:$A$10,0)),""))</f>
        <v/>
      </c>
      <c r="W213" s="34">
        <f>IF($U213="","",IFERROR(INDEX(Templates!$L$3:$L$10,MATCH($U213,Templates!$A$3:$A$10,0)),""))</f>
        <v/>
      </c>
      <c r="X213" s="21">
        <f>IF($U213="","",IFERROR(INDEX(Templates!$J$3:$J$10,MATCH($U213,Templates!$A$3:$A$10,0)),""))</f>
        <v/>
      </c>
      <c r="Y213" s="35">
        <f>IF(OR($U213="",$I213="",$J213="",$X213=""),"",$I213+$X213*($J213-$I213))</f>
        <v/>
      </c>
      <c r="Z213" s="30" t="n">
        <v>46212</v>
      </c>
      <c r="AA213" s="38" t="n"/>
      <c r="AB213" s="39" t="n"/>
      <c r="AC213" s="39" t="n"/>
      <c r="AD213" s="19">
        <f>IF($A213="","",IF($AA213="",$H213,$AA213))</f>
        <v/>
      </c>
      <c r="AE213" s="35">
        <f>IF($A213="","",IF($AB213="",$I213,$AB213))</f>
        <v/>
      </c>
      <c r="AF213" s="35">
        <f>IF($A213="","",IF($AC213="",$J213,$AC213))</f>
        <v/>
      </c>
      <c r="AG213" s="35">
        <f>IF(OR($U213="",$AE213="",$AF213="",$X213=""),"",$AE213+$X213*($AF213-$AE213))</f>
        <v/>
      </c>
      <c r="AH213" s="36" t="n"/>
      <c r="AI213" s="36" t="n"/>
      <c r="AJ213" s="36" t="n"/>
      <c r="AK213" s="36" t="n"/>
      <c r="AL213" s="36" t="n"/>
      <c r="AM213" s="36" t="n"/>
      <c r="AN213" s="36" t="n"/>
      <c r="AO213" s="36" t="n"/>
      <c r="AP213" s="36" t="n"/>
      <c r="AQ213" s="36" t="n"/>
      <c r="AR213" s="36" t="n"/>
      <c r="AS213" s="36" t="n"/>
      <c r="AT213" s="36" t="n"/>
      <c r="AU213" s="36" t="n"/>
      <c r="AV213" s="36" t="n"/>
      <c r="AW213" s="36" t="n"/>
      <c r="AX213" s="36" t="n"/>
    </row>
    <row r="214">
      <c r="A214" s="28" t="inlineStr">
        <is>
          <t>Ares FIRPTA_2</t>
        </is>
      </c>
      <c r="B214" s="20" t="inlineStr">
        <is>
          <t>Ares Management Corporation</t>
        </is>
      </c>
      <c r="C214" s="28" t="inlineStr">
        <is>
          <t>Ares Management Corporation</t>
        </is>
      </c>
      <c r="D214" s="28" t="inlineStr"/>
      <c r="E214" s="28" t="inlineStr">
        <is>
          <t>No</t>
        </is>
      </c>
      <c r="F214" s="28" t="inlineStr">
        <is>
          <t>Proposal</t>
        </is>
      </c>
      <c r="G214" s="36" t="n"/>
      <c r="H214" s="40" t="n">
        <v>0.5</v>
      </c>
      <c r="I214" s="37" t="n"/>
      <c r="J214" s="37" t="n"/>
      <c r="K214" s="31" t="n"/>
      <c r="L214" s="31" t="n"/>
      <c r="M214" s="31" t="n"/>
      <c r="N214" s="31" t="n"/>
      <c r="O214" s="31" t="n"/>
      <c r="P214" s="31" t="n"/>
      <c r="Q214" s="23">
        <f>IF($A214="","",COUNTIFS(Assignments!$C$2:$C$769,$A214,Assignments!$G$2:$G$769,"Active"))</f>
        <v/>
      </c>
      <c r="R214" s="32">
        <f>IF($A214="","",SUMIFS(Assignments!$I$2:$I$769,Assignments!$C$2:$C$769,$A214,Assignments!$G$2:$G$769,"Active"))</f>
        <v/>
      </c>
      <c r="S214" s="20" t="inlineStr">
        <is>
          <t>Proposal</t>
        </is>
      </c>
      <c r="T214" s="31" t="n"/>
      <c r="U214" s="36" t="n"/>
      <c r="V214" s="34">
        <f>IF($U214="","",IFERROR(INDEX(Templates!$K$3:$K$10,MATCH($U214,Templates!$A$3:$A$10,0)),""))</f>
        <v/>
      </c>
      <c r="W214" s="34">
        <f>IF($U214="","",IFERROR(INDEX(Templates!$L$3:$L$10,MATCH($U214,Templates!$A$3:$A$10,0)),""))</f>
        <v/>
      </c>
      <c r="X214" s="21">
        <f>IF($U214="","",IFERROR(INDEX(Templates!$J$3:$J$10,MATCH($U214,Templates!$A$3:$A$10,0)),""))</f>
        <v/>
      </c>
      <c r="Y214" s="35">
        <f>IF(OR($U214="",$I214="",$J214="",$X214=""),"",$I214+$X214*($J214-$I214))</f>
        <v/>
      </c>
      <c r="Z214" s="30" t="n">
        <v>46212</v>
      </c>
      <c r="AA214" s="38" t="n"/>
      <c r="AB214" s="39" t="n"/>
      <c r="AC214" s="39" t="n"/>
      <c r="AD214" s="19">
        <f>IF($A214="","",IF($AA214="",$H214,$AA214))</f>
        <v/>
      </c>
      <c r="AE214" s="35">
        <f>IF($A214="","",IF($AB214="",$I214,$AB214))</f>
        <v/>
      </c>
      <c r="AF214" s="35">
        <f>IF($A214="","",IF($AC214="",$J214,$AC214))</f>
        <v/>
      </c>
      <c r="AG214" s="35">
        <f>IF(OR($U214="",$AE214="",$AF214="",$X214=""),"",$AE214+$X214*($AF214-$AE214))</f>
        <v/>
      </c>
      <c r="AH214" s="36" t="n"/>
      <c r="AI214" s="36" t="n"/>
      <c r="AJ214" s="36" t="n"/>
      <c r="AK214" s="36" t="n"/>
      <c r="AL214" s="36" t="n"/>
      <c r="AM214" s="36" t="n"/>
      <c r="AN214" s="36" t="n"/>
      <c r="AO214" s="36" t="n"/>
      <c r="AP214" s="36" t="n"/>
      <c r="AQ214" s="36" t="n"/>
      <c r="AR214" s="36" t="n"/>
      <c r="AS214" s="36" t="n"/>
      <c r="AT214" s="36" t="n"/>
      <c r="AU214" s="36" t="n"/>
      <c r="AV214" s="36" t="n"/>
      <c r="AW214" s="36" t="n"/>
      <c r="AX214" s="36" t="n"/>
    </row>
    <row r="215">
      <c r="A215" s="28" t="inlineStr">
        <is>
          <t>Assys_1</t>
        </is>
      </c>
      <c r="B215" s="20" t="inlineStr">
        <is>
          <t>Leo Berwick (Referral Source)</t>
        </is>
      </c>
      <c r="C215" s="28" t="inlineStr">
        <is>
          <t>Leo Berwick</t>
        </is>
      </c>
      <c r="D215" s="28" t="inlineStr"/>
      <c r="E215" s="28" t="inlineStr">
        <is>
          <t>Yes</t>
        </is>
      </c>
      <c r="F215" s="28" t="inlineStr">
        <is>
          <t>Proposal</t>
        </is>
      </c>
      <c r="G215" s="36" t="n"/>
      <c r="H215" s="40" t="n">
        <v>0.5</v>
      </c>
      <c r="I215" s="37" t="n"/>
      <c r="J215" s="37" t="n"/>
      <c r="K215" s="31" t="n"/>
      <c r="L215" s="31" t="n"/>
      <c r="M215" s="31" t="n"/>
      <c r="N215" s="31" t="n"/>
      <c r="O215" s="31" t="n"/>
      <c r="P215" s="31" t="n"/>
      <c r="Q215" s="23">
        <f>IF($A215="","",COUNTIFS(Assignments!$C$2:$C$769,$A215,Assignments!$G$2:$G$769,"Active"))</f>
        <v/>
      </c>
      <c r="R215" s="32">
        <f>IF($A215="","",SUMIFS(Assignments!$I$2:$I$769,Assignments!$C$2:$C$769,$A215,Assignments!$G$2:$G$769,"Active"))</f>
        <v/>
      </c>
      <c r="S215" s="20" t="inlineStr">
        <is>
          <t>Proposal</t>
        </is>
      </c>
      <c r="T215" s="31" t="n"/>
      <c r="U215" s="36" t="n"/>
      <c r="V215" s="34">
        <f>IF($U215="","",IFERROR(INDEX(Templates!$K$3:$K$10,MATCH($U215,Templates!$A$3:$A$10,0)),""))</f>
        <v/>
      </c>
      <c r="W215" s="34">
        <f>IF($U215="","",IFERROR(INDEX(Templates!$L$3:$L$10,MATCH($U215,Templates!$A$3:$A$10,0)),""))</f>
        <v/>
      </c>
      <c r="X215" s="21">
        <f>IF($U215="","",IFERROR(INDEX(Templates!$J$3:$J$10,MATCH($U215,Templates!$A$3:$A$10,0)),""))</f>
        <v/>
      </c>
      <c r="Y215" s="35">
        <f>IF(OR($U215="",$I215="",$J215="",$X215=""),"",$I215+$X215*($J215-$I215))</f>
        <v/>
      </c>
      <c r="Z215" s="30" t="n">
        <v>46212</v>
      </c>
      <c r="AA215" s="38" t="n"/>
      <c r="AB215" s="39" t="n"/>
      <c r="AC215" s="39" t="n"/>
      <c r="AD215" s="19">
        <f>IF($A215="","",IF($AA215="",$H215,$AA215))</f>
        <v/>
      </c>
      <c r="AE215" s="35">
        <f>IF($A215="","",IF($AB215="",$I215,$AB215))</f>
        <v/>
      </c>
      <c r="AF215" s="35">
        <f>IF($A215="","",IF($AC215="",$J215,$AC215))</f>
        <v/>
      </c>
      <c r="AG215" s="35">
        <f>IF(OR($U215="",$AE215="",$AF215="",$X215=""),"",$AE215+$X215*($AF215-$AE215))</f>
        <v/>
      </c>
      <c r="AH215" s="36" t="n"/>
      <c r="AI215" s="36" t="n"/>
      <c r="AJ215" s="36" t="n"/>
      <c r="AK215" s="36" t="n"/>
      <c r="AL215" s="36" t="n"/>
      <c r="AM215" s="36" t="n"/>
      <c r="AN215" s="36" t="n"/>
      <c r="AO215" s="36" t="n"/>
      <c r="AP215" s="36" t="n"/>
      <c r="AQ215" s="36" t="n"/>
      <c r="AR215" s="36" t="n"/>
      <c r="AS215" s="36" t="n"/>
      <c r="AT215" s="36" t="n"/>
      <c r="AU215" s="36" t="n"/>
      <c r="AV215" s="36" t="n"/>
      <c r="AW215" s="36" t="n"/>
      <c r="AX215" s="36" t="n"/>
    </row>
    <row r="216">
      <c r="A216" s="28" t="inlineStr">
        <is>
          <t>Avengers</t>
        </is>
      </c>
      <c r="B216" s="20" t="inlineStr">
        <is>
          <t>Morrison</t>
        </is>
      </c>
      <c r="C216" s="28" t="inlineStr">
        <is>
          <t>Morrison</t>
        </is>
      </c>
      <c r="D216" s="28" t="inlineStr"/>
      <c r="E216" s="28" t="inlineStr">
        <is>
          <t>No</t>
        </is>
      </c>
      <c r="F216" s="28" t="inlineStr">
        <is>
          <t>Proposal</t>
        </is>
      </c>
      <c r="G216" s="36" t="n"/>
      <c r="H216" s="40" t="n">
        <v>0.5</v>
      </c>
      <c r="I216" s="37" t="n"/>
      <c r="J216" s="37" t="n"/>
      <c r="K216" s="31" t="n"/>
      <c r="L216" s="31" t="n"/>
      <c r="M216" s="31" t="n"/>
      <c r="N216" s="31" t="n"/>
      <c r="O216" s="31" t="n"/>
      <c r="P216" s="31" t="n"/>
      <c r="Q216" s="23">
        <f>IF($A216="","",COUNTIFS(Assignments!$C$2:$C$769,$A216,Assignments!$G$2:$G$769,"Active"))</f>
        <v/>
      </c>
      <c r="R216" s="32">
        <f>IF($A216="","",SUMIFS(Assignments!$I$2:$I$769,Assignments!$C$2:$C$769,$A216,Assignments!$G$2:$G$769,"Active"))</f>
        <v/>
      </c>
      <c r="S216" s="20" t="inlineStr">
        <is>
          <t>Proposal</t>
        </is>
      </c>
      <c r="T216" s="31" t="n"/>
      <c r="U216" s="36" t="n"/>
      <c r="V216" s="34">
        <f>IF($U216="","",IFERROR(INDEX(Templates!$K$3:$K$10,MATCH($U216,Templates!$A$3:$A$10,0)),""))</f>
        <v/>
      </c>
      <c r="W216" s="34">
        <f>IF($U216="","",IFERROR(INDEX(Templates!$L$3:$L$10,MATCH($U216,Templates!$A$3:$A$10,0)),""))</f>
        <v/>
      </c>
      <c r="X216" s="21">
        <f>IF($U216="","",IFERROR(INDEX(Templates!$J$3:$J$10,MATCH($U216,Templates!$A$3:$A$10,0)),""))</f>
        <v/>
      </c>
      <c r="Y216" s="35">
        <f>IF(OR($U216="",$I216="",$J216="",$X216=""),"",$I216+$X216*($J216-$I216))</f>
        <v/>
      </c>
      <c r="Z216" s="30" t="n">
        <v>46212</v>
      </c>
      <c r="AA216" s="38" t="n"/>
      <c r="AB216" s="39" t="n"/>
      <c r="AC216" s="39" t="n"/>
      <c r="AD216" s="19">
        <f>IF($A216="","",IF($AA216="",$H216,$AA216))</f>
        <v/>
      </c>
      <c r="AE216" s="35">
        <f>IF($A216="","",IF($AB216="",$I216,$AB216))</f>
        <v/>
      </c>
      <c r="AF216" s="35">
        <f>IF($A216="","",IF($AC216="",$J216,$AC216))</f>
        <v/>
      </c>
      <c r="AG216" s="35">
        <f>IF(OR($U216="",$AE216="",$AF216="",$X216=""),"",$AE216+$X216*($AF216-$AE216))</f>
        <v/>
      </c>
      <c r="AH216" s="36" t="n"/>
      <c r="AI216" s="36" t="n"/>
      <c r="AJ216" s="36" t="n"/>
      <c r="AK216" s="36" t="n"/>
      <c r="AL216" s="36" t="n"/>
      <c r="AM216" s="36" t="n"/>
      <c r="AN216" s="36" t="n"/>
      <c r="AO216" s="36" t="n"/>
      <c r="AP216" s="36" t="n"/>
      <c r="AQ216" s="36" t="n"/>
      <c r="AR216" s="36" t="n"/>
      <c r="AS216" s="36" t="n"/>
      <c r="AT216" s="36" t="n"/>
      <c r="AU216" s="36" t="n"/>
      <c r="AV216" s="36" t="n"/>
      <c r="AW216" s="36" t="n"/>
      <c r="AX216" s="36" t="n"/>
    </row>
    <row r="217">
      <c r="A217" s="28" t="inlineStr">
        <is>
          <t>Avlino_1</t>
        </is>
      </c>
      <c r="B217" s="20" t="inlineStr">
        <is>
          <t>Diversis Capital</t>
        </is>
      </c>
      <c r="C217" s="28" t="inlineStr">
        <is>
          <t>Diversis Capital</t>
        </is>
      </c>
      <c r="D217" s="28" t="inlineStr"/>
      <c r="E217" s="28" t="inlineStr">
        <is>
          <t>No</t>
        </is>
      </c>
      <c r="F217" s="28" t="inlineStr">
        <is>
          <t>Proposal</t>
        </is>
      </c>
      <c r="G217" s="36" t="n"/>
      <c r="H217" s="40" t="n">
        <v>0.5</v>
      </c>
      <c r="I217" s="37" t="n"/>
      <c r="J217" s="37" t="n"/>
      <c r="K217" s="31" t="n"/>
      <c r="L217" s="31" t="n"/>
      <c r="M217" s="31" t="n"/>
      <c r="N217" s="31" t="n"/>
      <c r="O217" s="31" t="n"/>
      <c r="P217" s="31" t="n"/>
      <c r="Q217" s="23">
        <f>IF($A217="","",COUNTIFS(Assignments!$C$2:$C$769,$A217,Assignments!$G$2:$G$769,"Active"))</f>
        <v/>
      </c>
      <c r="R217" s="32">
        <f>IF($A217="","",SUMIFS(Assignments!$I$2:$I$769,Assignments!$C$2:$C$769,$A217,Assignments!$G$2:$G$769,"Active"))</f>
        <v/>
      </c>
      <c r="S217" s="20" t="inlineStr">
        <is>
          <t>Summary tab only (Proposal)</t>
        </is>
      </c>
      <c r="T217" s="31" t="n"/>
      <c r="U217" s="36" t="n"/>
      <c r="V217" s="34">
        <f>IF($U217="","",IFERROR(INDEX(Templates!$K$3:$K$10,MATCH($U217,Templates!$A$3:$A$10,0)),""))</f>
        <v/>
      </c>
      <c r="W217" s="34">
        <f>IF($U217="","",IFERROR(INDEX(Templates!$L$3:$L$10,MATCH($U217,Templates!$A$3:$A$10,0)),""))</f>
        <v/>
      </c>
      <c r="X217" s="21">
        <f>IF($U217="","",IFERROR(INDEX(Templates!$J$3:$J$10,MATCH($U217,Templates!$A$3:$A$10,0)),""))</f>
        <v/>
      </c>
      <c r="Y217" s="35">
        <f>IF(OR($U217="",$I217="",$J217="",$X217=""),"",$I217+$X217*($J217-$I217))</f>
        <v/>
      </c>
      <c r="Z217" s="30" t="n">
        <v>46212</v>
      </c>
      <c r="AA217" s="38" t="n"/>
      <c r="AB217" s="39" t="n"/>
      <c r="AC217" s="39" t="n"/>
      <c r="AD217" s="19">
        <f>IF($A217="","",IF($AA217="",$H217,$AA217))</f>
        <v/>
      </c>
      <c r="AE217" s="35">
        <f>IF($A217="","",IF($AB217="",$I217,$AB217))</f>
        <v/>
      </c>
      <c r="AF217" s="35">
        <f>IF($A217="","",IF($AC217="",$J217,$AC217))</f>
        <v/>
      </c>
      <c r="AG217" s="35">
        <f>IF(OR($U217="",$AE217="",$AF217="",$X217=""),"",$AE217+$X217*($AF217-$AE217))</f>
        <v/>
      </c>
      <c r="AH217" s="36" t="n"/>
      <c r="AI217" s="36" t="n"/>
      <c r="AJ217" s="36" t="n"/>
      <c r="AK217" s="36" t="n"/>
      <c r="AL217" s="36" t="n"/>
      <c r="AM217" s="36" t="n"/>
      <c r="AN217" s="36" t="n"/>
      <c r="AO217" s="36" t="n"/>
      <c r="AP217" s="36" t="n"/>
      <c r="AQ217" s="36" t="n"/>
      <c r="AR217" s="36" t="n"/>
      <c r="AS217" s="36" t="n"/>
      <c r="AT217" s="36" t="n"/>
      <c r="AU217" s="36" t="n"/>
      <c r="AV217" s="36" t="n"/>
      <c r="AW217" s="36" t="n"/>
      <c r="AX217" s="36" t="n"/>
    </row>
    <row r="218">
      <c r="A218" s="28" t="inlineStr">
        <is>
          <t>AZ BESS_1</t>
        </is>
      </c>
      <c r="B218" s="20" t="inlineStr">
        <is>
          <t>The Blackstone Group : Aypa Power : Coval Infrastructure DevCo Holdings LP</t>
        </is>
      </c>
      <c r="C218" s="28" t="inlineStr">
        <is>
          <t>The Blackstone Group</t>
        </is>
      </c>
      <c r="D218" s="28" t="inlineStr">
        <is>
          <t>Coval Infrastructure DevCo Holdings LP</t>
        </is>
      </c>
      <c r="E218" s="28" t="inlineStr">
        <is>
          <t>No</t>
        </is>
      </c>
      <c r="F218" s="28" t="inlineStr">
        <is>
          <t>Proposal</t>
        </is>
      </c>
      <c r="G218" s="36" t="n"/>
      <c r="H218" s="40" t="n">
        <v>0.5</v>
      </c>
      <c r="I218" s="37" t="n"/>
      <c r="J218" s="37" t="n"/>
      <c r="K218" s="31" t="n"/>
      <c r="L218" s="31" t="n"/>
      <c r="M218" s="31" t="n"/>
      <c r="N218" s="31" t="n"/>
      <c r="O218" s="31" t="n"/>
      <c r="P218" s="31" t="n"/>
      <c r="Q218" s="23">
        <f>IF($A218="","",COUNTIFS(Assignments!$C$2:$C$769,$A218,Assignments!$G$2:$G$769,"Active"))</f>
        <v/>
      </c>
      <c r="R218" s="32">
        <f>IF($A218="","",SUMIFS(Assignments!$I$2:$I$769,Assignments!$C$2:$C$769,$A218,Assignments!$G$2:$G$769,"Active"))</f>
        <v/>
      </c>
      <c r="S218" s="20" t="inlineStr">
        <is>
          <t>Proposal</t>
        </is>
      </c>
      <c r="T218" s="31" t="n"/>
      <c r="U218" s="36" t="n"/>
      <c r="V218" s="34">
        <f>IF($U218="","",IFERROR(INDEX(Templates!$K$3:$K$10,MATCH($U218,Templates!$A$3:$A$10,0)),""))</f>
        <v/>
      </c>
      <c r="W218" s="34">
        <f>IF($U218="","",IFERROR(INDEX(Templates!$L$3:$L$10,MATCH($U218,Templates!$A$3:$A$10,0)),""))</f>
        <v/>
      </c>
      <c r="X218" s="21">
        <f>IF($U218="","",IFERROR(INDEX(Templates!$J$3:$J$10,MATCH($U218,Templates!$A$3:$A$10,0)),""))</f>
        <v/>
      </c>
      <c r="Y218" s="35">
        <f>IF(OR($U218="",$I218="",$J218="",$X218=""),"",$I218+$X218*($J218-$I218))</f>
        <v/>
      </c>
      <c r="Z218" s="30" t="n">
        <v>46212</v>
      </c>
      <c r="AA218" s="38" t="n"/>
      <c r="AB218" s="39" t="n"/>
      <c r="AC218" s="39" t="n"/>
      <c r="AD218" s="19">
        <f>IF($A218="","",IF($AA218="",$H218,$AA218))</f>
        <v/>
      </c>
      <c r="AE218" s="35">
        <f>IF($A218="","",IF($AB218="",$I218,$AB218))</f>
        <v/>
      </c>
      <c r="AF218" s="35">
        <f>IF($A218="","",IF($AC218="",$J218,$AC218))</f>
        <v/>
      </c>
      <c r="AG218" s="35">
        <f>IF(OR($U218="",$AE218="",$AF218="",$X218=""),"",$AE218+$X218*($AF218-$AE218))</f>
        <v/>
      </c>
      <c r="AH218" s="36" t="n"/>
      <c r="AI218" s="36" t="n"/>
      <c r="AJ218" s="36" t="n"/>
      <c r="AK218" s="36" t="n"/>
      <c r="AL218" s="36" t="n"/>
      <c r="AM218" s="36" t="n"/>
      <c r="AN218" s="36" t="n"/>
      <c r="AO218" s="36" t="n"/>
      <c r="AP218" s="36" t="n"/>
      <c r="AQ218" s="36" t="n"/>
      <c r="AR218" s="36" t="n"/>
      <c r="AS218" s="36" t="n"/>
      <c r="AT218" s="36" t="n"/>
      <c r="AU218" s="36" t="n"/>
      <c r="AV218" s="36" t="n"/>
      <c r="AW218" s="36" t="n"/>
      <c r="AX218" s="36" t="n"/>
    </row>
    <row r="219">
      <c r="A219" s="28" t="inlineStr">
        <is>
          <t>Battery_2</t>
        </is>
      </c>
      <c r="B219" s="20" t="inlineStr">
        <is>
          <t>Manulife : John Hancock</t>
        </is>
      </c>
      <c r="C219" s="28" t="inlineStr">
        <is>
          <t>Manulife</t>
        </is>
      </c>
      <c r="D219" s="28" t="inlineStr">
        <is>
          <t>John Hancock</t>
        </is>
      </c>
      <c r="E219" s="28" t="inlineStr">
        <is>
          <t>No</t>
        </is>
      </c>
      <c r="F219" s="28" t="inlineStr">
        <is>
          <t>Proposal</t>
        </is>
      </c>
      <c r="G219" s="36" t="n"/>
      <c r="H219" s="40" t="n">
        <v>0.5</v>
      </c>
      <c r="I219" s="37" t="n"/>
      <c r="J219" s="37" t="n"/>
      <c r="K219" s="31" t="n"/>
      <c r="L219" s="31" t="n"/>
      <c r="M219" s="31" t="n"/>
      <c r="N219" s="31" t="n"/>
      <c r="O219" s="31" t="n"/>
      <c r="P219" s="31" t="n"/>
      <c r="Q219" s="23">
        <f>IF($A219="","",COUNTIFS(Assignments!$C$2:$C$769,$A219,Assignments!$G$2:$G$769,"Active"))</f>
        <v/>
      </c>
      <c r="R219" s="32">
        <f>IF($A219="","",SUMIFS(Assignments!$I$2:$I$769,Assignments!$C$2:$C$769,$A219,Assignments!$G$2:$G$769,"Active"))</f>
        <v/>
      </c>
      <c r="S219" s="20" t="inlineStr">
        <is>
          <t>Proposal</t>
        </is>
      </c>
      <c r="T219" s="31" t="n"/>
      <c r="U219" s="36" t="n"/>
      <c r="V219" s="34">
        <f>IF($U219="","",IFERROR(INDEX(Templates!$K$3:$K$10,MATCH($U219,Templates!$A$3:$A$10,0)),""))</f>
        <v/>
      </c>
      <c r="W219" s="34">
        <f>IF($U219="","",IFERROR(INDEX(Templates!$L$3:$L$10,MATCH($U219,Templates!$A$3:$A$10,0)),""))</f>
        <v/>
      </c>
      <c r="X219" s="21">
        <f>IF($U219="","",IFERROR(INDEX(Templates!$J$3:$J$10,MATCH($U219,Templates!$A$3:$A$10,0)),""))</f>
        <v/>
      </c>
      <c r="Y219" s="35">
        <f>IF(OR($U219="",$I219="",$J219="",$X219=""),"",$I219+$X219*($J219-$I219))</f>
        <v/>
      </c>
      <c r="Z219" s="30" t="n">
        <v>46212</v>
      </c>
      <c r="AA219" s="38" t="n"/>
      <c r="AB219" s="39" t="n"/>
      <c r="AC219" s="39" t="n"/>
      <c r="AD219" s="19">
        <f>IF($A219="","",IF($AA219="",$H219,$AA219))</f>
        <v/>
      </c>
      <c r="AE219" s="35">
        <f>IF($A219="","",IF($AB219="",$I219,$AB219))</f>
        <v/>
      </c>
      <c r="AF219" s="35">
        <f>IF($A219="","",IF($AC219="",$J219,$AC219))</f>
        <v/>
      </c>
      <c r="AG219" s="35">
        <f>IF(OR($U219="",$AE219="",$AF219="",$X219=""),"",$AE219+$X219*($AF219-$AE219))</f>
        <v/>
      </c>
      <c r="AH219" s="36" t="n"/>
      <c r="AI219" s="36" t="n"/>
      <c r="AJ219" s="36" t="n"/>
      <c r="AK219" s="36" t="n"/>
      <c r="AL219" s="36" t="n"/>
      <c r="AM219" s="36" t="n"/>
      <c r="AN219" s="36" t="n"/>
      <c r="AO219" s="36" t="n"/>
      <c r="AP219" s="36" t="n"/>
      <c r="AQ219" s="36" t="n"/>
      <c r="AR219" s="36" t="n"/>
      <c r="AS219" s="36" t="n"/>
      <c r="AT219" s="36" t="n"/>
      <c r="AU219" s="36" t="n"/>
      <c r="AV219" s="36" t="n"/>
      <c r="AW219" s="36" t="n"/>
      <c r="AX219" s="36" t="n"/>
    </row>
    <row r="220">
      <c r="A220" s="28" t="inlineStr">
        <is>
          <t>Beauty_3</t>
        </is>
      </c>
      <c r="B220" s="20" t="inlineStr">
        <is>
          <t>Eight Advisory (Referral Source)</t>
        </is>
      </c>
      <c r="C220" s="28" t="inlineStr">
        <is>
          <t>Eight Advisory</t>
        </is>
      </c>
      <c r="D220" s="28" t="inlineStr"/>
      <c r="E220" s="28" t="inlineStr">
        <is>
          <t>Yes</t>
        </is>
      </c>
      <c r="F220" s="28" t="inlineStr">
        <is>
          <t>Proposal</t>
        </is>
      </c>
      <c r="G220" s="36" t="n"/>
      <c r="H220" s="40" t="n">
        <v>0.5</v>
      </c>
      <c r="I220" s="37" t="n"/>
      <c r="J220" s="37" t="n"/>
      <c r="K220" s="31" t="n"/>
      <c r="L220" s="31" t="n"/>
      <c r="M220" s="31" t="n"/>
      <c r="N220" s="31" t="n"/>
      <c r="O220" s="31" t="n"/>
      <c r="P220" s="31" t="n"/>
      <c r="Q220" s="23">
        <f>IF($A220="","",COUNTIFS(Assignments!$C$2:$C$769,$A220,Assignments!$G$2:$G$769,"Active"))</f>
        <v/>
      </c>
      <c r="R220" s="32">
        <f>IF($A220="","",SUMIFS(Assignments!$I$2:$I$769,Assignments!$C$2:$C$769,$A220,Assignments!$G$2:$G$769,"Active"))</f>
        <v/>
      </c>
      <c r="S220" s="20" t="inlineStr">
        <is>
          <t>Proposal</t>
        </is>
      </c>
      <c r="T220" s="31" t="n"/>
      <c r="U220" s="36" t="n"/>
      <c r="V220" s="34">
        <f>IF($U220="","",IFERROR(INDEX(Templates!$K$3:$K$10,MATCH($U220,Templates!$A$3:$A$10,0)),""))</f>
        <v/>
      </c>
      <c r="W220" s="34">
        <f>IF($U220="","",IFERROR(INDEX(Templates!$L$3:$L$10,MATCH($U220,Templates!$A$3:$A$10,0)),""))</f>
        <v/>
      </c>
      <c r="X220" s="21">
        <f>IF($U220="","",IFERROR(INDEX(Templates!$J$3:$J$10,MATCH($U220,Templates!$A$3:$A$10,0)),""))</f>
        <v/>
      </c>
      <c r="Y220" s="35">
        <f>IF(OR($U220="",$I220="",$J220="",$X220=""),"",$I220+$X220*($J220-$I220))</f>
        <v/>
      </c>
      <c r="Z220" s="30" t="n">
        <v>46212</v>
      </c>
      <c r="AA220" s="38" t="n"/>
      <c r="AB220" s="39" t="n"/>
      <c r="AC220" s="39" t="n"/>
      <c r="AD220" s="19">
        <f>IF($A220="","",IF($AA220="",$H220,$AA220))</f>
        <v/>
      </c>
      <c r="AE220" s="35">
        <f>IF($A220="","",IF($AB220="",$I220,$AB220))</f>
        <v/>
      </c>
      <c r="AF220" s="35">
        <f>IF($A220="","",IF($AC220="",$J220,$AC220))</f>
        <v/>
      </c>
      <c r="AG220" s="35">
        <f>IF(OR($U220="",$AE220="",$AF220="",$X220=""),"",$AE220+$X220*($AF220-$AE220))</f>
        <v/>
      </c>
      <c r="AH220" s="36" t="n"/>
      <c r="AI220" s="36" t="n"/>
      <c r="AJ220" s="36" t="n"/>
      <c r="AK220" s="36" t="n"/>
      <c r="AL220" s="36" t="n"/>
      <c r="AM220" s="36" t="n"/>
      <c r="AN220" s="36" t="n"/>
      <c r="AO220" s="36" t="n"/>
      <c r="AP220" s="36" t="n"/>
      <c r="AQ220" s="36" t="n"/>
      <c r="AR220" s="36" t="n"/>
      <c r="AS220" s="36" t="n"/>
      <c r="AT220" s="36" t="n"/>
      <c r="AU220" s="36" t="n"/>
      <c r="AV220" s="36" t="n"/>
      <c r="AW220" s="36" t="n"/>
      <c r="AX220" s="36" t="n"/>
    </row>
    <row r="221">
      <c r="A221" s="28" t="inlineStr">
        <is>
          <t>Biochar_1</t>
        </is>
      </c>
      <c r="B221" s="20" t="inlineStr">
        <is>
          <t>Sands Point Risk</t>
        </is>
      </c>
      <c r="C221" s="28" t="inlineStr">
        <is>
          <t>Sands Point Risk</t>
        </is>
      </c>
      <c r="D221" s="28" t="inlineStr"/>
      <c r="E221" s="28" t="inlineStr">
        <is>
          <t>No</t>
        </is>
      </c>
      <c r="F221" s="28" t="inlineStr">
        <is>
          <t>Proposal</t>
        </is>
      </c>
      <c r="G221" s="36" t="n"/>
      <c r="H221" s="40" t="n">
        <v>0.5</v>
      </c>
      <c r="I221" s="37" t="n"/>
      <c r="J221" s="37" t="n"/>
      <c r="K221" s="31" t="n"/>
      <c r="L221" s="31" t="n"/>
      <c r="M221" s="31" t="n"/>
      <c r="N221" s="31" t="n"/>
      <c r="O221" s="31" t="n"/>
      <c r="P221" s="31" t="n"/>
      <c r="Q221" s="23">
        <f>IF($A221="","",COUNTIFS(Assignments!$C$2:$C$769,$A221,Assignments!$G$2:$G$769,"Active"))</f>
        <v/>
      </c>
      <c r="R221" s="32">
        <f>IF($A221="","",SUMIFS(Assignments!$I$2:$I$769,Assignments!$C$2:$C$769,$A221,Assignments!$G$2:$G$769,"Active"))</f>
        <v/>
      </c>
      <c r="S221" s="20" t="inlineStr">
        <is>
          <t>Proposal</t>
        </is>
      </c>
      <c r="T221" s="31" t="n"/>
      <c r="U221" s="36" t="n"/>
      <c r="V221" s="34">
        <f>IF($U221="","",IFERROR(INDEX(Templates!$K$3:$K$10,MATCH($U221,Templates!$A$3:$A$10,0)),""))</f>
        <v/>
      </c>
      <c r="W221" s="34">
        <f>IF($U221="","",IFERROR(INDEX(Templates!$L$3:$L$10,MATCH($U221,Templates!$A$3:$A$10,0)),""))</f>
        <v/>
      </c>
      <c r="X221" s="21">
        <f>IF($U221="","",IFERROR(INDEX(Templates!$J$3:$J$10,MATCH($U221,Templates!$A$3:$A$10,0)),""))</f>
        <v/>
      </c>
      <c r="Y221" s="35">
        <f>IF(OR($U221="",$I221="",$J221="",$X221=""),"",$I221+$X221*($J221-$I221))</f>
        <v/>
      </c>
      <c r="Z221" s="30" t="n">
        <v>46212</v>
      </c>
      <c r="AA221" s="38" t="n"/>
      <c r="AB221" s="39" t="n"/>
      <c r="AC221" s="39" t="n"/>
      <c r="AD221" s="19">
        <f>IF($A221="","",IF($AA221="",$H221,$AA221))</f>
        <v/>
      </c>
      <c r="AE221" s="35">
        <f>IF($A221="","",IF($AB221="",$I221,$AB221))</f>
        <v/>
      </c>
      <c r="AF221" s="35">
        <f>IF($A221="","",IF($AC221="",$J221,$AC221))</f>
        <v/>
      </c>
      <c r="AG221" s="35">
        <f>IF(OR($U221="",$AE221="",$AF221="",$X221=""),"",$AE221+$X221*($AF221-$AE221))</f>
        <v/>
      </c>
      <c r="AH221" s="36" t="n"/>
      <c r="AI221" s="36" t="n"/>
      <c r="AJ221" s="36" t="n"/>
      <c r="AK221" s="36" t="n"/>
      <c r="AL221" s="36" t="n"/>
      <c r="AM221" s="36" t="n"/>
      <c r="AN221" s="36" t="n"/>
      <c r="AO221" s="36" t="n"/>
      <c r="AP221" s="36" t="n"/>
      <c r="AQ221" s="36" t="n"/>
      <c r="AR221" s="36" t="n"/>
      <c r="AS221" s="36" t="n"/>
      <c r="AT221" s="36" t="n"/>
      <c r="AU221" s="36" t="n"/>
      <c r="AV221" s="36" t="n"/>
      <c r="AW221" s="36" t="n"/>
      <c r="AX221" s="36" t="n"/>
    </row>
    <row r="222">
      <c r="A222" s="28" t="inlineStr">
        <is>
          <t>Broadway_1</t>
        </is>
      </c>
      <c r="B222" s="20" t="inlineStr">
        <is>
          <t>Manulife : John Hancock</t>
        </is>
      </c>
      <c r="C222" s="28" t="inlineStr">
        <is>
          <t>Manulife</t>
        </is>
      </c>
      <c r="D222" s="28" t="inlineStr">
        <is>
          <t>John Hancock</t>
        </is>
      </c>
      <c r="E222" s="28" t="inlineStr">
        <is>
          <t>No</t>
        </is>
      </c>
      <c r="F222" s="28" t="inlineStr">
        <is>
          <t>Proposal</t>
        </is>
      </c>
      <c r="G222" s="36" t="n"/>
      <c r="H222" s="40" t="n">
        <v>0.5</v>
      </c>
      <c r="I222" s="37" t="n"/>
      <c r="J222" s="37" t="n"/>
      <c r="K222" s="31" t="n"/>
      <c r="L222" s="31" t="n"/>
      <c r="M222" s="31" t="n"/>
      <c r="N222" s="31" t="n"/>
      <c r="O222" s="31" t="n"/>
      <c r="P222" s="31" t="n"/>
      <c r="Q222" s="23">
        <f>IF($A222="","",COUNTIFS(Assignments!$C$2:$C$769,$A222,Assignments!$G$2:$G$769,"Active"))</f>
        <v/>
      </c>
      <c r="R222" s="32">
        <f>IF($A222="","",SUMIFS(Assignments!$I$2:$I$769,Assignments!$C$2:$C$769,$A222,Assignments!$G$2:$G$769,"Active"))</f>
        <v/>
      </c>
      <c r="S222" s="20" t="inlineStr">
        <is>
          <t>Proposal</t>
        </is>
      </c>
      <c r="T222" s="31" t="n"/>
      <c r="U222" s="36" t="n"/>
      <c r="V222" s="34">
        <f>IF($U222="","",IFERROR(INDEX(Templates!$K$3:$K$10,MATCH($U222,Templates!$A$3:$A$10,0)),""))</f>
        <v/>
      </c>
      <c r="W222" s="34">
        <f>IF($U222="","",IFERROR(INDEX(Templates!$L$3:$L$10,MATCH($U222,Templates!$A$3:$A$10,0)),""))</f>
        <v/>
      </c>
      <c r="X222" s="21">
        <f>IF($U222="","",IFERROR(INDEX(Templates!$J$3:$J$10,MATCH($U222,Templates!$A$3:$A$10,0)),""))</f>
        <v/>
      </c>
      <c r="Y222" s="35">
        <f>IF(OR($U222="",$I222="",$J222="",$X222=""),"",$I222+$X222*($J222-$I222))</f>
        <v/>
      </c>
      <c r="Z222" s="30" t="n">
        <v>46212</v>
      </c>
      <c r="AA222" s="38" t="n"/>
      <c r="AB222" s="39" t="n"/>
      <c r="AC222" s="39" t="n"/>
      <c r="AD222" s="19">
        <f>IF($A222="","",IF($AA222="",$H222,$AA222))</f>
        <v/>
      </c>
      <c r="AE222" s="35">
        <f>IF($A222="","",IF($AB222="",$I222,$AB222))</f>
        <v/>
      </c>
      <c r="AF222" s="35">
        <f>IF($A222="","",IF($AC222="",$J222,$AC222))</f>
        <v/>
      </c>
      <c r="AG222" s="35">
        <f>IF(OR($U222="",$AE222="",$AF222="",$X222=""),"",$AE222+$X222*($AF222-$AE222))</f>
        <v/>
      </c>
      <c r="AH222" s="36" t="n"/>
      <c r="AI222" s="36" t="n"/>
      <c r="AJ222" s="36" t="n"/>
      <c r="AK222" s="36" t="n"/>
      <c r="AL222" s="36" t="n"/>
      <c r="AM222" s="36" t="n"/>
      <c r="AN222" s="36" t="n"/>
      <c r="AO222" s="36" t="n"/>
      <c r="AP222" s="36" t="n"/>
      <c r="AQ222" s="36" t="n"/>
      <c r="AR222" s="36" t="n"/>
      <c r="AS222" s="36" t="n"/>
      <c r="AT222" s="36" t="n"/>
      <c r="AU222" s="36" t="n"/>
      <c r="AV222" s="36" t="n"/>
      <c r="AW222" s="36" t="n"/>
      <c r="AX222" s="36" t="n"/>
    </row>
    <row r="223">
      <c r="A223" s="28" t="inlineStr">
        <is>
          <t>Cactus</t>
        </is>
      </c>
      <c r="B223" s="20" t="inlineStr">
        <is>
          <t>Morrison</t>
        </is>
      </c>
      <c r="C223" s="28" t="inlineStr">
        <is>
          <t>Morrison</t>
        </is>
      </c>
      <c r="D223" s="28" t="inlineStr"/>
      <c r="E223" s="28" t="inlineStr">
        <is>
          <t>No</t>
        </is>
      </c>
      <c r="F223" s="28" t="inlineStr">
        <is>
          <t>Proposal</t>
        </is>
      </c>
      <c r="G223" s="36" t="n"/>
      <c r="H223" s="40" t="n">
        <v>0.5</v>
      </c>
      <c r="I223" s="37" t="n"/>
      <c r="J223" s="37" t="n"/>
      <c r="K223" s="31" t="n"/>
      <c r="L223" s="31" t="n"/>
      <c r="M223" s="31" t="n"/>
      <c r="N223" s="31" t="n"/>
      <c r="O223" s="31" t="n"/>
      <c r="P223" s="31" t="n"/>
      <c r="Q223" s="23">
        <f>IF($A223="","",COUNTIFS(Assignments!$C$2:$C$769,$A223,Assignments!$G$2:$G$769,"Active"))</f>
        <v/>
      </c>
      <c r="R223" s="32">
        <f>IF($A223="","",SUMIFS(Assignments!$I$2:$I$769,Assignments!$C$2:$C$769,$A223,Assignments!$G$2:$G$769,"Active"))</f>
        <v/>
      </c>
      <c r="S223" s="20" t="inlineStr">
        <is>
          <t>Proposal</t>
        </is>
      </c>
      <c r="T223" s="31" t="n"/>
      <c r="U223" s="36" t="n"/>
      <c r="V223" s="34">
        <f>IF($U223="","",IFERROR(INDEX(Templates!$K$3:$K$10,MATCH($U223,Templates!$A$3:$A$10,0)),""))</f>
        <v/>
      </c>
      <c r="W223" s="34">
        <f>IF($U223="","",IFERROR(INDEX(Templates!$L$3:$L$10,MATCH($U223,Templates!$A$3:$A$10,0)),""))</f>
        <v/>
      </c>
      <c r="X223" s="21">
        <f>IF($U223="","",IFERROR(INDEX(Templates!$J$3:$J$10,MATCH($U223,Templates!$A$3:$A$10,0)),""))</f>
        <v/>
      </c>
      <c r="Y223" s="35">
        <f>IF(OR($U223="",$I223="",$J223="",$X223=""),"",$I223+$X223*($J223-$I223))</f>
        <v/>
      </c>
      <c r="Z223" s="30" t="n">
        <v>46212</v>
      </c>
      <c r="AA223" s="38" t="n"/>
      <c r="AB223" s="39" t="n"/>
      <c r="AC223" s="39" t="n"/>
      <c r="AD223" s="19">
        <f>IF($A223="","",IF($AA223="",$H223,$AA223))</f>
        <v/>
      </c>
      <c r="AE223" s="35">
        <f>IF($A223="","",IF($AB223="",$I223,$AB223))</f>
        <v/>
      </c>
      <c r="AF223" s="35">
        <f>IF($A223="","",IF($AC223="",$J223,$AC223))</f>
        <v/>
      </c>
      <c r="AG223" s="35">
        <f>IF(OR($U223="",$AE223="",$AF223="",$X223=""),"",$AE223+$X223*($AF223-$AE223))</f>
        <v/>
      </c>
      <c r="AH223" s="36" t="n"/>
      <c r="AI223" s="36" t="n"/>
      <c r="AJ223" s="36" t="n"/>
      <c r="AK223" s="36" t="n"/>
      <c r="AL223" s="36" t="n"/>
      <c r="AM223" s="36" t="n"/>
      <c r="AN223" s="36" t="n"/>
      <c r="AO223" s="36" t="n"/>
      <c r="AP223" s="36" t="n"/>
      <c r="AQ223" s="36" t="n"/>
      <c r="AR223" s="36" t="n"/>
      <c r="AS223" s="36" t="n"/>
      <c r="AT223" s="36" t="n"/>
      <c r="AU223" s="36" t="n"/>
      <c r="AV223" s="36" t="n"/>
      <c r="AW223" s="36" t="n"/>
      <c r="AX223" s="36" t="n"/>
    </row>
    <row r="224">
      <c r="A224" s="28" t="inlineStr">
        <is>
          <t>Calistoga_1</t>
        </is>
      </c>
      <c r="B224" s="20" t="inlineStr">
        <is>
          <t>Solertia MGA Ltd.</t>
        </is>
      </c>
      <c r="C224" s="28" t="inlineStr">
        <is>
          <t>Solertia MGA Ltd.</t>
        </is>
      </c>
      <c r="D224" s="28" t="inlineStr"/>
      <c r="E224" s="28" t="inlineStr">
        <is>
          <t>No</t>
        </is>
      </c>
      <c r="F224" s="28" t="inlineStr">
        <is>
          <t>Proposal</t>
        </is>
      </c>
      <c r="G224" s="36" t="n"/>
      <c r="H224" s="40" t="n">
        <v>0.5</v>
      </c>
      <c r="I224" s="37" t="n"/>
      <c r="J224" s="37" t="n"/>
      <c r="K224" s="31" t="n"/>
      <c r="L224" s="31" t="n"/>
      <c r="M224" s="31" t="n"/>
      <c r="N224" s="31" t="n"/>
      <c r="O224" s="31" t="n"/>
      <c r="P224" s="31" t="n"/>
      <c r="Q224" s="23">
        <f>IF($A224="","",COUNTIFS(Assignments!$C$2:$C$769,$A224,Assignments!$G$2:$G$769,"Active"))</f>
        <v/>
      </c>
      <c r="R224" s="32">
        <f>IF($A224="","",SUMIFS(Assignments!$I$2:$I$769,Assignments!$C$2:$C$769,$A224,Assignments!$G$2:$G$769,"Active"))</f>
        <v/>
      </c>
      <c r="S224" s="20" t="inlineStr">
        <is>
          <t>Proposal</t>
        </is>
      </c>
      <c r="T224" s="31" t="n"/>
      <c r="U224" s="36" t="n"/>
      <c r="V224" s="34">
        <f>IF($U224="","",IFERROR(INDEX(Templates!$K$3:$K$10,MATCH($U224,Templates!$A$3:$A$10,0)),""))</f>
        <v/>
      </c>
      <c r="W224" s="34">
        <f>IF($U224="","",IFERROR(INDEX(Templates!$L$3:$L$10,MATCH($U224,Templates!$A$3:$A$10,0)),""))</f>
        <v/>
      </c>
      <c r="X224" s="21">
        <f>IF($U224="","",IFERROR(INDEX(Templates!$J$3:$J$10,MATCH($U224,Templates!$A$3:$A$10,0)),""))</f>
        <v/>
      </c>
      <c r="Y224" s="35">
        <f>IF(OR($U224="",$I224="",$J224="",$X224=""),"",$I224+$X224*($J224-$I224))</f>
        <v/>
      </c>
      <c r="Z224" s="30" t="n">
        <v>46212</v>
      </c>
      <c r="AA224" s="38" t="n"/>
      <c r="AB224" s="39" t="n"/>
      <c r="AC224" s="39" t="n"/>
      <c r="AD224" s="19">
        <f>IF($A224="","",IF($AA224="",$H224,$AA224))</f>
        <v/>
      </c>
      <c r="AE224" s="35">
        <f>IF($A224="","",IF($AB224="",$I224,$AB224))</f>
        <v/>
      </c>
      <c r="AF224" s="35">
        <f>IF($A224="","",IF($AC224="",$J224,$AC224))</f>
        <v/>
      </c>
      <c r="AG224" s="35">
        <f>IF(OR($U224="",$AE224="",$AF224="",$X224=""),"",$AE224+$X224*($AF224-$AE224))</f>
        <v/>
      </c>
      <c r="AH224" s="36" t="n"/>
      <c r="AI224" s="36" t="n"/>
      <c r="AJ224" s="36" t="n"/>
      <c r="AK224" s="36" t="n"/>
      <c r="AL224" s="36" t="n"/>
      <c r="AM224" s="36" t="n"/>
      <c r="AN224" s="36" t="n"/>
      <c r="AO224" s="36" t="n"/>
      <c r="AP224" s="36" t="n"/>
      <c r="AQ224" s="36" t="n"/>
      <c r="AR224" s="36" t="n"/>
      <c r="AS224" s="36" t="n"/>
      <c r="AT224" s="36" t="n"/>
      <c r="AU224" s="36" t="n"/>
      <c r="AV224" s="36" t="n"/>
      <c r="AW224" s="36" t="n"/>
      <c r="AX224" s="36" t="n"/>
    </row>
    <row r="225">
      <c r="A225" s="28" t="inlineStr">
        <is>
          <t>CAN Rail_1</t>
        </is>
      </c>
      <c r="B225" s="20" t="inlineStr">
        <is>
          <t>Manulife : John Hancock</t>
        </is>
      </c>
      <c r="C225" s="28" t="inlineStr">
        <is>
          <t>Manulife</t>
        </is>
      </c>
      <c r="D225" s="28" t="inlineStr">
        <is>
          <t>John Hancock</t>
        </is>
      </c>
      <c r="E225" s="28" t="inlineStr">
        <is>
          <t>No</t>
        </is>
      </c>
      <c r="F225" s="28" t="inlineStr">
        <is>
          <t>Proposal</t>
        </is>
      </c>
      <c r="G225" s="36" t="n"/>
      <c r="H225" s="40" t="n">
        <v>0.5</v>
      </c>
      <c r="I225" s="37" t="n"/>
      <c r="J225" s="37" t="n"/>
      <c r="K225" s="31" t="n"/>
      <c r="L225" s="31" t="n"/>
      <c r="M225" s="31" t="n"/>
      <c r="N225" s="31" t="n"/>
      <c r="O225" s="31" t="n"/>
      <c r="P225" s="31" t="n"/>
      <c r="Q225" s="23">
        <f>IF($A225="","",COUNTIFS(Assignments!$C$2:$C$769,$A225,Assignments!$G$2:$G$769,"Active"))</f>
        <v/>
      </c>
      <c r="R225" s="32">
        <f>IF($A225="","",SUMIFS(Assignments!$I$2:$I$769,Assignments!$C$2:$C$769,$A225,Assignments!$G$2:$G$769,"Active"))</f>
        <v/>
      </c>
      <c r="S225" s="20" t="inlineStr">
        <is>
          <t>Proposal</t>
        </is>
      </c>
      <c r="T225" s="31" t="n"/>
      <c r="U225" s="36" t="n"/>
      <c r="V225" s="34">
        <f>IF($U225="","",IFERROR(INDEX(Templates!$K$3:$K$10,MATCH($U225,Templates!$A$3:$A$10,0)),""))</f>
        <v/>
      </c>
      <c r="W225" s="34">
        <f>IF($U225="","",IFERROR(INDEX(Templates!$L$3:$L$10,MATCH($U225,Templates!$A$3:$A$10,0)),""))</f>
        <v/>
      </c>
      <c r="X225" s="21">
        <f>IF($U225="","",IFERROR(INDEX(Templates!$J$3:$J$10,MATCH($U225,Templates!$A$3:$A$10,0)),""))</f>
        <v/>
      </c>
      <c r="Y225" s="35">
        <f>IF(OR($U225="",$I225="",$J225="",$X225=""),"",$I225+$X225*($J225-$I225))</f>
        <v/>
      </c>
      <c r="Z225" s="30" t="n">
        <v>46212</v>
      </c>
      <c r="AA225" s="38" t="n"/>
      <c r="AB225" s="39" t="n"/>
      <c r="AC225" s="39" t="n"/>
      <c r="AD225" s="19">
        <f>IF($A225="","",IF($AA225="",$H225,$AA225))</f>
        <v/>
      </c>
      <c r="AE225" s="35">
        <f>IF($A225="","",IF($AB225="",$I225,$AB225))</f>
        <v/>
      </c>
      <c r="AF225" s="35">
        <f>IF($A225="","",IF($AC225="",$J225,$AC225))</f>
        <v/>
      </c>
      <c r="AG225" s="35">
        <f>IF(OR($U225="",$AE225="",$AF225="",$X225=""),"",$AE225+$X225*($AF225-$AE225))</f>
        <v/>
      </c>
      <c r="AH225" s="36" t="n"/>
      <c r="AI225" s="36" t="n"/>
      <c r="AJ225" s="36" t="n"/>
      <c r="AK225" s="36" t="n"/>
      <c r="AL225" s="36" t="n"/>
      <c r="AM225" s="36" t="n"/>
      <c r="AN225" s="36" t="n"/>
      <c r="AO225" s="36" t="n"/>
      <c r="AP225" s="36" t="n"/>
      <c r="AQ225" s="36" t="n"/>
      <c r="AR225" s="36" t="n"/>
      <c r="AS225" s="36" t="n"/>
      <c r="AT225" s="36" t="n"/>
      <c r="AU225" s="36" t="n"/>
      <c r="AV225" s="36" t="n"/>
      <c r="AW225" s="36" t="n"/>
      <c r="AX225" s="36" t="n"/>
    </row>
    <row r="226">
      <c r="A226" s="28" t="inlineStr">
        <is>
          <t>Canoe_1</t>
        </is>
      </c>
      <c r="B226" s="20" t="inlineStr">
        <is>
          <t>Eight Advisory (Referral Source)</t>
        </is>
      </c>
      <c r="C226" s="28" t="inlineStr">
        <is>
          <t>Eight Advisory</t>
        </is>
      </c>
      <c r="D226" s="28" t="inlineStr"/>
      <c r="E226" s="28" t="inlineStr">
        <is>
          <t>Yes</t>
        </is>
      </c>
      <c r="F226" s="28" t="inlineStr">
        <is>
          <t>Proposal</t>
        </is>
      </c>
      <c r="G226" s="36" t="n"/>
      <c r="H226" s="40" t="n">
        <v>0.5</v>
      </c>
      <c r="I226" s="37" t="n"/>
      <c r="J226" s="37" t="n"/>
      <c r="K226" s="31" t="n"/>
      <c r="L226" s="31" t="n"/>
      <c r="M226" s="31" t="n"/>
      <c r="N226" s="31" t="n"/>
      <c r="O226" s="31" t="n"/>
      <c r="P226" s="31" t="n"/>
      <c r="Q226" s="23">
        <f>IF($A226="","",COUNTIFS(Assignments!$C$2:$C$769,$A226,Assignments!$G$2:$G$769,"Active"))</f>
        <v/>
      </c>
      <c r="R226" s="32">
        <f>IF($A226="","",SUMIFS(Assignments!$I$2:$I$769,Assignments!$C$2:$C$769,$A226,Assignments!$G$2:$G$769,"Active"))</f>
        <v/>
      </c>
      <c r="S226" s="20" t="inlineStr">
        <is>
          <t>Proposal</t>
        </is>
      </c>
      <c r="T226" s="31" t="n"/>
      <c r="U226" s="36" t="n"/>
      <c r="V226" s="34">
        <f>IF($U226="","",IFERROR(INDEX(Templates!$K$3:$K$10,MATCH($U226,Templates!$A$3:$A$10,0)),""))</f>
        <v/>
      </c>
      <c r="W226" s="34">
        <f>IF($U226="","",IFERROR(INDEX(Templates!$L$3:$L$10,MATCH($U226,Templates!$A$3:$A$10,0)),""))</f>
        <v/>
      </c>
      <c r="X226" s="21">
        <f>IF($U226="","",IFERROR(INDEX(Templates!$J$3:$J$10,MATCH($U226,Templates!$A$3:$A$10,0)),""))</f>
        <v/>
      </c>
      <c r="Y226" s="35">
        <f>IF(OR($U226="",$I226="",$J226="",$X226=""),"",$I226+$X226*($J226-$I226))</f>
        <v/>
      </c>
      <c r="Z226" s="30" t="n">
        <v>46212</v>
      </c>
      <c r="AA226" s="38" t="n"/>
      <c r="AB226" s="39" t="n"/>
      <c r="AC226" s="39" t="n"/>
      <c r="AD226" s="19">
        <f>IF($A226="","",IF($AA226="",$H226,$AA226))</f>
        <v/>
      </c>
      <c r="AE226" s="35">
        <f>IF($A226="","",IF($AB226="",$I226,$AB226))</f>
        <v/>
      </c>
      <c r="AF226" s="35">
        <f>IF($A226="","",IF($AC226="",$J226,$AC226))</f>
        <v/>
      </c>
      <c r="AG226" s="35">
        <f>IF(OR($U226="",$AE226="",$AF226="",$X226=""),"",$AE226+$X226*($AF226-$AE226))</f>
        <v/>
      </c>
      <c r="AH226" s="36" t="n"/>
      <c r="AI226" s="36" t="n"/>
      <c r="AJ226" s="36" t="n"/>
      <c r="AK226" s="36" t="n"/>
      <c r="AL226" s="36" t="n"/>
      <c r="AM226" s="36" t="n"/>
      <c r="AN226" s="36" t="n"/>
      <c r="AO226" s="36" t="n"/>
      <c r="AP226" s="36" t="n"/>
      <c r="AQ226" s="36" t="n"/>
      <c r="AR226" s="36" t="n"/>
      <c r="AS226" s="36" t="n"/>
      <c r="AT226" s="36" t="n"/>
      <c r="AU226" s="36" t="n"/>
      <c r="AV226" s="36" t="n"/>
      <c r="AW226" s="36" t="n"/>
      <c r="AX226" s="36" t="n"/>
    </row>
    <row r="227">
      <c r="A227" s="28" t="inlineStr">
        <is>
          <t>Catalyze_2</t>
        </is>
      </c>
      <c r="B227" s="20" t="inlineStr">
        <is>
          <t>Catalyze</t>
        </is>
      </c>
      <c r="C227" s="28" t="inlineStr">
        <is>
          <t>Catalyze</t>
        </is>
      </c>
      <c r="D227" s="28" t="inlineStr"/>
      <c r="E227" s="28" t="inlineStr">
        <is>
          <t>No</t>
        </is>
      </c>
      <c r="F227" s="28" t="inlineStr">
        <is>
          <t>Proposal</t>
        </is>
      </c>
      <c r="G227" s="36" t="n"/>
      <c r="H227" s="40" t="n">
        <v>0.5</v>
      </c>
      <c r="I227" s="37" t="n"/>
      <c r="J227" s="37" t="n"/>
      <c r="K227" s="31" t="n"/>
      <c r="L227" s="31" t="n"/>
      <c r="M227" s="31" t="n"/>
      <c r="N227" s="31" t="n"/>
      <c r="O227" s="31" t="n"/>
      <c r="P227" s="31" t="n"/>
      <c r="Q227" s="23">
        <f>IF($A227="","",COUNTIFS(Assignments!$C$2:$C$769,$A227,Assignments!$G$2:$G$769,"Active"))</f>
        <v/>
      </c>
      <c r="R227" s="32">
        <f>IF($A227="","",SUMIFS(Assignments!$I$2:$I$769,Assignments!$C$2:$C$769,$A227,Assignments!$G$2:$G$769,"Active"))</f>
        <v/>
      </c>
      <c r="S227" s="20" t="inlineStr">
        <is>
          <t>Proposal</t>
        </is>
      </c>
      <c r="T227" s="31" t="n"/>
      <c r="U227" s="36" t="n"/>
      <c r="V227" s="34">
        <f>IF($U227="","",IFERROR(INDEX(Templates!$K$3:$K$10,MATCH($U227,Templates!$A$3:$A$10,0)),""))</f>
        <v/>
      </c>
      <c r="W227" s="34">
        <f>IF($U227="","",IFERROR(INDEX(Templates!$L$3:$L$10,MATCH($U227,Templates!$A$3:$A$10,0)),""))</f>
        <v/>
      </c>
      <c r="X227" s="21">
        <f>IF($U227="","",IFERROR(INDEX(Templates!$J$3:$J$10,MATCH($U227,Templates!$A$3:$A$10,0)),""))</f>
        <v/>
      </c>
      <c r="Y227" s="35">
        <f>IF(OR($U227="",$I227="",$J227="",$X227=""),"",$I227+$X227*($J227-$I227))</f>
        <v/>
      </c>
      <c r="Z227" s="30" t="n">
        <v>46212</v>
      </c>
      <c r="AA227" s="38" t="n"/>
      <c r="AB227" s="39" t="n"/>
      <c r="AC227" s="39" t="n"/>
      <c r="AD227" s="19">
        <f>IF($A227="","",IF($AA227="",$H227,$AA227))</f>
        <v/>
      </c>
      <c r="AE227" s="35">
        <f>IF($A227="","",IF($AB227="",$I227,$AB227))</f>
        <v/>
      </c>
      <c r="AF227" s="35">
        <f>IF($A227="","",IF($AC227="",$J227,$AC227))</f>
        <v/>
      </c>
      <c r="AG227" s="35">
        <f>IF(OR($U227="",$AE227="",$AF227="",$X227=""),"",$AE227+$X227*($AF227-$AE227))</f>
        <v/>
      </c>
      <c r="AH227" s="36" t="n"/>
      <c r="AI227" s="36" t="n"/>
      <c r="AJ227" s="36" t="n"/>
      <c r="AK227" s="36" t="n"/>
      <c r="AL227" s="36" t="n"/>
      <c r="AM227" s="36" t="n"/>
      <c r="AN227" s="36" t="n"/>
      <c r="AO227" s="36" t="n"/>
      <c r="AP227" s="36" t="n"/>
      <c r="AQ227" s="36" t="n"/>
      <c r="AR227" s="36" t="n"/>
      <c r="AS227" s="36" t="n"/>
      <c r="AT227" s="36" t="n"/>
      <c r="AU227" s="36" t="n"/>
      <c r="AV227" s="36" t="n"/>
      <c r="AW227" s="36" t="n"/>
      <c r="AX227" s="36" t="n"/>
    </row>
    <row r="228">
      <c r="A228" s="28" t="inlineStr">
        <is>
          <t>Cirque</t>
        </is>
      </c>
      <c r="B228" s="20" t="inlineStr">
        <is>
          <t>Gauge</t>
        </is>
      </c>
      <c r="C228" s="28" t="inlineStr">
        <is>
          <t>Gauge</t>
        </is>
      </c>
      <c r="D228" s="28" t="inlineStr"/>
      <c r="E228" s="28" t="inlineStr">
        <is>
          <t>No</t>
        </is>
      </c>
      <c r="F228" s="28" t="inlineStr">
        <is>
          <t>Proposal</t>
        </is>
      </c>
      <c r="G228" s="36" t="n"/>
      <c r="H228" s="40" t="n">
        <v>0.5</v>
      </c>
      <c r="I228" s="37" t="n"/>
      <c r="J228" s="37" t="n"/>
      <c r="K228" s="31" t="n"/>
      <c r="L228" s="31" t="n"/>
      <c r="M228" s="31" t="n"/>
      <c r="N228" s="31" t="n"/>
      <c r="O228" s="31" t="n"/>
      <c r="P228" s="31" t="n"/>
      <c r="Q228" s="23">
        <f>IF($A228="","",COUNTIFS(Assignments!$C$2:$C$769,$A228,Assignments!$G$2:$G$769,"Active"))</f>
        <v/>
      </c>
      <c r="R228" s="32">
        <f>IF($A228="","",SUMIFS(Assignments!$I$2:$I$769,Assignments!$C$2:$C$769,$A228,Assignments!$G$2:$G$769,"Active"))</f>
        <v/>
      </c>
      <c r="S228" s="20" t="inlineStr">
        <is>
          <t>Summary tab only (Proposal)</t>
        </is>
      </c>
      <c r="T228" s="31" t="n"/>
      <c r="U228" s="36" t="n"/>
      <c r="V228" s="34">
        <f>IF($U228="","",IFERROR(INDEX(Templates!$K$3:$K$10,MATCH($U228,Templates!$A$3:$A$10,0)),""))</f>
        <v/>
      </c>
      <c r="W228" s="34">
        <f>IF($U228="","",IFERROR(INDEX(Templates!$L$3:$L$10,MATCH($U228,Templates!$A$3:$A$10,0)),""))</f>
        <v/>
      </c>
      <c r="X228" s="21">
        <f>IF($U228="","",IFERROR(INDEX(Templates!$J$3:$J$10,MATCH($U228,Templates!$A$3:$A$10,0)),""))</f>
        <v/>
      </c>
      <c r="Y228" s="35">
        <f>IF(OR($U228="",$I228="",$J228="",$X228=""),"",$I228+$X228*($J228-$I228))</f>
        <v/>
      </c>
      <c r="Z228" s="30" t="n">
        <v>46212</v>
      </c>
      <c r="AA228" s="38" t="n"/>
      <c r="AB228" s="39" t="n"/>
      <c r="AC228" s="39" t="n"/>
      <c r="AD228" s="19">
        <f>IF($A228="","",IF($AA228="",$H228,$AA228))</f>
        <v/>
      </c>
      <c r="AE228" s="35">
        <f>IF($A228="","",IF($AB228="",$I228,$AB228))</f>
        <v/>
      </c>
      <c r="AF228" s="35">
        <f>IF($A228="","",IF($AC228="",$J228,$AC228))</f>
        <v/>
      </c>
      <c r="AG228" s="35">
        <f>IF(OR($U228="",$AE228="",$AF228="",$X228=""),"",$AE228+$X228*($AF228-$AE228))</f>
        <v/>
      </c>
      <c r="AH228" s="36" t="n"/>
      <c r="AI228" s="36" t="n"/>
      <c r="AJ228" s="36" t="n"/>
      <c r="AK228" s="36" t="n"/>
      <c r="AL228" s="36" t="n"/>
      <c r="AM228" s="36" t="n"/>
      <c r="AN228" s="36" t="n"/>
      <c r="AO228" s="36" t="n"/>
      <c r="AP228" s="36" t="n"/>
      <c r="AQ228" s="36" t="n"/>
      <c r="AR228" s="36" t="n"/>
      <c r="AS228" s="36" t="n"/>
      <c r="AT228" s="36" t="n"/>
      <c r="AU228" s="36" t="n"/>
      <c r="AV228" s="36" t="n"/>
      <c r="AW228" s="36" t="n"/>
      <c r="AX228" s="36" t="n"/>
    </row>
    <row r="229">
      <c r="A229" s="28" t="inlineStr">
        <is>
          <t>Clenara_1</t>
        </is>
      </c>
      <c r="B229" s="20" t="inlineStr">
        <is>
          <t>Ryan Transactional Risk : Themis Underwriting</t>
        </is>
      </c>
      <c r="C229" s="28" t="inlineStr">
        <is>
          <t>Ryan Transactional Risk</t>
        </is>
      </c>
      <c r="D229" s="28" t="inlineStr">
        <is>
          <t>Themis Underwriting</t>
        </is>
      </c>
      <c r="E229" s="28" t="inlineStr">
        <is>
          <t>No</t>
        </is>
      </c>
      <c r="F229" s="28" t="inlineStr">
        <is>
          <t>Proposal</t>
        </is>
      </c>
      <c r="G229" s="36" t="n"/>
      <c r="H229" s="40" t="n">
        <v>0.5</v>
      </c>
      <c r="I229" s="37" t="n"/>
      <c r="J229" s="37" t="n"/>
      <c r="K229" s="31" t="n"/>
      <c r="L229" s="31" t="n"/>
      <c r="M229" s="31" t="n"/>
      <c r="N229" s="31" t="n"/>
      <c r="O229" s="31" t="n"/>
      <c r="P229" s="31" t="n"/>
      <c r="Q229" s="23">
        <f>IF($A229="","",COUNTIFS(Assignments!$C$2:$C$769,$A229,Assignments!$G$2:$G$769,"Active"))</f>
        <v/>
      </c>
      <c r="R229" s="32">
        <f>IF($A229="","",SUMIFS(Assignments!$I$2:$I$769,Assignments!$C$2:$C$769,$A229,Assignments!$G$2:$G$769,"Active"))</f>
        <v/>
      </c>
      <c r="S229" s="20" t="inlineStr">
        <is>
          <t>Proposal</t>
        </is>
      </c>
      <c r="T229" s="31" t="n"/>
      <c r="U229" s="36" t="n"/>
      <c r="V229" s="34">
        <f>IF($U229="","",IFERROR(INDEX(Templates!$K$3:$K$10,MATCH($U229,Templates!$A$3:$A$10,0)),""))</f>
        <v/>
      </c>
      <c r="W229" s="34">
        <f>IF($U229="","",IFERROR(INDEX(Templates!$L$3:$L$10,MATCH($U229,Templates!$A$3:$A$10,0)),""))</f>
        <v/>
      </c>
      <c r="X229" s="21">
        <f>IF($U229="","",IFERROR(INDEX(Templates!$J$3:$J$10,MATCH($U229,Templates!$A$3:$A$10,0)),""))</f>
        <v/>
      </c>
      <c r="Y229" s="35">
        <f>IF(OR($U229="",$I229="",$J229="",$X229=""),"",$I229+$X229*($J229-$I229))</f>
        <v/>
      </c>
      <c r="Z229" s="30" t="n">
        <v>46212</v>
      </c>
      <c r="AA229" s="38" t="n"/>
      <c r="AB229" s="39" t="n"/>
      <c r="AC229" s="39" t="n"/>
      <c r="AD229" s="19">
        <f>IF($A229="","",IF($AA229="",$H229,$AA229))</f>
        <v/>
      </c>
      <c r="AE229" s="35">
        <f>IF($A229="","",IF($AB229="",$I229,$AB229))</f>
        <v/>
      </c>
      <c r="AF229" s="35">
        <f>IF($A229="","",IF($AC229="",$J229,$AC229))</f>
        <v/>
      </c>
      <c r="AG229" s="35">
        <f>IF(OR($U229="",$AE229="",$AF229="",$X229=""),"",$AE229+$X229*($AF229-$AE229))</f>
        <v/>
      </c>
      <c r="AH229" s="36" t="n"/>
      <c r="AI229" s="36" t="n"/>
      <c r="AJ229" s="36" t="n"/>
      <c r="AK229" s="36" t="n"/>
      <c r="AL229" s="36" t="n"/>
      <c r="AM229" s="36" t="n"/>
      <c r="AN229" s="36" t="n"/>
      <c r="AO229" s="36" t="n"/>
      <c r="AP229" s="36" t="n"/>
      <c r="AQ229" s="36" t="n"/>
      <c r="AR229" s="36" t="n"/>
      <c r="AS229" s="36" t="n"/>
      <c r="AT229" s="36" t="n"/>
      <c r="AU229" s="36" t="n"/>
      <c r="AV229" s="36" t="n"/>
      <c r="AW229" s="36" t="n"/>
      <c r="AX229" s="36" t="n"/>
    </row>
    <row r="230">
      <c r="A230" s="28" t="inlineStr">
        <is>
          <t>CNX_1</t>
        </is>
      </c>
      <c r="B230" s="20" t="inlineStr">
        <is>
          <t>Solertia MGA Ltd.</t>
        </is>
      </c>
      <c r="C230" s="28" t="inlineStr">
        <is>
          <t>Solertia MGA Ltd.</t>
        </is>
      </c>
      <c r="D230" s="28" t="inlineStr"/>
      <c r="E230" s="28" t="inlineStr">
        <is>
          <t>No</t>
        </is>
      </c>
      <c r="F230" s="28" t="inlineStr">
        <is>
          <t>Proposal</t>
        </is>
      </c>
      <c r="G230" s="36" t="n"/>
      <c r="H230" s="40" t="n">
        <v>0.5</v>
      </c>
      <c r="I230" s="37" t="n"/>
      <c r="J230" s="37" t="n"/>
      <c r="K230" s="31" t="n"/>
      <c r="L230" s="31" t="n"/>
      <c r="M230" s="31" t="n"/>
      <c r="N230" s="31" t="n"/>
      <c r="O230" s="31" t="n"/>
      <c r="P230" s="31" t="n"/>
      <c r="Q230" s="23">
        <f>IF($A230="","",COUNTIFS(Assignments!$C$2:$C$769,$A230,Assignments!$G$2:$G$769,"Active"))</f>
        <v/>
      </c>
      <c r="R230" s="32">
        <f>IF($A230="","",SUMIFS(Assignments!$I$2:$I$769,Assignments!$C$2:$C$769,$A230,Assignments!$G$2:$G$769,"Active"))</f>
        <v/>
      </c>
      <c r="S230" s="20" t="inlineStr">
        <is>
          <t>Proposal</t>
        </is>
      </c>
      <c r="T230" s="31" t="n"/>
      <c r="U230" s="36" t="n"/>
      <c r="V230" s="34">
        <f>IF($U230="","",IFERROR(INDEX(Templates!$K$3:$K$10,MATCH($U230,Templates!$A$3:$A$10,0)),""))</f>
        <v/>
      </c>
      <c r="W230" s="34">
        <f>IF($U230="","",IFERROR(INDEX(Templates!$L$3:$L$10,MATCH($U230,Templates!$A$3:$A$10,0)),""))</f>
        <v/>
      </c>
      <c r="X230" s="21">
        <f>IF($U230="","",IFERROR(INDEX(Templates!$J$3:$J$10,MATCH($U230,Templates!$A$3:$A$10,0)),""))</f>
        <v/>
      </c>
      <c r="Y230" s="35">
        <f>IF(OR($U230="",$I230="",$J230="",$X230=""),"",$I230+$X230*($J230-$I230))</f>
        <v/>
      </c>
      <c r="Z230" s="30" t="n">
        <v>46212</v>
      </c>
      <c r="AA230" s="38" t="n"/>
      <c r="AB230" s="39" t="n"/>
      <c r="AC230" s="39" t="n"/>
      <c r="AD230" s="19">
        <f>IF($A230="","",IF($AA230="",$H230,$AA230))</f>
        <v/>
      </c>
      <c r="AE230" s="35">
        <f>IF($A230="","",IF($AB230="",$I230,$AB230))</f>
        <v/>
      </c>
      <c r="AF230" s="35">
        <f>IF($A230="","",IF($AC230="",$J230,$AC230))</f>
        <v/>
      </c>
      <c r="AG230" s="35">
        <f>IF(OR($U230="",$AE230="",$AF230="",$X230=""),"",$AE230+$X230*($AF230-$AE230))</f>
        <v/>
      </c>
      <c r="AH230" s="36" t="n"/>
      <c r="AI230" s="36" t="n"/>
      <c r="AJ230" s="36" t="n"/>
      <c r="AK230" s="36" t="n"/>
      <c r="AL230" s="36" t="n"/>
      <c r="AM230" s="36" t="n"/>
      <c r="AN230" s="36" t="n"/>
      <c r="AO230" s="36" t="n"/>
      <c r="AP230" s="36" t="n"/>
      <c r="AQ230" s="36" t="n"/>
      <c r="AR230" s="36" t="n"/>
      <c r="AS230" s="36" t="n"/>
      <c r="AT230" s="36" t="n"/>
      <c r="AU230" s="36" t="n"/>
      <c r="AV230" s="36" t="n"/>
      <c r="AW230" s="36" t="n"/>
      <c r="AX230" s="36" t="n"/>
    </row>
    <row r="231">
      <c r="A231" s="28" t="inlineStr">
        <is>
          <t>code not yet requested</t>
        </is>
      </c>
      <c r="B231" s="20" t="inlineStr">
        <is>
          <t>Mascarene</t>
        </is>
      </c>
      <c r="C231" s="28" t="inlineStr">
        <is>
          <t>Mascarene</t>
        </is>
      </c>
      <c r="D231" s="28" t="inlineStr"/>
      <c r="E231" s="28" t="inlineStr">
        <is>
          <t>No</t>
        </is>
      </c>
      <c r="F231" s="28" t="inlineStr">
        <is>
          <t>Proposal</t>
        </is>
      </c>
      <c r="G231" s="36" t="n"/>
      <c r="H231" s="40" t="n">
        <v>0.5</v>
      </c>
      <c r="I231" s="37" t="n"/>
      <c r="J231" s="37" t="n"/>
      <c r="K231" s="31" t="n"/>
      <c r="L231" s="31" t="n"/>
      <c r="M231" s="31" t="n"/>
      <c r="N231" s="31" t="n"/>
      <c r="O231" s="31" t="n"/>
      <c r="P231" s="31" t="n"/>
      <c r="Q231" s="23">
        <f>IF($A231="","",COUNTIFS(Assignments!$C$2:$C$769,$A231,Assignments!$G$2:$G$769,"Active"))</f>
        <v/>
      </c>
      <c r="R231" s="32">
        <f>IF($A231="","",SUMIFS(Assignments!$I$2:$I$769,Assignments!$C$2:$C$769,$A231,Assignments!$G$2:$G$769,"Active"))</f>
        <v/>
      </c>
      <c r="S231" s="20" t="inlineStr">
        <is>
          <t>Summary tab only (Proposal)</t>
        </is>
      </c>
      <c r="T231" s="31" t="n"/>
      <c r="U231" s="36" t="n"/>
      <c r="V231" s="34">
        <f>IF($U231="","",IFERROR(INDEX(Templates!$K$3:$K$10,MATCH($U231,Templates!$A$3:$A$10,0)),""))</f>
        <v/>
      </c>
      <c r="W231" s="34">
        <f>IF($U231="","",IFERROR(INDEX(Templates!$L$3:$L$10,MATCH($U231,Templates!$A$3:$A$10,0)),""))</f>
        <v/>
      </c>
      <c r="X231" s="21">
        <f>IF($U231="","",IFERROR(INDEX(Templates!$J$3:$J$10,MATCH($U231,Templates!$A$3:$A$10,0)),""))</f>
        <v/>
      </c>
      <c r="Y231" s="35">
        <f>IF(OR($U231="",$I231="",$J231="",$X231=""),"",$I231+$X231*($J231-$I231))</f>
        <v/>
      </c>
      <c r="Z231" s="30" t="n">
        <v>46212</v>
      </c>
      <c r="AA231" s="38" t="n"/>
      <c r="AB231" s="39" t="n"/>
      <c r="AC231" s="39" t="n"/>
      <c r="AD231" s="19">
        <f>IF($A231="","",IF($AA231="",$H231,$AA231))</f>
        <v/>
      </c>
      <c r="AE231" s="35">
        <f>IF($A231="","",IF($AB231="",$I231,$AB231))</f>
        <v/>
      </c>
      <c r="AF231" s="35">
        <f>IF($A231="","",IF($AC231="",$J231,$AC231))</f>
        <v/>
      </c>
      <c r="AG231" s="35">
        <f>IF(OR($U231="",$AE231="",$AF231="",$X231=""),"",$AE231+$X231*($AF231-$AE231))</f>
        <v/>
      </c>
      <c r="AH231" s="36" t="n"/>
      <c r="AI231" s="36" t="n"/>
      <c r="AJ231" s="36" t="n"/>
      <c r="AK231" s="36" t="n"/>
      <c r="AL231" s="36" t="n"/>
      <c r="AM231" s="36" t="n"/>
      <c r="AN231" s="36" t="n"/>
      <c r="AO231" s="36" t="n"/>
      <c r="AP231" s="36" t="n"/>
      <c r="AQ231" s="36" t="n"/>
      <c r="AR231" s="36" t="n"/>
      <c r="AS231" s="36" t="n"/>
      <c r="AT231" s="36" t="n"/>
      <c r="AU231" s="36" t="n"/>
      <c r="AV231" s="36" t="n"/>
      <c r="AW231" s="36" t="n"/>
      <c r="AX231" s="36" t="n"/>
    </row>
    <row r="232">
      <c r="A232" s="28" t="inlineStr">
        <is>
          <t>Contango_1</t>
        </is>
      </c>
      <c r="B232" s="20" t="inlineStr">
        <is>
          <t>Certa</t>
        </is>
      </c>
      <c r="C232" s="28" t="inlineStr">
        <is>
          <t>Certa</t>
        </is>
      </c>
      <c r="D232" s="28" t="inlineStr"/>
      <c r="E232" s="28" t="inlineStr">
        <is>
          <t>No</t>
        </is>
      </c>
      <c r="F232" s="28" t="inlineStr">
        <is>
          <t>Proposal</t>
        </is>
      </c>
      <c r="G232" s="36" t="n"/>
      <c r="H232" s="40" t="n">
        <v>0.5</v>
      </c>
      <c r="I232" s="37" t="n"/>
      <c r="J232" s="37" t="n"/>
      <c r="K232" s="31" t="n"/>
      <c r="L232" s="31" t="n"/>
      <c r="M232" s="31" t="n"/>
      <c r="N232" s="31" t="n"/>
      <c r="O232" s="31" t="n"/>
      <c r="P232" s="31" t="n"/>
      <c r="Q232" s="23">
        <f>IF($A232="","",COUNTIFS(Assignments!$C$2:$C$769,$A232,Assignments!$G$2:$G$769,"Active"))</f>
        <v/>
      </c>
      <c r="R232" s="32">
        <f>IF($A232="","",SUMIFS(Assignments!$I$2:$I$769,Assignments!$C$2:$C$769,$A232,Assignments!$G$2:$G$769,"Active"))</f>
        <v/>
      </c>
      <c r="S232" s="20" t="inlineStr">
        <is>
          <t>Proposal</t>
        </is>
      </c>
      <c r="T232" s="31" t="n"/>
      <c r="U232" s="36" t="n"/>
      <c r="V232" s="34">
        <f>IF($U232="","",IFERROR(INDEX(Templates!$K$3:$K$10,MATCH($U232,Templates!$A$3:$A$10,0)),""))</f>
        <v/>
      </c>
      <c r="W232" s="34">
        <f>IF($U232="","",IFERROR(INDEX(Templates!$L$3:$L$10,MATCH($U232,Templates!$A$3:$A$10,0)),""))</f>
        <v/>
      </c>
      <c r="X232" s="21">
        <f>IF($U232="","",IFERROR(INDEX(Templates!$J$3:$J$10,MATCH($U232,Templates!$A$3:$A$10,0)),""))</f>
        <v/>
      </c>
      <c r="Y232" s="35">
        <f>IF(OR($U232="",$I232="",$J232="",$X232=""),"",$I232+$X232*($J232-$I232))</f>
        <v/>
      </c>
      <c r="Z232" s="30" t="n">
        <v>46212</v>
      </c>
      <c r="AA232" s="38" t="n"/>
      <c r="AB232" s="39" t="n"/>
      <c r="AC232" s="39" t="n"/>
      <c r="AD232" s="19">
        <f>IF($A232="","",IF($AA232="",$H232,$AA232))</f>
        <v/>
      </c>
      <c r="AE232" s="35">
        <f>IF($A232="","",IF($AB232="",$I232,$AB232))</f>
        <v/>
      </c>
      <c r="AF232" s="35">
        <f>IF($A232="","",IF($AC232="",$J232,$AC232))</f>
        <v/>
      </c>
      <c r="AG232" s="35">
        <f>IF(OR($U232="",$AE232="",$AF232="",$X232=""),"",$AE232+$X232*($AF232-$AE232))</f>
        <v/>
      </c>
      <c r="AH232" s="36" t="n"/>
      <c r="AI232" s="36" t="n"/>
      <c r="AJ232" s="36" t="n"/>
      <c r="AK232" s="36" t="n"/>
      <c r="AL232" s="36" t="n"/>
      <c r="AM232" s="36" t="n"/>
      <c r="AN232" s="36" t="n"/>
      <c r="AO232" s="36" t="n"/>
      <c r="AP232" s="36" t="n"/>
      <c r="AQ232" s="36" t="n"/>
      <c r="AR232" s="36" t="n"/>
      <c r="AS232" s="36" t="n"/>
      <c r="AT232" s="36" t="n"/>
      <c r="AU232" s="36" t="n"/>
      <c r="AV232" s="36" t="n"/>
      <c r="AW232" s="36" t="n"/>
      <c r="AX232" s="36" t="n"/>
    </row>
    <row r="233">
      <c r="A233" s="28" t="inlineStr">
        <is>
          <t>Craft_1</t>
        </is>
      </c>
      <c r="B233" s="20" t="inlineStr">
        <is>
          <t>Eight Advisory (Referral Source)</t>
        </is>
      </c>
      <c r="C233" s="28" t="inlineStr">
        <is>
          <t>Eight Advisory</t>
        </is>
      </c>
      <c r="D233" s="28" t="inlineStr"/>
      <c r="E233" s="28" t="inlineStr">
        <is>
          <t>Yes</t>
        </is>
      </c>
      <c r="F233" s="28" t="inlineStr">
        <is>
          <t>Proposal</t>
        </is>
      </c>
      <c r="G233" s="36" t="n"/>
      <c r="H233" s="40" t="n">
        <v>0.5</v>
      </c>
      <c r="I233" s="37" t="n"/>
      <c r="J233" s="37" t="n"/>
      <c r="K233" s="31" t="n"/>
      <c r="L233" s="31" t="n"/>
      <c r="M233" s="31" t="n"/>
      <c r="N233" s="31" t="n"/>
      <c r="O233" s="31" t="n"/>
      <c r="P233" s="31" t="n"/>
      <c r="Q233" s="23">
        <f>IF($A233="","",COUNTIFS(Assignments!$C$2:$C$769,$A233,Assignments!$G$2:$G$769,"Active"))</f>
        <v/>
      </c>
      <c r="R233" s="32">
        <f>IF($A233="","",SUMIFS(Assignments!$I$2:$I$769,Assignments!$C$2:$C$769,$A233,Assignments!$G$2:$G$769,"Active"))</f>
        <v/>
      </c>
      <c r="S233" s="20" t="inlineStr">
        <is>
          <t>Proposal</t>
        </is>
      </c>
      <c r="T233" s="31" t="n"/>
      <c r="U233" s="36" t="n"/>
      <c r="V233" s="34">
        <f>IF($U233="","",IFERROR(INDEX(Templates!$K$3:$K$10,MATCH($U233,Templates!$A$3:$A$10,0)),""))</f>
        <v/>
      </c>
      <c r="W233" s="34">
        <f>IF($U233="","",IFERROR(INDEX(Templates!$L$3:$L$10,MATCH($U233,Templates!$A$3:$A$10,0)),""))</f>
        <v/>
      </c>
      <c r="X233" s="21">
        <f>IF($U233="","",IFERROR(INDEX(Templates!$J$3:$J$10,MATCH($U233,Templates!$A$3:$A$10,0)),""))</f>
        <v/>
      </c>
      <c r="Y233" s="35">
        <f>IF(OR($U233="",$I233="",$J233="",$X233=""),"",$I233+$X233*($J233-$I233))</f>
        <v/>
      </c>
      <c r="Z233" s="30" t="n">
        <v>46212</v>
      </c>
      <c r="AA233" s="38" t="n"/>
      <c r="AB233" s="39" t="n"/>
      <c r="AC233" s="39" t="n"/>
      <c r="AD233" s="19">
        <f>IF($A233="","",IF($AA233="",$H233,$AA233))</f>
        <v/>
      </c>
      <c r="AE233" s="35">
        <f>IF($A233="","",IF($AB233="",$I233,$AB233))</f>
        <v/>
      </c>
      <c r="AF233" s="35">
        <f>IF($A233="","",IF($AC233="",$J233,$AC233))</f>
        <v/>
      </c>
      <c r="AG233" s="35">
        <f>IF(OR($U233="",$AE233="",$AF233="",$X233=""),"",$AE233+$X233*($AF233-$AE233))</f>
        <v/>
      </c>
      <c r="AH233" s="36" t="n"/>
      <c r="AI233" s="36" t="n"/>
      <c r="AJ233" s="36" t="n"/>
      <c r="AK233" s="36" t="n"/>
      <c r="AL233" s="36" t="n"/>
      <c r="AM233" s="36" t="n"/>
      <c r="AN233" s="36" t="n"/>
      <c r="AO233" s="36" t="n"/>
      <c r="AP233" s="36" t="n"/>
      <c r="AQ233" s="36" t="n"/>
      <c r="AR233" s="36" t="n"/>
      <c r="AS233" s="36" t="n"/>
      <c r="AT233" s="36" t="n"/>
      <c r="AU233" s="36" t="n"/>
      <c r="AV233" s="36" t="n"/>
      <c r="AW233" s="36" t="n"/>
      <c r="AX233" s="36" t="n"/>
    </row>
    <row r="234">
      <c r="A234" s="28" t="inlineStr">
        <is>
          <t>Danone_1</t>
        </is>
      </c>
      <c r="B234" s="20" t="inlineStr">
        <is>
          <t>Danone North America</t>
        </is>
      </c>
      <c r="C234" s="28" t="inlineStr">
        <is>
          <t>Danone North America</t>
        </is>
      </c>
      <c r="D234" s="28" t="inlineStr"/>
      <c r="E234" s="28" t="inlineStr">
        <is>
          <t>No</t>
        </is>
      </c>
      <c r="F234" s="28" t="inlineStr">
        <is>
          <t>Proposal</t>
        </is>
      </c>
      <c r="G234" s="36" t="n"/>
      <c r="H234" s="40" t="n">
        <v>0.5</v>
      </c>
      <c r="I234" s="37" t="n"/>
      <c r="J234" s="37" t="n"/>
      <c r="K234" s="31" t="n"/>
      <c r="L234" s="31" t="n"/>
      <c r="M234" s="31" t="n"/>
      <c r="N234" s="31" t="n"/>
      <c r="O234" s="31" t="n"/>
      <c r="P234" s="31" t="n"/>
      <c r="Q234" s="23">
        <f>IF($A234="","",COUNTIFS(Assignments!$C$2:$C$769,$A234,Assignments!$G$2:$G$769,"Active"))</f>
        <v/>
      </c>
      <c r="R234" s="32">
        <f>IF($A234="","",SUMIFS(Assignments!$I$2:$I$769,Assignments!$C$2:$C$769,$A234,Assignments!$G$2:$G$769,"Active"))</f>
        <v/>
      </c>
      <c r="S234" s="20" t="inlineStr">
        <is>
          <t>Proposal</t>
        </is>
      </c>
      <c r="T234" s="31" t="n"/>
      <c r="U234" s="36" t="n"/>
      <c r="V234" s="34">
        <f>IF($U234="","",IFERROR(INDEX(Templates!$K$3:$K$10,MATCH($U234,Templates!$A$3:$A$10,0)),""))</f>
        <v/>
      </c>
      <c r="W234" s="34">
        <f>IF($U234="","",IFERROR(INDEX(Templates!$L$3:$L$10,MATCH($U234,Templates!$A$3:$A$10,0)),""))</f>
        <v/>
      </c>
      <c r="X234" s="21">
        <f>IF($U234="","",IFERROR(INDEX(Templates!$J$3:$J$10,MATCH($U234,Templates!$A$3:$A$10,0)),""))</f>
        <v/>
      </c>
      <c r="Y234" s="35">
        <f>IF(OR($U234="",$I234="",$J234="",$X234=""),"",$I234+$X234*($J234-$I234))</f>
        <v/>
      </c>
      <c r="Z234" s="30" t="n">
        <v>46212</v>
      </c>
      <c r="AA234" s="38" t="n"/>
      <c r="AB234" s="39" t="n"/>
      <c r="AC234" s="39" t="n"/>
      <c r="AD234" s="19">
        <f>IF($A234="","",IF($AA234="",$H234,$AA234))</f>
        <v/>
      </c>
      <c r="AE234" s="35">
        <f>IF($A234="","",IF($AB234="",$I234,$AB234))</f>
        <v/>
      </c>
      <c r="AF234" s="35">
        <f>IF($A234="","",IF($AC234="",$J234,$AC234))</f>
        <v/>
      </c>
      <c r="AG234" s="35">
        <f>IF(OR($U234="",$AE234="",$AF234="",$X234=""),"",$AE234+$X234*($AF234-$AE234))</f>
        <v/>
      </c>
      <c r="AH234" s="36" t="n"/>
      <c r="AI234" s="36" t="n"/>
      <c r="AJ234" s="36" t="n"/>
      <c r="AK234" s="36" t="n"/>
      <c r="AL234" s="36" t="n"/>
      <c r="AM234" s="36" t="n"/>
      <c r="AN234" s="36" t="n"/>
      <c r="AO234" s="36" t="n"/>
      <c r="AP234" s="36" t="n"/>
      <c r="AQ234" s="36" t="n"/>
      <c r="AR234" s="36" t="n"/>
      <c r="AS234" s="36" t="n"/>
      <c r="AT234" s="36" t="n"/>
      <c r="AU234" s="36" t="n"/>
      <c r="AV234" s="36" t="n"/>
      <c r="AW234" s="36" t="n"/>
      <c r="AX234" s="36" t="n"/>
    </row>
    <row r="235">
      <c r="A235" s="28" t="inlineStr">
        <is>
          <t>DCLI Sellside_1</t>
        </is>
      </c>
      <c r="B235" s="20" t="inlineStr">
        <is>
          <t>OMERS Infrastructure</t>
        </is>
      </c>
      <c r="C235" s="28" t="inlineStr">
        <is>
          <t>OMERS Infrastructure</t>
        </is>
      </c>
      <c r="D235" s="28" t="inlineStr"/>
      <c r="E235" s="28" t="inlineStr">
        <is>
          <t>No</t>
        </is>
      </c>
      <c r="F235" s="28" t="inlineStr">
        <is>
          <t>Proposal</t>
        </is>
      </c>
      <c r="G235" s="36" t="n"/>
      <c r="H235" s="40" t="n">
        <v>0.5</v>
      </c>
      <c r="I235" s="37" t="n"/>
      <c r="J235" s="37" t="n"/>
      <c r="K235" s="31" t="n"/>
      <c r="L235" s="31" t="n"/>
      <c r="M235" s="31" t="n"/>
      <c r="N235" s="31" t="n"/>
      <c r="O235" s="31" t="n"/>
      <c r="P235" s="31" t="n"/>
      <c r="Q235" s="23">
        <f>IF($A235="","",COUNTIFS(Assignments!$C$2:$C$769,$A235,Assignments!$G$2:$G$769,"Active"))</f>
        <v/>
      </c>
      <c r="R235" s="32">
        <f>IF($A235="","",SUMIFS(Assignments!$I$2:$I$769,Assignments!$C$2:$C$769,$A235,Assignments!$G$2:$G$769,"Active"))</f>
        <v/>
      </c>
      <c r="S235" s="20" t="inlineStr">
        <is>
          <t>Proposal</t>
        </is>
      </c>
      <c r="T235" s="31" t="n"/>
      <c r="U235" s="36" t="n"/>
      <c r="V235" s="34">
        <f>IF($U235="","",IFERROR(INDEX(Templates!$K$3:$K$10,MATCH($U235,Templates!$A$3:$A$10,0)),""))</f>
        <v/>
      </c>
      <c r="W235" s="34">
        <f>IF($U235="","",IFERROR(INDEX(Templates!$L$3:$L$10,MATCH($U235,Templates!$A$3:$A$10,0)),""))</f>
        <v/>
      </c>
      <c r="X235" s="21">
        <f>IF($U235="","",IFERROR(INDEX(Templates!$J$3:$J$10,MATCH($U235,Templates!$A$3:$A$10,0)),""))</f>
        <v/>
      </c>
      <c r="Y235" s="35">
        <f>IF(OR($U235="",$I235="",$J235="",$X235=""),"",$I235+$X235*($J235-$I235))</f>
        <v/>
      </c>
      <c r="Z235" s="30" t="n">
        <v>46212</v>
      </c>
      <c r="AA235" s="38" t="n"/>
      <c r="AB235" s="39" t="n"/>
      <c r="AC235" s="39" t="n"/>
      <c r="AD235" s="19">
        <f>IF($A235="","",IF($AA235="",$H235,$AA235))</f>
        <v/>
      </c>
      <c r="AE235" s="35">
        <f>IF($A235="","",IF($AB235="",$I235,$AB235))</f>
        <v/>
      </c>
      <c r="AF235" s="35">
        <f>IF($A235="","",IF($AC235="",$J235,$AC235))</f>
        <v/>
      </c>
      <c r="AG235" s="35">
        <f>IF(OR($U235="",$AE235="",$AF235="",$X235=""),"",$AE235+$X235*($AF235-$AE235))</f>
        <v/>
      </c>
      <c r="AH235" s="36" t="n"/>
      <c r="AI235" s="36" t="n"/>
      <c r="AJ235" s="36" t="n"/>
      <c r="AK235" s="36" t="n"/>
      <c r="AL235" s="36" t="n"/>
      <c r="AM235" s="36" t="n"/>
      <c r="AN235" s="36" t="n"/>
      <c r="AO235" s="36" t="n"/>
      <c r="AP235" s="36" t="n"/>
      <c r="AQ235" s="36" t="n"/>
      <c r="AR235" s="36" t="n"/>
      <c r="AS235" s="36" t="n"/>
      <c r="AT235" s="36" t="n"/>
      <c r="AU235" s="36" t="n"/>
      <c r="AV235" s="36" t="n"/>
      <c r="AW235" s="36" t="n"/>
      <c r="AX235" s="36" t="n"/>
    </row>
    <row r="236">
      <c r="A236" s="28" t="inlineStr">
        <is>
          <t>Dunlin_1</t>
        </is>
      </c>
      <c r="B236" s="20" t="inlineStr">
        <is>
          <t>Infrared Capital Partners</t>
        </is>
      </c>
      <c r="C236" s="28" t="inlineStr">
        <is>
          <t>Infrared Capital Partners</t>
        </is>
      </c>
      <c r="D236" s="28" t="inlineStr"/>
      <c r="E236" s="28" t="inlineStr">
        <is>
          <t>No</t>
        </is>
      </c>
      <c r="F236" s="28" t="inlineStr">
        <is>
          <t>Proposal</t>
        </is>
      </c>
      <c r="G236" s="36" t="n"/>
      <c r="H236" s="40" t="n">
        <v>0.5</v>
      </c>
      <c r="I236" s="37" t="n"/>
      <c r="J236" s="37" t="n"/>
      <c r="K236" s="31" t="n"/>
      <c r="L236" s="31" t="n"/>
      <c r="M236" s="31" t="n"/>
      <c r="N236" s="31" t="n"/>
      <c r="O236" s="31" t="n"/>
      <c r="P236" s="31" t="n"/>
      <c r="Q236" s="23">
        <f>IF($A236="","",COUNTIFS(Assignments!$C$2:$C$769,$A236,Assignments!$G$2:$G$769,"Active"))</f>
        <v/>
      </c>
      <c r="R236" s="32">
        <f>IF($A236="","",SUMIFS(Assignments!$I$2:$I$769,Assignments!$C$2:$C$769,$A236,Assignments!$G$2:$G$769,"Active"))</f>
        <v/>
      </c>
      <c r="S236" s="20" t="inlineStr">
        <is>
          <t>Proposal</t>
        </is>
      </c>
      <c r="T236" s="31" t="n"/>
      <c r="U236" s="36" t="n"/>
      <c r="V236" s="34">
        <f>IF($U236="","",IFERROR(INDEX(Templates!$K$3:$K$10,MATCH($U236,Templates!$A$3:$A$10,0)),""))</f>
        <v/>
      </c>
      <c r="W236" s="34">
        <f>IF($U236="","",IFERROR(INDEX(Templates!$L$3:$L$10,MATCH($U236,Templates!$A$3:$A$10,0)),""))</f>
        <v/>
      </c>
      <c r="X236" s="21">
        <f>IF($U236="","",IFERROR(INDEX(Templates!$J$3:$J$10,MATCH($U236,Templates!$A$3:$A$10,0)),""))</f>
        <v/>
      </c>
      <c r="Y236" s="35">
        <f>IF(OR($U236="",$I236="",$J236="",$X236=""),"",$I236+$X236*($J236-$I236))</f>
        <v/>
      </c>
      <c r="Z236" s="30" t="n">
        <v>46212</v>
      </c>
      <c r="AA236" s="38" t="n"/>
      <c r="AB236" s="39" t="n"/>
      <c r="AC236" s="39" t="n"/>
      <c r="AD236" s="19">
        <f>IF($A236="","",IF($AA236="",$H236,$AA236))</f>
        <v/>
      </c>
      <c r="AE236" s="35">
        <f>IF($A236="","",IF($AB236="",$I236,$AB236))</f>
        <v/>
      </c>
      <c r="AF236" s="35">
        <f>IF($A236="","",IF($AC236="",$J236,$AC236))</f>
        <v/>
      </c>
      <c r="AG236" s="35">
        <f>IF(OR($U236="",$AE236="",$AF236="",$X236=""),"",$AE236+$X236*($AF236-$AE236))</f>
        <v/>
      </c>
      <c r="AH236" s="36" t="n"/>
      <c r="AI236" s="36" t="n"/>
      <c r="AJ236" s="36" t="n"/>
      <c r="AK236" s="36" t="n"/>
      <c r="AL236" s="36" t="n"/>
      <c r="AM236" s="36" t="n"/>
      <c r="AN236" s="36" t="n"/>
      <c r="AO236" s="36" t="n"/>
      <c r="AP236" s="36" t="n"/>
      <c r="AQ236" s="36" t="n"/>
      <c r="AR236" s="36" t="n"/>
      <c r="AS236" s="36" t="n"/>
      <c r="AT236" s="36" t="n"/>
      <c r="AU236" s="36" t="n"/>
      <c r="AV236" s="36" t="n"/>
      <c r="AW236" s="36" t="n"/>
      <c r="AX236" s="36" t="n"/>
    </row>
    <row r="237">
      <c r="A237" s="28" t="inlineStr">
        <is>
          <t>EDFG TVDD_1</t>
        </is>
      </c>
      <c r="B237" s="20" t="inlineStr">
        <is>
          <t>Eight Advisory (Referral Source)</t>
        </is>
      </c>
      <c r="C237" s="28" t="inlineStr">
        <is>
          <t>Eight Advisory</t>
        </is>
      </c>
      <c r="D237" s="28" t="inlineStr"/>
      <c r="E237" s="28" t="inlineStr">
        <is>
          <t>Yes</t>
        </is>
      </c>
      <c r="F237" s="28" t="inlineStr">
        <is>
          <t>Proposal</t>
        </is>
      </c>
      <c r="G237" s="36" t="n"/>
      <c r="H237" s="40" t="n">
        <v>0.5</v>
      </c>
      <c r="I237" s="37" t="n"/>
      <c r="J237" s="37" t="n"/>
      <c r="K237" s="31" t="n"/>
      <c r="L237" s="31" t="n"/>
      <c r="M237" s="31" t="n"/>
      <c r="N237" s="31" t="n"/>
      <c r="O237" s="31" t="n"/>
      <c r="P237" s="31" t="n"/>
      <c r="Q237" s="23">
        <f>IF($A237="","",COUNTIFS(Assignments!$C$2:$C$769,$A237,Assignments!$G$2:$G$769,"Active"))</f>
        <v/>
      </c>
      <c r="R237" s="32">
        <f>IF($A237="","",SUMIFS(Assignments!$I$2:$I$769,Assignments!$C$2:$C$769,$A237,Assignments!$G$2:$G$769,"Active"))</f>
        <v/>
      </c>
      <c r="S237" s="20" t="inlineStr">
        <is>
          <t>Proposal</t>
        </is>
      </c>
      <c r="T237" s="31" t="n"/>
      <c r="U237" s="36" t="n"/>
      <c r="V237" s="34">
        <f>IF($U237="","",IFERROR(INDEX(Templates!$K$3:$K$10,MATCH($U237,Templates!$A$3:$A$10,0)),""))</f>
        <v/>
      </c>
      <c r="W237" s="34">
        <f>IF($U237="","",IFERROR(INDEX(Templates!$L$3:$L$10,MATCH($U237,Templates!$A$3:$A$10,0)),""))</f>
        <v/>
      </c>
      <c r="X237" s="21">
        <f>IF($U237="","",IFERROR(INDEX(Templates!$J$3:$J$10,MATCH($U237,Templates!$A$3:$A$10,0)),""))</f>
        <v/>
      </c>
      <c r="Y237" s="35">
        <f>IF(OR($U237="",$I237="",$J237="",$X237=""),"",$I237+$X237*($J237-$I237))</f>
        <v/>
      </c>
      <c r="Z237" s="30" t="n">
        <v>46212</v>
      </c>
      <c r="AA237" s="38" t="n"/>
      <c r="AB237" s="39" t="n"/>
      <c r="AC237" s="39" t="n"/>
      <c r="AD237" s="19">
        <f>IF($A237="","",IF($AA237="",$H237,$AA237))</f>
        <v/>
      </c>
      <c r="AE237" s="35">
        <f>IF($A237="","",IF($AB237="",$I237,$AB237))</f>
        <v/>
      </c>
      <c r="AF237" s="35">
        <f>IF($A237="","",IF($AC237="",$J237,$AC237))</f>
        <v/>
      </c>
      <c r="AG237" s="35">
        <f>IF(OR($U237="",$AE237="",$AF237="",$X237=""),"",$AE237+$X237*($AF237-$AE237))</f>
        <v/>
      </c>
      <c r="AH237" s="36" t="n"/>
      <c r="AI237" s="36" t="n"/>
      <c r="AJ237" s="36" t="n"/>
      <c r="AK237" s="36" t="n"/>
      <c r="AL237" s="36" t="n"/>
      <c r="AM237" s="36" t="n"/>
      <c r="AN237" s="36" t="n"/>
      <c r="AO237" s="36" t="n"/>
      <c r="AP237" s="36" t="n"/>
      <c r="AQ237" s="36" t="n"/>
      <c r="AR237" s="36" t="n"/>
      <c r="AS237" s="36" t="n"/>
      <c r="AT237" s="36" t="n"/>
      <c r="AU237" s="36" t="n"/>
      <c r="AV237" s="36" t="n"/>
      <c r="AW237" s="36" t="n"/>
      <c r="AX237" s="36" t="n"/>
    </row>
    <row r="238">
      <c r="A238" s="28" t="inlineStr">
        <is>
          <t>Ek_1</t>
        </is>
      </c>
      <c r="B238" s="20" t="inlineStr">
        <is>
          <t>Eight Advisory (Referral Source)</t>
        </is>
      </c>
      <c r="C238" s="28" t="inlineStr">
        <is>
          <t>Eight Advisory</t>
        </is>
      </c>
      <c r="D238" s="28" t="inlineStr"/>
      <c r="E238" s="28" t="inlineStr">
        <is>
          <t>Yes</t>
        </is>
      </c>
      <c r="F238" s="28" t="inlineStr">
        <is>
          <t>Proposal</t>
        </is>
      </c>
      <c r="G238" s="36" t="n"/>
      <c r="H238" s="40" t="n">
        <v>0.5</v>
      </c>
      <c r="I238" s="37" t="n"/>
      <c r="J238" s="37" t="n"/>
      <c r="K238" s="31" t="n"/>
      <c r="L238" s="31" t="n"/>
      <c r="M238" s="31" t="n"/>
      <c r="N238" s="31" t="n"/>
      <c r="O238" s="31" t="n"/>
      <c r="P238" s="31" t="n"/>
      <c r="Q238" s="23">
        <f>IF($A238="","",COUNTIFS(Assignments!$C$2:$C$769,$A238,Assignments!$G$2:$G$769,"Active"))</f>
        <v/>
      </c>
      <c r="R238" s="32">
        <f>IF($A238="","",SUMIFS(Assignments!$I$2:$I$769,Assignments!$C$2:$C$769,$A238,Assignments!$G$2:$G$769,"Active"))</f>
        <v/>
      </c>
      <c r="S238" s="20" t="inlineStr">
        <is>
          <t>Proposal</t>
        </is>
      </c>
      <c r="T238" s="31" t="n"/>
      <c r="U238" s="36" t="n"/>
      <c r="V238" s="34">
        <f>IF($U238="","",IFERROR(INDEX(Templates!$K$3:$K$10,MATCH($U238,Templates!$A$3:$A$10,0)),""))</f>
        <v/>
      </c>
      <c r="W238" s="34">
        <f>IF($U238="","",IFERROR(INDEX(Templates!$L$3:$L$10,MATCH($U238,Templates!$A$3:$A$10,0)),""))</f>
        <v/>
      </c>
      <c r="X238" s="21">
        <f>IF($U238="","",IFERROR(INDEX(Templates!$J$3:$J$10,MATCH($U238,Templates!$A$3:$A$10,0)),""))</f>
        <v/>
      </c>
      <c r="Y238" s="35">
        <f>IF(OR($U238="",$I238="",$J238="",$X238=""),"",$I238+$X238*($J238-$I238))</f>
        <v/>
      </c>
      <c r="Z238" s="30" t="n">
        <v>46212</v>
      </c>
      <c r="AA238" s="38" t="n"/>
      <c r="AB238" s="39" t="n"/>
      <c r="AC238" s="39" t="n"/>
      <c r="AD238" s="19">
        <f>IF($A238="","",IF($AA238="",$H238,$AA238))</f>
        <v/>
      </c>
      <c r="AE238" s="35">
        <f>IF($A238="","",IF($AB238="",$I238,$AB238))</f>
        <v/>
      </c>
      <c r="AF238" s="35">
        <f>IF($A238="","",IF($AC238="",$J238,$AC238))</f>
        <v/>
      </c>
      <c r="AG238" s="35">
        <f>IF(OR($U238="",$AE238="",$AF238="",$X238=""),"",$AE238+$X238*($AF238-$AE238))</f>
        <v/>
      </c>
      <c r="AH238" s="36" t="n"/>
      <c r="AI238" s="36" t="n"/>
      <c r="AJ238" s="36" t="n"/>
      <c r="AK238" s="36" t="n"/>
      <c r="AL238" s="36" t="n"/>
      <c r="AM238" s="36" t="n"/>
      <c r="AN238" s="36" t="n"/>
      <c r="AO238" s="36" t="n"/>
      <c r="AP238" s="36" t="n"/>
      <c r="AQ238" s="36" t="n"/>
      <c r="AR238" s="36" t="n"/>
      <c r="AS238" s="36" t="n"/>
      <c r="AT238" s="36" t="n"/>
      <c r="AU238" s="36" t="n"/>
      <c r="AV238" s="36" t="n"/>
      <c r="AW238" s="36" t="n"/>
      <c r="AX238" s="36" t="n"/>
    </row>
    <row r="239">
      <c r="A239" s="28" t="inlineStr">
        <is>
          <t>Elcano_1</t>
        </is>
      </c>
      <c r="B239" s="20" t="inlineStr">
        <is>
          <t>CVC Capital Partners : DIF Capital Partners</t>
        </is>
      </c>
      <c r="C239" s="28" t="inlineStr">
        <is>
          <t>CVC Capital Partners</t>
        </is>
      </c>
      <c r="D239" s="28" t="inlineStr">
        <is>
          <t>DIF Capital Partners</t>
        </is>
      </c>
      <c r="E239" s="28" t="inlineStr">
        <is>
          <t>No</t>
        </is>
      </c>
      <c r="F239" s="28" t="inlineStr">
        <is>
          <t>Proposal</t>
        </is>
      </c>
      <c r="G239" s="36" t="n"/>
      <c r="H239" s="40" t="n">
        <v>0.5</v>
      </c>
      <c r="I239" s="37" t="n"/>
      <c r="J239" s="37" t="n"/>
      <c r="K239" s="31" t="n"/>
      <c r="L239" s="31" t="n"/>
      <c r="M239" s="31" t="n"/>
      <c r="N239" s="31" t="n"/>
      <c r="O239" s="31" t="n"/>
      <c r="P239" s="31" t="n"/>
      <c r="Q239" s="23">
        <f>IF($A239="","",COUNTIFS(Assignments!$C$2:$C$769,$A239,Assignments!$G$2:$G$769,"Active"))</f>
        <v/>
      </c>
      <c r="R239" s="32">
        <f>IF($A239="","",SUMIFS(Assignments!$I$2:$I$769,Assignments!$C$2:$C$769,$A239,Assignments!$G$2:$G$769,"Active"))</f>
        <v/>
      </c>
      <c r="S239" s="20" t="inlineStr">
        <is>
          <t>Proposal</t>
        </is>
      </c>
      <c r="T239" s="31" t="n"/>
      <c r="U239" s="36" t="n"/>
      <c r="V239" s="34">
        <f>IF($U239="","",IFERROR(INDEX(Templates!$K$3:$K$10,MATCH($U239,Templates!$A$3:$A$10,0)),""))</f>
        <v/>
      </c>
      <c r="W239" s="34">
        <f>IF($U239="","",IFERROR(INDEX(Templates!$L$3:$L$10,MATCH($U239,Templates!$A$3:$A$10,0)),""))</f>
        <v/>
      </c>
      <c r="X239" s="21">
        <f>IF($U239="","",IFERROR(INDEX(Templates!$J$3:$J$10,MATCH($U239,Templates!$A$3:$A$10,0)),""))</f>
        <v/>
      </c>
      <c r="Y239" s="35">
        <f>IF(OR($U239="",$I239="",$J239="",$X239=""),"",$I239+$X239*($J239-$I239))</f>
        <v/>
      </c>
      <c r="Z239" s="30" t="n">
        <v>46212</v>
      </c>
      <c r="AA239" s="38" t="n"/>
      <c r="AB239" s="39" t="n"/>
      <c r="AC239" s="39" t="n"/>
      <c r="AD239" s="19">
        <f>IF($A239="","",IF($AA239="",$H239,$AA239))</f>
        <v/>
      </c>
      <c r="AE239" s="35">
        <f>IF($A239="","",IF($AB239="",$I239,$AB239))</f>
        <v/>
      </c>
      <c r="AF239" s="35">
        <f>IF($A239="","",IF($AC239="",$J239,$AC239))</f>
        <v/>
      </c>
      <c r="AG239" s="35">
        <f>IF(OR($U239="",$AE239="",$AF239="",$X239=""),"",$AE239+$X239*($AF239-$AE239))</f>
        <v/>
      </c>
      <c r="AH239" s="36" t="n"/>
      <c r="AI239" s="36" t="n"/>
      <c r="AJ239" s="36" t="n"/>
      <c r="AK239" s="36" t="n"/>
      <c r="AL239" s="36" t="n"/>
      <c r="AM239" s="36" t="n"/>
      <c r="AN239" s="36" t="n"/>
      <c r="AO239" s="36" t="n"/>
      <c r="AP239" s="36" t="n"/>
      <c r="AQ239" s="36" t="n"/>
      <c r="AR239" s="36" t="n"/>
      <c r="AS239" s="36" t="n"/>
      <c r="AT239" s="36" t="n"/>
      <c r="AU239" s="36" t="n"/>
      <c r="AV239" s="36" t="n"/>
      <c r="AW239" s="36" t="n"/>
      <c r="AX239" s="36" t="n"/>
    </row>
    <row r="240">
      <c r="A240" s="28" t="inlineStr">
        <is>
          <t>Elk_2</t>
        </is>
      </c>
      <c r="B240" s="20" t="inlineStr">
        <is>
          <t>Mosaic Insurance</t>
        </is>
      </c>
      <c r="C240" s="28" t="inlineStr">
        <is>
          <t>Mosaic Insurance</t>
        </is>
      </c>
      <c r="D240" s="28" t="inlineStr"/>
      <c r="E240" s="28" t="inlineStr">
        <is>
          <t>No</t>
        </is>
      </c>
      <c r="F240" s="28" t="inlineStr">
        <is>
          <t>Proposal</t>
        </is>
      </c>
      <c r="G240" s="36" t="n"/>
      <c r="H240" s="40" t="n">
        <v>0.5</v>
      </c>
      <c r="I240" s="37" t="n"/>
      <c r="J240" s="37" t="n"/>
      <c r="K240" s="31" t="n"/>
      <c r="L240" s="31" t="n"/>
      <c r="M240" s="31" t="n"/>
      <c r="N240" s="31" t="n"/>
      <c r="O240" s="31" t="n"/>
      <c r="P240" s="31" t="n"/>
      <c r="Q240" s="23">
        <f>IF($A240="","",COUNTIFS(Assignments!$C$2:$C$769,$A240,Assignments!$G$2:$G$769,"Active"))</f>
        <v/>
      </c>
      <c r="R240" s="32">
        <f>IF($A240="","",SUMIFS(Assignments!$I$2:$I$769,Assignments!$C$2:$C$769,$A240,Assignments!$G$2:$G$769,"Active"))</f>
        <v/>
      </c>
      <c r="S240" s="20" t="inlineStr">
        <is>
          <t>Proposal</t>
        </is>
      </c>
      <c r="T240" s="31" t="n"/>
      <c r="U240" s="36" t="n"/>
      <c r="V240" s="34">
        <f>IF($U240="","",IFERROR(INDEX(Templates!$K$3:$K$10,MATCH($U240,Templates!$A$3:$A$10,0)),""))</f>
        <v/>
      </c>
      <c r="W240" s="34">
        <f>IF($U240="","",IFERROR(INDEX(Templates!$L$3:$L$10,MATCH($U240,Templates!$A$3:$A$10,0)),""))</f>
        <v/>
      </c>
      <c r="X240" s="21">
        <f>IF($U240="","",IFERROR(INDEX(Templates!$J$3:$J$10,MATCH($U240,Templates!$A$3:$A$10,0)),""))</f>
        <v/>
      </c>
      <c r="Y240" s="35">
        <f>IF(OR($U240="",$I240="",$J240="",$X240=""),"",$I240+$X240*($J240-$I240))</f>
        <v/>
      </c>
      <c r="Z240" s="30" t="n">
        <v>46212</v>
      </c>
      <c r="AA240" s="38" t="n"/>
      <c r="AB240" s="39" t="n"/>
      <c r="AC240" s="39" t="n"/>
      <c r="AD240" s="19">
        <f>IF($A240="","",IF($AA240="",$H240,$AA240))</f>
        <v/>
      </c>
      <c r="AE240" s="35">
        <f>IF($A240="","",IF($AB240="",$I240,$AB240))</f>
        <v/>
      </c>
      <c r="AF240" s="35">
        <f>IF($A240="","",IF($AC240="",$J240,$AC240))</f>
        <v/>
      </c>
      <c r="AG240" s="35">
        <f>IF(OR($U240="",$AE240="",$AF240="",$X240=""),"",$AE240+$X240*($AF240-$AE240))</f>
        <v/>
      </c>
      <c r="AH240" s="36" t="n"/>
      <c r="AI240" s="36" t="n"/>
      <c r="AJ240" s="36" t="n"/>
      <c r="AK240" s="36" t="n"/>
      <c r="AL240" s="36" t="n"/>
      <c r="AM240" s="36" t="n"/>
      <c r="AN240" s="36" t="n"/>
      <c r="AO240" s="36" t="n"/>
      <c r="AP240" s="36" t="n"/>
      <c r="AQ240" s="36" t="n"/>
      <c r="AR240" s="36" t="n"/>
      <c r="AS240" s="36" t="n"/>
      <c r="AT240" s="36" t="n"/>
      <c r="AU240" s="36" t="n"/>
      <c r="AV240" s="36" t="n"/>
      <c r="AW240" s="36" t="n"/>
      <c r="AX240" s="36" t="n"/>
    </row>
    <row r="241">
      <c r="A241" s="28" t="inlineStr">
        <is>
          <t>Elm_2</t>
        </is>
      </c>
      <c r="B241" s="20" t="inlineStr">
        <is>
          <t>Lightswitch Property Management</t>
        </is>
      </c>
      <c r="C241" s="28" t="inlineStr">
        <is>
          <t>Lightswitch Property Management</t>
        </is>
      </c>
      <c r="D241" s="28" t="inlineStr"/>
      <c r="E241" s="28" t="inlineStr">
        <is>
          <t>No</t>
        </is>
      </c>
      <c r="F241" s="28" t="inlineStr">
        <is>
          <t>Proposal</t>
        </is>
      </c>
      <c r="G241" s="36" t="n"/>
      <c r="H241" s="40" t="n">
        <v>0.5</v>
      </c>
      <c r="I241" s="37" t="n"/>
      <c r="J241" s="37" t="n"/>
      <c r="K241" s="31" t="n"/>
      <c r="L241" s="31" t="n"/>
      <c r="M241" s="31" t="n"/>
      <c r="N241" s="31" t="n"/>
      <c r="O241" s="31" t="n"/>
      <c r="P241" s="31" t="n"/>
      <c r="Q241" s="23">
        <f>IF($A241="","",COUNTIFS(Assignments!$C$2:$C$769,$A241,Assignments!$G$2:$G$769,"Active"))</f>
        <v/>
      </c>
      <c r="R241" s="32">
        <f>IF($A241="","",SUMIFS(Assignments!$I$2:$I$769,Assignments!$C$2:$C$769,$A241,Assignments!$G$2:$G$769,"Active"))</f>
        <v/>
      </c>
      <c r="S241" s="20" t="inlineStr">
        <is>
          <t>Proposal</t>
        </is>
      </c>
      <c r="T241" s="31" t="n"/>
      <c r="U241" s="36" t="n"/>
      <c r="V241" s="34">
        <f>IF($U241="","",IFERROR(INDEX(Templates!$K$3:$K$10,MATCH($U241,Templates!$A$3:$A$10,0)),""))</f>
        <v/>
      </c>
      <c r="W241" s="34">
        <f>IF($U241="","",IFERROR(INDEX(Templates!$L$3:$L$10,MATCH($U241,Templates!$A$3:$A$10,0)),""))</f>
        <v/>
      </c>
      <c r="X241" s="21">
        <f>IF($U241="","",IFERROR(INDEX(Templates!$J$3:$J$10,MATCH($U241,Templates!$A$3:$A$10,0)),""))</f>
        <v/>
      </c>
      <c r="Y241" s="35">
        <f>IF(OR($U241="",$I241="",$J241="",$X241=""),"",$I241+$X241*($J241-$I241))</f>
        <v/>
      </c>
      <c r="Z241" s="30" t="n">
        <v>46212</v>
      </c>
      <c r="AA241" s="38" t="n"/>
      <c r="AB241" s="39" t="n"/>
      <c r="AC241" s="39" t="n"/>
      <c r="AD241" s="19">
        <f>IF($A241="","",IF($AA241="",$H241,$AA241))</f>
        <v/>
      </c>
      <c r="AE241" s="35">
        <f>IF($A241="","",IF($AB241="",$I241,$AB241))</f>
        <v/>
      </c>
      <c r="AF241" s="35">
        <f>IF($A241="","",IF($AC241="",$J241,$AC241))</f>
        <v/>
      </c>
      <c r="AG241" s="35">
        <f>IF(OR($U241="",$AE241="",$AF241="",$X241=""),"",$AE241+$X241*($AF241-$AE241))</f>
        <v/>
      </c>
      <c r="AH241" s="36" t="n"/>
      <c r="AI241" s="36" t="n"/>
      <c r="AJ241" s="36" t="n"/>
      <c r="AK241" s="36" t="n"/>
      <c r="AL241" s="36" t="n"/>
      <c r="AM241" s="36" t="n"/>
      <c r="AN241" s="36" t="n"/>
      <c r="AO241" s="36" t="n"/>
      <c r="AP241" s="36" t="n"/>
      <c r="AQ241" s="36" t="n"/>
      <c r="AR241" s="36" t="n"/>
      <c r="AS241" s="36" t="n"/>
      <c r="AT241" s="36" t="n"/>
      <c r="AU241" s="36" t="n"/>
      <c r="AV241" s="36" t="n"/>
      <c r="AW241" s="36" t="n"/>
      <c r="AX241" s="36" t="n"/>
    </row>
    <row r="242">
      <c r="A242" s="28" t="inlineStr">
        <is>
          <t>Engineering_1</t>
        </is>
      </c>
      <c r="B242" s="20" t="inlineStr">
        <is>
          <t>Eight Advisory (Referral Source)</t>
        </is>
      </c>
      <c r="C242" s="28" t="inlineStr">
        <is>
          <t>Eight Advisory</t>
        </is>
      </c>
      <c r="D242" s="28" t="inlineStr"/>
      <c r="E242" s="28" t="inlineStr">
        <is>
          <t>Yes</t>
        </is>
      </c>
      <c r="F242" s="28" t="inlineStr">
        <is>
          <t>Proposal</t>
        </is>
      </c>
      <c r="G242" s="36" t="n"/>
      <c r="H242" s="40" t="n">
        <v>0.5</v>
      </c>
      <c r="I242" s="37" t="n"/>
      <c r="J242" s="37" t="n"/>
      <c r="K242" s="31" t="n"/>
      <c r="L242" s="31" t="n"/>
      <c r="M242" s="31" t="n"/>
      <c r="N242" s="31" t="n"/>
      <c r="O242" s="31" t="n"/>
      <c r="P242" s="31" t="n"/>
      <c r="Q242" s="23">
        <f>IF($A242="","",COUNTIFS(Assignments!$C$2:$C$769,$A242,Assignments!$G$2:$G$769,"Active"))</f>
        <v/>
      </c>
      <c r="R242" s="32">
        <f>IF($A242="","",SUMIFS(Assignments!$I$2:$I$769,Assignments!$C$2:$C$769,$A242,Assignments!$G$2:$G$769,"Active"))</f>
        <v/>
      </c>
      <c r="S242" s="20" t="inlineStr">
        <is>
          <t>Proposal</t>
        </is>
      </c>
      <c r="T242" s="31" t="n"/>
      <c r="U242" s="36" t="n"/>
      <c r="V242" s="34">
        <f>IF($U242="","",IFERROR(INDEX(Templates!$K$3:$K$10,MATCH($U242,Templates!$A$3:$A$10,0)),""))</f>
        <v/>
      </c>
      <c r="W242" s="34">
        <f>IF($U242="","",IFERROR(INDEX(Templates!$L$3:$L$10,MATCH($U242,Templates!$A$3:$A$10,0)),""))</f>
        <v/>
      </c>
      <c r="X242" s="21">
        <f>IF($U242="","",IFERROR(INDEX(Templates!$J$3:$J$10,MATCH($U242,Templates!$A$3:$A$10,0)),""))</f>
        <v/>
      </c>
      <c r="Y242" s="35">
        <f>IF(OR($U242="",$I242="",$J242="",$X242=""),"",$I242+$X242*($J242-$I242))</f>
        <v/>
      </c>
      <c r="Z242" s="30" t="n">
        <v>46212</v>
      </c>
      <c r="AA242" s="38" t="n"/>
      <c r="AB242" s="39" t="n"/>
      <c r="AC242" s="39" t="n"/>
      <c r="AD242" s="19">
        <f>IF($A242="","",IF($AA242="",$H242,$AA242))</f>
        <v/>
      </c>
      <c r="AE242" s="35">
        <f>IF($A242="","",IF($AB242="",$I242,$AB242))</f>
        <v/>
      </c>
      <c r="AF242" s="35">
        <f>IF($A242="","",IF($AC242="",$J242,$AC242))</f>
        <v/>
      </c>
      <c r="AG242" s="35">
        <f>IF(OR($U242="",$AE242="",$AF242="",$X242=""),"",$AE242+$X242*($AF242-$AE242))</f>
        <v/>
      </c>
      <c r="AH242" s="36" t="n"/>
      <c r="AI242" s="36" t="n"/>
      <c r="AJ242" s="36" t="n"/>
      <c r="AK242" s="36" t="n"/>
      <c r="AL242" s="36" t="n"/>
      <c r="AM242" s="36" t="n"/>
      <c r="AN242" s="36" t="n"/>
      <c r="AO242" s="36" t="n"/>
      <c r="AP242" s="36" t="n"/>
      <c r="AQ242" s="36" t="n"/>
      <c r="AR242" s="36" t="n"/>
      <c r="AS242" s="36" t="n"/>
      <c r="AT242" s="36" t="n"/>
      <c r="AU242" s="36" t="n"/>
      <c r="AV242" s="36" t="n"/>
      <c r="AW242" s="36" t="n"/>
      <c r="AX242" s="36" t="n"/>
    </row>
    <row r="243">
      <c r="A243" s="28" t="inlineStr">
        <is>
          <t>EV Passport_2</t>
        </is>
      </c>
      <c r="B243" s="20" t="inlineStr">
        <is>
          <t>Northleaf Capital Partners</t>
        </is>
      </c>
      <c r="C243" s="28" t="inlineStr">
        <is>
          <t>Northleaf Capital Partners</t>
        </is>
      </c>
      <c r="D243" s="28" t="inlineStr"/>
      <c r="E243" s="28" t="inlineStr">
        <is>
          <t>No</t>
        </is>
      </c>
      <c r="F243" s="28" t="inlineStr">
        <is>
          <t>Proposal</t>
        </is>
      </c>
      <c r="G243" s="36" t="n"/>
      <c r="H243" s="40" t="n">
        <v>0.5</v>
      </c>
      <c r="I243" s="37" t="n"/>
      <c r="J243" s="37" t="n"/>
      <c r="K243" s="31" t="n"/>
      <c r="L243" s="31" t="n"/>
      <c r="M243" s="31" t="n"/>
      <c r="N243" s="31" t="n"/>
      <c r="O243" s="31" t="n"/>
      <c r="P243" s="31" t="n"/>
      <c r="Q243" s="23">
        <f>IF($A243="","",COUNTIFS(Assignments!$C$2:$C$769,$A243,Assignments!$G$2:$G$769,"Active"))</f>
        <v/>
      </c>
      <c r="R243" s="32">
        <f>IF($A243="","",SUMIFS(Assignments!$I$2:$I$769,Assignments!$C$2:$C$769,$A243,Assignments!$G$2:$G$769,"Active"))</f>
        <v/>
      </c>
      <c r="S243" s="20" t="inlineStr">
        <is>
          <t>Proposal</t>
        </is>
      </c>
      <c r="T243" s="31" t="n"/>
      <c r="U243" s="36" t="n"/>
      <c r="V243" s="34">
        <f>IF($U243="","",IFERROR(INDEX(Templates!$K$3:$K$10,MATCH($U243,Templates!$A$3:$A$10,0)),""))</f>
        <v/>
      </c>
      <c r="W243" s="34">
        <f>IF($U243="","",IFERROR(INDEX(Templates!$L$3:$L$10,MATCH($U243,Templates!$A$3:$A$10,0)),""))</f>
        <v/>
      </c>
      <c r="X243" s="21">
        <f>IF($U243="","",IFERROR(INDEX(Templates!$J$3:$J$10,MATCH($U243,Templates!$A$3:$A$10,0)),""))</f>
        <v/>
      </c>
      <c r="Y243" s="35">
        <f>IF(OR($U243="",$I243="",$J243="",$X243=""),"",$I243+$X243*($J243-$I243))</f>
        <v/>
      </c>
      <c r="Z243" s="30" t="n">
        <v>46212</v>
      </c>
      <c r="AA243" s="38" t="n"/>
      <c r="AB243" s="39" t="n"/>
      <c r="AC243" s="39" t="n"/>
      <c r="AD243" s="19">
        <f>IF($A243="","",IF($AA243="",$H243,$AA243))</f>
        <v/>
      </c>
      <c r="AE243" s="35">
        <f>IF($A243="","",IF($AB243="",$I243,$AB243))</f>
        <v/>
      </c>
      <c r="AF243" s="35">
        <f>IF($A243="","",IF($AC243="",$J243,$AC243))</f>
        <v/>
      </c>
      <c r="AG243" s="35">
        <f>IF(OR($U243="",$AE243="",$AF243="",$X243=""),"",$AE243+$X243*($AF243-$AE243))</f>
        <v/>
      </c>
      <c r="AH243" s="36" t="n"/>
      <c r="AI243" s="36" t="n"/>
      <c r="AJ243" s="36" t="n"/>
      <c r="AK243" s="36" t="n"/>
      <c r="AL243" s="36" t="n"/>
      <c r="AM243" s="36" t="n"/>
      <c r="AN243" s="36" t="n"/>
      <c r="AO243" s="36" t="n"/>
      <c r="AP243" s="36" t="n"/>
      <c r="AQ243" s="36" t="n"/>
      <c r="AR243" s="36" t="n"/>
      <c r="AS243" s="36" t="n"/>
      <c r="AT243" s="36" t="n"/>
      <c r="AU243" s="36" t="n"/>
      <c r="AV243" s="36" t="n"/>
      <c r="AW243" s="36" t="n"/>
      <c r="AX243" s="36" t="n"/>
    </row>
    <row r="244">
      <c r="A244" s="28" t="inlineStr">
        <is>
          <t>EV3</t>
        </is>
      </c>
      <c r="B244" s="20" t="inlineStr">
        <is>
          <t>Kalos LLP</t>
        </is>
      </c>
      <c r="C244" s="28" t="inlineStr">
        <is>
          <t>Kalos LLP</t>
        </is>
      </c>
      <c r="D244" s="28" t="inlineStr"/>
      <c r="E244" s="28" t="inlineStr">
        <is>
          <t>No</t>
        </is>
      </c>
      <c r="F244" s="28" t="inlineStr">
        <is>
          <t>Proposal</t>
        </is>
      </c>
      <c r="G244" s="36" t="n"/>
      <c r="H244" s="40" t="n">
        <v>0.5</v>
      </c>
      <c r="I244" s="37" t="n"/>
      <c r="J244" s="37" t="n"/>
      <c r="K244" s="31" t="n"/>
      <c r="L244" s="31" t="n"/>
      <c r="M244" s="31" t="n"/>
      <c r="N244" s="31" t="n"/>
      <c r="O244" s="31" t="n"/>
      <c r="P244" s="31" t="n"/>
      <c r="Q244" s="23">
        <f>IF($A244="","",COUNTIFS(Assignments!$C$2:$C$769,$A244,Assignments!$G$2:$G$769,"Active"))</f>
        <v/>
      </c>
      <c r="R244" s="32">
        <f>IF($A244="","",SUMIFS(Assignments!$I$2:$I$769,Assignments!$C$2:$C$769,$A244,Assignments!$G$2:$G$769,"Active"))</f>
        <v/>
      </c>
      <c r="S244" s="20" t="inlineStr">
        <is>
          <t>Summary tab only (Proposal)</t>
        </is>
      </c>
      <c r="T244" s="31" t="n"/>
      <c r="U244" s="36" t="n"/>
      <c r="V244" s="34">
        <f>IF($U244="","",IFERROR(INDEX(Templates!$K$3:$K$10,MATCH($U244,Templates!$A$3:$A$10,0)),""))</f>
        <v/>
      </c>
      <c r="W244" s="34">
        <f>IF($U244="","",IFERROR(INDEX(Templates!$L$3:$L$10,MATCH($U244,Templates!$A$3:$A$10,0)),""))</f>
        <v/>
      </c>
      <c r="X244" s="21">
        <f>IF($U244="","",IFERROR(INDEX(Templates!$J$3:$J$10,MATCH($U244,Templates!$A$3:$A$10,0)),""))</f>
        <v/>
      </c>
      <c r="Y244" s="35">
        <f>IF(OR($U244="",$I244="",$J244="",$X244=""),"",$I244+$X244*($J244-$I244))</f>
        <v/>
      </c>
      <c r="Z244" s="30" t="n">
        <v>46212</v>
      </c>
      <c r="AA244" s="38" t="n"/>
      <c r="AB244" s="39" t="n"/>
      <c r="AC244" s="39" t="n"/>
      <c r="AD244" s="19">
        <f>IF($A244="","",IF($AA244="",$H244,$AA244))</f>
        <v/>
      </c>
      <c r="AE244" s="35">
        <f>IF($A244="","",IF($AB244="",$I244,$AB244))</f>
        <v/>
      </c>
      <c r="AF244" s="35">
        <f>IF($A244="","",IF($AC244="",$J244,$AC244))</f>
        <v/>
      </c>
      <c r="AG244" s="35">
        <f>IF(OR($U244="",$AE244="",$AF244="",$X244=""),"",$AE244+$X244*($AF244-$AE244))</f>
        <v/>
      </c>
      <c r="AH244" s="36" t="n"/>
      <c r="AI244" s="36" t="n"/>
      <c r="AJ244" s="36" t="n"/>
      <c r="AK244" s="36" t="n"/>
      <c r="AL244" s="36" t="n"/>
      <c r="AM244" s="36" t="n"/>
      <c r="AN244" s="36" t="n"/>
      <c r="AO244" s="36" t="n"/>
      <c r="AP244" s="36" t="n"/>
      <c r="AQ244" s="36" t="n"/>
      <c r="AR244" s="36" t="n"/>
      <c r="AS244" s="36" t="n"/>
      <c r="AT244" s="36" t="n"/>
      <c r="AU244" s="36" t="n"/>
      <c r="AV244" s="36" t="n"/>
      <c r="AW244" s="36" t="n"/>
      <c r="AX244" s="36" t="n"/>
    </row>
    <row r="245">
      <c r="A245" s="28" t="inlineStr">
        <is>
          <t>EV3_1</t>
        </is>
      </c>
      <c r="B245" s="20" t="inlineStr">
        <is>
          <t>Eva Equity partners</t>
        </is>
      </c>
      <c r="C245" s="28" t="inlineStr">
        <is>
          <t>Eva Equity partners</t>
        </is>
      </c>
      <c r="D245" s="28" t="inlineStr"/>
      <c r="E245" s="28" t="inlineStr">
        <is>
          <t>No</t>
        </is>
      </c>
      <c r="F245" s="28" t="inlineStr">
        <is>
          <t>Proposal</t>
        </is>
      </c>
      <c r="G245" s="36" t="n"/>
      <c r="H245" s="40" t="n">
        <v>0.5</v>
      </c>
      <c r="I245" s="37" t="n"/>
      <c r="J245" s="37" t="n"/>
      <c r="K245" s="31" t="n"/>
      <c r="L245" s="31" t="n"/>
      <c r="M245" s="31" t="n"/>
      <c r="N245" s="31" t="n"/>
      <c r="O245" s="31" t="n"/>
      <c r="P245" s="31" t="n"/>
      <c r="Q245" s="23">
        <f>IF($A245="","",COUNTIFS(Assignments!$C$2:$C$769,$A245,Assignments!$G$2:$G$769,"Active"))</f>
        <v/>
      </c>
      <c r="R245" s="32">
        <f>IF($A245="","",SUMIFS(Assignments!$I$2:$I$769,Assignments!$C$2:$C$769,$A245,Assignments!$G$2:$G$769,"Active"))</f>
        <v/>
      </c>
      <c r="S245" s="20" t="inlineStr">
        <is>
          <t>Summary tab only (Proposal)</t>
        </is>
      </c>
      <c r="T245" s="31" t="n"/>
      <c r="U245" s="36" t="n"/>
      <c r="V245" s="34">
        <f>IF($U245="","",IFERROR(INDEX(Templates!$K$3:$K$10,MATCH($U245,Templates!$A$3:$A$10,0)),""))</f>
        <v/>
      </c>
      <c r="W245" s="34">
        <f>IF($U245="","",IFERROR(INDEX(Templates!$L$3:$L$10,MATCH($U245,Templates!$A$3:$A$10,0)),""))</f>
        <v/>
      </c>
      <c r="X245" s="21">
        <f>IF($U245="","",IFERROR(INDEX(Templates!$J$3:$J$10,MATCH($U245,Templates!$A$3:$A$10,0)),""))</f>
        <v/>
      </c>
      <c r="Y245" s="35">
        <f>IF(OR($U245="",$I245="",$J245="",$X245=""),"",$I245+$X245*($J245-$I245))</f>
        <v/>
      </c>
      <c r="Z245" s="30" t="n">
        <v>46212</v>
      </c>
      <c r="AA245" s="38" t="n"/>
      <c r="AB245" s="39" t="n"/>
      <c r="AC245" s="39" t="n"/>
      <c r="AD245" s="19">
        <f>IF($A245="","",IF($AA245="",$H245,$AA245))</f>
        <v/>
      </c>
      <c r="AE245" s="35">
        <f>IF($A245="","",IF($AB245="",$I245,$AB245))</f>
        <v/>
      </c>
      <c r="AF245" s="35">
        <f>IF($A245="","",IF($AC245="",$J245,$AC245))</f>
        <v/>
      </c>
      <c r="AG245" s="35">
        <f>IF(OR($U245="",$AE245="",$AF245="",$X245=""),"",$AE245+$X245*($AF245-$AE245))</f>
        <v/>
      </c>
      <c r="AH245" s="36" t="n"/>
      <c r="AI245" s="36" t="n"/>
      <c r="AJ245" s="36" t="n"/>
      <c r="AK245" s="36" t="n"/>
      <c r="AL245" s="36" t="n"/>
      <c r="AM245" s="36" t="n"/>
      <c r="AN245" s="36" t="n"/>
      <c r="AO245" s="36" t="n"/>
      <c r="AP245" s="36" t="n"/>
      <c r="AQ245" s="36" t="n"/>
      <c r="AR245" s="36" t="n"/>
      <c r="AS245" s="36" t="n"/>
      <c r="AT245" s="36" t="n"/>
      <c r="AU245" s="36" t="n"/>
      <c r="AV245" s="36" t="n"/>
      <c r="AW245" s="36" t="n"/>
      <c r="AX245" s="36" t="n"/>
    </row>
    <row r="246">
      <c r="A246" s="28" t="inlineStr">
        <is>
          <t>FAUME US Expansion_1</t>
        </is>
      </c>
      <c r="B246" s="20" t="inlineStr">
        <is>
          <t>FAUME</t>
        </is>
      </c>
      <c r="C246" s="28" t="inlineStr">
        <is>
          <t>FAUME</t>
        </is>
      </c>
      <c r="D246" s="28" t="inlineStr"/>
      <c r="E246" s="28" t="inlineStr">
        <is>
          <t>No</t>
        </is>
      </c>
      <c r="F246" s="28" t="inlineStr">
        <is>
          <t>Proposal</t>
        </is>
      </c>
      <c r="G246" s="36" t="n"/>
      <c r="H246" s="40" t="n">
        <v>0.5</v>
      </c>
      <c r="I246" s="37" t="n"/>
      <c r="J246" s="37" t="n"/>
      <c r="K246" s="31" t="n"/>
      <c r="L246" s="31" t="n"/>
      <c r="M246" s="31" t="n"/>
      <c r="N246" s="31" t="n"/>
      <c r="O246" s="31" t="n"/>
      <c r="P246" s="31" t="n"/>
      <c r="Q246" s="23">
        <f>IF($A246="","",COUNTIFS(Assignments!$C$2:$C$769,$A246,Assignments!$G$2:$G$769,"Active"))</f>
        <v/>
      </c>
      <c r="R246" s="32">
        <f>IF($A246="","",SUMIFS(Assignments!$I$2:$I$769,Assignments!$C$2:$C$769,$A246,Assignments!$G$2:$G$769,"Active"))</f>
        <v/>
      </c>
      <c r="S246" s="20" t="inlineStr">
        <is>
          <t>Proposal</t>
        </is>
      </c>
      <c r="T246" s="31" t="n"/>
      <c r="U246" s="36" t="n"/>
      <c r="V246" s="34">
        <f>IF($U246="","",IFERROR(INDEX(Templates!$K$3:$K$10,MATCH($U246,Templates!$A$3:$A$10,0)),""))</f>
        <v/>
      </c>
      <c r="W246" s="34">
        <f>IF($U246="","",IFERROR(INDEX(Templates!$L$3:$L$10,MATCH($U246,Templates!$A$3:$A$10,0)),""))</f>
        <v/>
      </c>
      <c r="X246" s="21">
        <f>IF($U246="","",IFERROR(INDEX(Templates!$J$3:$J$10,MATCH($U246,Templates!$A$3:$A$10,0)),""))</f>
        <v/>
      </c>
      <c r="Y246" s="35">
        <f>IF(OR($U246="",$I246="",$J246="",$X246=""),"",$I246+$X246*($J246-$I246))</f>
        <v/>
      </c>
      <c r="Z246" s="30" t="n">
        <v>46212</v>
      </c>
      <c r="AA246" s="38" t="n"/>
      <c r="AB246" s="39" t="n"/>
      <c r="AC246" s="39" t="n"/>
      <c r="AD246" s="19">
        <f>IF($A246="","",IF($AA246="",$H246,$AA246))</f>
        <v/>
      </c>
      <c r="AE246" s="35">
        <f>IF($A246="","",IF($AB246="",$I246,$AB246))</f>
        <v/>
      </c>
      <c r="AF246" s="35">
        <f>IF($A246="","",IF($AC246="",$J246,$AC246))</f>
        <v/>
      </c>
      <c r="AG246" s="35">
        <f>IF(OR($U246="",$AE246="",$AF246="",$X246=""),"",$AE246+$X246*($AF246-$AE246))</f>
        <v/>
      </c>
      <c r="AH246" s="36" t="n"/>
      <c r="AI246" s="36" t="n"/>
      <c r="AJ246" s="36" t="n"/>
      <c r="AK246" s="36" t="n"/>
      <c r="AL246" s="36" t="n"/>
      <c r="AM246" s="36" t="n"/>
      <c r="AN246" s="36" t="n"/>
      <c r="AO246" s="36" t="n"/>
      <c r="AP246" s="36" t="n"/>
      <c r="AQ246" s="36" t="n"/>
      <c r="AR246" s="36" t="n"/>
      <c r="AS246" s="36" t="n"/>
      <c r="AT246" s="36" t="n"/>
      <c r="AU246" s="36" t="n"/>
      <c r="AV246" s="36" t="n"/>
      <c r="AW246" s="36" t="n"/>
      <c r="AX246" s="36" t="n"/>
    </row>
    <row r="247">
      <c r="A247" s="28" t="inlineStr">
        <is>
          <t>FIRPTA_5</t>
        </is>
      </c>
      <c r="B247" s="20" t="inlineStr">
        <is>
          <t>Macquarie Group</t>
        </is>
      </c>
      <c r="C247" s="28" t="inlineStr">
        <is>
          <t>Macquarie Group</t>
        </is>
      </c>
      <c r="D247" s="28" t="inlineStr"/>
      <c r="E247" s="28" t="inlineStr">
        <is>
          <t>No</t>
        </is>
      </c>
      <c r="F247" s="28" t="inlineStr">
        <is>
          <t>Proposal</t>
        </is>
      </c>
      <c r="G247" s="36" t="n"/>
      <c r="H247" s="40" t="n">
        <v>0.5</v>
      </c>
      <c r="I247" s="37" t="n"/>
      <c r="J247" s="37" t="n"/>
      <c r="K247" s="31" t="n"/>
      <c r="L247" s="31" t="n"/>
      <c r="M247" s="31" t="n"/>
      <c r="N247" s="31" t="n"/>
      <c r="O247" s="31" t="n"/>
      <c r="P247" s="31" t="n"/>
      <c r="Q247" s="23">
        <f>IF($A247="","",COUNTIFS(Assignments!$C$2:$C$769,$A247,Assignments!$G$2:$G$769,"Active"))</f>
        <v/>
      </c>
      <c r="R247" s="32">
        <f>IF($A247="","",SUMIFS(Assignments!$I$2:$I$769,Assignments!$C$2:$C$769,$A247,Assignments!$G$2:$G$769,"Active"))</f>
        <v/>
      </c>
      <c r="S247" s="20" t="inlineStr">
        <is>
          <t>Proposal</t>
        </is>
      </c>
      <c r="T247" s="31" t="n"/>
      <c r="U247" s="36" t="n"/>
      <c r="V247" s="34">
        <f>IF($U247="","",IFERROR(INDEX(Templates!$K$3:$K$10,MATCH($U247,Templates!$A$3:$A$10,0)),""))</f>
        <v/>
      </c>
      <c r="W247" s="34">
        <f>IF($U247="","",IFERROR(INDEX(Templates!$L$3:$L$10,MATCH($U247,Templates!$A$3:$A$10,0)),""))</f>
        <v/>
      </c>
      <c r="X247" s="21">
        <f>IF($U247="","",IFERROR(INDEX(Templates!$J$3:$J$10,MATCH($U247,Templates!$A$3:$A$10,0)),""))</f>
        <v/>
      </c>
      <c r="Y247" s="35">
        <f>IF(OR($U247="",$I247="",$J247="",$X247=""),"",$I247+$X247*($J247-$I247))</f>
        <v/>
      </c>
      <c r="Z247" s="30" t="n">
        <v>46212</v>
      </c>
      <c r="AA247" s="38" t="n"/>
      <c r="AB247" s="39" t="n"/>
      <c r="AC247" s="39" t="n"/>
      <c r="AD247" s="19">
        <f>IF($A247="","",IF($AA247="",$H247,$AA247))</f>
        <v/>
      </c>
      <c r="AE247" s="35">
        <f>IF($A247="","",IF($AB247="",$I247,$AB247))</f>
        <v/>
      </c>
      <c r="AF247" s="35">
        <f>IF($A247="","",IF($AC247="",$J247,$AC247))</f>
        <v/>
      </c>
      <c r="AG247" s="35">
        <f>IF(OR($U247="",$AE247="",$AF247="",$X247=""),"",$AE247+$X247*($AF247-$AE247))</f>
        <v/>
      </c>
      <c r="AH247" s="36" t="n"/>
      <c r="AI247" s="36" t="n"/>
      <c r="AJ247" s="36" t="n"/>
      <c r="AK247" s="36" t="n"/>
      <c r="AL247" s="36" t="n"/>
      <c r="AM247" s="36" t="n"/>
      <c r="AN247" s="36" t="n"/>
      <c r="AO247" s="36" t="n"/>
      <c r="AP247" s="36" t="n"/>
      <c r="AQ247" s="36" t="n"/>
      <c r="AR247" s="36" t="n"/>
      <c r="AS247" s="36" t="n"/>
      <c r="AT247" s="36" t="n"/>
      <c r="AU247" s="36" t="n"/>
      <c r="AV247" s="36" t="n"/>
      <c r="AW247" s="36" t="n"/>
      <c r="AX247" s="36" t="n"/>
    </row>
    <row r="248">
      <c r="A248" s="28" t="inlineStr">
        <is>
          <t>Gemini</t>
        </is>
      </c>
      <c r="B248" s="20" t="inlineStr">
        <is>
          <t>Royal Bank of Canada</t>
        </is>
      </c>
      <c r="C248" s="28" t="inlineStr">
        <is>
          <t>Royal Bank of Canada</t>
        </is>
      </c>
      <c r="D248" s="28" t="inlineStr"/>
      <c r="E248" s="28" t="inlineStr">
        <is>
          <t>No</t>
        </is>
      </c>
      <c r="F248" s="28" t="inlineStr">
        <is>
          <t>Proposal</t>
        </is>
      </c>
      <c r="G248" s="36" t="n"/>
      <c r="H248" s="40" t="n">
        <v>0.5</v>
      </c>
      <c r="I248" s="37" t="n"/>
      <c r="J248" s="37" t="n"/>
      <c r="K248" s="31" t="n"/>
      <c r="L248" s="31" t="n"/>
      <c r="M248" s="31" t="n"/>
      <c r="N248" s="31" t="n"/>
      <c r="O248" s="31" t="n"/>
      <c r="P248" s="31" t="n"/>
      <c r="Q248" s="23">
        <f>IF($A248="","",COUNTIFS(Assignments!$C$2:$C$769,$A248,Assignments!$G$2:$G$769,"Active"))</f>
        <v/>
      </c>
      <c r="R248" s="32">
        <f>IF($A248="","",SUMIFS(Assignments!$I$2:$I$769,Assignments!$C$2:$C$769,$A248,Assignments!$G$2:$G$769,"Active"))</f>
        <v/>
      </c>
      <c r="S248" s="20" t="inlineStr">
        <is>
          <t>Proposal</t>
        </is>
      </c>
      <c r="T248" s="31" t="n"/>
      <c r="U248" s="36" t="n"/>
      <c r="V248" s="34">
        <f>IF($U248="","",IFERROR(INDEX(Templates!$K$3:$K$10,MATCH($U248,Templates!$A$3:$A$10,0)),""))</f>
        <v/>
      </c>
      <c r="W248" s="34">
        <f>IF($U248="","",IFERROR(INDEX(Templates!$L$3:$L$10,MATCH($U248,Templates!$A$3:$A$10,0)),""))</f>
        <v/>
      </c>
      <c r="X248" s="21">
        <f>IF($U248="","",IFERROR(INDEX(Templates!$J$3:$J$10,MATCH($U248,Templates!$A$3:$A$10,0)),""))</f>
        <v/>
      </c>
      <c r="Y248" s="35">
        <f>IF(OR($U248="",$I248="",$J248="",$X248=""),"",$I248+$X248*($J248-$I248))</f>
        <v/>
      </c>
      <c r="Z248" s="30" t="n">
        <v>46212</v>
      </c>
      <c r="AA248" s="38" t="n"/>
      <c r="AB248" s="39" t="n"/>
      <c r="AC248" s="39" t="n"/>
      <c r="AD248" s="19">
        <f>IF($A248="","",IF($AA248="",$H248,$AA248))</f>
        <v/>
      </c>
      <c r="AE248" s="35">
        <f>IF($A248="","",IF($AB248="",$I248,$AB248))</f>
        <v/>
      </c>
      <c r="AF248" s="35">
        <f>IF($A248="","",IF($AC248="",$J248,$AC248))</f>
        <v/>
      </c>
      <c r="AG248" s="35">
        <f>IF(OR($U248="",$AE248="",$AF248="",$X248=""),"",$AE248+$X248*($AF248-$AE248))</f>
        <v/>
      </c>
      <c r="AH248" s="36" t="n"/>
      <c r="AI248" s="36" t="n"/>
      <c r="AJ248" s="36" t="n"/>
      <c r="AK248" s="36" t="n"/>
      <c r="AL248" s="36" t="n"/>
      <c r="AM248" s="36" t="n"/>
      <c r="AN248" s="36" t="n"/>
      <c r="AO248" s="36" t="n"/>
      <c r="AP248" s="36" t="n"/>
      <c r="AQ248" s="36" t="n"/>
      <c r="AR248" s="36" t="n"/>
      <c r="AS248" s="36" t="n"/>
      <c r="AT248" s="36" t="n"/>
      <c r="AU248" s="36" t="n"/>
      <c r="AV248" s="36" t="n"/>
      <c r="AW248" s="36" t="n"/>
      <c r="AX248" s="36" t="n"/>
    </row>
    <row r="249">
      <c r="A249" s="28" t="inlineStr">
        <is>
          <t>Gerflor REORG</t>
        </is>
      </c>
      <c r="B249" s="20" t="inlineStr">
        <is>
          <t>Arsene TaxAnd</t>
        </is>
      </c>
      <c r="C249" s="28" t="inlineStr">
        <is>
          <t>Arsene TaxAnd</t>
        </is>
      </c>
      <c r="D249" s="28" t="inlineStr"/>
      <c r="E249" s="28" t="inlineStr">
        <is>
          <t>No</t>
        </is>
      </c>
      <c r="F249" s="28" t="inlineStr">
        <is>
          <t>Proposal</t>
        </is>
      </c>
      <c r="G249" s="36" t="n"/>
      <c r="H249" s="40" t="n">
        <v>0.5</v>
      </c>
      <c r="I249" s="37" t="n"/>
      <c r="J249" s="37" t="n"/>
      <c r="K249" s="31" t="n"/>
      <c r="L249" s="31" t="n"/>
      <c r="M249" s="31" t="n"/>
      <c r="N249" s="31" t="n"/>
      <c r="O249" s="31" t="n"/>
      <c r="P249" s="31" t="n"/>
      <c r="Q249" s="23">
        <f>IF($A249="","",COUNTIFS(Assignments!$C$2:$C$769,$A249,Assignments!$G$2:$G$769,"Active"))</f>
        <v/>
      </c>
      <c r="R249" s="32">
        <f>IF($A249="","",SUMIFS(Assignments!$I$2:$I$769,Assignments!$C$2:$C$769,$A249,Assignments!$G$2:$G$769,"Active"))</f>
        <v/>
      </c>
      <c r="S249" s="20" t="inlineStr">
        <is>
          <t>Summary tab only (Proposal)</t>
        </is>
      </c>
      <c r="T249" s="31" t="n"/>
      <c r="U249" s="36" t="n"/>
      <c r="V249" s="34">
        <f>IF($U249="","",IFERROR(INDEX(Templates!$K$3:$K$10,MATCH($U249,Templates!$A$3:$A$10,0)),""))</f>
        <v/>
      </c>
      <c r="W249" s="34">
        <f>IF($U249="","",IFERROR(INDEX(Templates!$L$3:$L$10,MATCH($U249,Templates!$A$3:$A$10,0)),""))</f>
        <v/>
      </c>
      <c r="X249" s="21">
        <f>IF($U249="","",IFERROR(INDEX(Templates!$J$3:$J$10,MATCH($U249,Templates!$A$3:$A$10,0)),""))</f>
        <v/>
      </c>
      <c r="Y249" s="35">
        <f>IF(OR($U249="",$I249="",$J249="",$X249=""),"",$I249+$X249*($J249-$I249))</f>
        <v/>
      </c>
      <c r="Z249" s="30" t="n">
        <v>46212</v>
      </c>
      <c r="AA249" s="38" t="n"/>
      <c r="AB249" s="39" t="n"/>
      <c r="AC249" s="39" t="n"/>
      <c r="AD249" s="19">
        <f>IF($A249="","",IF($AA249="",$H249,$AA249))</f>
        <v/>
      </c>
      <c r="AE249" s="35">
        <f>IF($A249="","",IF($AB249="",$I249,$AB249))</f>
        <v/>
      </c>
      <c r="AF249" s="35">
        <f>IF($A249="","",IF($AC249="",$J249,$AC249))</f>
        <v/>
      </c>
      <c r="AG249" s="35">
        <f>IF(OR($U249="",$AE249="",$AF249="",$X249=""),"",$AE249+$X249*($AF249-$AE249))</f>
        <v/>
      </c>
      <c r="AH249" s="36" t="n"/>
      <c r="AI249" s="36" t="n"/>
      <c r="AJ249" s="36" t="n"/>
      <c r="AK249" s="36" t="n"/>
      <c r="AL249" s="36" t="n"/>
      <c r="AM249" s="36" t="n"/>
      <c r="AN249" s="36" t="n"/>
      <c r="AO249" s="36" t="n"/>
      <c r="AP249" s="36" t="n"/>
      <c r="AQ249" s="36" t="n"/>
      <c r="AR249" s="36" t="n"/>
      <c r="AS249" s="36" t="n"/>
      <c r="AT249" s="36" t="n"/>
      <c r="AU249" s="36" t="n"/>
      <c r="AV249" s="36" t="n"/>
      <c r="AW249" s="36" t="n"/>
      <c r="AX249" s="36" t="n"/>
    </row>
    <row r="250">
      <c r="A250" s="28" t="inlineStr">
        <is>
          <t>GPRE_1</t>
        </is>
      </c>
      <c r="B250" s="20" t="inlineStr">
        <is>
          <t>Certa</t>
        </is>
      </c>
      <c r="C250" s="28" t="inlineStr">
        <is>
          <t>Certa</t>
        </is>
      </c>
      <c r="D250" s="28" t="inlineStr"/>
      <c r="E250" s="28" t="inlineStr">
        <is>
          <t>No</t>
        </is>
      </c>
      <c r="F250" s="28" t="inlineStr">
        <is>
          <t>Proposal</t>
        </is>
      </c>
      <c r="G250" s="36" t="n"/>
      <c r="H250" s="40" t="n">
        <v>0.5</v>
      </c>
      <c r="I250" s="37" t="n"/>
      <c r="J250" s="37" t="n"/>
      <c r="K250" s="31" t="n"/>
      <c r="L250" s="31" t="n"/>
      <c r="M250" s="31" t="n"/>
      <c r="N250" s="31" t="n"/>
      <c r="O250" s="31" t="n"/>
      <c r="P250" s="31" t="n"/>
      <c r="Q250" s="23">
        <f>IF($A250="","",COUNTIFS(Assignments!$C$2:$C$769,$A250,Assignments!$G$2:$G$769,"Active"))</f>
        <v/>
      </c>
      <c r="R250" s="32">
        <f>IF($A250="","",SUMIFS(Assignments!$I$2:$I$769,Assignments!$C$2:$C$769,$A250,Assignments!$G$2:$G$769,"Active"))</f>
        <v/>
      </c>
      <c r="S250" s="20" t="inlineStr">
        <is>
          <t>Proposal</t>
        </is>
      </c>
      <c r="T250" s="31" t="n"/>
      <c r="U250" s="36" t="n"/>
      <c r="V250" s="34">
        <f>IF($U250="","",IFERROR(INDEX(Templates!$K$3:$K$10,MATCH($U250,Templates!$A$3:$A$10,0)),""))</f>
        <v/>
      </c>
      <c r="W250" s="34">
        <f>IF($U250="","",IFERROR(INDEX(Templates!$L$3:$L$10,MATCH($U250,Templates!$A$3:$A$10,0)),""))</f>
        <v/>
      </c>
      <c r="X250" s="21">
        <f>IF($U250="","",IFERROR(INDEX(Templates!$J$3:$J$10,MATCH($U250,Templates!$A$3:$A$10,0)),""))</f>
        <v/>
      </c>
      <c r="Y250" s="35">
        <f>IF(OR($U250="",$I250="",$J250="",$X250=""),"",$I250+$X250*($J250-$I250))</f>
        <v/>
      </c>
      <c r="Z250" s="30" t="n">
        <v>46212</v>
      </c>
      <c r="AA250" s="38" t="n"/>
      <c r="AB250" s="39" t="n"/>
      <c r="AC250" s="39" t="n"/>
      <c r="AD250" s="19">
        <f>IF($A250="","",IF($AA250="",$H250,$AA250))</f>
        <v/>
      </c>
      <c r="AE250" s="35">
        <f>IF($A250="","",IF($AB250="",$I250,$AB250))</f>
        <v/>
      </c>
      <c r="AF250" s="35">
        <f>IF($A250="","",IF($AC250="",$J250,$AC250))</f>
        <v/>
      </c>
      <c r="AG250" s="35">
        <f>IF(OR($U250="",$AE250="",$AF250="",$X250=""),"",$AE250+$X250*($AF250-$AE250))</f>
        <v/>
      </c>
      <c r="AH250" s="36" t="n"/>
      <c r="AI250" s="36" t="n"/>
      <c r="AJ250" s="36" t="n"/>
      <c r="AK250" s="36" t="n"/>
      <c r="AL250" s="36" t="n"/>
      <c r="AM250" s="36" t="n"/>
      <c r="AN250" s="36" t="n"/>
      <c r="AO250" s="36" t="n"/>
      <c r="AP250" s="36" t="n"/>
      <c r="AQ250" s="36" t="n"/>
      <c r="AR250" s="36" t="n"/>
      <c r="AS250" s="36" t="n"/>
      <c r="AT250" s="36" t="n"/>
      <c r="AU250" s="36" t="n"/>
      <c r="AV250" s="36" t="n"/>
      <c r="AW250" s="36" t="n"/>
      <c r="AX250" s="36" t="n"/>
    </row>
    <row r="251">
      <c r="A251" s="28" t="inlineStr">
        <is>
          <t>Gravel_1</t>
        </is>
      </c>
      <c r="B251" s="20" t="inlineStr">
        <is>
          <t>Certa</t>
        </is>
      </c>
      <c r="C251" s="28" t="inlineStr">
        <is>
          <t>Certa</t>
        </is>
      </c>
      <c r="D251" s="28" t="inlineStr"/>
      <c r="E251" s="28" t="inlineStr">
        <is>
          <t>No</t>
        </is>
      </c>
      <c r="F251" s="28" t="inlineStr">
        <is>
          <t>Proposal</t>
        </is>
      </c>
      <c r="G251" s="36" t="n"/>
      <c r="H251" s="40" t="n">
        <v>0.5</v>
      </c>
      <c r="I251" s="37" t="n"/>
      <c r="J251" s="37" t="n"/>
      <c r="K251" s="31" t="n"/>
      <c r="L251" s="31" t="n"/>
      <c r="M251" s="31" t="n"/>
      <c r="N251" s="31" t="n"/>
      <c r="O251" s="31" t="n"/>
      <c r="P251" s="31" t="n"/>
      <c r="Q251" s="23">
        <f>IF($A251="","",COUNTIFS(Assignments!$C$2:$C$769,$A251,Assignments!$G$2:$G$769,"Active"))</f>
        <v/>
      </c>
      <c r="R251" s="32">
        <f>IF($A251="","",SUMIFS(Assignments!$I$2:$I$769,Assignments!$C$2:$C$769,$A251,Assignments!$G$2:$G$769,"Active"))</f>
        <v/>
      </c>
      <c r="S251" s="20" t="inlineStr">
        <is>
          <t>Proposal</t>
        </is>
      </c>
      <c r="T251" s="31" t="n"/>
      <c r="U251" s="36" t="n"/>
      <c r="V251" s="34">
        <f>IF($U251="","",IFERROR(INDEX(Templates!$K$3:$K$10,MATCH($U251,Templates!$A$3:$A$10,0)),""))</f>
        <v/>
      </c>
      <c r="W251" s="34">
        <f>IF($U251="","",IFERROR(INDEX(Templates!$L$3:$L$10,MATCH($U251,Templates!$A$3:$A$10,0)),""))</f>
        <v/>
      </c>
      <c r="X251" s="21">
        <f>IF($U251="","",IFERROR(INDEX(Templates!$J$3:$J$10,MATCH($U251,Templates!$A$3:$A$10,0)),""))</f>
        <v/>
      </c>
      <c r="Y251" s="35">
        <f>IF(OR($U251="",$I251="",$J251="",$X251=""),"",$I251+$X251*($J251-$I251))</f>
        <v/>
      </c>
      <c r="Z251" s="30" t="n">
        <v>46212</v>
      </c>
      <c r="AA251" s="38" t="n"/>
      <c r="AB251" s="39" t="n"/>
      <c r="AC251" s="39" t="n"/>
      <c r="AD251" s="19">
        <f>IF($A251="","",IF($AA251="",$H251,$AA251))</f>
        <v/>
      </c>
      <c r="AE251" s="35">
        <f>IF($A251="","",IF($AB251="",$I251,$AB251))</f>
        <v/>
      </c>
      <c r="AF251" s="35">
        <f>IF($A251="","",IF($AC251="",$J251,$AC251))</f>
        <v/>
      </c>
      <c r="AG251" s="35">
        <f>IF(OR($U251="",$AE251="",$AF251="",$X251=""),"",$AE251+$X251*($AF251-$AE251))</f>
        <v/>
      </c>
      <c r="AH251" s="36" t="n"/>
      <c r="AI251" s="36" t="n"/>
      <c r="AJ251" s="36" t="n"/>
      <c r="AK251" s="36" t="n"/>
      <c r="AL251" s="36" t="n"/>
      <c r="AM251" s="36" t="n"/>
      <c r="AN251" s="36" t="n"/>
      <c r="AO251" s="36" t="n"/>
      <c r="AP251" s="36" t="n"/>
      <c r="AQ251" s="36" t="n"/>
      <c r="AR251" s="36" t="n"/>
      <c r="AS251" s="36" t="n"/>
      <c r="AT251" s="36" t="n"/>
      <c r="AU251" s="36" t="n"/>
      <c r="AV251" s="36" t="n"/>
      <c r="AW251" s="36" t="n"/>
      <c r="AX251" s="36" t="n"/>
    </row>
    <row r="252">
      <c r="A252" s="28" t="inlineStr">
        <is>
          <t>Hereford_1</t>
        </is>
      </c>
      <c r="B252" s="20" t="inlineStr">
        <is>
          <t>Euclid Transactional</t>
        </is>
      </c>
      <c r="C252" s="28" t="inlineStr">
        <is>
          <t>Euclid Transactional</t>
        </is>
      </c>
      <c r="D252" s="28" t="inlineStr"/>
      <c r="E252" s="28" t="inlineStr">
        <is>
          <t>No</t>
        </is>
      </c>
      <c r="F252" s="28" t="inlineStr">
        <is>
          <t>Proposal</t>
        </is>
      </c>
      <c r="G252" s="36" t="n"/>
      <c r="H252" s="40" t="n">
        <v>0.5</v>
      </c>
      <c r="I252" s="37" t="n"/>
      <c r="J252" s="37" t="n"/>
      <c r="K252" s="31" t="n"/>
      <c r="L252" s="31" t="n"/>
      <c r="M252" s="31" t="n"/>
      <c r="N252" s="31" t="n"/>
      <c r="O252" s="31" t="n"/>
      <c r="P252" s="31" t="n"/>
      <c r="Q252" s="23">
        <f>IF($A252="","",COUNTIFS(Assignments!$C$2:$C$769,$A252,Assignments!$G$2:$G$769,"Active"))</f>
        <v/>
      </c>
      <c r="R252" s="32">
        <f>IF($A252="","",SUMIFS(Assignments!$I$2:$I$769,Assignments!$C$2:$C$769,$A252,Assignments!$G$2:$G$769,"Active"))</f>
        <v/>
      </c>
      <c r="S252" s="20" t="inlineStr">
        <is>
          <t>Proposal</t>
        </is>
      </c>
      <c r="T252" s="31" t="n"/>
      <c r="U252" s="36" t="n"/>
      <c r="V252" s="34">
        <f>IF($U252="","",IFERROR(INDEX(Templates!$K$3:$K$10,MATCH($U252,Templates!$A$3:$A$10,0)),""))</f>
        <v/>
      </c>
      <c r="W252" s="34">
        <f>IF($U252="","",IFERROR(INDEX(Templates!$L$3:$L$10,MATCH($U252,Templates!$A$3:$A$10,0)),""))</f>
        <v/>
      </c>
      <c r="X252" s="21">
        <f>IF($U252="","",IFERROR(INDEX(Templates!$J$3:$J$10,MATCH($U252,Templates!$A$3:$A$10,0)),""))</f>
        <v/>
      </c>
      <c r="Y252" s="35">
        <f>IF(OR($U252="",$I252="",$J252="",$X252=""),"",$I252+$X252*($J252-$I252))</f>
        <v/>
      </c>
      <c r="Z252" s="30" t="n">
        <v>46212</v>
      </c>
      <c r="AA252" s="38" t="n"/>
      <c r="AB252" s="39" t="n"/>
      <c r="AC252" s="39" t="n"/>
      <c r="AD252" s="19">
        <f>IF($A252="","",IF($AA252="",$H252,$AA252))</f>
        <v/>
      </c>
      <c r="AE252" s="35">
        <f>IF($A252="","",IF($AB252="",$I252,$AB252))</f>
        <v/>
      </c>
      <c r="AF252" s="35">
        <f>IF($A252="","",IF($AC252="",$J252,$AC252))</f>
        <v/>
      </c>
      <c r="AG252" s="35">
        <f>IF(OR($U252="",$AE252="",$AF252="",$X252=""),"",$AE252+$X252*($AF252-$AE252))</f>
        <v/>
      </c>
      <c r="AH252" s="36" t="n"/>
      <c r="AI252" s="36" t="n"/>
      <c r="AJ252" s="36" t="n"/>
      <c r="AK252" s="36" t="n"/>
      <c r="AL252" s="36" t="n"/>
      <c r="AM252" s="36" t="n"/>
      <c r="AN252" s="36" t="n"/>
      <c r="AO252" s="36" t="n"/>
      <c r="AP252" s="36" t="n"/>
      <c r="AQ252" s="36" t="n"/>
      <c r="AR252" s="36" t="n"/>
      <c r="AS252" s="36" t="n"/>
      <c r="AT252" s="36" t="n"/>
      <c r="AU252" s="36" t="n"/>
      <c r="AV252" s="36" t="n"/>
      <c r="AW252" s="36" t="n"/>
      <c r="AX252" s="36" t="n"/>
    </row>
    <row r="253">
      <c r="A253" s="28" t="inlineStr">
        <is>
          <t>Horizon_4</t>
        </is>
      </c>
      <c r="B253" s="20" t="inlineStr">
        <is>
          <t>Slate Asset Management</t>
        </is>
      </c>
      <c r="C253" s="28" t="inlineStr">
        <is>
          <t>Slate Asset Management</t>
        </is>
      </c>
      <c r="D253" s="28" t="inlineStr"/>
      <c r="E253" s="28" t="inlineStr">
        <is>
          <t>No</t>
        </is>
      </c>
      <c r="F253" s="28" t="inlineStr">
        <is>
          <t>Proposal</t>
        </is>
      </c>
      <c r="G253" s="36" t="n"/>
      <c r="H253" s="40" t="n">
        <v>0.5</v>
      </c>
      <c r="I253" s="37" t="n"/>
      <c r="J253" s="37" t="n"/>
      <c r="K253" s="31" t="n"/>
      <c r="L253" s="31" t="n"/>
      <c r="M253" s="31" t="n"/>
      <c r="N253" s="31" t="n"/>
      <c r="O253" s="31" t="n"/>
      <c r="P253" s="31" t="n"/>
      <c r="Q253" s="23">
        <f>IF($A253="","",COUNTIFS(Assignments!$C$2:$C$769,$A253,Assignments!$G$2:$G$769,"Active"))</f>
        <v/>
      </c>
      <c r="R253" s="32">
        <f>IF($A253="","",SUMIFS(Assignments!$I$2:$I$769,Assignments!$C$2:$C$769,$A253,Assignments!$G$2:$G$769,"Active"))</f>
        <v/>
      </c>
      <c r="S253" s="20" t="inlineStr">
        <is>
          <t>Proposal</t>
        </is>
      </c>
      <c r="T253" s="31" t="n"/>
      <c r="U253" s="36" t="n"/>
      <c r="V253" s="34">
        <f>IF($U253="","",IFERROR(INDEX(Templates!$K$3:$K$10,MATCH($U253,Templates!$A$3:$A$10,0)),""))</f>
        <v/>
      </c>
      <c r="W253" s="34">
        <f>IF($U253="","",IFERROR(INDEX(Templates!$L$3:$L$10,MATCH($U253,Templates!$A$3:$A$10,0)),""))</f>
        <v/>
      </c>
      <c r="X253" s="21">
        <f>IF($U253="","",IFERROR(INDEX(Templates!$J$3:$J$10,MATCH($U253,Templates!$A$3:$A$10,0)),""))</f>
        <v/>
      </c>
      <c r="Y253" s="35">
        <f>IF(OR($U253="",$I253="",$J253="",$X253=""),"",$I253+$X253*($J253-$I253))</f>
        <v/>
      </c>
      <c r="Z253" s="30" t="n">
        <v>46212</v>
      </c>
      <c r="AA253" s="38" t="n"/>
      <c r="AB253" s="39" t="n"/>
      <c r="AC253" s="39" t="n"/>
      <c r="AD253" s="19">
        <f>IF($A253="","",IF($AA253="",$H253,$AA253))</f>
        <v/>
      </c>
      <c r="AE253" s="35">
        <f>IF($A253="","",IF($AB253="",$I253,$AB253))</f>
        <v/>
      </c>
      <c r="AF253" s="35">
        <f>IF($A253="","",IF($AC253="",$J253,$AC253))</f>
        <v/>
      </c>
      <c r="AG253" s="35">
        <f>IF(OR($U253="",$AE253="",$AF253="",$X253=""),"",$AE253+$X253*($AF253-$AE253))</f>
        <v/>
      </c>
      <c r="AH253" s="36" t="n"/>
      <c r="AI253" s="36" t="n"/>
      <c r="AJ253" s="36" t="n"/>
      <c r="AK253" s="36" t="n"/>
      <c r="AL253" s="36" t="n"/>
      <c r="AM253" s="36" t="n"/>
      <c r="AN253" s="36" t="n"/>
      <c r="AO253" s="36" t="n"/>
      <c r="AP253" s="36" t="n"/>
      <c r="AQ253" s="36" t="n"/>
      <c r="AR253" s="36" t="n"/>
      <c r="AS253" s="36" t="n"/>
      <c r="AT253" s="36" t="n"/>
      <c r="AU253" s="36" t="n"/>
      <c r="AV253" s="36" t="n"/>
      <c r="AW253" s="36" t="n"/>
      <c r="AX253" s="36" t="n"/>
    </row>
    <row r="254">
      <c r="A254" s="28" t="inlineStr">
        <is>
          <t>Human_1</t>
        </is>
      </c>
      <c r="B254" s="20" t="inlineStr">
        <is>
          <t>Beacon Software, Inc.</t>
        </is>
      </c>
      <c r="C254" s="28" t="inlineStr">
        <is>
          <t>Beacon Software, Inc.</t>
        </is>
      </c>
      <c r="D254" s="28" t="inlineStr"/>
      <c r="E254" s="28" t="inlineStr">
        <is>
          <t>No</t>
        </is>
      </c>
      <c r="F254" s="28" t="inlineStr">
        <is>
          <t>Proposal</t>
        </is>
      </c>
      <c r="G254" s="36" t="n"/>
      <c r="H254" s="40" t="n">
        <v>0.5</v>
      </c>
      <c r="I254" s="37" t="n"/>
      <c r="J254" s="37" t="n"/>
      <c r="K254" s="31" t="n"/>
      <c r="L254" s="31" t="n"/>
      <c r="M254" s="31" t="n"/>
      <c r="N254" s="31" t="n"/>
      <c r="O254" s="31" t="n"/>
      <c r="P254" s="31" t="n"/>
      <c r="Q254" s="23">
        <f>IF($A254="","",COUNTIFS(Assignments!$C$2:$C$769,$A254,Assignments!$G$2:$G$769,"Active"))</f>
        <v/>
      </c>
      <c r="R254" s="32">
        <f>IF($A254="","",SUMIFS(Assignments!$I$2:$I$769,Assignments!$C$2:$C$769,$A254,Assignments!$G$2:$G$769,"Active"))</f>
        <v/>
      </c>
      <c r="S254" s="20" t="inlineStr">
        <is>
          <t>Proposal</t>
        </is>
      </c>
      <c r="T254" s="31" t="n"/>
      <c r="U254" s="36" t="n"/>
      <c r="V254" s="34">
        <f>IF($U254="","",IFERROR(INDEX(Templates!$K$3:$K$10,MATCH($U254,Templates!$A$3:$A$10,0)),""))</f>
        <v/>
      </c>
      <c r="W254" s="34">
        <f>IF($U254="","",IFERROR(INDEX(Templates!$L$3:$L$10,MATCH($U254,Templates!$A$3:$A$10,0)),""))</f>
        <v/>
      </c>
      <c r="X254" s="21">
        <f>IF($U254="","",IFERROR(INDEX(Templates!$J$3:$J$10,MATCH($U254,Templates!$A$3:$A$10,0)),""))</f>
        <v/>
      </c>
      <c r="Y254" s="35">
        <f>IF(OR($U254="",$I254="",$J254="",$X254=""),"",$I254+$X254*($J254-$I254))</f>
        <v/>
      </c>
      <c r="Z254" s="30" t="n">
        <v>46212</v>
      </c>
      <c r="AA254" s="38" t="n"/>
      <c r="AB254" s="39" t="n"/>
      <c r="AC254" s="39" t="n"/>
      <c r="AD254" s="19">
        <f>IF($A254="","",IF($AA254="",$H254,$AA254))</f>
        <v/>
      </c>
      <c r="AE254" s="35">
        <f>IF($A254="","",IF($AB254="",$I254,$AB254))</f>
        <v/>
      </c>
      <c r="AF254" s="35">
        <f>IF($A254="","",IF($AC254="",$J254,$AC254))</f>
        <v/>
      </c>
      <c r="AG254" s="35">
        <f>IF(OR($U254="",$AE254="",$AF254="",$X254=""),"",$AE254+$X254*($AF254-$AE254))</f>
        <v/>
      </c>
      <c r="AH254" s="36" t="n"/>
      <c r="AI254" s="36" t="n"/>
      <c r="AJ254" s="36" t="n"/>
      <c r="AK254" s="36" t="n"/>
      <c r="AL254" s="36" t="n"/>
      <c r="AM254" s="36" t="n"/>
      <c r="AN254" s="36" t="n"/>
      <c r="AO254" s="36" t="n"/>
      <c r="AP254" s="36" t="n"/>
      <c r="AQ254" s="36" t="n"/>
      <c r="AR254" s="36" t="n"/>
      <c r="AS254" s="36" t="n"/>
      <c r="AT254" s="36" t="n"/>
      <c r="AU254" s="36" t="n"/>
      <c r="AV254" s="36" t="n"/>
      <c r="AW254" s="36" t="n"/>
      <c r="AX254" s="36" t="n"/>
    </row>
    <row r="255">
      <c r="A255" s="28" t="inlineStr">
        <is>
          <t>IPX Power_1</t>
        </is>
      </c>
      <c r="B255" s="20" t="inlineStr">
        <is>
          <t>TPG Rise Climate : IPX Power, LLC</t>
        </is>
      </c>
      <c r="C255" s="28" t="inlineStr">
        <is>
          <t>TPG Rise Climate</t>
        </is>
      </c>
      <c r="D255" s="28" t="inlineStr">
        <is>
          <t>IPX Power, LLC</t>
        </is>
      </c>
      <c r="E255" s="28" t="inlineStr">
        <is>
          <t>No</t>
        </is>
      </c>
      <c r="F255" s="28" t="inlineStr">
        <is>
          <t>Proposal</t>
        </is>
      </c>
      <c r="G255" s="36" t="n"/>
      <c r="H255" s="40" t="n">
        <v>0.5</v>
      </c>
      <c r="I255" s="37" t="n"/>
      <c r="J255" s="37" t="n"/>
      <c r="K255" s="31" t="n"/>
      <c r="L255" s="31" t="n"/>
      <c r="M255" s="31" t="n"/>
      <c r="N255" s="31" t="n"/>
      <c r="O255" s="31" t="n"/>
      <c r="P255" s="31" t="n"/>
      <c r="Q255" s="23">
        <f>IF($A255="","",COUNTIFS(Assignments!$C$2:$C$769,$A255,Assignments!$G$2:$G$769,"Active"))</f>
        <v/>
      </c>
      <c r="R255" s="32">
        <f>IF($A255="","",SUMIFS(Assignments!$I$2:$I$769,Assignments!$C$2:$C$769,$A255,Assignments!$G$2:$G$769,"Active"))</f>
        <v/>
      </c>
      <c r="S255" s="20" t="inlineStr">
        <is>
          <t>Proposal</t>
        </is>
      </c>
      <c r="T255" s="31" t="n"/>
      <c r="U255" s="36" t="n"/>
      <c r="V255" s="34">
        <f>IF($U255="","",IFERROR(INDEX(Templates!$K$3:$K$10,MATCH($U255,Templates!$A$3:$A$10,0)),""))</f>
        <v/>
      </c>
      <c r="W255" s="34">
        <f>IF($U255="","",IFERROR(INDEX(Templates!$L$3:$L$10,MATCH($U255,Templates!$A$3:$A$10,0)),""))</f>
        <v/>
      </c>
      <c r="X255" s="21">
        <f>IF($U255="","",IFERROR(INDEX(Templates!$J$3:$J$10,MATCH($U255,Templates!$A$3:$A$10,0)),""))</f>
        <v/>
      </c>
      <c r="Y255" s="35">
        <f>IF(OR($U255="",$I255="",$J255="",$X255=""),"",$I255+$X255*($J255-$I255))</f>
        <v/>
      </c>
      <c r="Z255" s="30" t="n">
        <v>46212</v>
      </c>
      <c r="AA255" s="38" t="n"/>
      <c r="AB255" s="39" t="n"/>
      <c r="AC255" s="39" t="n"/>
      <c r="AD255" s="19">
        <f>IF($A255="","",IF($AA255="",$H255,$AA255))</f>
        <v/>
      </c>
      <c r="AE255" s="35">
        <f>IF($A255="","",IF($AB255="",$I255,$AB255))</f>
        <v/>
      </c>
      <c r="AF255" s="35">
        <f>IF($A255="","",IF($AC255="",$J255,$AC255))</f>
        <v/>
      </c>
      <c r="AG255" s="35">
        <f>IF(OR($U255="",$AE255="",$AF255="",$X255=""),"",$AE255+$X255*($AF255-$AE255))</f>
        <v/>
      </c>
      <c r="AH255" s="36" t="n"/>
      <c r="AI255" s="36" t="n"/>
      <c r="AJ255" s="36" t="n"/>
      <c r="AK255" s="36" t="n"/>
      <c r="AL255" s="36" t="n"/>
      <c r="AM255" s="36" t="n"/>
      <c r="AN255" s="36" t="n"/>
      <c r="AO255" s="36" t="n"/>
      <c r="AP255" s="36" t="n"/>
      <c r="AQ255" s="36" t="n"/>
      <c r="AR255" s="36" t="n"/>
      <c r="AS255" s="36" t="n"/>
      <c r="AT255" s="36" t="n"/>
      <c r="AU255" s="36" t="n"/>
      <c r="AV255" s="36" t="n"/>
      <c r="AW255" s="36" t="n"/>
      <c r="AX255" s="36" t="n"/>
    </row>
    <row r="256">
      <c r="A256" s="28" t="inlineStr">
        <is>
          <t>JHIF 2026 Restructuring_1</t>
        </is>
      </c>
      <c r="B256" s="20" t="inlineStr">
        <is>
          <t>Manulife : John Hancock</t>
        </is>
      </c>
      <c r="C256" s="28" t="inlineStr">
        <is>
          <t>Manulife</t>
        </is>
      </c>
      <c r="D256" s="28" t="inlineStr">
        <is>
          <t>John Hancock</t>
        </is>
      </c>
      <c r="E256" s="28" t="inlineStr">
        <is>
          <t>No</t>
        </is>
      </c>
      <c r="F256" s="28" t="inlineStr">
        <is>
          <t>Proposal</t>
        </is>
      </c>
      <c r="G256" s="36" t="n"/>
      <c r="H256" s="40" t="n">
        <v>0.5</v>
      </c>
      <c r="I256" s="37" t="n"/>
      <c r="J256" s="37" t="n"/>
      <c r="K256" s="31" t="n"/>
      <c r="L256" s="31" t="n"/>
      <c r="M256" s="31" t="n"/>
      <c r="N256" s="31" t="n"/>
      <c r="O256" s="31" t="n"/>
      <c r="P256" s="31" t="n"/>
      <c r="Q256" s="23">
        <f>IF($A256="","",COUNTIFS(Assignments!$C$2:$C$769,$A256,Assignments!$G$2:$G$769,"Active"))</f>
        <v/>
      </c>
      <c r="R256" s="32">
        <f>IF($A256="","",SUMIFS(Assignments!$I$2:$I$769,Assignments!$C$2:$C$769,$A256,Assignments!$G$2:$G$769,"Active"))</f>
        <v/>
      </c>
      <c r="S256" s="20" t="inlineStr">
        <is>
          <t>Proposal</t>
        </is>
      </c>
      <c r="T256" s="31" t="n"/>
      <c r="U256" s="36" t="n"/>
      <c r="V256" s="34">
        <f>IF($U256="","",IFERROR(INDEX(Templates!$K$3:$K$10,MATCH($U256,Templates!$A$3:$A$10,0)),""))</f>
        <v/>
      </c>
      <c r="W256" s="34">
        <f>IF($U256="","",IFERROR(INDEX(Templates!$L$3:$L$10,MATCH($U256,Templates!$A$3:$A$10,0)),""))</f>
        <v/>
      </c>
      <c r="X256" s="21">
        <f>IF($U256="","",IFERROR(INDEX(Templates!$J$3:$J$10,MATCH($U256,Templates!$A$3:$A$10,0)),""))</f>
        <v/>
      </c>
      <c r="Y256" s="35">
        <f>IF(OR($U256="",$I256="",$J256="",$X256=""),"",$I256+$X256*($J256-$I256))</f>
        <v/>
      </c>
      <c r="Z256" s="30" t="n">
        <v>46212</v>
      </c>
      <c r="AA256" s="38" t="n"/>
      <c r="AB256" s="39" t="n"/>
      <c r="AC256" s="39" t="n"/>
      <c r="AD256" s="19">
        <f>IF($A256="","",IF($AA256="",$H256,$AA256))</f>
        <v/>
      </c>
      <c r="AE256" s="35">
        <f>IF($A256="","",IF($AB256="",$I256,$AB256))</f>
        <v/>
      </c>
      <c r="AF256" s="35">
        <f>IF($A256="","",IF($AC256="",$J256,$AC256))</f>
        <v/>
      </c>
      <c r="AG256" s="35">
        <f>IF(OR($U256="",$AE256="",$AF256="",$X256=""),"",$AE256+$X256*($AF256-$AE256))</f>
        <v/>
      </c>
      <c r="AH256" s="36" t="n"/>
      <c r="AI256" s="36" t="n"/>
      <c r="AJ256" s="36" t="n"/>
      <c r="AK256" s="36" t="n"/>
      <c r="AL256" s="36" t="n"/>
      <c r="AM256" s="36" t="n"/>
      <c r="AN256" s="36" t="n"/>
      <c r="AO256" s="36" t="n"/>
      <c r="AP256" s="36" t="n"/>
      <c r="AQ256" s="36" t="n"/>
      <c r="AR256" s="36" t="n"/>
      <c r="AS256" s="36" t="n"/>
      <c r="AT256" s="36" t="n"/>
      <c r="AU256" s="36" t="n"/>
      <c r="AV256" s="36" t="n"/>
      <c r="AW256" s="36" t="n"/>
      <c r="AX256" s="36" t="n"/>
    </row>
    <row r="257">
      <c r="A257" s="28" t="inlineStr">
        <is>
          <t>Kering_1</t>
        </is>
      </c>
      <c r="B257" s="20" t="inlineStr">
        <is>
          <t>Kering</t>
        </is>
      </c>
      <c r="C257" s="28" t="inlineStr">
        <is>
          <t>Kering</t>
        </is>
      </c>
      <c r="D257" s="28" t="inlineStr"/>
      <c r="E257" s="28" t="inlineStr">
        <is>
          <t>No</t>
        </is>
      </c>
      <c r="F257" s="28" t="inlineStr">
        <is>
          <t>Proposal</t>
        </is>
      </c>
      <c r="G257" s="36" t="n"/>
      <c r="H257" s="40" t="n">
        <v>0.5</v>
      </c>
      <c r="I257" s="37" t="n"/>
      <c r="J257" s="37" t="n"/>
      <c r="K257" s="31" t="n"/>
      <c r="L257" s="31" t="n"/>
      <c r="M257" s="31" t="n"/>
      <c r="N257" s="31" t="n"/>
      <c r="O257" s="31" t="n"/>
      <c r="P257" s="31" t="n"/>
      <c r="Q257" s="23">
        <f>IF($A257="","",COUNTIFS(Assignments!$C$2:$C$769,$A257,Assignments!$G$2:$G$769,"Active"))</f>
        <v/>
      </c>
      <c r="R257" s="32">
        <f>IF($A257="","",SUMIFS(Assignments!$I$2:$I$769,Assignments!$C$2:$C$769,$A257,Assignments!$G$2:$G$769,"Active"))</f>
        <v/>
      </c>
      <c r="S257" s="20" t="inlineStr">
        <is>
          <t>Proposal</t>
        </is>
      </c>
      <c r="T257" s="31" t="n"/>
      <c r="U257" s="36" t="n"/>
      <c r="V257" s="34">
        <f>IF($U257="","",IFERROR(INDEX(Templates!$K$3:$K$10,MATCH($U257,Templates!$A$3:$A$10,0)),""))</f>
        <v/>
      </c>
      <c r="W257" s="34">
        <f>IF($U257="","",IFERROR(INDEX(Templates!$L$3:$L$10,MATCH($U257,Templates!$A$3:$A$10,0)),""))</f>
        <v/>
      </c>
      <c r="X257" s="21">
        <f>IF($U257="","",IFERROR(INDEX(Templates!$J$3:$J$10,MATCH($U257,Templates!$A$3:$A$10,0)),""))</f>
        <v/>
      </c>
      <c r="Y257" s="35">
        <f>IF(OR($U257="",$I257="",$J257="",$X257=""),"",$I257+$X257*($J257-$I257))</f>
        <v/>
      </c>
      <c r="Z257" s="30" t="n">
        <v>46212</v>
      </c>
      <c r="AA257" s="38" t="n"/>
      <c r="AB257" s="39" t="n"/>
      <c r="AC257" s="39" t="n"/>
      <c r="AD257" s="19">
        <f>IF($A257="","",IF($AA257="",$H257,$AA257))</f>
        <v/>
      </c>
      <c r="AE257" s="35">
        <f>IF($A257="","",IF($AB257="",$I257,$AB257))</f>
        <v/>
      </c>
      <c r="AF257" s="35">
        <f>IF($A257="","",IF($AC257="",$J257,$AC257))</f>
        <v/>
      </c>
      <c r="AG257" s="35">
        <f>IF(OR($U257="",$AE257="",$AF257="",$X257=""),"",$AE257+$X257*($AF257-$AE257))</f>
        <v/>
      </c>
      <c r="AH257" s="36" t="n"/>
      <c r="AI257" s="36" t="n"/>
      <c r="AJ257" s="36" t="n"/>
      <c r="AK257" s="36" t="n"/>
      <c r="AL257" s="36" t="n"/>
      <c r="AM257" s="36" t="n"/>
      <c r="AN257" s="36" t="n"/>
      <c r="AO257" s="36" t="n"/>
      <c r="AP257" s="36" t="n"/>
      <c r="AQ257" s="36" t="n"/>
      <c r="AR257" s="36" t="n"/>
      <c r="AS257" s="36" t="n"/>
      <c r="AT257" s="36" t="n"/>
      <c r="AU257" s="36" t="n"/>
      <c r="AV257" s="36" t="n"/>
      <c r="AW257" s="36" t="n"/>
      <c r="AX257" s="36" t="n"/>
    </row>
    <row r="258">
      <c r="A258" s="28" t="inlineStr">
        <is>
          <t>kingfisher FIRPTA</t>
        </is>
      </c>
      <c r="B258" s="20" t="inlineStr">
        <is>
          <t>CVC</t>
        </is>
      </c>
      <c r="C258" s="28" t="inlineStr">
        <is>
          <t>CVC</t>
        </is>
      </c>
      <c r="D258" s="28" t="inlineStr"/>
      <c r="E258" s="28" t="inlineStr">
        <is>
          <t>No</t>
        </is>
      </c>
      <c r="F258" s="28" t="inlineStr">
        <is>
          <t>Proposal</t>
        </is>
      </c>
      <c r="G258" s="36" t="n"/>
      <c r="H258" s="40" t="n">
        <v>0.5</v>
      </c>
      <c r="I258" s="37" t="n"/>
      <c r="J258" s="37" t="n"/>
      <c r="K258" s="31" t="n"/>
      <c r="L258" s="31" t="n"/>
      <c r="M258" s="31" t="n"/>
      <c r="N258" s="31" t="n"/>
      <c r="O258" s="31" t="n"/>
      <c r="P258" s="31" t="n"/>
      <c r="Q258" s="23">
        <f>IF($A258="","",COUNTIFS(Assignments!$C$2:$C$769,$A258,Assignments!$G$2:$G$769,"Active"))</f>
        <v/>
      </c>
      <c r="R258" s="32">
        <f>IF($A258="","",SUMIFS(Assignments!$I$2:$I$769,Assignments!$C$2:$C$769,$A258,Assignments!$G$2:$G$769,"Active"))</f>
        <v/>
      </c>
      <c r="S258" s="20" t="inlineStr">
        <is>
          <t>Summary tab only (Proposal)</t>
        </is>
      </c>
      <c r="T258" s="31" t="n"/>
      <c r="U258" s="36" t="n"/>
      <c r="V258" s="34">
        <f>IF($U258="","",IFERROR(INDEX(Templates!$K$3:$K$10,MATCH($U258,Templates!$A$3:$A$10,0)),""))</f>
        <v/>
      </c>
      <c r="W258" s="34">
        <f>IF($U258="","",IFERROR(INDEX(Templates!$L$3:$L$10,MATCH($U258,Templates!$A$3:$A$10,0)),""))</f>
        <v/>
      </c>
      <c r="X258" s="21">
        <f>IF($U258="","",IFERROR(INDEX(Templates!$J$3:$J$10,MATCH($U258,Templates!$A$3:$A$10,0)),""))</f>
        <v/>
      </c>
      <c r="Y258" s="35">
        <f>IF(OR($U258="",$I258="",$J258="",$X258=""),"",$I258+$X258*($J258-$I258))</f>
        <v/>
      </c>
      <c r="Z258" s="30" t="n">
        <v>46212</v>
      </c>
      <c r="AA258" s="38" t="n"/>
      <c r="AB258" s="39" t="n"/>
      <c r="AC258" s="39" t="n"/>
      <c r="AD258" s="19">
        <f>IF($A258="","",IF($AA258="",$H258,$AA258))</f>
        <v/>
      </c>
      <c r="AE258" s="35">
        <f>IF($A258="","",IF($AB258="",$I258,$AB258))</f>
        <v/>
      </c>
      <c r="AF258" s="35">
        <f>IF($A258="","",IF($AC258="",$J258,$AC258))</f>
        <v/>
      </c>
      <c r="AG258" s="35">
        <f>IF(OR($U258="",$AE258="",$AF258="",$X258=""),"",$AE258+$X258*($AF258-$AE258))</f>
        <v/>
      </c>
      <c r="AH258" s="36" t="n"/>
      <c r="AI258" s="36" t="n"/>
      <c r="AJ258" s="36" t="n"/>
      <c r="AK258" s="36" t="n"/>
      <c r="AL258" s="36" t="n"/>
      <c r="AM258" s="36" t="n"/>
      <c r="AN258" s="36" t="n"/>
      <c r="AO258" s="36" t="n"/>
      <c r="AP258" s="36" t="n"/>
      <c r="AQ258" s="36" t="n"/>
      <c r="AR258" s="36" t="n"/>
      <c r="AS258" s="36" t="n"/>
      <c r="AT258" s="36" t="n"/>
      <c r="AU258" s="36" t="n"/>
      <c r="AV258" s="36" t="n"/>
      <c r="AW258" s="36" t="n"/>
      <c r="AX258" s="36" t="n"/>
    </row>
    <row r="259">
      <c r="A259" s="28" t="inlineStr">
        <is>
          <t>Liquidation Henner US_1</t>
        </is>
      </c>
      <c r="B259" s="20" t="inlineStr">
        <is>
          <t>Groupe Henner Holding SAS</t>
        </is>
      </c>
      <c r="C259" s="28" t="inlineStr">
        <is>
          <t>Groupe Henner Holding SAS</t>
        </is>
      </c>
      <c r="D259" s="28" t="inlineStr"/>
      <c r="E259" s="28" t="inlineStr">
        <is>
          <t>No</t>
        </is>
      </c>
      <c r="F259" s="28" t="inlineStr">
        <is>
          <t>Proposal</t>
        </is>
      </c>
      <c r="G259" s="36" t="n"/>
      <c r="H259" s="40" t="n">
        <v>0.5</v>
      </c>
      <c r="I259" s="37" t="n"/>
      <c r="J259" s="37" t="n"/>
      <c r="K259" s="31" t="n"/>
      <c r="L259" s="31" t="n"/>
      <c r="M259" s="31" t="n"/>
      <c r="N259" s="31" t="n"/>
      <c r="O259" s="31" t="n"/>
      <c r="P259" s="31" t="n"/>
      <c r="Q259" s="23">
        <f>IF($A259="","",COUNTIFS(Assignments!$C$2:$C$769,$A259,Assignments!$G$2:$G$769,"Active"))</f>
        <v/>
      </c>
      <c r="R259" s="32">
        <f>IF($A259="","",SUMIFS(Assignments!$I$2:$I$769,Assignments!$C$2:$C$769,$A259,Assignments!$G$2:$G$769,"Active"))</f>
        <v/>
      </c>
      <c r="S259" s="20" t="inlineStr">
        <is>
          <t>Proposal</t>
        </is>
      </c>
      <c r="T259" s="31" t="n"/>
      <c r="U259" s="36" t="n"/>
      <c r="V259" s="34">
        <f>IF($U259="","",IFERROR(INDEX(Templates!$K$3:$K$10,MATCH($U259,Templates!$A$3:$A$10,0)),""))</f>
        <v/>
      </c>
      <c r="W259" s="34">
        <f>IF($U259="","",IFERROR(INDEX(Templates!$L$3:$L$10,MATCH($U259,Templates!$A$3:$A$10,0)),""))</f>
        <v/>
      </c>
      <c r="X259" s="21">
        <f>IF($U259="","",IFERROR(INDEX(Templates!$J$3:$J$10,MATCH($U259,Templates!$A$3:$A$10,0)),""))</f>
        <v/>
      </c>
      <c r="Y259" s="35">
        <f>IF(OR($U259="",$I259="",$J259="",$X259=""),"",$I259+$X259*($J259-$I259))</f>
        <v/>
      </c>
      <c r="Z259" s="30" t="n">
        <v>46212</v>
      </c>
      <c r="AA259" s="38" t="n"/>
      <c r="AB259" s="39" t="n"/>
      <c r="AC259" s="39" t="n"/>
      <c r="AD259" s="19">
        <f>IF($A259="","",IF($AA259="",$H259,$AA259))</f>
        <v/>
      </c>
      <c r="AE259" s="35">
        <f>IF($A259="","",IF($AB259="",$I259,$AB259))</f>
        <v/>
      </c>
      <c r="AF259" s="35">
        <f>IF($A259="","",IF($AC259="",$J259,$AC259))</f>
        <v/>
      </c>
      <c r="AG259" s="35">
        <f>IF(OR($U259="",$AE259="",$AF259="",$X259=""),"",$AE259+$X259*($AF259-$AE259))</f>
        <v/>
      </c>
      <c r="AH259" s="36" t="n"/>
      <c r="AI259" s="36" t="n"/>
      <c r="AJ259" s="36" t="n"/>
      <c r="AK259" s="36" t="n"/>
      <c r="AL259" s="36" t="n"/>
      <c r="AM259" s="36" t="n"/>
      <c r="AN259" s="36" t="n"/>
      <c r="AO259" s="36" t="n"/>
      <c r="AP259" s="36" t="n"/>
      <c r="AQ259" s="36" t="n"/>
      <c r="AR259" s="36" t="n"/>
      <c r="AS259" s="36" t="n"/>
      <c r="AT259" s="36" t="n"/>
      <c r="AU259" s="36" t="n"/>
      <c r="AV259" s="36" t="n"/>
      <c r="AW259" s="36" t="n"/>
      <c r="AX259" s="36" t="n"/>
    </row>
    <row r="260">
      <c r="A260" s="28" t="inlineStr">
        <is>
          <t>LMNOP_1</t>
        </is>
      </c>
      <c r="B260" s="20" t="inlineStr">
        <is>
          <t>Eight Advisory (Referral Source)</t>
        </is>
      </c>
      <c r="C260" s="28" t="inlineStr">
        <is>
          <t>Eight Advisory</t>
        </is>
      </c>
      <c r="D260" s="28" t="inlineStr"/>
      <c r="E260" s="28" t="inlineStr">
        <is>
          <t>Yes</t>
        </is>
      </c>
      <c r="F260" s="28" t="inlineStr">
        <is>
          <t>Proposal</t>
        </is>
      </c>
      <c r="G260" s="36" t="n"/>
      <c r="H260" s="40" t="n">
        <v>0.5</v>
      </c>
      <c r="I260" s="37" t="n"/>
      <c r="J260" s="37" t="n"/>
      <c r="K260" s="31" t="n"/>
      <c r="L260" s="31" t="n"/>
      <c r="M260" s="31" t="n"/>
      <c r="N260" s="31" t="n"/>
      <c r="O260" s="31" t="n"/>
      <c r="P260" s="31" t="n"/>
      <c r="Q260" s="23">
        <f>IF($A260="","",COUNTIFS(Assignments!$C$2:$C$769,$A260,Assignments!$G$2:$G$769,"Active"))</f>
        <v/>
      </c>
      <c r="R260" s="32">
        <f>IF($A260="","",SUMIFS(Assignments!$I$2:$I$769,Assignments!$C$2:$C$769,$A260,Assignments!$G$2:$G$769,"Active"))</f>
        <v/>
      </c>
      <c r="S260" s="20" t="inlineStr">
        <is>
          <t>Proposal</t>
        </is>
      </c>
      <c r="T260" s="31" t="n"/>
      <c r="U260" s="36" t="n"/>
      <c r="V260" s="34">
        <f>IF($U260="","",IFERROR(INDEX(Templates!$K$3:$K$10,MATCH($U260,Templates!$A$3:$A$10,0)),""))</f>
        <v/>
      </c>
      <c r="W260" s="34">
        <f>IF($U260="","",IFERROR(INDEX(Templates!$L$3:$L$10,MATCH($U260,Templates!$A$3:$A$10,0)),""))</f>
        <v/>
      </c>
      <c r="X260" s="21">
        <f>IF($U260="","",IFERROR(INDEX(Templates!$J$3:$J$10,MATCH($U260,Templates!$A$3:$A$10,0)),""))</f>
        <v/>
      </c>
      <c r="Y260" s="35">
        <f>IF(OR($U260="",$I260="",$J260="",$X260=""),"",$I260+$X260*($J260-$I260))</f>
        <v/>
      </c>
      <c r="Z260" s="30" t="n">
        <v>46212</v>
      </c>
      <c r="AA260" s="38" t="n"/>
      <c r="AB260" s="39" t="n"/>
      <c r="AC260" s="39" t="n"/>
      <c r="AD260" s="19">
        <f>IF($A260="","",IF($AA260="",$H260,$AA260))</f>
        <v/>
      </c>
      <c r="AE260" s="35">
        <f>IF($A260="","",IF($AB260="",$I260,$AB260))</f>
        <v/>
      </c>
      <c r="AF260" s="35">
        <f>IF($A260="","",IF($AC260="",$J260,$AC260))</f>
        <v/>
      </c>
      <c r="AG260" s="35">
        <f>IF(OR($U260="",$AE260="",$AF260="",$X260=""),"",$AE260+$X260*($AF260-$AE260))</f>
        <v/>
      </c>
      <c r="AH260" s="36" t="n"/>
      <c r="AI260" s="36" t="n"/>
      <c r="AJ260" s="36" t="n"/>
      <c r="AK260" s="36" t="n"/>
      <c r="AL260" s="36" t="n"/>
      <c r="AM260" s="36" t="n"/>
      <c r="AN260" s="36" t="n"/>
      <c r="AO260" s="36" t="n"/>
      <c r="AP260" s="36" t="n"/>
      <c r="AQ260" s="36" t="n"/>
      <c r="AR260" s="36" t="n"/>
      <c r="AS260" s="36" t="n"/>
      <c r="AT260" s="36" t="n"/>
      <c r="AU260" s="36" t="n"/>
      <c r="AV260" s="36" t="n"/>
      <c r="AW260" s="36" t="n"/>
      <c r="AX260" s="36" t="n"/>
    </row>
    <row r="261">
      <c r="A261" s="28" t="inlineStr">
        <is>
          <t>LOB Analysis_1</t>
        </is>
      </c>
      <c r="B261" s="20" t="inlineStr">
        <is>
          <t>Taxand Global : Arsene TaxAnd</t>
        </is>
      </c>
      <c r="C261" s="28" t="inlineStr">
        <is>
          <t>Taxand Global</t>
        </is>
      </c>
      <c r="D261" s="28" t="inlineStr">
        <is>
          <t>Arsene TaxAnd</t>
        </is>
      </c>
      <c r="E261" s="28" t="inlineStr">
        <is>
          <t>No</t>
        </is>
      </c>
      <c r="F261" s="28" t="inlineStr">
        <is>
          <t>Proposal</t>
        </is>
      </c>
      <c r="G261" s="36" t="n"/>
      <c r="H261" s="40" t="n">
        <v>0.5</v>
      </c>
      <c r="I261" s="37" t="n"/>
      <c r="J261" s="37" t="n"/>
      <c r="K261" s="31" t="n"/>
      <c r="L261" s="31" t="n"/>
      <c r="M261" s="31" t="n"/>
      <c r="N261" s="31" t="n"/>
      <c r="O261" s="31" t="n"/>
      <c r="P261" s="31" t="n"/>
      <c r="Q261" s="23">
        <f>IF($A261="","",COUNTIFS(Assignments!$C$2:$C$769,$A261,Assignments!$G$2:$G$769,"Active"))</f>
        <v/>
      </c>
      <c r="R261" s="32">
        <f>IF($A261="","",SUMIFS(Assignments!$I$2:$I$769,Assignments!$C$2:$C$769,$A261,Assignments!$G$2:$G$769,"Active"))</f>
        <v/>
      </c>
      <c r="S261" s="20" t="inlineStr">
        <is>
          <t>Proposal</t>
        </is>
      </c>
      <c r="T261" s="31" t="n"/>
      <c r="U261" s="36" t="n"/>
      <c r="V261" s="34">
        <f>IF($U261="","",IFERROR(INDEX(Templates!$K$3:$K$10,MATCH($U261,Templates!$A$3:$A$10,0)),""))</f>
        <v/>
      </c>
      <c r="W261" s="34">
        <f>IF($U261="","",IFERROR(INDEX(Templates!$L$3:$L$10,MATCH($U261,Templates!$A$3:$A$10,0)),""))</f>
        <v/>
      </c>
      <c r="X261" s="21">
        <f>IF($U261="","",IFERROR(INDEX(Templates!$J$3:$J$10,MATCH($U261,Templates!$A$3:$A$10,0)),""))</f>
        <v/>
      </c>
      <c r="Y261" s="35">
        <f>IF(OR($U261="",$I261="",$J261="",$X261=""),"",$I261+$X261*($J261-$I261))</f>
        <v/>
      </c>
      <c r="Z261" s="30" t="n">
        <v>46212</v>
      </c>
      <c r="AA261" s="38" t="n"/>
      <c r="AB261" s="39" t="n"/>
      <c r="AC261" s="39" t="n"/>
      <c r="AD261" s="19">
        <f>IF($A261="","",IF($AA261="",$H261,$AA261))</f>
        <v/>
      </c>
      <c r="AE261" s="35">
        <f>IF($A261="","",IF($AB261="",$I261,$AB261))</f>
        <v/>
      </c>
      <c r="AF261" s="35">
        <f>IF($A261="","",IF($AC261="",$J261,$AC261))</f>
        <v/>
      </c>
      <c r="AG261" s="35">
        <f>IF(OR($U261="",$AE261="",$AF261="",$X261=""),"",$AE261+$X261*($AF261-$AE261))</f>
        <v/>
      </c>
      <c r="AH261" s="36" t="n"/>
      <c r="AI261" s="36" t="n"/>
      <c r="AJ261" s="36" t="n"/>
      <c r="AK261" s="36" t="n"/>
      <c r="AL261" s="36" t="n"/>
      <c r="AM261" s="36" t="n"/>
      <c r="AN261" s="36" t="n"/>
      <c r="AO261" s="36" t="n"/>
      <c r="AP261" s="36" t="n"/>
      <c r="AQ261" s="36" t="n"/>
      <c r="AR261" s="36" t="n"/>
      <c r="AS261" s="36" t="n"/>
      <c r="AT261" s="36" t="n"/>
      <c r="AU261" s="36" t="n"/>
      <c r="AV261" s="36" t="n"/>
      <c r="AW261" s="36" t="n"/>
      <c r="AX261" s="36" t="n"/>
    </row>
    <row r="262">
      <c r="A262" s="28" t="inlineStr">
        <is>
          <t>Lockup</t>
        </is>
      </c>
      <c r="B262" s="20" t="inlineStr">
        <is>
          <t>Brighthill Energy</t>
        </is>
      </c>
      <c r="C262" s="28" t="inlineStr">
        <is>
          <t>Brighthill Energy</t>
        </is>
      </c>
      <c r="D262" s="28" t="inlineStr"/>
      <c r="E262" s="28" t="inlineStr">
        <is>
          <t>No</t>
        </is>
      </c>
      <c r="F262" s="28" t="inlineStr">
        <is>
          <t>Proposal</t>
        </is>
      </c>
      <c r="G262" s="36" t="n"/>
      <c r="H262" s="40" t="n">
        <v>0.5</v>
      </c>
      <c r="I262" s="37" t="n"/>
      <c r="J262" s="37" t="n"/>
      <c r="K262" s="31" t="n"/>
      <c r="L262" s="31" t="n"/>
      <c r="M262" s="31" t="n"/>
      <c r="N262" s="31" t="n"/>
      <c r="O262" s="31" t="n"/>
      <c r="P262" s="31" t="n"/>
      <c r="Q262" s="23">
        <f>IF($A262="","",COUNTIFS(Assignments!$C$2:$C$769,$A262,Assignments!$G$2:$G$769,"Active"))</f>
        <v/>
      </c>
      <c r="R262" s="32">
        <f>IF($A262="","",SUMIFS(Assignments!$I$2:$I$769,Assignments!$C$2:$C$769,$A262,Assignments!$G$2:$G$769,"Active"))</f>
        <v/>
      </c>
      <c r="S262" s="20" t="inlineStr">
        <is>
          <t>Summary tab only (Proposal)</t>
        </is>
      </c>
      <c r="T262" s="31" t="n"/>
      <c r="U262" s="36" t="n"/>
      <c r="V262" s="34">
        <f>IF($U262="","",IFERROR(INDEX(Templates!$K$3:$K$10,MATCH($U262,Templates!$A$3:$A$10,0)),""))</f>
        <v/>
      </c>
      <c r="W262" s="34">
        <f>IF($U262="","",IFERROR(INDEX(Templates!$L$3:$L$10,MATCH($U262,Templates!$A$3:$A$10,0)),""))</f>
        <v/>
      </c>
      <c r="X262" s="21">
        <f>IF($U262="","",IFERROR(INDEX(Templates!$J$3:$J$10,MATCH($U262,Templates!$A$3:$A$10,0)),""))</f>
        <v/>
      </c>
      <c r="Y262" s="35">
        <f>IF(OR($U262="",$I262="",$J262="",$X262=""),"",$I262+$X262*($J262-$I262))</f>
        <v/>
      </c>
      <c r="Z262" s="30" t="n">
        <v>46212</v>
      </c>
      <c r="AA262" s="38" t="n"/>
      <c r="AB262" s="39" t="n"/>
      <c r="AC262" s="39" t="n"/>
      <c r="AD262" s="19">
        <f>IF($A262="","",IF($AA262="",$H262,$AA262))</f>
        <v/>
      </c>
      <c r="AE262" s="35">
        <f>IF($A262="","",IF($AB262="",$I262,$AB262))</f>
        <v/>
      </c>
      <c r="AF262" s="35">
        <f>IF($A262="","",IF($AC262="",$J262,$AC262))</f>
        <v/>
      </c>
      <c r="AG262" s="35">
        <f>IF(OR($U262="",$AE262="",$AF262="",$X262=""),"",$AE262+$X262*($AF262-$AE262))</f>
        <v/>
      </c>
      <c r="AH262" s="36" t="n"/>
      <c r="AI262" s="36" t="n"/>
      <c r="AJ262" s="36" t="n"/>
      <c r="AK262" s="36" t="n"/>
      <c r="AL262" s="36" t="n"/>
      <c r="AM262" s="36" t="n"/>
      <c r="AN262" s="36" t="n"/>
      <c r="AO262" s="36" t="n"/>
      <c r="AP262" s="36" t="n"/>
      <c r="AQ262" s="36" t="n"/>
      <c r="AR262" s="36" t="n"/>
      <c r="AS262" s="36" t="n"/>
      <c r="AT262" s="36" t="n"/>
      <c r="AU262" s="36" t="n"/>
      <c r="AV262" s="36" t="n"/>
      <c r="AW262" s="36" t="n"/>
      <c r="AX262" s="36" t="n"/>
    </row>
    <row r="263">
      <c r="A263" s="28" t="inlineStr">
        <is>
          <t>Malta_1</t>
        </is>
      </c>
      <c r="B263" s="20" t="inlineStr">
        <is>
          <t>Taxand Global : Tax Partner AG</t>
        </is>
      </c>
      <c r="C263" s="28" t="inlineStr">
        <is>
          <t>Taxand Global</t>
        </is>
      </c>
      <c r="D263" s="28" t="inlineStr">
        <is>
          <t>Tax Partner AG</t>
        </is>
      </c>
      <c r="E263" s="28" t="inlineStr">
        <is>
          <t>No</t>
        </is>
      </c>
      <c r="F263" s="28" t="inlineStr">
        <is>
          <t>Proposal</t>
        </is>
      </c>
      <c r="G263" s="36" t="n"/>
      <c r="H263" s="40" t="n">
        <v>0.5</v>
      </c>
      <c r="I263" s="37" t="n"/>
      <c r="J263" s="37" t="n"/>
      <c r="K263" s="31" t="n"/>
      <c r="L263" s="31" t="n"/>
      <c r="M263" s="31" t="n"/>
      <c r="N263" s="31" t="n"/>
      <c r="O263" s="31" t="n"/>
      <c r="P263" s="31" t="n"/>
      <c r="Q263" s="23">
        <f>IF($A263="","",COUNTIFS(Assignments!$C$2:$C$769,$A263,Assignments!$G$2:$G$769,"Active"))</f>
        <v/>
      </c>
      <c r="R263" s="32">
        <f>IF($A263="","",SUMIFS(Assignments!$I$2:$I$769,Assignments!$C$2:$C$769,$A263,Assignments!$G$2:$G$769,"Active"))</f>
        <v/>
      </c>
      <c r="S263" s="20" t="inlineStr">
        <is>
          <t>Proposal</t>
        </is>
      </c>
      <c r="T263" s="31" t="n"/>
      <c r="U263" s="36" t="n"/>
      <c r="V263" s="34">
        <f>IF($U263="","",IFERROR(INDEX(Templates!$K$3:$K$10,MATCH($U263,Templates!$A$3:$A$10,0)),""))</f>
        <v/>
      </c>
      <c r="W263" s="34">
        <f>IF($U263="","",IFERROR(INDEX(Templates!$L$3:$L$10,MATCH($U263,Templates!$A$3:$A$10,0)),""))</f>
        <v/>
      </c>
      <c r="X263" s="21">
        <f>IF($U263="","",IFERROR(INDEX(Templates!$J$3:$J$10,MATCH($U263,Templates!$A$3:$A$10,0)),""))</f>
        <v/>
      </c>
      <c r="Y263" s="35">
        <f>IF(OR($U263="",$I263="",$J263="",$X263=""),"",$I263+$X263*($J263-$I263))</f>
        <v/>
      </c>
      <c r="Z263" s="30" t="n">
        <v>46212</v>
      </c>
      <c r="AA263" s="38" t="n"/>
      <c r="AB263" s="39" t="n"/>
      <c r="AC263" s="39" t="n"/>
      <c r="AD263" s="19">
        <f>IF($A263="","",IF($AA263="",$H263,$AA263))</f>
        <v/>
      </c>
      <c r="AE263" s="35">
        <f>IF($A263="","",IF($AB263="",$I263,$AB263))</f>
        <v/>
      </c>
      <c r="AF263" s="35">
        <f>IF($A263="","",IF($AC263="",$J263,$AC263))</f>
        <v/>
      </c>
      <c r="AG263" s="35">
        <f>IF(OR($U263="",$AE263="",$AF263="",$X263=""),"",$AE263+$X263*($AF263-$AE263))</f>
        <v/>
      </c>
      <c r="AH263" s="36" t="n"/>
      <c r="AI263" s="36" t="n"/>
      <c r="AJ263" s="36" t="n"/>
      <c r="AK263" s="36" t="n"/>
      <c r="AL263" s="36" t="n"/>
      <c r="AM263" s="36" t="n"/>
      <c r="AN263" s="36" t="n"/>
      <c r="AO263" s="36" t="n"/>
      <c r="AP263" s="36" t="n"/>
      <c r="AQ263" s="36" t="n"/>
      <c r="AR263" s="36" t="n"/>
      <c r="AS263" s="36" t="n"/>
      <c r="AT263" s="36" t="n"/>
      <c r="AU263" s="36" t="n"/>
      <c r="AV263" s="36" t="n"/>
      <c r="AW263" s="36" t="n"/>
      <c r="AX263" s="36" t="n"/>
    </row>
    <row r="264">
      <c r="A264" s="28" t="inlineStr">
        <is>
          <t>Marigold_2</t>
        </is>
      </c>
      <c r="B264" s="20" t="inlineStr">
        <is>
          <t>Igneo Infrastructure</t>
        </is>
      </c>
      <c r="C264" s="28" t="inlineStr">
        <is>
          <t>Igneo Infrastructure</t>
        </is>
      </c>
      <c r="D264" s="28" t="inlineStr"/>
      <c r="E264" s="28" t="inlineStr">
        <is>
          <t>No</t>
        </is>
      </c>
      <c r="F264" s="28" t="inlineStr">
        <is>
          <t>Proposal</t>
        </is>
      </c>
      <c r="G264" s="36" t="n"/>
      <c r="H264" s="40" t="n">
        <v>0.5</v>
      </c>
      <c r="I264" s="37" t="n"/>
      <c r="J264" s="37" t="n"/>
      <c r="K264" s="31" t="n"/>
      <c r="L264" s="31" t="n"/>
      <c r="M264" s="31" t="n"/>
      <c r="N264" s="31" t="n"/>
      <c r="O264" s="31" t="n"/>
      <c r="P264" s="31" t="n"/>
      <c r="Q264" s="23">
        <f>IF($A264="","",COUNTIFS(Assignments!$C$2:$C$769,$A264,Assignments!$G$2:$G$769,"Active"))</f>
        <v/>
      </c>
      <c r="R264" s="32">
        <f>IF($A264="","",SUMIFS(Assignments!$I$2:$I$769,Assignments!$C$2:$C$769,$A264,Assignments!$G$2:$G$769,"Active"))</f>
        <v/>
      </c>
      <c r="S264" s="20" t="inlineStr">
        <is>
          <t>Proposal</t>
        </is>
      </c>
      <c r="T264" s="31" t="n"/>
      <c r="U264" s="36" t="n"/>
      <c r="V264" s="34">
        <f>IF($U264="","",IFERROR(INDEX(Templates!$K$3:$K$10,MATCH($U264,Templates!$A$3:$A$10,0)),""))</f>
        <v/>
      </c>
      <c r="W264" s="34">
        <f>IF($U264="","",IFERROR(INDEX(Templates!$L$3:$L$10,MATCH($U264,Templates!$A$3:$A$10,0)),""))</f>
        <v/>
      </c>
      <c r="X264" s="21">
        <f>IF($U264="","",IFERROR(INDEX(Templates!$J$3:$J$10,MATCH($U264,Templates!$A$3:$A$10,0)),""))</f>
        <v/>
      </c>
      <c r="Y264" s="35">
        <f>IF(OR($U264="",$I264="",$J264="",$X264=""),"",$I264+$X264*($J264-$I264))</f>
        <v/>
      </c>
      <c r="Z264" s="30" t="n">
        <v>46212</v>
      </c>
      <c r="AA264" s="38" t="n"/>
      <c r="AB264" s="39" t="n"/>
      <c r="AC264" s="39" t="n"/>
      <c r="AD264" s="19">
        <f>IF($A264="","",IF($AA264="",$H264,$AA264))</f>
        <v/>
      </c>
      <c r="AE264" s="35">
        <f>IF($A264="","",IF($AB264="",$I264,$AB264))</f>
        <v/>
      </c>
      <c r="AF264" s="35">
        <f>IF($A264="","",IF($AC264="",$J264,$AC264))</f>
        <v/>
      </c>
      <c r="AG264" s="35">
        <f>IF(OR($U264="",$AE264="",$AF264="",$X264=""),"",$AE264+$X264*($AF264-$AE264))</f>
        <v/>
      </c>
      <c r="AH264" s="36" t="n"/>
      <c r="AI264" s="36" t="n"/>
      <c r="AJ264" s="36" t="n"/>
      <c r="AK264" s="36" t="n"/>
      <c r="AL264" s="36" t="n"/>
      <c r="AM264" s="36" t="n"/>
      <c r="AN264" s="36" t="n"/>
      <c r="AO264" s="36" t="n"/>
      <c r="AP264" s="36" t="n"/>
      <c r="AQ264" s="36" t="n"/>
      <c r="AR264" s="36" t="n"/>
      <c r="AS264" s="36" t="n"/>
      <c r="AT264" s="36" t="n"/>
      <c r="AU264" s="36" t="n"/>
      <c r="AV264" s="36" t="n"/>
      <c r="AW264" s="36" t="n"/>
      <c r="AX264" s="36" t="n"/>
    </row>
    <row r="265">
      <c r="A265" s="28" t="inlineStr">
        <is>
          <t>Marle_1</t>
        </is>
      </c>
      <c r="B265" s="20" t="inlineStr">
        <is>
          <t>Eight Advisory (Referral Source)</t>
        </is>
      </c>
      <c r="C265" s="28" t="inlineStr">
        <is>
          <t>Eight Advisory</t>
        </is>
      </c>
      <c r="D265" s="28" t="inlineStr"/>
      <c r="E265" s="28" t="inlineStr">
        <is>
          <t>Yes</t>
        </is>
      </c>
      <c r="F265" s="28" t="inlineStr">
        <is>
          <t>Proposal</t>
        </is>
      </c>
      <c r="G265" s="36" t="n"/>
      <c r="H265" s="40" t="n">
        <v>0.5</v>
      </c>
      <c r="I265" s="37" t="n"/>
      <c r="J265" s="37" t="n"/>
      <c r="K265" s="31" t="n"/>
      <c r="L265" s="31" t="n"/>
      <c r="M265" s="31" t="n"/>
      <c r="N265" s="31" t="n"/>
      <c r="O265" s="31" t="n"/>
      <c r="P265" s="31" t="n"/>
      <c r="Q265" s="23">
        <f>IF($A265="","",COUNTIFS(Assignments!$C$2:$C$769,$A265,Assignments!$G$2:$G$769,"Active"))</f>
        <v/>
      </c>
      <c r="R265" s="32">
        <f>IF($A265="","",SUMIFS(Assignments!$I$2:$I$769,Assignments!$C$2:$C$769,$A265,Assignments!$G$2:$G$769,"Active"))</f>
        <v/>
      </c>
      <c r="S265" s="20" t="inlineStr">
        <is>
          <t>Proposal</t>
        </is>
      </c>
      <c r="T265" s="31" t="n"/>
      <c r="U265" s="36" t="n"/>
      <c r="V265" s="34">
        <f>IF($U265="","",IFERROR(INDEX(Templates!$K$3:$K$10,MATCH($U265,Templates!$A$3:$A$10,0)),""))</f>
        <v/>
      </c>
      <c r="W265" s="34">
        <f>IF($U265="","",IFERROR(INDEX(Templates!$L$3:$L$10,MATCH($U265,Templates!$A$3:$A$10,0)),""))</f>
        <v/>
      </c>
      <c r="X265" s="21">
        <f>IF($U265="","",IFERROR(INDEX(Templates!$J$3:$J$10,MATCH($U265,Templates!$A$3:$A$10,0)),""))</f>
        <v/>
      </c>
      <c r="Y265" s="35">
        <f>IF(OR($U265="",$I265="",$J265="",$X265=""),"",$I265+$X265*($J265-$I265))</f>
        <v/>
      </c>
      <c r="Z265" s="30" t="n">
        <v>46212</v>
      </c>
      <c r="AA265" s="38" t="n"/>
      <c r="AB265" s="39" t="n"/>
      <c r="AC265" s="39" t="n"/>
      <c r="AD265" s="19">
        <f>IF($A265="","",IF($AA265="",$H265,$AA265))</f>
        <v/>
      </c>
      <c r="AE265" s="35">
        <f>IF($A265="","",IF($AB265="",$I265,$AB265))</f>
        <v/>
      </c>
      <c r="AF265" s="35">
        <f>IF($A265="","",IF($AC265="",$J265,$AC265))</f>
        <v/>
      </c>
      <c r="AG265" s="35">
        <f>IF(OR($U265="",$AE265="",$AF265="",$X265=""),"",$AE265+$X265*($AF265-$AE265))</f>
        <v/>
      </c>
      <c r="AH265" s="36" t="n"/>
      <c r="AI265" s="36" t="n"/>
      <c r="AJ265" s="36" t="n"/>
      <c r="AK265" s="36" t="n"/>
      <c r="AL265" s="36" t="n"/>
      <c r="AM265" s="36" t="n"/>
      <c r="AN265" s="36" t="n"/>
      <c r="AO265" s="36" t="n"/>
      <c r="AP265" s="36" t="n"/>
      <c r="AQ265" s="36" t="n"/>
      <c r="AR265" s="36" t="n"/>
      <c r="AS265" s="36" t="n"/>
      <c r="AT265" s="36" t="n"/>
      <c r="AU265" s="36" t="n"/>
      <c r="AV265" s="36" t="n"/>
      <c r="AW265" s="36" t="n"/>
      <c r="AX265" s="36" t="n"/>
    </row>
    <row r="266">
      <c r="A266" s="28" t="inlineStr">
        <is>
          <t>Mash_1</t>
        </is>
      </c>
      <c r="B266" s="20" t="inlineStr">
        <is>
          <t>KKR : John Laing</t>
        </is>
      </c>
      <c r="C266" s="28" t="inlineStr">
        <is>
          <t>KKR</t>
        </is>
      </c>
      <c r="D266" s="28" t="inlineStr">
        <is>
          <t>John Laing</t>
        </is>
      </c>
      <c r="E266" s="28" t="inlineStr">
        <is>
          <t>No</t>
        </is>
      </c>
      <c r="F266" s="28" t="inlineStr">
        <is>
          <t>Proposal</t>
        </is>
      </c>
      <c r="G266" s="36" t="n"/>
      <c r="H266" s="40" t="n">
        <v>0.5</v>
      </c>
      <c r="I266" s="37" t="n"/>
      <c r="J266" s="37" t="n"/>
      <c r="K266" s="31" t="n"/>
      <c r="L266" s="31" t="n"/>
      <c r="M266" s="31" t="n"/>
      <c r="N266" s="31" t="n"/>
      <c r="O266" s="31" t="n"/>
      <c r="P266" s="31" t="n"/>
      <c r="Q266" s="23">
        <f>IF($A266="","",COUNTIFS(Assignments!$C$2:$C$769,$A266,Assignments!$G$2:$G$769,"Active"))</f>
        <v/>
      </c>
      <c r="R266" s="32">
        <f>IF($A266="","",SUMIFS(Assignments!$I$2:$I$769,Assignments!$C$2:$C$769,$A266,Assignments!$G$2:$G$769,"Active"))</f>
        <v/>
      </c>
      <c r="S266" s="20" t="inlineStr">
        <is>
          <t>Proposal</t>
        </is>
      </c>
      <c r="T266" s="31" t="n"/>
      <c r="U266" s="36" t="n"/>
      <c r="V266" s="34">
        <f>IF($U266="","",IFERROR(INDEX(Templates!$K$3:$K$10,MATCH($U266,Templates!$A$3:$A$10,0)),""))</f>
        <v/>
      </c>
      <c r="W266" s="34">
        <f>IF($U266="","",IFERROR(INDEX(Templates!$L$3:$L$10,MATCH($U266,Templates!$A$3:$A$10,0)),""))</f>
        <v/>
      </c>
      <c r="X266" s="21">
        <f>IF($U266="","",IFERROR(INDEX(Templates!$J$3:$J$10,MATCH($U266,Templates!$A$3:$A$10,0)),""))</f>
        <v/>
      </c>
      <c r="Y266" s="35">
        <f>IF(OR($U266="",$I266="",$J266="",$X266=""),"",$I266+$X266*($J266-$I266))</f>
        <v/>
      </c>
      <c r="Z266" s="30" t="n">
        <v>46212</v>
      </c>
      <c r="AA266" s="38" t="n"/>
      <c r="AB266" s="39" t="n"/>
      <c r="AC266" s="39" t="n"/>
      <c r="AD266" s="19">
        <f>IF($A266="","",IF($AA266="",$H266,$AA266))</f>
        <v/>
      </c>
      <c r="AE266" s="35">
        <f>IF($A266="","",IF($AB266="",$I266,$AB266))</f>
        <v/>
      </c>
      <c r="AF266" s="35">
        <f>IF($A266="","",IF($AC266="",$J266,$AC266))</f>
        <v/>
      </c>
      <c r="AG266" s="35">
        <f>IF(OR($U266="",$AE266="",$AF266="",$X266=""),"",$AE266+$X266*($AF266-$AE266))</f>
        <v/>
      </c>
      <c r="AH266" s="36" t="n"/>
      <c r="AI266" s="36" t="n"/>
      <c r="AJ266" s="36" t="n"/>
      <c r="AK266" s="36" t="n"/>
      <c r="AL266" s="36" t="n"/>
      <c r="AM266" s="36" t="n"/>
      <c r="AN266" s="36" t="n"/>
      <c r="AO266" s="36" t="n"/>
      <c r="AP266" s="36" t="n"/>
      <c r="AQ266" s="36" t="n"/>
      <c r="AR266" s="36" t="n"/>
      <c r="AS266" s="36" t="n"/>
      <c r="AT266" s="36" t="n"/>
      <c r="AU266" s="36" t="n"/>
      <c r="AV266" s="36" t="n"/>
      <c r="AW266" s="36" t="n"/>
      <c r="AX266" s="36" t="n"/>
    </row>
    <row r="267">
      <c r="A267" s="28" t="inlineStr">
        <is>
          <t>Metro_1</t>
        </is>
      </c>
      <c r="B267" s="20" t="inlineStr">
        <is>
          <t>Scutum Group</t>
        </is>
      </c>
      <c r="C267" s="28" t="inlineStr">
        <is>
          <t>Scutum Group</t>
        </is>
      </c>
      <c r="D267" s="28" t="inlineStr"/>
      <c r="E267" s="28" t="inlineStr">
        <is>
          <t>No</t>
        </is>
      </c>
      <c r="F267" s="28" t="inlineStr">
        <is>
          <t>Proposal</t>
        </is>
      </c>
      <c r="G267" s="36" t="n"/>
      <c r="H267" s="40" t="n">
        <v>0.5</v>
      </c>
      <c r="I267" s="37" t="n"/>
      <c r="J267" s="37" t="n"/>
      <c r="K267" s="31" t="n"/>
      <c r="L267" s="31" t="n"/>
      <c r="M267" s="31" t="n"/>
      <c r="N267" s="31" t="n"/>
      <c r="O267" s="31" t="n"/>
      <c r="P267" s="31" t="n"/>
      <c r="Q267" s="23">
        <f>IF($A267="","",COUNTIFS(Assignments!$C$2:$C$769,$A267,Assignments!$G$2:$G$769,"Active"))</f>
        <v/>
      </c>
      <c r="R267" s="32">
        <f>IF($A267="","",SUMIFS(Assignments!$I$2:$I$769,Assignments!$C$2:$C$769,$A267,Assignments!$G$2:$G$769,"Active"))</f>
        <v/>
      </c>
      <c r="S267" s="20" t="inlineStr">
        <is>
          <t>Proposal</t>
        </is>
      </c>
      <c r="T267" s="31" t="n"/>
      <c r="U267" s="36" t="n"/>
      <c r="V267" s="34">
        <f>IF($U267="","",IFERROR(INDEX(Templates!$K$3:$K$10,MATCH($U267,Templates!$A$3:$A$10,0)),""))</f>
        <v/>
      </c>
      <c r="W267" s="34">
        <f>IF($U267="","",IFERROR(INDEX(Templates!$L$3:$L$10,MATCH($U267,Templates!$A$3:$A$10,0)),""))</f>
        <v/>
      </c>
      <c r="X267" s="21">
        <f>IF($U267="","",IFERROR(INDEX(Templates!$J$3:$J$10,MATCH($U267,Templates!$A$3:$A$10,0)),""))</f>
        <v/>
      </c>
      <c r="Y267" s="35">
        <f>IF(OR($U267="",$I267="",$J267="",$X267=""),"",$I267+$X267*($J267-$I267))</f>
        <v/>
      </c>
      <c r="Z267" s="30" t="n">
        <v>46212</v>
      </c>
      <c r="AA267" s="38" t="n"/>
      <c r="AB267" s="39" t="n"/>
      <c r="AC267" s="39" t="n"/>
      <c r="AD267" s="19">
        <f>IF($A267="","",IF($AA267="",$H267,$AA267))</f>
        <v/>
      </c>
      <c r="AE267" s="35">
        <f>IF($A267="","",IF($AB267="",$I267,$AB267))</f>
        <v/>
      </c>
      <c r="AF267" s="35">
        <f>IF($A267="","",IF($AC267="",$J267,$AC267))</f>
        <v/>
      </c>
      <c r="AG267" s="35">
        <f>IF(OR($U267="",$AE267="",$AF267="",$X267=""),"",$AE267+$X267*($AF267-$AE267))</f>
        <v/>
      </c>
      <c r="AH267" s="36" t="n"/>
      <c r="AI267" s="36" t="n"/>
      <c r="AJ267" s="36" t="n"/>
      <c r="AK267" s="36" t="n"/>
      <c r="AL267" s="36" t="n"/>
      <c r="AM267" s="36" t="n"/>
      <c r="AN267" s="36" t="n"/>
      <c r="AO267" s="36" t="n"/>
      <c r="AP267" s="36" t="n"/>
      <c r="AQ267" s="36" t="n"/>
      <c r="AR267" s="36" t="n"/>
      <c r="AS267" s="36" t="n"/>
      <c r="AT267" s="36" t="n"/>
      <c r="AU267" s="36" t="n"/>
      <c r="AV267" s="36" t="n"/>
      <c r="AW267" s="36" t="n"/>
      <c r="AX267" s="36" t="n"/>
    </row>
    <row r="268">
      <c r="A268" s="28" t="inlineStr">
        <is>
          <t>Model_4</t>
        </is>
      </c>
      <c r="B268" s="20" t="inlineStr">
        <is>
          <t>Macquarie Group</t>
        </is>
      </c>
      <c r="C268" s="28" t="inlineStr">
        <is>
          <t>Macquarie Group</t>
        </is>
      </c>
      <c r="D268" s="28" t="inlineStr"/>
      <c r="E268" s="28" t="inlineStr">
        <is>
          <t>No</t>
        </is>
      </c>
      <c r="F268" s="28" t="inlineStr">
        <is>
          <t>Proposal</t>
        </is>
      </c>
      <c r="G268" s="36" t="n"/>
      <c r="H268" s="40" t="n">
        <v>0.5</v>
      </c>
      <c r="I268" s="37" t="n"/>
      <c r="J268" s="37" t="n"/>
      <c r="K268" s="31" t="n"/>
      <c r="L268" s="31" t="n"/>
      <c r="M268" s="31" t="n"/>
      <c r="N268" s="31" t="n"/>
      <c r="O268" s="31" t="n"/>
      <c r="P268" s="31" t="n"/>
      <c r="Q268" s="23">
        <f>IF($A268="","",COUNTIFS(Assignments!$C$2:$C$769,$A268,Assignments!$G$2:$G$769,"Active"))</f>
        <v/>
      </c>
      <c r="R268" s="32">
        <f>IF($A268="","",SUMIFS(Assignments!$I$2:$I$769,Assignments!$C$2:$C$769,$A268,Assignments!$G$2:$G$769,"Active"))</f>
        <v/>
      </c>
      <c r="S268" s="20" t="inlineStr">
        <is>
          <t>Proposal</t>
        </is>
      </c>
      <c r="T268" s="31" t="n"/>
      <c r="U268" s="36" t="n"/>
      <c r="V268" s="34">
        <f>IF($U268="","",IFERROR(INDEX(Templates!$K$3:$K$10,MATCH($U268,Templates!$A$3:$A$10,0)),""))</f>
        <v/>
      </c>
      <c r="W268" s="34">
        <f>IF($U268="","",IFERROR(INDEX(Templates!$L$3:$L$10,MATCH($U268,Templates!$A$3:$A$10,0)),""))</f>
        <v/>
      </c>
      <c r="X268" s="21">
        <f>IF($U268="","",IFERROR(INDEX(Templates!$J$3:$J$10,MATCH($U268,Templates!$A$3:$A$10,0)),""))</f>
        <v/>
      </c>
      <c r="Y268" s="35">
        <f>IF(OR($U268="",$I268="",$J268="",$X268=""),"",$I268+$X268*($J268-$I268))</f>
        <v/>
      </c>
      <c r="Z268" s="30" t="n">
        <v>46212</v>
      </c>
      <c r="AA268" s="38" t="n"/>
      <c r="AB268" s="39" t="n"/>
      <c r="AC268" s="39" t="n"/>
      <c r="AD268" s="19">
        <f>IF($A268="","",IF($AA268="",$H268,$AA268))</f>
        <v/>
      </c>
      <c r="AE268" s="35">
        <f>IF($A268="","",IF($AB268="",$I268,$AB268))</f>
        <v/>
      </c>
      <c r="AF268" s="35">
        <f>IF($A268="","",IF($AC268="",$J268,$AC268))</f>
        <v/>
      </c>
      <c r="AG268" s="35">
        <f>IF(OR($U268="",$AE268="",$AF268="",$X268=""),"",$AE268+$X268*($AF268-$AE268))</f>
        <v/>
      </c>
      <c r="AH268" s="36" t="n"/>
      <c r="AI268" s="36" t="n"/>
      <c r="AJ268" s="36" t="n"/>
      <c r="AK268" s="36" t="n"/>
      <c r="AL268" s="36" t="n"/>
      <c r="AM268" s="36" t="n"/>
      <c r="AN268" s="36" t="n"/>
      <c r="AO268" s="36" t="n"/>
      <c r="AP268" s="36" t="n"/>
      <c r="AQ268" s="36" t="n"/>
      <c r="AR268" s="36" t="n"/>
      <c r="AS268" s="36" t="n"/>
      <c r="AT268" s="36" t="n"/>
      <c r="AU268" s="36" t="n"/>
      <c r="AV268" s="36" t="n"/>
      <c r="AW268" s="36" t="n"/>
      <c r="AX268" s="36" t="n"/>
    </row>
    <row r="269">
      <c r="A269" s="28" t="inlineStr">
        <is>
          <t>Nemrut_1</t>
        </is>
      </c>
      <c r="B269" s="20" t="inlineStr">
        <is>
          <t>Davidson Kempner Capital Management</t>
        </is>
      </c>
      <c r="C269" s="28" t="inlineStr">
        <is>
          <t>Davidson Kempner Capital Management</t>
        </is>
      </c>
      <c r="D269" s="28" t="inlineStr"/>
      <c r="E269" s="28" t="inlineStr">
        <is>
          <t>No</t>
        </is>
      </c>
      <c r="F269" s="28" t="inlineStr">
        <is>
          <t>Proposal</t>
        </is>
      </c>
      <c r="G269" s="36" t="n"/>
      <c r="H269" s="40" t="n">
        <v>0.5</v>
      </c>
      <c r="I269" s="37" t="n"/>
      <c r="J269" s="37" t="n"/>
      <c r="K269" s="31" t="n"/>
      <c r="L269" s="31" t="n"/>
      <c r="M269" s="31" t="n"/>
      <c r="N269" s="31" t="n"/>
      <c r="O269" s="31" t="n"/>
      <c r="P269" s="31" t="n"/>
      <c r="Q269" s="23">
        <f>IF($A269="","",COUNTIFS(Assignments!$C$2:$C$769,$A269,Assignments!$G$2:$G$769,"Active"))</f>
        <v/>
      </c>
      <c r="R269" s="32">
        <f>IF($A269="","",SUMIFS(Assignments!$I$2:$I$769,Assignments!$C$2:$C$769,$A269,Assignments!$G$2:$G$769,"Active"))</f>
        <v/>
      </c>
      <c r="S269" s="20" t="inlineStr">
        <is>
          <t>Proposal</t>
        </is>
      </c>
      <c r="T269" s="31" t="n"/>
      <c r="U269" s="36" t="n"/>
      <c r="V269" s="34">
        <f>IF($U269="","",IFERROR(INDEX(Templates!$K$3:$K$10,MATCH($U269,Templates!$A$3:$A$10,0)),""))</f>
        <v/>
      </c>
      <c r="W269" s="34">
        <f>IF($U269="","",IFERROR(INDEX(Templates!$L$3:$L$10,MATCH($U269,Templates!$A$3:$A$10,0)),""))</f>
        <v/>
      </c>
      <c r="X269" s="21">
        <f>IF($U269="","",IFERROR(INDEX(Templates!$J$3:$J$10,MATCH($U269,Templates!$A$3:$A$10,0)),""))</f>
        <v/>
      </c>
      <c r="Y269" s="35">
        <f>IF(OR($U269="",$I269="",$J269="",$X269=""),"",$I269+$X269*($J269-$I269))</f>
        <v/>
      </c>
      <c r="Z269" s="30" t="n">
        <v>46212</v>
      </c>
      <c r="AA269" s="38" t="n"/>
      <c r="AB269" s="39" t="n"/>
      <c r="AC269" s="39" t="n"/>
      <c r="AD269" s="19">
        <f>IF($A269="","",IF($AA269="",$H269,$AA269))</f>
        <v/>
      </c>
      <c r="AE269" s="35">
        <f>IF($A269="","",IF($AB269="",$I269,$AB269))</f>
        <v/>
      </c>
      <c r="AF269" s="35">
        <f>IF($A269="","",IF($AC269="",$J269,$AC269))</f>
        <v/>
      </c>
      <c r="AG269" s="35">
        <f>IF(OR($U269="",$AE269="",$AF269="",$X269=""),"",$AE269+$X269*($AF269-$AE269))</f>
        <v/>
      </c>
      <c r="AH269" s="36" t="n"/>
      <c r="AI269" s="36" t="n"/>
      <c r="AJ269" s="36" t="n"/>
      <c r="AK269" s="36" t="n"/>
      <c r="AL269" s="36" t="n"/>
      <c r="AM269" s="36" t="n"/>
      <c r="AN269" s="36" t="n"/>
      <c r="AO269" s="36" t="n"/>
      <c r="AP269" s="36" t="n"/>
      <c r="AQ269" s="36" t="n"/>
      <c r="AR269" s="36" t="n"/>
      <c r="AS269" s="36" t="n"/>
      <c r="AT269" s="36" t="n"/>
      <c r="AU269" s="36" t="n"/>
      <c r="AV269" s="36" t="n"/>
      <c r="AW269" s="36" t="n"/>
      <c r="AX269" s="36" t="n"/>
    </row>
    <row r="270">
      <c r="A270" s="28" t="inlineStr">
        <is>
          <t>Oasis_2</t>
        </is>
      </c>
      <c r="B270" s="20" t="inlineStr">
        <is>
          <t>Manulife : John Hancock</t>
        </is>
      </c>
      <c r="C270" s="28" t="inlineStr">
        <is>
          <t>Manulife</t>
        </is>
      </c>
      <c r="D270" s="28" t="inlineStr">
        <is>
          <t>John Hancock</t>
        </is>
      </c>
      <c r="E270" s="28" t="inlineStr">
        <is>
          <t>No</t>
        </is>
      </c>
      <c r="F270" s="28" t="inlineStr">
        <is>
          <t>Proposal</t>
        </is>
      </c>
      <c r="G270" s="36" t="n"/>
      <c r="H270" s="40" t="n">
        <v>0.5</v>
      </c>
      <c r="I270" s="37" t="n"/>
      <c r="J270" s="37" t="n"/>
      <c r="K270" s="31" t="n"/>
      <c r="L270" s="31" t="n"/>
      <c r="M270" s="31" t="n"/>
      <c r="N270" s="31" t="n"/>
      <c r="O270" s="31" t="n"/>
      <c r="P270" s="31" t="n"/>
      <c r="Q270" s="23">
        <f>IF($A270="","",COUNTIFS(Assignments!$C$2:$C$769,$A270,Assignments!$G$2:$G$769,"Active"))</f>
        <v/>
      </c>
      <c r="R270" s="32">
        <f>IF($A270="","",SUMIFS(Assignments!$I$2:$I$769,Assignments!$C$2:$C$769,$A270,Assignments!$G$2:$G$769,"Active"))</f>
        <v/>
      </c>
      <c r="S270" s="20" t="inlineStr">
        <is>
          <t>Proposal</t>
        </is>
      </c>
      <c r="T270" s="31" t="n"/>
      <c r="U270" s="36" t="n"/>
      <c r="V270" s="34">
        <f>IF($U270="","",IFERROR(INDEX(Templates!$K$3:$K$10,MATCH($U270,Templates!$A$3:$A$10,0)),""))</f>
        <v/>
      </c>
      <c r="W270" s="34">
        <f>IF($U270="","",IFERROR(INDEX(Templates!$L$3:$L$10,MATCH($U270,Templates!$A$3:$A$10,0)),""))</f>
        <v/>
      </c>
      <c r="X270" s="21">
        <f>IF($U270="","",IFERROR(INDEX(Templates!$J$3:$J$10,MATCH($U270,Templates!$A$3:$A$10,0)),""))</f>
        <v/>
      </c>
      <c r="Y270" s="35">
        <f>IF(OR($U270="",$I270="",$J270="",$X270=""),"",$I270+$X270*($J270-$I270))</f>
        <v/>
      </c>
      <c r="Z270" s="30" t="n">
        <v>46212</v>
      </c>
      <c r="AA270" s="38" t="n"/>
      <c r="AB270" s="39" t="n"/>
      <c r="AC270" s="39" t="n"/>
      <c r="AD270" s="19">
        <f>IF($A270="","",IF($AA270="",$H270,$AA270))</f>
        <v/>
      </c>
      <c r="AE270" s="35">
        <f>IF($A270="","",IF($AB270="",$I270,$AB270))</f>
        <v/>
      </c>
      <c r="AF270" s="35">
        <f>IF($A270="","",IF($AC270="",$J270,$AC270))</f>
        <v/>
      </c>
      <c r="AG270" s="35">
        <f>IF(OR($U270="",$AE270="",$AF270="",$X270=""),"",$AE270+$X270*($AF270-$AE270))</f>
        <v/>
      </c>
      <c r="AH270" s="36" t="n"/>
      <c r="AI270" s="36" t="n"/>
      <c r="AJ270" s="36" t="n"/>
      <c r="AK270" s="36" t="n"/>
      <c r="AL270" s="36" t="n"/>
      <c r="AM270" s="36" t="n"/>
      <c r="AN270" s="36" t="n"/>
      <c r="AO270" s="36" t="n"/>
      <c r="AP270" s="36" t="n"/>
      <c r="AQ270" s="36" t="n"/>
      <c r="AR270" s="36" t="n"/>
      <c r="AS270" s="36" t="n"/>
      <c r="AT270" s="36" t="n"/>
      <c r="AU270" s="36" t="n"/>
      <c r="AV270" s="36" t="n"/>
      <c r="AW270" s="36" t="n"/>
      <c r="AX270" s="36" t="n"/>
    </row>
    <row r="271">
      <c r="A271" s="28" t="inlineStr">
        <is>
          <t>Offtake_1</t>
        </is>
      </c>
      <c r="B271" s="20" t="inlineStr">
        <is>
          <t>Kalos LLP</t>
        </is>
      </c>
      <c r="C271" s="28" t="inlineStr">
        <is>
          <t>Kalos LLP</t>
        </is>
      </c>
      <c r="D271" s="28" t="inlineStr"/>
      <c r="E271" s="28" t="inlineStr">
        <is>
          <t>No</t>
        </is>
      </c>
      <c r="F271" s="28" t="inlineStr">
        <is>
          <t>Proposal</t>
        </is>
      </c>
      <c r="G271" s="36" t="n"/>
      <c r="H271" s="40" t="n">
        <v>0.5</v>
      </c>
      <c r="I271" s="37" t="n"/>
      <c r="J271" s="37" t="n"/>
      <c r="K271" s="31" t="n"/>
      <c r="L271" s="31" t="n"/>
      <c r="M271" s="31" t="n"/>
      <c r="N271" s="31" t="n"/>
      <c r="O271" s="31" t="n"/>
      <c r="P271" s="31" t="n"/>
      <c r="Q271" s="23">
        <f>IF($A271="","",COUNTIFS(Assignments!$C$2:$C$769,$A271,Assignments!$G$2:$G$769,"Active"))</f>
        <v/>
      </c>
      <c r="R271" s="32">
        <f>IF($A271="","",SUMIFS(Assignments!$I$2:$I$769,Assignments!$C$2:$C$769,$A271,Assignments!$G$2:$G$769,"Active"))</f>
        <v/>
      </c>
      <c r="S271" s="20" t="inlineStr">
        <is>
          <t>Proposal</t>
        </is>
      </c>
      <c r="T271" s="31" t="n"/>
      <c r="U271" s="36" t="n"/>
      <c r="V271" s="34">
        <f>IF($U271="","",IFERROR(INDEX(Templates!$K$3:$K$10,MATCH($U271,Templates!$A$3:$A$10,0)),""))</f>
        <v/>
      </c>
      <c r="W271" s="34">
        <f>IF($U271="","",IFERROR(INDEX(Templates!$L$3:$L$10,MATCH($U271,Templates!$A$3:$A$10,0)),""))</f>
        <v/>
      </c>
      <c r="X271" s="21">
        <f>IF($U271="","",IFERROR(INDEX(Templates!$J$3:$J$10,MATCH($U271,Templates!$A$3:$A$10,0)),""))</f>
        <v/>
      </c>
      <c r="Y271" s="35">
        <f>IF(OR($U271="",$I271="",$J271="",$X271=""),"",$I271+$X271*($J271-$I271))</f>
        <v/>
      </c>
      <c r="Z271" s="30" t="n">
        <v>46212</v>
      </c>
      <c r="AA271" s="38" t="n"/>
      <c r="AB271" s="39" t="n"/>
      <c r="AC271" s="39" t="n"/>
      <c r="AD271" s="19">
        <f>IF($A271="","",IF($AA271="",$H271,$AA271))</f>
        <v/>
      </c>
      <c r="AE271" s="35">
        <f>IF($A271="","",IF($AB271="",$I271,$AB271))</f>
        <v/>
      </c>
      <c r="AF271" s="35">
        <f>IF($A271="","",IF($AC271="",$J271,$AC271))</f>
        <v/>
      </c>
      <c r="AG271" s="35">
        <f>IF(OR($U271="",$AE271="",$AF271="",$X271=""),"",$AE271+$X271*($AF271-$AE271))</f>
        <v/>
      </c>
      <c r="AH271" s="36" t="n"/>
      <c r="AI271" s="36" t="n"/>
      <c r="AJ271" s="36" t="n"/>
      <c r="AK271" s="36" t="n"/>
      <c r="AL271" s="36" t="n"/>
      <c r="AM271" s="36" t="n"/>
      <c r="AN271" s="36" t="n"/>
      <c r="AO271" s="36" t="n"/>
      <c r="AP271" s="36" t="n"/>
      <c r="AQ271" s="36" t="n"/>
      <c r="AR271" s="36" t="n"/>
      <c r="AS271" s="36" t="n"/>
      <c r="AT271" s="36" t="n"/>
      <c r="AU271" s="36" t="n"/>
      <c r="AV271" s="36" t="n"/>
      <c r="AW271" s="36" t="n"/>
      <c r="AX271" s="36" t="n"/>
    </row>
    <row r="272">
      <c r="A272" s="28" t="inlineStr">
        <is>
          <t>Orange_4</t>
        </is>
      </c>
      <c r="B272" s="20" t="inlineStr">
        <is>
          <t>Ember Infrastructure</t>
        </is>
      </c>
      <c r="C272" s="28" t="inlineStr">
        <is>
          <t>Ember Infrastructure</t>
        </is>
      </c>
      <c r="D272" s="28" t="inlineStr"/>
      <c r="E272" s="28" t="inlineStr">
        <is>
          <t>No</t>
        </is>
      </c>
      <c r="F272" s="28" t="inlineStr">
        <is>
          <t>Proposal</t>
        </is>
      </c>
      <c r="G272" s="36" t="n"/>
      <c r="H272" s="40" t="n">
        <v>0.5</v>
      </c>
      <c r="I272" s="37" t="n"/>
      <c r="J272" s="37" t="n"/>
      <c r="K272" s="31" t="n"/>
      <c r="L272" s="31" t="n"/>
      <c r="M272" s="31" t="n"/>
      <c r="N272" s="31" t="n"/>
      <c r="O272" s="31" t="n"/>
      <c r="P272" s="31" t="n"/>
      <c r="Q272" s="23">
        <f>IF($A272="","",COUNTIFS(Assignments!$C$2:$C$769,$A272,Assignments!$G$2:$G$769,"Active"))</f>
        <v/>
      </c>
      <c r="R272" s="32">
        <f>IF($A272="","",SUMIFS(Assignments!$I$2:$I$769,Assignments!$C$2:$C$769,$A272,Assignments!$G$2:$G$769,"Active"))</f>
        <v/>
      </c>
      <c r="S272" s="20" t="inlineStr">
        <is>
          <t>Proposal</t>
        </is>
      </c>
      <c r="T272" s="31" t="n"/>
      <c r="U272" s="36" t="n"/>
      <c r="V272" s="34">
        <f>IF($U272="","",IFERROR(INDEX(Templates!$K$3:$K$10,MATCH($U272,Templates!$A$3:$A$10,0)),""))</f>
        <v/>
      </c>
      <c r="W272" s="34">
        <f>IF($U272="","",IFERROR(INDEX(Templates!$L$3:$L$10,MATCH($U272,Templates!$A$3:$A$10,0)),""))</f>
        <v/>
      </c>
      <c r="X272" s="21">
        <f>IF($U272="","",IFERROR(INDEX(Templates!$J$3:$J$10,MATCH($U272,Templates!$A$3:$A$10,0)),""))</f>
        <v/>
      </c>
      <c r="Y272" s="35">
        <f>IF(OR($U272="",$I272="",$J272="",$X272=""),"",$I272+$X272*($J272-$I272))</f>
        <v/>
      </c>
      <c r="Z272" s="30" t="n">
        <v>46212</v>
      </c>
      <c r="AA272" s="38" t="n"/>
      <c r="AB272" s="39" t="n"/>
      <c r="AC272" s="39" t="n"/>
      <c r="AD272" s="19">
        <f>IF($A272="","",IF($AA272="",$H272,$AA272))</f>
        <v/>
      </c>
      <c r="AE272" s="35">
        <f>IF($A272="","",IF($AB272="",$I272,$AB272))</f>
        <v/>
      </c>
      <c r="AF272" s="35">
        <f>IF($A272="","",IF($AC272="",$J272,$AC272))</f>
        <v/>
      </c>
      <c r="AG272" s="35">
        <f>IF(OR($U272="",$AE272="",$AF272="",$X272=""),"",$AE272+$X272*($AF272-$AE272))</f>
        <v/>
      </c>
      <c r="AH272" s="36" t="n"/>
      <c r="AI272" s="36" t="n"/>
      <c r="AJ272" s="36" t="n"/>
      <c r="AK272" s="36" t="n"/>
      <c r="AL272" s="36" t="n"/>
      <c r="AM272" s="36" t="n"/>
      <c r="AN272" s="36" t="n"/>
      <c r="AO272" s="36" t="n"/>
      <c r="AP272" s="36" t="n"/>
      <c r="AQ272" s="36" t="n"/>
      <c r="AR272" s="36" t="n"/>
      <c r="AS272" s="36" t="n"/>
      <c r="AT272" s="36" t="n"/>
      <c r="AU272" s="36" t="n"/>
      <c r="AV272" s="36" t="n"/>
      <c r="AW272" s="36" t="n"/>
      <c r="AX272" s="36" t="n"/>
    </row>
    <row r="273">
      <c r="A273" s="28" t="inlineStr">
        <is>
          <t>Palisade_1</t>
        </is>
      </c>
      <c r="B273" s="20" t="inlineStr">
        <is>
          <t>Certa</t>
        </is>
      </c>
      <c r="C273" s="28" t="inlineStr">
        <is>
          <t>Certa</t>
        </is>
      </c>
      <c r="D273" s="28" t="inlineStr"/>
      <c r="E273" s="28" t="inlineStr">
        <is>
          <t>No</t>
        </is>
      </c>
      <c r="F273" s="28" t="inlineStr">
        <is>
          <t>Proposal</t>
        </is>
      </c>
      <c r="G273" s="36" t="n"/>
      <c r="H273" s="40" t="n">
        <v>0.5</v>
      </c>
      <c r="I273" s="37" t="n"/>
      <c r="J273" s="37" t="n"/>
      <c r="K273" s="31" t="n"/>
      <c r="L273" s="31" t="n"/>
      <c r="M273" s="31" t="n"/>
      <c r="N273" s="31" t="n"/>
      <c r="O273" s="31" t="n"/>
      <c r="P273" s="31" t="n"/>
      <c r="Q273" s="23">
        <f>IF($A273="","",COUNTIFS(Assignments!$C$2:$C$769,$A273,Assignments!$G$2:$G$769,"Active"))</f>
        <v/>
      </c>
      <c r="R273" s="32">
        <f>IF($A273="","",SUMIFS(Assignments!$I$2:$I$769,Assignments!$C$2:$C$769,$A273,Assignments!$G$2:$G$769,"Active"))</f>
        <v/>
      </c>
      <c r="S273" s="20" t="inlineStr">
        <is>
          <t>Proposal</t>
        </is>
      </c>
      <c r="T273" s="31" t="n"/>
      <c r="U273" s="36" t="n"/>
      <c r="V273" s="34">
        <f>IF($U273="","",IFERROR(INDEX(Templates!$K$3:$K$10,MATCH($U273,Templates!$A$3:$A$10,0)),""))</f>
        <v/>
      </c>
      <c r="W273" s="34">
        <f>IF($U273="","",IFERROR(INDEX(Templates!$L$3:$L$10,MATCH($U273,Templates!$A$3:$A$10,0)),""))</f>
        <v/>
      </c>
      <c r="X273" s="21">
        <f>IF($U273="","",IFERROR(INDEX(Templates!$J$3:$J$10,MATCH($U273,Templates!$A$3:$A$10,0)),""))</f>
        <v/>
      </c>
      <c r="Y273" s="35">
        <f>IF(OR($U273="",$I273="",$J273="",$X273=""),"",$I273+$X273*($J273-$I273))</f>
        <v/>
      </c>
      <c r="Z273" s="30" t="n">
        <v>46212</v>
      </c>
      <c r="AA273" s="38" t="n"/>
      <c r="AB273" s="39" t="n"/>
      <c r="AC273" s="39" t="n"/>
      <c r="AD273" s="19">
        <f>IF($A273="","",IF($AA273="",$H273,$AA273))</f>
        <v/>
      </c>
      <c r="AE273" s="35">
        <f>IF($A273="","",IF($AB273="",$I273,$AB273))</f>
        <v/>
      </c>
      <c r="AF273" s="35">
        <f>IF($A273="","",IF($AC273="",$J273,$AC273))</f>
        <v/>
      </c>
      <c r="AG273" s="35">
        <f>IF(OR($U273="",$AE273="",$AF273="",$X273=""),"",$AE273+$X273*($AF273-$AE273))</f>
        <v/>
      </c>
      <c r="AH273" s="36" t="n"/>
      <c r="AI273" s="36" t="n"/>
      <c r="AJ273" s="36" t="n"/>
      <c r="AK273" s="36" t="n"/>
      <c r="AL273" s="36" t="n"/>
      <c r="AM273" s="36" t="n"/>
      <c r="AN273" s="36" t="n"/>
      <c r="AO273" s="36" t="n"/>
      <c r="AP273" s="36" t="n"/>
      <c r="AQ273" s="36" t="n"/>
      <c r="AR273" s="36" t="n"/>
      <c r="AS273" s="36" t="n"/>
      <c r="AT273" s="36" t="n"/>
      <c r="AU273" s="36" t="n"/>
      <c r="AV273" s="36" t="n"/>
      <c r="AW273" s="36" t="n"/>
      <c r="AX273" s="36" t="n"/>
    </row>
    <row r="274">
      <c r="A274" s="28" t="inlineStr">
        <is>
          <t>Pelican_1</t>
        </is>
      </c>
      <c r="B274" s="20" t="inlineStr">
        <is>
          <t>KKR : John Laing</t>
        </is>
      </c>
      <c r="C274" s="28" t="inlineStr">
        <is>
          <t>KKR</t>
        </is>
      </c>
      <c r="D274" s="28" t="inlineStr">
        <is>
          <t>John Laing</t>
        </is>
      </c>
      <c r="E274" s="28" t="inlineStr">
        <is>
          <t>No</t>
        </is>
      </c>
      <c r="F274" s="28" t="inlineStr">
        <is>
          <t>Proposal</t>
        </is>
      </c>
      <c r="G274" s="36" t="n"/>
      <c r="H274" s="40" t="n">
        <v>0.5</v>
      </c>
      <c r="I274" s="37" t="n"/>
      <c r="J274" s="37" t="n"/>
      <c r="K274" s="31" t="n"/>
      <c r="L274" s="31" t="n"/>
      <c r="M274" s="31" t="n"/>
      <c r="N274" s="31" t="n"/>
      <c r="O274" s="31" t="n"/>
      <c r="P274" s="31" t="n"/>
      <c r="Q274" s="23">
        <f>IF($A274="","",COUNTIFS(Assignments!$C$2:$C$769,$A274,Assignments!$G$2:$G$769,"Active"))</f>
        <v/>
      </c>
      <c r="R274" s="32">
        <f>IF($A274="","",SUMIFS(Assignments!$I$2:$I$769,Assignments!$C$2:$C$769,$A274,Assignments!$G$2:$G$769,"Active"))</f>
        <v/>
      </c>
      <c r="S274" s="20" t="inlineStr">
        <is>
          <t>Proposal</t>
        </is>
      </c>
      <c r="T274" s="31" t="n"/>
      <c r="U274" s="36" t="n"/>
      <c r="V274" s="34">
        <f>IF($U274="","",IFERROR(INDEX(Templates!$K$3:$K$10,MATCH($U274,Templates!$A$3:$A$10,0)),""))</f>
        <v/>
      </c>
      <c r="W274" s="34">
        <f>IF($U274="","",IFERROR(INDEX(Templates!$L$3:$L$10,MATCH($U274,Templates!$A$3:$A$10,0)),""))</f>
        <v/>
      </c>
      <c r="X274" s="21">
        <f>IF($U274="","",IFERROR(INDEX(Templates!$J$3:$J$10,MATCH($U274,Templates!$A$3:$A$10,0)),""))</f>
        <v/>
      </c>
      <c r="Y274" s="35">
        <f>IF(OR($U274="",$I274="",$J274="",$X274=""),"",$I274+$X274*($J274-$I274))</f>
        <v/>
      </c>
      <c r="Z274" s="30" t="n">
        <v>46212</v>
      </c>
      <c r="AA274" s="38" t="n"/>
      <c r="AB274" s="39" t="n"/>
      <c r="AC274" s="39" t="n"/>
      <c r="AD274" s="19">
        <f>IF($A274="","",IF($AA274="",$H274,$AA274))</f>
        <v/>
      </c>
      <c r="AE274" s="35">
        <f>IF($A274="","",IF($AB274="",$I274,$AB274))</f>
        <v/>
      </c>
      <c r="AF274" s="35">
        <f>IF($A274="","",IF($AC274="",$J274,$AC274))</f>
        <v/>
      </c>
      <c r="AG274" s="35">
        <f>IF(OR($U274="",$AE274="",$AF274="",$X274=""),"",$AE274+$X274*($AF274-$AE274))</f>
        <v/>
      </c>
      <c r="AH274" s="36" t="n"/>
      <c r="AI274" s="36" t="n"/>
      <c r="AJ274" s="36" t="n"/>
      <c r="AK274" s="36" t="n"/>
      <c r="AL274" s="36" t="n"/>
      <c r="AM274" s="36" t="n"/>
      <c r="AN274" s="36" t="n"/>
      <c r="AO274" s="36" t="n"/>
      <c r="AP274" s="36" t="n"/>
      <c r="AQ274" s="36" t="n"/>
      <c r="AR274" s="36" t="n"/>
      <c r="AS274" s="36" t="n"/>
      <c r="AT274" s="36" t="n"/>
      <c r="AU274" s="36" t="n"/>
      <c r="AV274" s="36" t="n"/>
      <c r="AW274" s="36" t="n"/>
      <c r="AX274" s="36" t="n"/>
    </row>
    <row r="275">
      <c r="A275" s="28" t="inlineStr">
        <is>
          <t>Pennsylvania_1</t>
        </is>
      </c>
      <c r="B275" s="20" t="inlineStr">
        <is>
          <t>Plenary Americas USA Ltd</t>
        </is>
      </c>
      <c r="C275" s="28" t="inlineStr">
        <is>
          <t>Plenary Americas USA Ltd</t>
        </is>
      </c>
      <c r="D275" s="28" t="inlineStr"/>
      <c r="E275" s="28" t="inlineStr">
        <is>
          <t>No</t>
        </is>
      </c>
      <c r="F275" s="28" t="inlineStr">
        <is>
          <t>Proposal</t>
        </is>
      </c>
      <c r="G275" s="36" t="n"/>
      <c r="H275" s="40" t="n">
        <v>0.5</v>
      </c>
      <c r="I275" s="37" t="n"/>
      <c r="J275" s="37" t="n"/>
      <c r="K275" s="31" t="n"/>
      <c r="L275" s="31" t="n"/>
      <c r="M275" s="31" t="n"/>
      <c r="N275" s="31" t="n"/>
      <c r="O275" s="31" t="n"/>
      <c r="P275" s="31" t="n"/>
      <c r="Q275" s="23">
        <f>IF($A275="","",COUNTIFS(Assignments!$C$2:$C$769,$A275,Assignments!$G$2:$G$769,"Active"))</f>
        <v/>
      </c>
      <c r="R275" s="32">
        <f>IF($A275="","",SUMIFS(Assignments!$I$2:$I$769,Assignments!$C$2:$C$769,$A275,Assignments!$G$2:$G$769,"Active"))</f>
        <v/>
      </c>
      <c r="S275" s="20" t="inlineStr">
        <is>
          <t>Proposal</t>
        </is>
      </c>
      <c r="T275" s="31" t="n"/>
      <c r="U275" s="36" t="n"/>
      <c r="V275" s="34">
        <f>IF($U275="","",IFERROR(INDEX(Templates!$K$3:$K$10,MATCH($U275,Templates!$A$3:$A$10,0)),""))</f>
        <v/>
      </c>
      <c r="W275" s="34">
        <f>IF($U275="","",IFERROR(INDEX(Templates!$L$3:$L$10,MATCH($U275,Templates!$A$3:$A$10,0)),""))</f>
        <v/>
      </c>
      <c r="X275" s="21">
        <f>IF($U275="","",IFERROR(INDEX(Templates!$J$3:$J$10,MATCH($U275,Templates!$A$3:$A$10,0)),""))</f>
        <v/>
      </c>
      <c r="Y275" s="35">
        <f>IF(OR($U275="",$I275="",$J275="",$X275=""),"",$I275+$X275*($J275-$I275))</f>
        <v/>
      </c>
      <c r="Z275" s="30" t="n">
        <v>46212</v>
      </c>
      <c r="AA275" s="38" t="n"/>
      <c r="AB275" s="39" t="n"/>
      <c r="AC275" s="39" t="n"/>
      <c r="AD275" s="19">
        <f>IF($A275="","",IF($AA275="",$H275,$AA275))</f>
        <v/>
      </c>
      <c r="AE275" s="35">
        <f>IF($A275="","",IF($AB275="",$I275,$AB275))</f>
        <v/>
      </c>
      <c r="AF275" s="35">
        <f>IF($A275="","",IF($AC275="",$J275,$AC275))</f>
        <v/>
      </c>
      <c r="AG275" s="35">
        <f>IF(OR($U275="",$AE275="",$AF275="",$X275=""),"",$AE275+$X275*($AF275-$AE275))</f>
        <v/>
      </c>
      <c r="AH275" s="36" t="n"/>
      <c r="AI275" s="36" t="n"/>
      <c r="AJ275" s="36" t="n"/>
      <c r="AK275" s="36" t="n"/>
      <c r="AL275" s="36" t="n"/>
      <c r="AM275" s="36" t="n"/>
      <c r="AN275" s="36" t="n"/>
      <c r="AO275" s="36" t="n"/>
      <c r="AP275" s="36" t="n"/>
      <c r="AQ275" s="36" t="n"/>
      <c r="AR275" s="36" t="n"/>
      <c r="AS275" s="36" t="n"/>
      <c r="AT275" s="36" t="n"/>
      <c r="AU275" s="36" t="n"/>
      <c r="AV275" s="36" t="n"/>
      <c r="AW275" s="36" t="n"/>
      <c r="AX275" s="36" t="n"/>
    </row>
    <row r="276">
      <c r="A276" s="28" t="inlineStr">
        <is>
          <t>Pinnacel</t>
        </is>
      </c>
      <c r="B276" s="20" t="inlineStr">
        <is>
          <t>Gauge</t>
        </is>
      </c>
      <c r="C276" s="28" t="inlineStr">
        <is>
          <t>Gauge</t>
        </is>
      </c>
      <c r="D276" s="28" t="inlineStr"/>
      <c r="E276" s="28" t="inlineStr">
        <is>
          <t>No</t>
        </is>
      </c>
      <c r="F276" s="28" t="inlineStr">
        <is>
          <t>Proposal</t>
        </is>
      </c>
      <c r="G276" s="36" t="n"/>
      <c r="H276" s="40" t="n">
        <v>0.5</v>
      </c>
      <c r="I276" s="37" t="n"/>
      <c r="J276" s="37" t="n"/>
      <c r="K276" s="31" t="n"/>
      <c r="L276" s="31" t="n"/>
      <c r="M276" s="31" t="n"/>
      <c r="N276" s="31" t="n"/>
      <c r="O276" s="31" t="n"/>
      <c r="P276" s="31" t="n"/>
      <c r="Q276" s="23">
        <f>IF($A276="","",COUNTIFS(Assignments!$C$2:$C$769,$A276,Assignments!$G$2:$G$769,"Active"))</f>
        <v/>
      </c>
      <c r="R276" s="32">
        <f>IF($A276="","",SUMIFS(Assignments!$I$2:$I$769,Assignments!$C$2:$C$769,$A276,Assignments!$G$2:$G$769,"Active"))</f>
        <v/>
      </c>
      <c r="S276" s="20" t="inlineStr">
        <is>
          <t>Summary tab only (Proposal)</t>
        </is>
      </c>
      <c r="T276" s="31" t="n"/>
      <c r="U276" s="36" t="n"/>
      <c r="V276" s="34">
        <f>IF($U276="","",IFERROR(INDEX(Templates!$K$3:$K$10,MATCH($U276,Templates!$A$3:$A$10,0)),""))</f>
        <v/>
      </c>
      <c r="W276" s="34">
        <f>IF($U276="","",IFERROR(INDEX(Templates!$L$3:$L$10,MATCH($U276,Templates!$A$3:$A$10,0)),""))</f>
        <v/>
      </c>
      <c r="X276" s="21">
        <f>IF($U276="","",IFERROR(INDEX(Templates!$J$3:$J$10,MATCH($U276,Templates!$A$3:$A$10,0)),""))</f>
        <v/>
      </c>
      <c r="Y276" s="35">
        <f>IF(OR($U276="",$I276="",$J276="",$X276=""),"",$I276+$X276*($J276-$I276))</f>
        <v/>
      </c>
      <c r="Z276" s="30" t="n">
        <v>46212</v>
      </c>
      <c r="AA276" s="38" t="n"/>
      <c r="AB276" s="39" t="n"/>
      <c r="AC276" s="39" t="n"/>
      <c r="AD276" s="19">
        <f>IF($A276="","",IF($AA276="",$H276,$AA276))</f>
        <v/>
      </c>
      <c r="AE276" s="35">
        <f>IF($A276="","",IF($AB276="",$I276,$AB276))</f>
        <v/>
      </c>
      <c r="AF276" s="35">
        <f>IF($A276="","",IF($AC276="",$J276,$AC276))</f>
        <v/>
      </c>
      <c r="AG276" s="35">
        <f>IF(OR($U276="",$AE276="",$AF276="",$X276=""),"",$AE276+$X276*($AF276-$AE276))</f>
        <v/>
      </c>
      <c r="AH276" s="36" t="n"/>
      <c r="AI276" s="36" t="n"/>
      <c r="AJ276" s="36" t="n"/>
      <c r="AK276" s="36" t="n"/>
      <c r="AL276" s="36" t="n"/>
      <c r="AM276" s="36" t="n"/>
      <c r="AN276" s="36" t="n"/>
      <c r="AO276" s="36" t="n"/>
      <c r="AP276" s="36" t="n"/>
      <c r="AQ276" s="36" t="n"/>
      <c r="AR276" s="36" t="n"/>
      <c r="AS276" s="36" t="n"/>
      <c r="AT276" s="36" t="n"/>
      <c r="AU276" s="36" t="n"/>
      <c r="AV276" s="36" t="n"/>
      <c r="AW276" s="36" t="n"/>
      <c r="AX276" s="36" t="n"/>
    </row>
    <row r="277">
      <c r="A277" s="28" t="inlineStr">
        <is>
          <t>Pisces 2_1</t>
        </is>
      </c>
      <c r="B277" s="20" t="inlineStr">
        <is>
          <t>KKR : John Laing</t>
        </is>
      </c>
      <c r="C277" s="28" t="inlineStr">
        <is>
          <t>KKR</t>
        </is>
      </c>
      <c r="D277" s="28" t="inlineStr">
        <is>
          <t>John Laing</t>
        </is>
      </c>
      <c r="E277" s="28" t="inlineStr">
        <is>
          <t>No</t>
        </is>
      </c>
      <c r="F277" s="28" t="inlineStr">
        <is>
          <t>Proposal</t>
        </is>
      </c>
      <c r="G277" s="36" t="n"/>
      <c r="H277" s="40" t="n">
        <v>0.5</v>
      </c>
      <c r="I277" s="37" t="n"/>
      <c r="J277" s="37" t="n"/>
      <c r="K277" s="31" t="n"/>
      <c r="L277" s="31" t="n"/>
      <c r="M277" s="31" t="n"/>
      <c r="N277" s="31" t="n"/>
      <c r="O277" s="31" t="n"/>
      <c r="P277" s="31" t="n"/>
      <c r="Q277" s="23">
        <f>IF($A277="","",COUNTIFS(Assignments!$C$2:$C$769,$A277,Assignments!$G$2:$G$769,"Active"))</f>
        <v/>
      </c>
      <c r="R277" s="32">
        <f>IF($A277="","",SUMIFS(Assignments!$I$2:$I$769,Assignments!$C$2:$C$769,$A277,Assignments!$G$2:$G$769,"Active"))</f>
        <v/>
      </c>
      <c r="S277" s="20" t="inlineStr">
        <is>
          <t>Proposal</t>
        </is>
      </c>
      <c r="T277" s="31" t="n"/>
      <c r="U277" s="36" t="n"/>
      <c r="V277" s="34">
        <f>IF($U277="","",IFERROR(INDEX(Templates!$K$3:$K$10,MATCH($U277,Templates!$A$3:$A$10,0)),""))</f>
        <v/>
      </c>
      <c r="W277" s="34">
        <f>IF($U277="","",IFERROR(INDEX(Templates!$L$3:$L$10,MATCH($U277,Templates!$A$3:$A$10,0)),""))</f>
        <v/>
      </c>
      <c r="X277" s="21">
        <f>IF($U277="","",IFERROR(INDEX(Templates!$J$3:$J$10,MATCH($U277,Templates!$A$3:$A$10,0)),""))</f>
        <v/>
      </c>
      <c r="Y277" s="35">
        <f>IF(OR($U277="",$I277="",$J277="",$X277=""),"",$I277+$X277*($J277-$I277))</f>
        <v/>
      </c>
      <c r="Z277" s="30" t="n">
        <v>46212</v>
      </c>
      <c r="AA277" s="38" t="n"/>
      <c r="AB277" s="39" t="n"/>
      <c r="AC277" s="39" t="n"/>
      <c r="AD277" s="19">
        <f>IF($A277="","",IF($AA277="",$H277,$AA277))</f>
        <v/>
      </c>
      <c r="AE277" s="35">
        <f>IF($A277="","",IF($AB277="",$I277,$AB277))</f>
        <v/>
      </c>
      <c r="AF277" s="35">
        <f>IF($A277="","",IF($AC277="",$J277,$AC277))</f>
        <v/>
      </c>
      <c r="AG277" s="35">
        <f>IF(OR($U277="",$AE277="",$AF277="",$X277=""),"",$AE277+$X277*($AF277-$AE277))</f>
        <v/>
      </c>
      <c r="AH277" s="36" t="n"/>
      <c r="AI277" s="36" t="n"/>
      <c r="AJ277" s="36" t="n"/>
      <c r="AK277" s="36" t="n"/>
      <c r="AL277" s="36" t="n"/>
      <c r="AM277" s="36" t="n"/>
      <c r="AN277" s="36" t="n"/>
      <c r="AO277" s="36" t="n"/>
      <c r="AP277" s="36" t="n"/>
      <c r="AQ277" s="36" t="n"/>
      <c r="AR277" s="36" t="n"/>
      <c r="AS277" s="36" t="n"/>
      <c r="AT277" s="36" t="n"/>
      <c r="AU277" s="36" t="n"/>
      <c r="AV277" s="36" t="n"/>
      <c r="AW277" s="36" t="n"/>
      <c r="AX277" s="36" t="n"/>
    </row>
    <row r="278">
      <c r="A278" s="28" t="inlineStr">
        <is>
          <t>Principal Asset Management BD_1</t>
        </is>
      </c>
      <c r="B278" s="20" t="inlineStr">
        <is>
          <t>Principal Asset Management (Europe)</t>
        </is>
      </c>
      <c r="C278" s="28" t="inlineStr">
        <is>
          <t>Principal Asset Management (Europe)</t>
        </is>
      </c>
      <c r="D278" s="28" t="inlineStr"/>
      <c r="E278" s="28" t="inlineStr">
        <is>
          <t>No</t>
        </is>
      </c>
      <c r="F278" s="28" t="inlineStr">
        <is>
          <t>Proposal</t>
        </is>
      </c>
      <c r="G278" s="36" t="n"/>
      <c r="H278" s="40" t="n">
        <v>0.5</v>
      </c>
      <c r="I278" s="37" t="n"/>
      <c r="J278" s="37" t="n"/>
      <c r="K278" s="31" t="n"/>
      <c r="L278" s="31" t="n"/>
      <c r="M278" s="31" t="n"/>
      <c r="N278" s="31" t="n"/>
      <c r="O278" s="31" t="n"/>
      <c r="P278" s="31" t="n"/>
      <c r="Q278" s="23">
        <f>IF($A278="","",COUNTIFS(Assignments!$C$2:$C$769,$A278,Assignments!$G$2:$G$769,"Active"))</f>
        <v/>
      </c>
      <c r="R278" s="32">
        <f>IF($A278="","",SUMIFS(Assignments!$I$2:$I$769,Assignments!$C$2:$C$769,$A278,Assignments!$G$2:$G$769,"Active"))</f>
        <v/>
      </c>
      <c r="S278" s="20" t="inlineStr">
        <is>
          <t>Proposal</t>
        </is>
      </c>
      <c r="T278" s="31" t="n"/>
      <c r="U278" s="36" t="n"/>
      <c r="V278" s="34">
        <f>IF($U278="","",IFERROR(INDEX(Templates!$K$3:$K$10,MATCH($U278,Templates!$A$3:$A$10,0)),""))</f>
        <v/>
      </c>
      <c r="W278" s="34">
        <f>IF($U278="","",IFERROR(INDEX(Templates!$L$3:$L$10,MATCH($U278,Templates!$A$3:$A$10,0)),""))</f>
        <v/>
      </c>
      <c r="X278" s="21">
        <f>IF($U278="","",IFERROR(INDEX(Templates!$J$3:$J$10,MATCH($U278,Templates!$A$3:$A$10,0)),""))</f>
        <v/>
      </c>
      <c r="Y278" s="35">
        <f>IF(OR($U278="",$I278="",$J278="",$X278=""),"",$I278+$X278*($J278-$I278))</f>
        <v/>
      </c>
      <c r="Z278" s="30" t="n">
        <v>46212</v>
      </c>
      <c r="AA278" s="38" t="n"/>
      <c r="AB278" s="39" t="n"/>
      <c r="AC278" s="39" t="n"/>
      <c r="AD278" s="19">
        <f>IF($A278="","",IF($AA278="",$H278,$AA278))</f>
        <v/>
      </c>
      <c r="AE278" s="35">
        <f>IF($A278="","",IF($AB278="",$I278,$AB278))</f>
        <v/>
      </c>
      <c r="AF278" s="35">
        <f>IF($A278="","",IF($AC278="",$J278,$AC278))</f>
        <v/>
      </c>
      <c r="AG278" s="35">
        <f>IF(OR($U278="",$AE278="",$AF278="",$X278=""),"",$AE278+$X278*($AF278-$AE278))</f>
        <v/>
      </c>
      <c r="AH278" s="36" t="n"/>
      <c r="AI278" s="36" t="n"/>
      <c r="AJ278" s="36" t="n"/>
      <c r="AK278" s="36" t="n"/>
      <c r="AL278" s="36" t="n"/>
      <c r="AM278" s="36" t="n"/>
      <c r="AN278" s="36" t="n"/>
      <c r="AO278" s="36" t="n"/>
      <c r="AP278" s="36" t="n"/>
      <c r="AQ278" s="36" t="n"/>
      <c r="AR278" s="36" t="n"/>
      <c r="AS278" s="36" t="n"/>
      <c r="AT278" s="36" t="n"/>
      <c r="AU278" s="36" t="n"/>
      <c r="AV278" s="36" t="n"/>
      <c r="AW278" s="36" t="n"/>
      <c r="AX278" s="36" t="n"/>
    </row>
    <row r="279">
      <c r="A279" s="28" t="inlineStr">
        <is>
          <t>Railcar_1</t>
        </is>
      </c>
      <c r="B279" s="20" t="inlineStr">
        <is>
          <t>Macquarie Group</t>
        </is>
      </c>
      <c r="C279" s="28" t="inlineStr">
        <is>
          <t>Macquarie Group</t>
        </is>
      </c>
      <c r="D279" s="28" t="inlineStr"/>
      <c r="E279" s="28" t="inlineStr">
        <is>
          <t>No</t>
        </is>
      </c>
      <c r="F279" s="28" t="inlineStr">
        <is>
          <t>Proposal</t>
        </is>
      </c>
      <c r="G279" s="36" t="n"/>
      <c r="H279" s="40" t="n">
        <v>0.5</v>
      </c>
      <c r="I279" s="37" t="n"/>
      <c r="J279" s="37" t="n"/>
      <c r="K279" s="31" t="n"/>
      <c r="L279" s="31" t="n"/>
      <c r="M279" s="31" t="n"/>
      <c r="N279" s="31" t="n"/>
      <c r="O279" s="31" t="n"/>
      <c r="P279" s="31" t="n"/>
      <c r="Q279" s="23">
        <f>IF($A279="","",COUNTIFS(Assignments!$C$2:$C$769,$A279,Assignments!$G$2:$G$769,"Active"))</f>
        <v/>
      </c>
      <c r="R279" s="32">
        <f>IF($A279="","",SUMIFS(Assignments!$I$2:$I$769,Assignments!$C$2:$C$769,$A279,Assignments!$G$2:$G$769,"Active"))</f>
        <v/>
      </c>
      <c r="S279" s="20" t="inlineStr">
        <is>
          <t>Proposal</t>
        </is>
      </c>
      <c r="T279" s="31" t="n"/>
      <c r="U279" s="36" t="n"/>
      <c r="V279" s="34">
        <f>IF($U279="","",IFERROR(INDEX(Templates!$K$3:$K$10,MATCH($U279,Templates!$A$3:$A$10,0)),""))</f>
        <v/>
      </c>
      <c r="W279" s="34">
        <f>IF($U279="","",IFERROR(INDEX(Templates!$L$3:$L$10,MATCH($U279,Templates!$A$3:$A$10,0)),""))</f>
        <v/>
      </c>
      <c r="X279" s="21">
        <f>IF($U279="","",IFERROR(INDEX(Templates!$J$3:$J$10,MATCH($U279,Templates!$A$3:$A$10,0)),""))</f>
        <v/>
      </c>
      <c r="Y279" s="35">
        <f>IF(OR($U279="",$I279="",$J279="",$X279=""),"",$I279+$X279*($J279-$I279))</f>
        <v/>
      </c>
      <c r="Z279" s="30" t="n">
        <v>46212</v>
      </c>
      <c r="AA279" s="38" t="n"/>
      <c r="AB279" s="39" t="n"/>
      <c r="AC279" s="39" t="n"/>
      <c r="AD279" s="19">
        <f>IF($A279="","",IF($AA279="",$H279,$AA279))</f>
        <v/>
      </c>
      <c r="AE279" s="35">
        <f>IF($A279="","",IF($AB279="",$I279,$AB279))</f>
        <v/>
      </c>
      <c r="AF279" s="35">
        <f>IF($A279="","",IF($AC279="",$J279,$AC279))</f>
        <v/>
      </c>
      <c r="AG279" s="35">
        <f>IF(OR($U279="",$AE279="",$AF279="",$X279=""),"",$AE279+$X279*($AF279-$AE279))</f>
        <v/>
      </c>
      <c r="AH279" s="36" t="n"/>
      <c r="AI279" s="36" t="n"/>
      <c r="AJ279" s="36" t="n"/>
      <c r="AK279" s="36" t="n"/>
      <c r="AL279" s="36" t="n"/>
      <c r="AM279" s="36" t="n"/>
      <c r="AN279" s="36" t="n"/>
      <c r="AO279" s="36" t="n"/>
      <c r="AP279" s="36" t="n"/>
      <c r="AQ279" s="36" t="n"/>
      <c r="AR279" s="36" t="n"/>
      <c r="AS279" s="36" t="n"/>
      <c r="AT279" s="36" t="n"/>
      <c r="AU279" s="36" t="n"/>
      <c r="AV279" s="36" t="n"/>
      <c r="AW279" s="36" t="n"/>
      <c r="AX279" s="36" t="n"/>
    </row>
    <row r="280">
      <c r="A280" s="28" t="inlineStr">
        <is>
          <t>Remus_1</t>
        </is>
      </c>
      <c r="B280" s="20" t="inlineStr">
        <is>
          <t>Archimed</t>
        </is>
      </c>
      <c r="C280" s="28" t="inlineStr">
        <is>
          <t>Archimed</t>
        </is>
      </c>
      <c r="D280" s="28" t="inlineStr"/>
      <c r="E280" s="28" t="inlineStr">
        <is>
          <t>No</t>
        </is>
      </c>
      <c r="F280" s="28" t="inlineStr">
        <is>
          <t>Proposal</t>
        </is>
      </c>
      <c r="G280" s="36" t="n"/>
      <c r="H280" s="40" t="n">
        <v>0.5</v>
      </c>
      <c r="I280" s="37" t="n"/>
      <c r="J280" s="37" t="n"/>
      <c r="K280" s="31" t="n"/>
      <c r="L280" s="31" t="n"/>
      <c r="M280" s="31" t="n"/>
      <c r="N280" s="31" t="n"/>
      <c r="O280" s="31" t="n"/>
      <c r="P280" s="31" t="n"/>
      <c r="Q280" s="23">
        <f>IF($A280="","",COUNTIFS(Assignments!$C$2:$C$769,$A280,Assignments!$G$2:$G$769,"Active"))</f>
        <v/>
      </c>
      <c r="R280" s="32">
        <f>IF($A280="","",SUMIFS(Assignments!$I$2:$I$769,Assignments!$C$2:$C$769,$A280,Assignments!$G$2:$G$769,"Active"))</f>
        <v/>
      </c>
      <c r="S280" s="20" t="inlineStr">
        <is>
          <t>Proposal</t>
        </is>
      </c>
      <c r="T280" s="31" t="n"/>
      <c r="U280" s="36" t="n"/>
      <c r="V280" s="34">
        <f>IF($U280="","",IFERROR(INDEX(Templates!$K$3:$K$10,MATCH($U280,Templates!$A$3:$A$10,0)),""))</f>
        <v/>
      </c>
      <c r="W280" s="34">
        <f>IF($U280="","",IFERROR(INDEX(Templates!$L$3:$L$10,MATCH($U280,Templates!$A$3:$A$10,0)),""))</f>
        <v/>
      </c>
      <c r="X280" s="21">
        <f>IF($U280="","",IFERROR(INDEX(Templates!$J$3:$J$10,MATCH($U280,Templates!$A$3:$A$10,0)),""))</f>
        <v/>
      </c>
      <c r="Y280" s="35">
        <f>IF(OR($U280="",$I280="",$J280="",$X280=""),"",$I280+$X280*($J280-$I280))</f>
        <v/>
      </c>
      <c r="Z280" s="30" t="n">
        <v>46212</v>
      </c>
      <c r="AA280" s="38" t="n"/>
      <c r="AB280" s="39" t="n"/>
      <c r="AC280" s="39" t="n"/>
      <c r="AD280" s="19">
        <f>IF($A280="","",IF($AA280="",$H280,$AA280))</f>
        <v/>
      </c>
      <c r="AE280" s="35">
        <f>IF($A280="","",IF($AB280="",$I280,$AB280))</f>
        <v/>
      </c>
      <c r="AF280" s="35">
        <f>IF($A280="","",IF($AC280="",$J280,$AC280))</f>
        <v/>
      </c>
      <c r="AG280" s="35">
        <f>IF(OR($U280="",$AE280="",$AF280="",$X280=""),"",$AE280+$X280*($AF280-$AE280))</f>
        <v/>
      </c>
      <c r="AH280" s="36" t="n"/>
      <c r="AI280" s="36" t="n"/>
      <c r="AJ280" s="36" t="n"/>
      <c r="AK280" s="36" t="n"/>
      <c r="AL280" s="36" t="n"/>
      <c r="AM280" s="36" t="n"/>
      <c r="AN280" s="36" t="n"/>
      <c r="AO280" s="36" t="n"/>
      <c r="AP280" s="36" t="n"/>
      <c r="AQ280" s="36" t="n"/>
      <c r="AR280" s="36" t="n"/>
      <c r="AS280" s="36" t="n"/>
      <c r="AT280" s="36" t="n"/>
      <c r="AU280" s="36" t="n"/>
      <c r="AV280" s="36" t="n"/>
      <c r="AW280" s="36" t="n"/>
      <c r="AX280" s="36" t="n"/>
    </row>
    <row r="281">
      <c r="A281" s="28" t="inlineStr">
        <is>
          <t>Ridgeline_2</t>
        </is>
      </c>
      <c r="B281" s="20" t="inlineStr">
        <is>
          <t>Fengate</t>
        </is>
      </c>
      <c r="C281" s="28" t="inlineStr">
        <is>
          <t>Fengate</t>
        </is>
      </c>
      <c r="D281" s="28" t="inlineStr"/>
      <c r="E281" s="28" t="inlineStr">
        <is>
          <t>No</t>
        </is>
      </c>
      <c r="F281" s="28" t="inlineStr">
        <is>
          <t>Proposal</t>
        </is>
      </c>
      <c r="G281" s="36" t="n"/>
      <c r="H281" s="40" t="n">
        <v>0.5</v>
      </c>
      <c r="I281" s="37" t="n"/>
      <c r="J281" s="37" t="n"/>
      <c r="K281" s="31" t="n"/>
      <c r="L281" s="31" t="n"/>
      <c r="M281" s="31" t="n"/>
      <c r="N281" s="31" t="n"/>
      <c r="O281" s="31" t="n"/>
      <c r="P281" s="31" t="n"/>
      <c r="Q281" s="23">
        <f>IF($A281="","",COUNTIFS(Assignments!$C$2:$C$769,$A281,Assignments!$G$2:$G$769,"Active"))</f>
        <v/>
      </c>
      <c r="R281" s="32">
        <f>IF($A281="","",SUMIFS(Assignments!$I$2:$I$769,Assignments!$C$2:$C$769,$A281,Assignments!$G$2:$G$769,"Active"))</f>
        <v/>
      </c>
      <c r="S281" s="20" t="inlineStr">
        <is>
          <t>Proposal</t>
        </is>
      </c>
      <c r="T281" s="31" t="n"/>
      <c r="U281" s="36" t="n"/>
      <c r="V281" s="34">
        <f>IF($U281="","",IFERROR(INDEX(Templates!$K$3:$K$10,MATCH($U281,Templates!$A$3:$A$10,0)),""))</f>
        <v/>
      </c>
      <c r="W281" s="34">
        <f>IF($U281="","",IFERROR(INDEX(Templates!$L$3:$L$10,MATCH($U281,Templates!$A$3:$A$10,0)),""))</f>
        <v/>
      </c>
      <c r="X281" s="21">
        <f>IF($U281="","",IFERROR(INDEX(Templates!$J$3:$J$10,MATCH($U281,Templates!$A$3:$A$10,0)),""))</f>
        <v/>
      </c>
      <c r="Y281" s="35">
        <f>IF(OR($U281="",$I281="",$J281="",$X281=""),"",$I281+$X281*($J281-$I281))</f>
        <v/>
      </c>
      <c r="Z281" s="30" t="n">
        <v>46212</v>
      </c>
      <c r="AA281" s="38" t="n"/>
      <c r="AB281" s="39" t="n"/>
      <c r="AC281" s="39" t="n"/>
      <c r="AD281" s="19">
        <f>IF($A281="","",IF($AA281="",$H281,$AA281))</f>
        <v/>
      </c>
      <c r="AE281" s="35">
        <f>IF($A281="","",IF($AB281="",$I281,$AB281))</f>
        <v/>
      </c>
      <c r="AF281" s="35">
        <f>IF($A281="","",IF($AC281="",$J281,$AC281))</f>
        <v/>
      </c>
      <c r="AG281" s="35">
        <f>IF(OR($U281="",$AE281="",$AF281="",$X281=""),"",$AE281+$X281*($AF281-$AE281))</f>
        <v/>
      </c>
      <c r="AH281" s="36" t="n"/>
      <c r="AI281" s="36" t="n"/>
      <c r="AJ281" s="36" t="n"/>
      <c r="AK281" s="36" t="n"/>
      <c r="AL281" s="36" t="n"/>
      <c r="AM281" s="36" t="n"/>
      <c r="AN281" s="36" t="n"/>
      <c r="AO281" s="36" t="n"/>
      <c r="AP281" s="36" t="n"/>
      <c r="AQ281" s="36" t="n"/>
      <c r="AR281" s="36" t="n"/>
      <c r="AS281" s="36" t="n"/>
      <c r="AT281" s="36" t="n"/>
      <c r="AU281" s="36" t="n"/>
      <c r="AV281" s="36" t="n"/>
      <c r="AW281" s="36" t="n"/>
      <c r="AX281" s="36" t="n"/>
    </row>
    <row r="282">
      <c r="A282" s="28" t="inlineStr">
        <is>
          <t>Roadrunner_1</t>
        </is>
      </c>
      <c r="B282" s="20" t="inlineStr">
        <is>
          <t>BlackRock : Global Infrastructure Partners : Clearway Energy</t>
        </is>
      </c>
      <c r="C282" s="28" t="inlineStr">
        <is>
          <t>BlackRock</t>
        </is>
      </c>
      <c r="D282" s="28" t="inlineStr">
        <is>
          <t>Clearway Energy</t>
        </is>
      </c>
      <c r="E282" s="28" t="inlineStr">
        <is>
          <t>No</t>
        </is>
      </c>
      <c r="F282" s="28" t="inlineStr">
        <is>
          <t>Proposal</t>
        </is>
      </c>
      <c r="G282" s="36" t="n"/>
      <c r="H282" s="40" t="n">
        <v>0.5</v>
      </c>
      <c r="I282" s="37" t="n"/>
      <c r="J282" s="37" t="n"/>
      <c r="K282" s="31" t="n"/>
      <c r="L282" s="31" t="n"/>
      <c r="M282" s="31" t="n"/>
      <c r="N282" s="31" t="n"/>
      <c r="O282" s="31" t="n"/>
      <c r="P282" s="31" t="n"/>
      <c r="Q282" s="23">
        <f>IF($A282="","",COUNTIFS(Assignments!$C$2:$C$769,$A282,Assignments!$G$2:$G$769,"Active"))</f>
        <v/>
      </c>
      <c r="R282" s="32">
        <f>IF($A282="","",SUMIFS(Assignments!$I$2:$I$769,Assignments!$C$2:$C$769,$A282,Assignments!$G$2:$G$769,"Active"))</f>
        <v/>
      </c>
      <c r="S282" s="20" t="inlineStr">
        <is>
          <t>Proposal</t>
        </is>
      </c>
      <c r="T282" s="31" t="n"/>
      <c r="U282" s="36" t="n"/>
      <c r="V282" s="34">
        <f>IF($U282="","",IFERROR(INDEX(Templates!$K$3:$K$10,MATCH($U282,Templates!$A$3:$A$10,0)),""))</f>
        <v/>
      </c>
      <c r="W282" s="34">
        <f>IF($U282="","",IFERROR(INDEX(Templates!$L$3:$L$10,MATCH($U282,Templates!$A$3:$A$10,0)),""))</f>
        <v/>
      </c>
      <c r="X282" s="21">
        <f>IF($U282="","",IFERROR(INDEX(Templates!$J$3:$J$10,MATCH($U282,Templates!$A$3:$A$10,0)),""))</f>
        <v/>
      </c>
      <c r="Y282" s="35">
        <f>IF(OR($U282="",$I282="",$J282="",$X282=""),"",$I282+$X282*($J282-$I282))</f>
        <v/>
      </c>
      <c r="Z282" s="30" t="n">
        <v>46212</v>
      </c>
      <c r="AA282" s="38" t="n"/>
      <c r="AB282" s="39" t="n"/>
      <c r="AC282" s="39" t="n"/>
      <c r="AD282" s="19">
        <f>IF($A282="","",IF($AA282="",$H282,$AA282))</f>
        <v/>
      </c>
      <c r="AE282" s="35">
        <f>IF($A282="","",IF($AB282="",$I282,$AB282))</f>
        <v/>
      </c>
      <c r="AF282" s="35">
        <f>IF($A282="","",IF($AC282="",$J282,$AC282))</f>
        <v/>
      </c>
      <c r="AG282" s="35">
        <f>IF(OR($U282="",$AE282="",$AF282="",$X282=""),"",$AE282+$X282*($AF282-$AE282))</f>
        <v/>
      </c>
      <c r="AH282" s="36" t="n"/>
      <c r="AI282" s="36" t="n"/>
      <c r="AJ282" s="36" t="n"/>
      <c r="AK282" s="36" t="n"/>
      <c r="AL282" s="36" t="n"/>
      <c r="AM282" s="36" t="n"/>
      <c r="AN282" s="36" t="n"/>
      <c r="AO282" s="36" t="n"/>
      <c r="AP282" s="36" t="n"/>
      <c r="AQ282" s="36" t="n"/>
      <c r="AR282" s="36" t="n"/>
      <c r="AS282" s="36" t="n"/>
      <c r="AT282" s="36" t="n"/>
      <c r="AU282" s="36" t="n"/>
      <c r="AV282" s="36" t="n"/>
      <c r="AW282" s="36" t="n"/>
      <c r="AX282" s="36" t="n"/>
    </row>
    <row r="283">
      <c r="A283" s="28" t="inlineStr">
        <is>
          <t>Rocky_1</t>
        </is>
      </c>
      <c r="B283" s="20" t="inlineStr">
        <is>
          <t>Ryan Transactional Risk</t>
        </is>
      </c>
      <c r="C283" s="28" t="inlineStr">
        <is>
          <t>Ryan Transactional Risk</t>
        </is>
      </c>
      <c r="D283" s="28" t="inlineStr"/>
      <c r="E283" s="28" t="inlineStr">
        <is>
          <t>No</t>
        </is>
      </c>
      <c r="F283" s="28" t="inlineStr">
        <is>
          <t>Proposal</t>
        </is>
      </c>
      <c r="G283" s="36" t="n"/>
      <c r="H283" s="40" t="n">
        <v>0.5</v>
      </c>
      <c r="I283" s="37" t="n"/>
      <c r="J283" s="37" t="n"/>
      <c r="K283" s="31" t="n"/>
      <c r="L283" s="31" t="n"/>
      <c r="M283" s="31" t="n"/>
      <c r="N283" s="31" t="n"/>
      <c r="O283" s="31" t="n"/>
      <c r="P283" s="31" t="n"/>
      <c r="Q283" s="23">
        <f>IF($A283="","",COUNTIFS(Assignments!$C$2:$C$769,$A283,Assignments!$G$2:$G$769,"Active"))</f>
        <v/>
      </c>
      <c r="R283" s="32">
        <f>IF($A283="","",SUMIFS(Assignments!$I$2:$I$769,Assignments!$C$2:$C$769,$A283,Assignments!$G$2:$G$769,"Active"))</f>
        <v/>
      </c>
      <c r="S283" s="20" t="inlineStr">
        <is>
          <t>Proposal</t>
        </is>
      </c>
      <c r="T283" s="31" t="n"/>
      <c r="U283" s="36" t="n"/>
      <c r="V283" s="34">
        <f>IF($U283="","",IFERROR(INDEX(Templates!$K$3:$K$10,MATCH($U283,Templates!$A$3:$A$10,0)),""))</f>
        <v/>
      </c>
      <c r="W283" s="34">
        <f>IF($U283="","",IFERROR(INDEX(Templates!$L$3:$L$10,MATCH($U283,Templates!$A$3:$A$10,0)),""))</f>
        <v/>
      </c>
      <c r="X283" s="21">
        <f>IF($U283="","",IFERROR(INDEX(Templates!$J$3:$J$10,MATCH($U283,Templates!$A$3:$A$10,0)),""))</f>
        <v/>
      </c>
      <c r="Y283" s="35">
        <f>IF(OR($U283="",$I283="",$J283="",$X283=""),"",$I283+$X283*($J283-$I283))</f>
        <v/>
      </c>
      <c r="Z283" s="30" t="n">
        <v>46212</v>
      </c>
      <c r="AA283" s="38" t="n"/>
      <c r="AB283" s="39" t="n"/>
      <c r="AC283" s="39" t="n"/>
      <c r="AD283" s="19">
        <f>IF($A283="","",IF($AA283="",$H283,$AA283))</f>
        <v/>
      </c>
      <c r="AE283" s="35">
        <f>IF($A283="","",IF($AB283="",$I283,$AB283))</f>
        <v/>
      </c>
      <c r="AF283" s="35">
        <f>IF($A283="","",IF($AC283="",$J283,$AC283))</f>
        <v/>
      </c>
      <c r="AG283" s="35">
        <f>IF(OR($U283="",$AE283="",$AF283="",$X283=""),"",$AE283+$X283*($AF283-$AE283))</f>
        <v/>
      </c>
      <c r="AH283" s="36" t="n"/>
      <c r="AI283" s="36" t="n"/>
      <c r="AJ283" s="36" t="n"/>
      <c r="AK283" s="36" t="n"/>
      <c r="AL283" s="36" t="n"/>
      <c r="AM283" s="36" t="n"/>
      <c r="AN283" s="36" t="n"/>
      <c r="AO283" s="36" t="n"/>
      <c r="AP283" s="36" t="n"/>
      <c r="AQ283" s="36" t="n"/>
      <c r="AR283" s="36" t="n"/>
      <c r="AS283" s="36" t="n"/>
      <c r="AT283" s="36" t="n"/>
      <c r="AU283" s="36" t="n"/>
      <c r="AV283" s="36" t="n"/>
      <c r="AW283" s="36" t="n"/>
      <c r="AX283" s="36" t="n"/>
    </row>
    <row r="284">
      <c r="A284" s="28" t="inlineStr">
        <is>
          <t>Rosa_1</t>
        </is>
      </c>
      <c r="B284" s="20" t="inlineStr">
        <is>
          <t>Ares Management Corporation</t>
        </is>
      </c>
      <c r="C284" s="28" t="inlineStr">
        <is>
          <t>Ares Management Corporation</t>
        </is>
      </c>
      <c r="D284" s="28" t="inlineStr"/>
      <c r="E284" s="28" t="inlineStr">
        <is>
          <t>No</t>
        </is>
      </c>
      <c r="F284" s="28" t="inlineStr">
        <is>
          <t>Proposal</t>
        </is>
      </c>
      <c r="G284" s="36" t="n"/>
      <c r="H284" s="40" t="n">
        <v>0.5</v>
      </c>
      <c r="I284" s="37" t="n"/>
      <c r="J284" s="37" t="n"/>
      <c r="K284" s="31" t="n"/>
      <c r="L284" s="31" t="n"/>
      <c r="M284" s="31" t="n"/>
      <c r="N284" s="31" t="n"/>
      <c r="O284" s="31" t="n"/>
      <c r="P284" s="31" t="n"/>
      <c r="Q284" s="23">
        <f>IF($A284="","",COUNTIFS(Assignments!$C$2:$C$769,$A284,Assignments!$G$2:$G$769,"Active"))</f>
        <v/>
      </c>
      <c r="R284" s="32">
        <f>IF($A284="","",SUMIFS(Assignments!$I$2:$I$769,Assignments!$C$2:$C$769,$A284,Assignments!$G$2:$G$769,"Active"))</f>
        <v/>
      </c>
      <c r="S284" s="20" t="inlineStr">
        <is>
          <t>Proposal</t>
        </is>
      </c>
      <c r="T284" s="31" t="n"/>
      <c r="U284" s="36" t="n"/>
      <c r="V284" s="34">
        <f>IF($U284="","",IFERROR(INDEX(Templates!$K$3:$K$10,MATCH($U284,Templates!$A$3:$A$10,0)),""))</f>
        <v/>
      </c>
      <c r="W284" s="34">
        <f>IF($U284="","",IFERROR(INDEX(Templates!$L$3:$L$10,MATCH($U284,Templates!$A$3:$A$10,0)),""))</f>
        <v/>
      </c>
      <c r="X284" s="21">
        <f>IF($U284="","",IFERROR(INDEX(Templates!$J$3:$J$10,MATCH($U284,Templates!$A$3:$A$10,0)),""))</f>
        <v/>
      </c>
      <c r="Y284" s="35">
        <f>IF(OR($U284="",$I284="",$J284="",$X284=""),"",$I284+$X284*($J284-$I284))</f>
        <v/>
      </c>
      <c r="Z284" s="30" t="n">
        <v>46212</v>
      </c>
      <c r="AA284" s="38" t="n"/>
      <c r="AB284" s="39" t="n"/>
      <c r="AC284" s="39" t="n"/>
      <c r="AD284" s="19">
        <f>IF($A284="","",IF($AA284="",$H284,$AA284))</f>
        <v/>
      </c>
      <c r="AE284" s="35">
        <f>IF($A284="","",IF($AB284="",$I284,$AB284))</f>
        <v/>
      </c>
      <c r="AF284" s="35">
        <f>IF($A284="","",IF($AC284="",$J284,$AC284))</f>
        <v/>
      </c>
      <c r="AG284" s="35">
        <f>IF(OR($U284="",$AE284="",$AF284="",$X284=""),"",$AE284+$X284*($AF284-$AE284))</f>
        <v/>
      </c>
      <c r="AH284" s="36" t="n"/>
      <c r="AI284" s="36" t="n"/>
      <c r="AJ284" s="36" t="n"/>
      <c r="AK284" s="36" t="n"/>
      <c r="AL284" s="36" t="n"/>
      <c r="AM284" s="36" t="n"/>
      <c r="AN284" s="36" t="n"/>
      <c r="AO284" s="36" t="n"/>
      <c r="AP284" s="36" t="n"/>
      <c r="AQ284" s="36" t="n"/>
      <c r="AR284" s="36" t="n"/>
      <c r="AS284" s="36" t="n"/>
      <c r="AT284" s="36" t="n"/>
      <c r="AU284" s="36" t="n"/>
      <c r="AV284" s="36" t="n"/>
      <c r="AW284" s="36" t="n"/>
      <c r="AX284" s="36" t="n"/>
    </row>
    <row r="285">
      <c r="A285" s="28" t="inlineStr">
        <is>
          <t>Scale Add On</t>
        </is>
      </c>
      <c r="B285" s="20" t="inlineStr">
        <is>
          <t>EQT Group</t>
        </is>
      </c>
      <c r="C285" s="28" t="inlineStr">
        <is>
          <t>EQT Group</t>
        </is>
      </c>
      <c r="D285" s="28" t="inlineStr"/>
      <c r="E285" s="28" t="inlineStr">
        <is>
          <t>No</t>
        </is>
      </c>
      <c r="F285" s="28" t="inlineStr">
        <is>
          <t>Proposal</t>
        </is>
      </c>
      <c r="G285" s="36" t="n"/>
      <c r="H285" s="40" t="n">
        <v>0.5</v>
      </c>
      <c r="I285" s="37" t="n"/>
      <c r="J285" s="37" t="n"/>
      <c r="K285" s="31" t="n"/>
      <c r="L285" s="31" t="n"/>
      <c r="M285" s="31" t="n"/>
      <c r="N285" s="31" t="n"/>
      <c r="O285" s="31" t="n"/>
      <c r="P285" s="31" t="n"/>
      <c r="Q285" s="23">
        <f>IF($A285="","",COUNTIFS(Assignments!$C$2:$C$769,$A285,Assignments!$G$2:$G$769,"Active"))</f>
        <v/>
      </c>
      <c r="R285" s="32">
        <f>IF($A285="","",SUMIFS(Assignments!$I$2:$I$769,Assignments!$C$2:$C$769,$A285,Assignments!$G$2:$G$769,"Active"))</f>
        <v/>
      </c>
      <c r="S285" s="20" t="inlineStr">
        <is>
          <t>Summary tab only (Proposal)</t>
        </is>
      </c>
      <c r="T285" s="31" t="n"/>
      <c r="U285" s="36" t="n"/>
      <c r="V285" s="34">
        <f>IF($U285="","",IFERROR(INDEX(Templates!$K$3:$K$10,MATCH($U285,Templates!$A$3:$A$10,0)),""))</f>
        <v/>
      </c>
      <c r="W285" s="34">
        <f>IF($U285="","",IFERROR(INDEX(Templates!$L$3:$L$10,MATCH($U285,Templates!$A$3:$A$10,0)),""))</f>
        <v/>
      </c>
      <c r="X285" s="21">
        <f>IF($U285="","",IFERROR(INDEX(Templates!$J$3:$J$10,MATCH($U285,Templates!$A$3:$A$10,0)),""))</f>
        <v/>
      </c>
      <c r="Y285" s="35">
        <f>IF(OR($U285="",$I285="",$J285="",$X285=""),"",$I285+$X285*($J285-$I285))</f>
        <v/>
      </c>
      <c r="Z285" s="30" t="n">
        <v>46212</v>
      </c>
      <c r="AA285" s="38" t="n"/>
      <c r="AB285" s="39" t="n"/>
      <c r="AC285" s="39" t="n"/>
      <c r="AD285" s="19">
        <f>IF($A285="","",IF($AA285="",$H285,$AA285))</f>
        <v/>
      </c>
      <c r="AE285" s="35">
        <f>IF($A285="","",IF($AB285="",$I285,$AB285))</f>
        <v/>
      </c>
      <c r="AF285" s="35">
        <f>IF($A285="","",IF($AC285="",$J285,$AC285))</f>
        <v/>
      </c>
      <c r="AG285" s="35">
        <f>IF(OR($U285="",$AE285="",$AF285="",$X285=""),"",$AE285+$X285*($AF285-$AE285))</f>
        <v/>
      </c>
      <c r="AH285" s="36" t="n"/>
      <c r="AI285" s="36" t="n"/>
      <c r="AJ285" s="36" t="n"/>
      <c r="AK285" s="36" t="n"/>
      <c r="AL285" s="36" t="n"/>
      <c r="AM285" s="36" t="n"/>
      <c r="AN285" s="36" t="n"/>
      <c r="AO285" s="36" t="n"/>
      <c r="AP285" s="36" t="n"/>
      <c r="AQ285" s="36" t="n"/>
      <c r="AR285" s="36" t="n"/>
      <c r="AS285" s="36" t="n"/>
      <c r="AT285" s="36" t="n"/>
      <c r="AU285" s="36" t="n"/>
      <c r="AV285" s="36" t="n"/>
      <c r="AW285" s="36" t="n"/>
      <c r="AX285" s="36" t="n"/>
    </row>
    <row r="286">
      <c r="A286" s="28" t="inlineStr">
        <is>
          <t>Sentinel_2</t>
        </is>
      </c>
      <c r="B286" s="20" t="inlineStr">
        <is>
          <t>Ethos Specialty Insurance Services</t>
        </is>
      </c>
      <c r="C286" s="28" t="inlineStr">
        <is>
          <t>Ethos Specialty Insurance Services</t>
        </is>
      </c>
      <c r="D286" s="28" t="inlineStr"/>
      <c r="E286" s="28" t="inlineStr">
        <is>
          <t>No</t>
        </is>
      </c>
      <c r="F286" s="28" t="inlineStr">
        <is>
          <t>Proposal</t>
        </is>
      </c>
      <c r="G286" s="36" t="n"/>
      <c r="H286" s="40" t="n">
        <v>0.5</v>
      </c>
      <c r="I286" s="37" t="n"/>
      <c r="J286" s="37" t="n"/>
      <c r="K286" s="31" t="n"/>
      <c r="L286" s="31" t="n"/>
      <c r="M286" s="31" t="n"/>
      <c r="N286" s="31" t="n"/>
      <c r="O286" s="31" t="n"/>
      <c r="P286" s="31" t="n"/>
      <c r="Q286" s="23">
        <f>IF($A286="","",COUNTIFS(Assignments!$C$2:$C$769,$A286,Assignments!$G$2:$G$769,"Active"))</f>
        <v/>
      </c>
      <c r="R286" s="32">
        <f>IF($A286="","",SUMIFS(Assignments!$I$2:$I$769,Assignments!$C$2:$C$769,$A286,Assignments!$G$2:$G$769,"Active"))</f>
        <v/>
      </c>
      <c r="S286" s="20" t="inlineStr">
        <is>
          <t>Proposal</t>
        </is>
      </c>
      <c r="T286" s="31" t="n"/>
      <c r="U286" s="36" t="n"/>
      <c r="V286" s="34">
        <f>IF($U286="","",IFERROR(INDEX(Templates!$K$3:$K$10,MATCH($U286,Templates!$A$3:$A$10,0)),""))</f>
        <v/>
      </c>
      <c r="W286" s="34">
        <f>IF($U286="","",IFERROR(INDEX(Templates!$L$3:$L$10,MATCH($U286,Templates!$A$3:$A$10,0)),""))</f>
        <v/>
      </c>
      <c r="X286" s="21">
        <f>IF($U286="","",IFERROR(INDEX(Templates!$J$3:$J$10,MATCH($U286,Templates!$A$3:$A$10,0)),""))</f>
        <v/>
      </c>
      <c r="Y286" s="35">
        <f>IF(OR($U286="",$I286="",$J286="",$X286=""),"",$I286+$X286*($J286-$I286))</f>
        <v/>
      </c>
      <c r="Z286" s="30" t="n">
        <v>46212</v>
      </c>
      <c r="AA286" s="38" t="n"/>
      <c r="AB286" s="39" t="n"/>
      <c r="AC286" s="39" t="n"/>
      <c r="AD286" s="19">
        <f>IF($A286="","",IF($AA286="",$H286,$AA286))</f>
        <v/>
      </c>
      <c r="AE286" s="35">
        <f>IF($A286="","",IF($AB286="",$I286,$AB286))</f>
        <v/>
      </c>
      <c r="AF286" s="35">
        <f>IF($A286="","",IF($AC286="",$J286,$AC286))</f>
        <v/>
      </c>
      <c r="AG286" s="35">
        <f>IF(OR($U286="",$AE286="",$AF286="",$X286=""),"",$AE286+$X286*($AF286-$AE286))</f>
        <v/>
      </c>
      <c r="AH286" s="36" t="n"/>
      <c r="AI286" s="36" t="n"/>
      <c r="AJ286" s="36" t="n"/>
      <c r="AK286" s="36" t="n"/>
      <c r="AL286" s="36" t="n"/>
      <c r="AM286" s="36" t="n"/>
      <c r="AN286" s="36" t="n"/>
      <c r="AO286" s="36" t="n"/>
      <c r="AP286" s="36" t="n"/>
      <c r="AQ286" s="36" t="n"/>
      <c r="AR286" s="36" t="n"/>
      <c r="AS286" s="36" t="n"/>
      <c r="AT286" s="36" t="n"/>
      <c r="AU286" s="36" t="n"/>
      <c r="AV286" s="36" t="n"/>
      <c r="AW286" s="36" t="n"/>
      <c r="AX286" s="36" t="n"/>
    </row>
    <row r="287">
      <c r="A287" s="28" t="inlineStr">
        <is>
          <t>shareplan</t>
        </is>
      </c>
      <c r="B287" s="20" t="inlineStr">
        <is>
          <t>Garrigues</t>
        </is>
      </c>
      <c r="C287" s="28" t="inlineStr">
        <is>
          <t>Garrigues</t>
        </is>
      </c>
      <c r="D287" s="28" t="inlineStr"/>
      <c r="E287" s="28" t="inlineStr">
        <is>
          <t>No</t>
        </is>
      </c>
      <c r="F287" s="28" t="inlineStr">
        <is>
          <t>Proposal</t>
        </is>
      </c>
      <c r="G287" s="36" t="n"/>
      <c r="H287" s="40" t="n">
        <v>0.5</v>
      </c>
      <c r="I287" s="37" t="n"/>
      <c r="J287" s="37" t="n"/>
      <c r="K287" s="31" t="n"/>
      <c r="L287" s="31" t="n"/>
      <c r="M287" s="31" t="n"/>
      <c r="N287" s="31" t="n"/>
      <c r="O287" s="31" t="n"/>
      <c r="P287" s="31" t="n"/>
      <c r="Q287" s="23">
        <f>IF($A287="","",COUNTIFS(Assignments!$C$2:$C$769,$A287,Assignments!$G$2:$G$769,"Active"))</f>
        <v/>
      </c>
      <c r="R287" s="32">
        <f>IF($A287="","",SUMIFS(Assignments!$I$2:$I$769,Assignments!$C$2:$C$769,$A287,Assignments!$G$2:$G$769,"Active"))</f>
        <v/>
      </c>
      <c r="S287" s="20" t="inlineStr">
        <is>
          <t>Summary tab only (Proposal)</t>
        </is>
      </c>
      <c r="T287" s="31" t="n"/>
      <c r="U287" s="36" t="n"/>
      <c r="V287" s="34">
        <f>IF($U287="","",IFERROR(INDEX(Templates!$K$3:$K$10,MATCH($U287,Templates!$A$3:$A$10,0)),""))</f>
        <v/>
      </c>
      <c r="W287" s="34">
        <f>IF($U287="","",IFERROR(INDEX(Templates!$L$3:$L$10,MATCH($U287,Templates!$A$3:$A$10,0)),""))</f>
        <v/>
      </c>
      <c r="X287" s="21">
        <f>IF($U287="","",IFERROR(INDEX(Templates!$J$3:$J$10,MATCH($U287,Templates!$A$3:$A$10,0)),""))</f>
        <v/>
      </c>
      <c r="Y287" s="35">
        <f>IF(OR($U287="",$I287="",$J287="",$X287=""),"",$I287+$X287*($J287-$I287))</f>
        <v/>
      </c>
      <c r="Z287" s="30" t="n">
        <v>46212</v>
      </c>
      <c r="AA287" s="38" t="n"/>
      <c r="AB287" s="39" t="n"/>
      <c r="AC287" s="39" t="n"/>
      <c r="AD287" s="19">
        <f>IF($A287="","",IF($AA287="",$H287,$AA287))</f>
        <v/>
      </c>
      <c r="AE287" s="35">
        <f>IF($A287="","",IF($AB287="",$I287,$AB287))</f>
        <v/>
      </c>
      <c r="AF287" s="35">
        <f>IF($A287="","",IF($AC287="",$J287,$AC287))</f>
        <v/>
      </c>
      <c r="AG287" s="35">
        <f>IF(OR($U287="",$AE287="",$AF287="",$X287=""),"",$AE287+$X287*($AF287-$AE287))</f>
        <v/>
      </c>
      <c r="AH287" s="36" t="n"/>
      <c r="AI287" s="36" t="n"/>
      <c r="AJ287" s="36" t="n"/>
      <c r="AK287" s="36" t="n"/>
      <c r="AL287" s="36" t="n"/>
      <c r="AM287" s="36" t="n"/>
      <c r="AN287" s="36" t="n"/>
      <c r="AO287" s="36" t="n"/>
      <c r="AP287" s="36" t="n"/>
      <c r="AQ287" s="36" t="n"/>
      <c r="AR287" s="36" t="n"/>
      <c r="AS287" s="36" t="n"/>
      <c r="AT287" s="36" t="n"/>
      <c r="AU287" s="36" t="n"/>
      <c r="AV287" s="36" t="n"/>
      <c r="AW287" s="36" t="n"/>
      <c r="AX287" s="36" t="n"/>
    </row>
    <row r="288">
      <c r="A288" s="28" t="inlineStr">
        <is>
          <t>Staffing_1</t>
        </is>
      </c>
      <c r="B288" s="20" t="inlineStr">
        <is>
          <t>Carmine Capital</t>
        </is>
      </c>
      <c r="C288" s="28" t="inlineStr">
        <is>
          <t>Carmine Capital</t>
        </is>
      </c>
      <c r="D288" s="28" t="inlineStr"/>
      <c r="E288" s="28" t="inlineStr">
        <is>
          <t>No</t>
        </is>
      </c>
      <c r="F288" s="28" t="inlineStr">
        <is>
          <t>Proposal</t>
        </is>
      </c>
      <c r="G288" s="36" t="n"/>
      <c r="H288" s="40" t="n">
        <v>0.5</v>
      </c>
      <c r="I288" s="37" t="n"/>
      <c r="J288" s="37" t="n"/>
      <c r="K288" s="31" t="n"/>
      <c r="L288" s="31" t="n"/>
      <c r="M288" s="31" t="n"/>
      <c r="N288" s="31" t="n"/>
      <c r="O288" s="31" t="n"/>
      <c r="P288" s="31" t="n"/>
      <c r="Q288" s="23">
        <f>IF($A288="","",COUNTIFS(Assignments!$C$2:$C$769,$A288,Assignments!$G$2:$G$769,"Active"))</f>
        <v/>
      </c>
      <c r="R288" s="32">
        <f>IF($A288="","",SUMIFS(Assignments!$I$2:$I$769,Assignments!$C$2:$C$769,$A288,Assignments!$G$2:$G$769,"Active"))</f>
        <v/>
      </c>
      <c r="S288" s="20" t="inlineStr">
        <is>
          <t>Proposal</t>
        </is>
      </c>
      <c r="T288" s="31" t="n"/>
      <c r="U288" s="36" t="n"/>
      <c r="V288" s="34">
        <f>IF($U288="","",IFERROR(INDEX(Templates!$K$3:$K$10,MATCH($U288,Templates!$A$3:$A$10,0)),""))</f>
        <v/>
      </c>
      <c r="W288" s="34">
        <f>IF($U288="","",IFERROR(INDEX(Templates!$L$3:$L$10,MATCH($U288,Templates!$A$3:$A$10,0)),""))</f>
        <v/>
      </c>
      <c r="X288" s="21">
        <f>IF($U288="","",IFERROR(INDEX(Templates!$J$3:$J$10,MATCH($U288,Templates!$A$3:$A$10,0)),""))</f>
        <v/>
      </c>
      <c r="Y288" s="35">
        <f>IF(OR($U288="",$I288="",$J288="",$X288=""),"",$I288+$X288*($J288-$I288))</f>
        <v/>
      </c>
      <c r="Z288" s="30" t="n">
        <v>46212</v>
      </c>
      <c r="AA288" s="38" t="n"/>
      <c r="AB288" s="39" t="n"/>
      <c r="AC288" s="39" t="n"/>
      <c r="AD288" s="19">
        <f>IF($A288="","",IF($AA288="",$H288,$AA288))</f>
        <v/>
      </c>
      <c r="AE288" s="35">
        <f>IF($A288="","",IF($AB288="",$I288,$AB288))</f>
        <v/>
      </c>
      <c r="AF288" s="35">
        <f>IF($A288="","",IF($AC288="",$J288,$AC288))</f>
        <v/>
      </c>
      <c r="AG288" s="35">
        <f>IF(OR($U288="",$AE288="",$AF288="",$X288=""),"",$AE288+$X288*($AF288-$AE288))</f>
        <v/>
      </c>
      <c r="AH288" s="36" t="n"/>
      <c r="AI288" s="36" t="n"/>
      <c r="AJ288" s="36" t="n"/>
      <c r="AK288" s="36" t="n"/>
      <c r="AL288" s="36" t="n"/>
      <c r="AM288" s="36" t="n"/>
      <c r="AN288" s="36" t="n"/>
      <c r="AO288" s="36" t="n"/>
      <c r="AP288" s="36" t="n"/>
      <c r="AQ288" s="36" t="n"/>
      <c r="AR288" s="36" t="n"/>
      <c r="AS288" s="36" t="n"/>
      <c r="AT288" s="36" t="n"/>
      <c r="AU288" s="36" t="n"/>
      <c r="AV288" s="36" t="n"/>
      <c r="AW288" s="36" t="n"/>
      <c r="AX288" s="36" t="n"/>
    </row>
    <row r="289">
      <c r="A289" s="28" t="inlineStr">
        <is>
          <t>Story_1</t>
        </is>
      </c>
      <c r="B289" s="20" t="inlineStr">
        <is>
          <t>Ryan, LLC : Svalner Atlas : Svalner</t>
        </is>
      </c>
      <c r="C289" s="28" t="inlineStr">
        <is>
          <t>Ryan, LLC</t>
        </is>
      </c>
      <c r="D289" s="28" t="inlineStr">
        <is>
          <t>Svalner</t>
        </is>
      </c>
      <c r="E289" s="28" t="inlineStr">
        <is>
          <t>No</t>
        </is>
      </c>
      <c r="F289" s="28" t="inlineStr">
        <is>
          <t>Proposal</t>
        </is>
      </c>
      <c r="G289" s="36" t="n"/>
      <c r="H289" s="40" t="n">
        <v>0.5</v>
      </c>
      <c r="I289" s="37" t="n"/>
      <c r="J289" s="37" t="n"/>
      <c r="K289" s="31" t="n"/>
      <c r="L289" s="31" t="n"/>
      <c r="M289" s="31" t="n"/>
      <c r="N289" s="31" t="n"/>
      <c r="O289" s="31" t="n"/>
      <c r="P289" s="31" t="n"/>
      <c r="Q289" s="23">
        <f>IF($A289="","",COUNTIFS(Assignments!$C$2:$C$769,$A289,Assignments!$G$2:$G$769,"Active"))</f>
        <v/>
      </c>
      <c r="R289" s="32">
        <f>IF($A289="","",SUMIFS(Assignments!$I$2:$I$769,Assignments!$C$2:$C$769,$A289,Assignments!$G$2:$G$769,"Active"))</f>
        <v/>
      </c>
      <c r="S289" s="20" t="inlineStr">
        <is>
          <t>Proposal</t>
        </is>
      </c>
      <c r="T289" s="31" t="n"/>
      <c r="U289" s="36" t="n"/>
      <c r="V289" s="34">
        <f>IF($U289="","",IFERROR(INDEX(Templates!$K$3:$K$10,MATCH($U289,Templates!$A$3:$A$10,0)),""))</f>
        <v/>
      </c>
      <c r="W289" s="34">
        <f>IF($U289="","",IFERROR(INDEX(Templates!$L$3:$L$10,MATCH($U289,Templates!$A$3:$A$10,0)),""))</f>
        <v/>
      </c>
      <c r="X289" s="21">
        <f>IF($U289="","",IFERROR(INDEX(Templates!$J$3:$J$10,MATCH($U289,Templates!$A$3:$A$10,0)),""))</f>
        <v/>
      </c>
      <c r="Y289" s="35">
        <f>IF(OR($U289="",$I289="",$J289="",$X289=""),"",$I289+$X289*($J289-$I289))</f>
        <v/>
      </c>
      <c r="Z289" s="30" t="n">
        <v>46212</v>
      </c>
      <c r="AA289" s="38" t="n"/>
      <c r="AB289" s="39" t="n"/>
      <c r="AC289" s="39" t="n"/>
      <c r="AD289" s="19">
        <f>IF($A289="","",IF($AA289="",$H289,$AA289))</f>
        <v/>
      </c>
      <c r="AE289" s="35">
        <f>IF($A289="","",IF($AB289="",$I289,$AB289))</f>
        <v/>
      </c>
      <c r="AF289" s="35">
        <f>IF($A289="","",IF($AC289="",$J289,$AC289))</f>
        <v/>
      </c>
      <c r="AG289" s="35">
        <f>IF(OR($U289="",$AE289="",$AF289="",$X289=""),"",$AE289+$X289*($AF289-$AE289))</f>
        <v/>
      </c>
      <c r="AH289" s="36" t="n"/>
      <c r="AI289" s="36" t="n"/>
      <c r="AJ289" s="36" t="n"/>
      <c r="AK289" s="36" t="n"/>
      <c r="AL289" s="36" t="n"/>
      <c r="AM289" s="36" t="n"/>
      <c r="AN289" s="36" t="n"/>
      <c r="AO289" s="36" t="n"/>
      <c r="AP289" s="36" t="n"/>
      <c r="AQ289" s="36" t="n"/>
      <c r="AR289" s="36" t="n"/>
      <c r="AS289" s="36" t="n"/>
      <c r="AT289" s="36" t="n"/>
      <c r="AU289" s="36" t="n"/>
      <c r="AV289" s="36" t="n"/>
      <c r="AW289" s="36" t="n"/>
      <c r="AX289" s="36" t="n"/>
    </row>
    <row r="290">
      <c r="A290" s="28" t="inlineStr">
        <is>
          <t>Sunset_1</t>
        </is>
      </c>
      <c r="B290" s="20" t="inlineStr">
        <is>
          <t>Certa</t>
        </is>
      </c>
      <c r="C290" s="28" t="inlineStr">
        <is>
          <t>Certa</t>
        </is>
      </c>
      <c r="D290" s="28" t="inlineStr"/>
      <c r="E290" s="28" t="inlineStr">
        <is>
          <t>No</t>
        </is>
      </c>
      <c r="F290" s="28" t="inlineStr">
        <is>
          <t>Proposal</t>
        </is>
      </c>
      <c r="G290" s="36" t="n"/>
      <c r="H290" s="40" t="n">
        <v>0.5</v>
      </c>
      <c r="I290" s="37" t="n"/>
      <c r="J290" s="37" t="n"/>
      <c r="K290" s="31" t="n"/>
      <c r="L290" s="31" t="n"/>
      <c r="M290" s="31" t="n"/>
      <c r="N290" s="31" t="n"/>
      <c r="O290" s="31" t="n"/>
      <c r="P290" s="31" t="n"/>
      <c r="Q290" s="23">
        <f>IF($A290="","",COUNTIFS(Assignments!$C$2:$C$769,$A290,Assignments!$G$2:$G$769,"Active"))</f>
        <v/>
      </c>
      <c r="R290" s="32">
        <f>IF($A290="","",SUMIFS(Assignments!$I$2:$I$769,Assignments!$C$2:$C$769,$A290,Assignments!$G$2:$G$769,"Active"))</f>
        <v/>
      </c>
      <c r="S290" s="20" t="inlineStr">
        <is>
          <t>Proposal</t>
        </is>
      </c>
      <c r="T290" s="31" t="n"/>
      <c r="U290" s="36" t="n"/>
      <c r="V290" s="34">
        <f>IF($U290="","",IFERROR(INDEX(Templates!$K$3:$K$10,MATCH($U290,Templates!$A$3:$A$10,0)),""))</f>
        <v/>
      </c>
      <c r="W290" s="34">
        <f>IF($U290="","",IFERROR(INDEX(Templates!$L$3:$L$10,MATCH($U290,Templates!$A$3:$A$10,0)),""))</f>
        <v/>
      </c>
      <c r="X290" s="21">
        <f>IF($U290="","",IFERROR(INDEX(Templates!$J$3:$J$10,MATCH($U290,Templates!$A$3:$A$10,0)),""))</f>
        <v/>
      </c>
      <c r="Y290" s="35">
        <f>IF(OR($U290="",$I290="",$J290="",$X290=""),"",$I290+$X290*($J290-$I290))</f>
        <v/>
      </c>
      <c r="Z290" s="30" t="n">
        <v>46212</v>
      </c>
      <c r="AA290" s="38" t="n"/>
      <c r="AB290" s="39" t="n"/>
      <c r="AC290" s="39" t="n"/>
      <c r="AD290" s="19">
        <f>IF($A290="","",IF($AA290="",$H290,$AA290))</f>
        <v/>
      </c>
      <c r="AE290" s="35">
        <f>IF($A290="","",IF($AB290="",$I290,$AB290))</f>
        <v/>
      </c>
      <c r="AF290" s="35">
        <f>IF($A290="","",IF($AC290="",$J290,$AC290))</f>
        <v/>
      </c>
      <c r="AG290" s="35">
        <f>IF(OR($U290="",$AE290="",$AF290="",$X290=""),"",$AE290+$X290*($AF290-$AE290))</f>
        <v/>
      </c>
      <c r="AH290" s="36" t="n"/>
      <c r="AI290" s="36" t="n"/>
      <c r="AJ290" s="36" t="n"/>
      <c r="AK290" s="36" t="n"/>
      <c r="AL290" s="36" t="n"/>
      <c r="AM290" s="36" t="n"/>
      <c r="AN290" s="36" t="n"/>
      <c r="AO290" s="36" t="n"/>
      <c r="AP290" s="36" t="n"/>
      <c r="AQ290" s="36" t="n"/>
      <c r="AR290" s="36" t="n"/>
      <c r="AS290" s="36" t="n"/>
      <c r="AT290" s="36" t="n"/>
      <c r="AU290" s="36" t="n"/>
      <c r="AV290" s="36" t="n"/>
      <c r="AW290" s="36" t="n"/>
      <c r="AX290" s="36" t="n"/>
    </row>
    <row r="291">
      <c r="A291" s="28" t="inlineStr">
        <is>
          <t>Takeover_1</t>
        </is>
      </c>
      <c r="B291" s="20" t="inlineStr">
        <is>
          <t>Maven Advisory LLC</t>
        </is>
      </c>
      <c r="C291" s="28" t="inlineStr">
        <is>
          <t>Maven Advisory LLC</t>
        </is>
      </c>
      <c r="D291" s="28" t="inlineStr"/>
      <c r="E291" s="28" t="inlineStr">
        <is>
          <t>No</t>
        </is>
      </c>
      <c r="F291" s="28" t="inlineStr">
        <is>
          <t>Proposal</t>
        </is>
      </c>
      <c r="G291" s="36" t="n"/>
      <c r="H291" s="40" t="n">
        <v>0.5</v>
      </c>
      <c r="I291" s="37" t="n"/>
      <c r="J291" s="37" t="n"/>
      <c r="K291" s="31" t="n"/>
      <c r="L291" s="31" t="n"/>
      <c r="M291" s="31" t="n"/>
      <c r="N291" s="31" t="n"/>
      <c r="O291" s="31" t="n"/>
      <c r="P291" s="31" t="n"/>
      <c r="Q291" s="23">
        <f>IF($A291="","",COUNTIFS(Assignments!$C$2:$C$769,$A291,Assignments!$G$2:$G$769,"Active"))</f>
        <v/>
      </c>
      <c r="R291" s="32">
        <f>IF($A291="","",SUMIFS(Assignments!$I$2:$I$769,Assignments!$C$2:$C$769,$A291,Assignments!$G$2:$G$769,"Active"))</f>
        <v/>
      </c>
      <c r="S291" s="20" t="inlineStr">
        <is>
          <t>Proposal</t>
        </is>
      </c>
      <c r="T291" s="31" t="n"/>
      <c r="U291" s="36" t="n"/>
      <c r="V291" s="34">
        <f>IF($U291="","",IFERROR(INDEX(Templates!$K$3:$K$10,MATCH($U291,Templates!$A$3:$A$10,0)),""))</f>
        <v/>
      </c>
      <c r="W291" s="34">
        <f>IF($U291="","",IFERROR(INDEX(Templates!$L$3:$L$10,MATCH($U291,Templates!$A$3:$A$10,0)),""))</f>
        <v/>
      </c>
      <c r="X291" s="21">
        <f>IF($U291="","",IFERROR(INDEX(Templates!$J$3:$J$10,MATCH($U291,Templates!$A$3:$A$10,0)),""))</f>
        <v/>
      </c>
      <c r="Y291" s="35">
        <f>IF(OR($U291="",$I291="",$J291="",$X291=""),"",$I291+$X291*($J291-$I291))</f>
        <v/>
      </c>
      <c r="Z291" s="30" t="n">
        <v>46212</v>
      </c>
      <c r="AA291" s="38" t="n"/>
      <c r="AB291" s="39" t="n"/>
      <c r="AC291" s="39" t="n"/>
      <c r="AD291" s="19">
        <f>IF($A291="","",IF($AA291="",$H291,$AA291))</f>
        <v/>
      </c>
      <c r="AE291" s="35">
        <f>IF($A291="","",IF($AB291="",$I291,$AB291))</f>
        <v/>
      </c>
      <c r="AF291" s="35">
        <f>IF($A291="","",IF($AC291="",$J291,$AC291))</f>
        <v/>
      </c>
      <c r="AG291" s="35">
        <f>IF(OR($U291="",$AE291="",$AF291="",$X291=""),"",$AE291+$X291*($AF291-$AE291))</f>
        <v/>
      </c>
      <c r="AH291" s="36" t="n"/>
      <c r="AI291" s="36" t="n"/>
      <c r="AJ291" s="36" t="n"/>
      <c r="AK291" s="36" t="n"/>
      <c r="AL291" s="36" t="n"/>
      <c r="AM291" s="36" t="n"/>
      <c r="AN291" s="36" t="n"/>
      <c r="AO291" s="36" t="n"/>
      <c r="AP291" s="36" t="n"/>
      <c r="AQ291" s="36" t="n"/>
      <c r="AR291" s="36" t="n"/>
      <c r="AS291" s="36" t="n"/>
      <c r="AT291" s="36" t="n"/>
      <c r="AU291" s="36" t="n"/>
      <c r="AV291" s="36" t="n"/>
      <c r="AW291" s="36" t="n"/>
      <c r="AX291" s="36" t="n"/>
    </row>
    <row r="292">
      <c r="A292" s="28" t="inlineStr">
        <is>
          <t>Theta_1</t>
        </is>
      </c>
      <c r="B292" s="20" t="inlineStr">
        <is>
          <t>Thetha FIRPTA</t>
        </is>
      </c>
      <c r="C292" s="28" t="inlineStr">
        <is>
          <t>Thetha FIRPTA</t>
        </is>
      </c>
      <c r="D292" s="28" t="inlineStr"/>
      <c r="E292" s="28" t="inlineStr">
        <is>
          <t>No</t>
        </is>
      </c>
      <c r="F292" s="28" t="inlineStr">
        <is>
          <t>Proposal</t>
        </is>
      </c>
      <c r="G292" s="36" t="n"/>
      <c r="H292" s="40" t="n">
        <v>0.5</v>
      </c>
      <c r="I292" s="37" t="n"/>
      <c r="J292" s="37" t="n"/>
      <c r="K292" s="31" t="n"/>
      <c r="L292" s="31" t="n"/>
      <c r="M292" s="31" t="n"/>
      <c r="N292" s="31" t="n"/>
      <c r="O292" s="31" t="n"/>
      <c r="P292" s="31" t="n"/>
      <c r="Q292" s="23">
        <f>IF($A292="","",COUNTIFS(Assignments!$C$2:$C$769,$A292,Assignments!$G$2:$G$769,"Active"))</f>
        <v/>
      </c>
      <c r="R292" s="32">
        <f>IF($A292="","",SUMIFS(Assignments!$I$2:$I$769,Assignments!$C$2:$C$769,$A292,Assignments!$G$2:$G$769,"Active"))</f>
        <v/>
      </c>
      <c r="S292" s="20" t="inlineStr">
        <is>
          <t>Summary tab only (Proposal)</t>
        </is>
      </c>
      <c r="T292" s="31" t="n"/>
      <c r="U292" s="36" t="n"/>
      <c r="V292" s="34">
        <f>IF($U292="","",IFERROR(INDEX(Templates!$K$3:$K$10,MATCH($U292,Templates!$A$3:$A$10,0)),""))</f>
        <v/>
      </c>
      <c r="W292" s="34">
        <f>IF($U292="","",IFERROR(INDEX(Templates!$L$3:$L$10,MATCH($U292,Templates!$A$3:$A$10,0)),""))</f>
        <v/>
      </c>
      <c r="X292" s="21">
        <f>IF($U292="","",IFERROR(INDEX(Templates!$J$3:$J$10,MATCH($U292,Templates!$A$3:$A$10,0)),""))</f>
        <v/>
      </c>
      <c r="Y292" s="35">
        <f>IF(OR($U292="",$I292="",$J292="",$X292=""),"",$I292+$X292*($J292-$I292))</f>
        <v/>
      </c>
      <c r="Z292" s="30" t="n">
        <v>46212</v>
      </c>
      <c r="AA292" s="38" t="n"/>
      <c r="AB292" s="39" t="n"/>
      <c r="AC292" s="39" t="n"/>
      <c r="AD292" s="19">
        <f>IF($A292="","",IF($AA292="",$H292,$AA292))</f>
        <v/>
      </c>
      <c r="AE292" s="35">
        <f>IF($A292="","",IF($AB292="",$I292,$AB292))</f>
        <v/>
      </c>
      <c r="AF292" s="35">
        <f>IF($A292="","",IF($AC292="",$J292,$AC292))</f>
        <v/>
      </c>
      <c r="AG292" s="35">
        <f>IF(OR($U292="",$AE292="",$AF292="",$X292=""),"",$AE292+$X292*($AF292-$AE292))</f>
        <v/>
      </c>
      <c r="AH292" s="36" t="n"/>
      <c r="AI292" s="36" t="n"/>
      <c r="AJ292" s="36" t="n"/>
      <c r="AK292" s="36" t="n"/>
      <c r="AL292" s="36" t="n"/>
      <c r="AM292" s="36" t="n"/>
      <c r="AN292" s="36" t="n"/>
      <c r="AO292" s="36" t="n"/>
      <c r="AP292" s="36" t="n"/>
      <c r="AQ292" s="36" t="n"/>
      <c r="AR292" s="36" t="n"/>
      <c r="AS292" s="36" t="n"/>
      <c r="AT292" s="36" t="n"/>
      <c r="AU292" s="36" t="n"/>
      <c r="AV292" s="36" t="n"/>
      <c r="AW292" s="36" t="n"/>
      <c r="AX292" s="36" t="n"/>
    </row>
    <row r="293">
      <c r="A293" s="28" t="inlineStr">
        <is>
          <t>TP Assistance_1</t>
        </is>
      </c>
      <c r="B293" s="20" t="inlineStr">
        <is>
          <t>Taxand Global : Arsene TaxAnd</t>
        </is>
      </c>
      <c r="C293" s="28" t="inlineStr">
        <is>
          <t>Taxand Global</t>
        </is>
      </c>
      <c r="D293" s="28" t="inlineStr">
        <is>
          <t>Arsene TaxAnd</t>
        </is>
      </c>
      <c r="E293" s="28" t="inlineStr">
        <is>
          <t>No</t>
        </is>
      </c>
      <c r="F293" s="28" t="inlineStr">
        <is>
          <t>Proposal</t>
        </is>
      </c>
      <c r="G293" s="36" t="n"/>
      <c r="H293" s="40" t="n">
        <v>0.5</v>
      </c>
      <c r="I293" s="37" t="n"/>
      <c r="J293" s="37" t="n"/>
      <c r="K293" s="31" t="n"/>
      <c r="L293" s="31" t="n"/>
      <c r="M293" s="31" t="n"/>
      <c r="N293" s="31" t="n"/>
      <c r="O293" s="31" t="n"/>
      <c r="P293" s="31" t="n"/>
      <c r="Q293" s="23">
        <f>IF($A293="","",COUNTIFS(Assignments!$C$2:$C$769,$A293,Assignments!$G$2:$G$769,"Active"))</f>
        <v/>
      </c>
      <c r="R293" s="32">
        <f>IF($A293="","",SUMIFS(Assignments!$I$2:$I$769,Assignments!$C$2:$C$769,$A293,Assignments!$G$2:$G$769,"Active"))</f>
        <v/>
      </c>
      <c r="S293" s="20" t="inlineStr">
        <is>
          <t>Proposal</t>
        </is>
      </c>
      <c r="T293" s="31" t="n"/>
      <c r="U293" s="36" t="n"/>
      <c r="V293" s="34">
        <f>IF($U293="","",IFERROR(INDEX(Templates!$K$3:$K$10,MATCH($U293,Templates!$A$3:$A$10,0)),""))</f>
        <v/>
      </c>
      <c r="W293" s="34">
        <f>IF($U293="","",IFERROR(INDEX(Templates!$L$3:$L$10,MATCH($U293,Templates!$A$3:$A$10,0)),""))</f>
        <v/>
      </c>
      <c r="X293" s="21">
        <f>IF($U293="","",IFERROR(INDEX(Templates!$J$3:$J$10,MATCH($U293,Templates!$A$3:$A$10,0)),""))</f>
        <v/>
      </c>
      <c r="Y293" s="35">
        <f>IF(OR($U293="",$I293="",$J293="",$X293=""),"",$I293+$X293*($J293-$I293))</f>
        <v/>
      </c>
      <c r="Z293" s="30" t="n">
        <v>46212</v>
      </c>
      <c r="AA293" s="38" t="n"/>
      <c r="AB293" s="39" t="n"/>
      <c r="AC293" s="39" t="n"/>
      <c r="AD293" s="19">
        <f>IF($A293="","",IF($AA293="",$H293,$AA293))</f>
        <v/>
      </c>
      <c r="AE293" s="35">
        <f>IF($A293="","",IF($AB293="",$I293,$AB293))</f>
        <v/>
      </c>
      <c r="AF293" s="35">
        <f>IF($A293="","",IF($AC293="",$J293,$AC293))</f>
        <v/>
      </c>
      <c r="AG293" s="35">
        <f>IF(OR($U293="",$AE293="",$AF293="",$X293=""),"",$AE293+$X293*($AF293-$AE293))</f>
        <v/>
      </c>
      <c r="AH293" s="36" t="n"/>
      <c r="AI293" s="36" t="n"/>
      <c r="AJ293" s="36" t="n"/>
      <c r="AK293" s="36" t="n"/>
      <c r="AL293" s="36" t="n"/>
      <c r="AM293" s="36" t="n"/>
      <c r="AN293" s="36" t="n"/>
      <c r="AO293" s="36" t="n"/>
      <c r="AP293" s="36" t="n"/>
      <c r="AQ293" s="36" t="n"/>
      <c r="AR293" s="36" t="n"/>
      <c r="AS293" s="36" t="n"/>
      <c r="AT293" s="36" t="n"/>
      <c r="AU293" s="36" t="n"/>
      <c r="AV293" s="36" t="n"/>
      <c r="AW293" s="36" t="n"/>
      <c r="AX293" s="36" t="n"/>
    </row>
    <row r="294">
      <c r="A294" s="28" t="inlineStr">
        <is>
          <t>Tracer II_2</t>
        </is>
      </c>
      <c r="B294" s="20" t="inlineStr">
        <is>
          <t>K1 Investment Management</t>
        </is>
      </c>
      <c r="C294" s="28" t="inlineStr">
        <is>
          <t>K1 Investment Management</t>
        </is>
      </c>
      <c r="D294" s="28" t="inlineStr"/>
      <c r="E294" s="28" t="inlineStr">
        <is>
          <t>No</t>
        </is>
      </c>
      <c r="F294" s="28" t="inlineStr">
        <is>
          <t>Proposal</t>
        </is>
      </c>
      <c r="G294" s="36" t="n"/>
      <c r="H294" s="40" t="n">
        <v>0.5</v>
      </c>
      <c r="I294" s="37" t="n"/>
      <c r="J294" s="37" t="n"/>
      <c r="K294" s="31" t="n"/>
      <c r="L294" s="31" t="n"/>
      <c r="M294" s="31" t="n"/>
      <c r="N294" s="31" t="n"/>
      <c r="O294" s="31" t="n"/>
      <c r="P294" s="31" t="n"/>
      <c r="Q294" s="23">
        <f>IF($A294="","",COUNTIFS(Assignments!$C$2:$C$769,$A294,Assignments!$G$2:$G$769,"Active"))</f>
        <v/>
      </c>
      <c r="R294" s="32">
        <f>IF($A294="","",SUMIFS(Assignments!$I$2:$I$769,Assignments!$C$2:$C$769,$A294,Assignments!$G$2:$G$769,"Active"))</f>
        <v/>
      </c>
      <c r="S294" s="20" t="inlineStr">
        <is>
          <t>Proposal</t>
        </is>
      </c>
      <c r="T294" s="31" t="n"/>
      <c r="U294" s="36" t="n"/>
      <c r="V294" s="34">
        <f>IF($U294="","",IFERROR(INDEX(Templates!$K$3:$K$10,MATCH($U294,Templates!$A$3:$A$10,0)),""))</f>
        <v/>
      </c>
      <c r="W294" s="34">
        <f>IF($U294="","",IFERROR(INDEX(Templates!$L$3:$L$10,MATCH($U294,Templates!$A$3:$A$10,0)),""))</f>
        <v/>
      </c>
      <c r="X294" s="21">
        <f>IF($U294="","",IFERROR(INDEX(Templates!$J$3:$J$10,MATCH($U294,Templates!$A$3:$A$10,0)),""))</f>
        <v/>
      </c>
      <c r="Y294" s="35">
        <f>IF(OR($U294="",$I294="",$J294="",$X294=""),"",$I294+$X294*($J294-$I294))</f>
        <v/>
      </c>
      <c r="Z294" s="30" t="n">
        <v>46212</v>
      </c>
      <c r="AA294" s="38" t="n"/>
      <c r="AB294" s="39" t="n"/>
      <c r="AC294" s="39" t="n"/>
      <c r="AD294" s="19">
        <f>IF($A294="","",IF($AA294="",$H294,$AA294))</f>
        <v/>
      </c>
      <c r="AE294" s="35">
        <f>IF($A294="","",IF($AB294="",$I294,$AB294))</f>
        <v/>
      </c>
      <c r="AF294" s="35">
        <f>IF($A294="","",IF($AC294="",$J294,$AC294))</f>
        <v/>
      </c>
      <c r="AG294" s="35">
        <f>IF(OR($U294="",$AE294="",$AF294="",$X294=""),"",$AE294+$X294*($AF294-$AE294))</f>
        <v/>
      </c>
      <c r="AH294" s="36" t="n"/>
      <c r="AI294" s="36" t="n"/>
      <c r="AJ294" s="36" t="n"/>
      <c r="AK294" s="36" t="n"/>
      <c r="AL294" s="36" t="n"/>
      <c r="AM294" s="36" t="n"/>
      <c r="AN294" s="36" t="n"/>
      <c r="AO294" s="36" t="n"/>
      <c r="AP294" s="36" t="n"/>
      <c r="AQ294" s="36" t="n"/>
      <c r="AR294" s="36" t="n"/>
      <c r="AS294" s="36" t="n"/>
      <c r="AT294" s="36" t="n"/>
      <c r="AU294" s="36" t="n"/>
      <c r="AV294" s="36" t="n"/>
      <c r="AW294" s="36" t="n"/>
      <c r="AX294" s="36" t="n"/>
    </row>
    <row r="295">
      <c r="A295" s="28" t="inlineStr">
        <is>
          <t>Turtle_1</t>
        </is>
      </c>
      <c r="B295" s="20" t="inlineStr">
        <is>
          <t>Certa</t>
        </is>
      </c>
      <c r="C295" s="28" t="inlineStr">
        <is>
          <t>Certa</t>
        </is>
      </c>
      <c r="D295" s="28" t="inlineStr"/>
      <c r="E295" s="28" t="inlineStr">
        <is>
          <t>No</t>
        </is>
      </c>
      <c r="F295" s="28" t="inlineStr">
        <is>
          <t>Proposal</t>
        </is>
      </c>
      <c r="G295" s="36" t="n"/>
      <c r="H295" s="40" t="n">
        <v>0.5</v>
      </c>
      <c r="I295" s="37" t="n"/>
      <c r="J295" s="37" t="n"/>
      <c r="K295" s="31" t="n"/>
      <c r="L295" s="31" t="n"/>
      <c r="M295" s="31" t="n"/>
      <c r="N295" s="31" t="n"/>
      <c r="O295" s="31" t="n"/>
      <c r="P295" s="31" t="n"/>
      <c r="Q295" s="23">
        <f>IF($A295="","",COUNTIFS(Assignments!$C$2:$C$769,$A295,Assignments!$G$2:$G$769,"Active"))</f>
        <v/>
      </c>
      <c r="R295" s="32">
        <f>IF($A295="","",SUMIFS(Assignments!$I$2:$I$769,Assignments!$C$2:$C$769,$A295,Assignments!$G$2:$G$769,"Active"))</f>
        <v/>
      </c>
      <c r="S295" s="20" t="inlineStr">
        <is>
          <t>Proposal</t>
        </is>
      </c>
      <c r="T295" s="31" t="n"/>
      <c r="U295" s="36" t="n"/>
      <c r="V295" s="34">
        <f>IF($U295="","",IFERROR(INDEX(Templates!$K$3:$K$10,MATCH($U295,Templates!$A$3:$A$10,0)),""))</f>
        <v/>
      </c>
      <c r="W295" s="34">
        <f>IF($U295="","",IFERROR(INDEX(Templates!$L$3:$L$10,MATCH($U295,Templates!$A$3:$A$10,0)),""))</f>
        <v/>
      </c>
      <c r="X295" s="21">
        <f>IF($U295="","",IFERROR(INDEX(Templates!$J$3:$J$10,MATCH($U295,Templates!$A$3:$A$10,0)),""))</f>
        <v/>
      </c>
      <c r="Y295" s="35">
        <f>IF(OR($U295="",$I295="",$J295="",$X295=""),"",$I295+$X295*($J295-$I295))</f>
        <v/>
      </c>
      <c r="Z295" s="30" t="n">
        <v>46212</v>
      </c>
      <c r="AA295" s="38" t="n"/>
      <c r="AB295" s="39" t="n"/>
      <c r="AC295" s="39" t="n"/>
      <c r="AD295" s="19">
        <f>IF($A295="","",IF($AA295="",$H295,$AA295))</f>
        <v/>
      </c>
      <c r="AE295" s="35">
        <f>IF($A295="","",IF($AB295="",$I295,$AB295))</f>
        <v/>
      </c>
      <c r="AF295" s="35">
        <f>IF($A295="","",IF($AC295="",$J295,$AC295))</f>
        <v/>
      </c>
      <c r="AG295" s="35">
        <f>IF(OR($U295="",$AE295="",$AF295="",$X295=""),"",$AE295+$X295*($AF295-$AE295))</f>
        <v/>
      </c>
      <c r="AH295" s="36" t="n"/>
      <c r="AI295" s="36" t="n"/>
      <c r="AJ295" s="36" t="n"/>
      <c r="AK295" s="36" t="n"/>
      <c r="AL295" s="36" t="n"/>
      <c r="AM295" s="36" t="n"/>
      <c r="AN295" s="36" t="n"/>
      <c r="AO295" s="36" t="n"/>
      <c r="AP295" s="36" t="n"/>
      <c r="AQ295" s="36" t="n"/>
      <c r="AR295" s="36" t="n"/>
      <c r="AS295" s="36" t="n"/>
      <c r="AT295" s="36" t="n"/>
      <c r="AU295" s="36" t="n"/>
      <c r="AV295" s="36" t="n"/>
      <c r="AW295" s="36" t="n"/>
      <c r="AX295" s="36" t="n"/>
    </row>
    <row r="296">
      <c r="A296" s="28" t="inlineStr">
        <is>
          <t>Twister_1</t>
        </is>
      </c>
      <c r="B296" s="20" t="inlineStr">
        <is>
          <t>LS Power</t>
        </is>
      </c>
      <c r="C296" s="28" t="inlineStr">
        <is>
          <t>LS Power</t>
        </is>
      </c>
      <c r="D296" s="28" t="inlineStr"/>
      <c r="E296" s="28" t="inlineStr">
        <is>
          <t>No</t>
        </is>
      </c>
      <c r="F296" s="28" t="inlineStr">
        <is>
          <t>Proposal</t>
        </is>
      </c>
      <c r="G296" s="36" t="n"/>
      <c r="H296" s="40" t="n">
        <v>0.5</v>
      </c>
      <c r="I296" s="37" t="n"/>
      <c r="J296" s="37" t="n"/>
      <c r="K296" s="31" t="n"/>
      <c r="L296" s="31" t="n"/>
      <c r="M296" s="31" t="n"/>
      <c r="N296" s="31" t="n"/>
      <c r="O296" s="31" t="n"/>
      <c r="P296" s="31" t="n"/>
      <c r="Q296" s="23">
        <f>IF($A296="","",COUNTIFS(Assignments!$C$2:$C$769,$A296,Assignments!$G$2:$G$769,"Active"))</f>
        <v/>
      </c>
      <c r="R296" s="32">
        <f>IF($A296="","",SUMIFS(Assignments!$I$2:$I$769,Assignments!$C$2:$C$769,$A296,Assignments!$G$2:$G$769,"Active"))</f>
        <v/>
      </c>
      <c r="S296" s="20" t="inlineStr">
        <is>
          <t>Proposal</t>
        </is>
      </c>
      <c r="T296" s="31" t="n"/>
      <c r="U296" s="36" t="n"/>
      <c r="V296" s="34">
        <f>IF($U296="","",IFERROR(INDEX(Templates!$K$3:$K$10,MATCH($U296,Templates!$A$3:$A$10,0)),""))</f>
        <v/>
      </c>
      <c r="W296" s="34">
        <f>IF($U296="","",IFERROR(INDEX(Templates!$L$3:$L$10,MATCH($U296,Templates!$A$3:$A$10,0)),""))</f>
        <v/>
      </c>
      <c r="X296" s="21">
        <f>IF($U296="","",IFERROR(INDEX(Templates!$J$3:$J$10,MATCH($U296,Templates!$A$3:$A$10,0)),""))</f>
        <v/>
      </c>
      <c r="Y296" s="35">
        <f>IF(OR($U296="",$I296="",$J296="",$X296=""),"",$I296+$X296*($J296-$I296))</f>
        <v/>
      </c>
      <c r="Z296" s="30" t="n">
        <v>46212</v>
      </c>
      <c r="AA296" s="38" t="n"/>
      <c r="AB296" s="39" t="n"/>
      <c r="AC296" s="39" t="n"/>
      <c r="AD296" s="19">
        <f>IF($A296="","",IF($AA296="",$H296,$AA296))</f>
        <v/>
      </c>
      <c r="AE296" s="35">
        <f>IF($A296="","",IF($AB296="",$I296,$AB296))</f>
        <v/>
      </c>
      <c r="AF296" s="35">
        <f>IF($A296="","",IF($AC296="",$J296,$AC296))</f>
        <v/>
      </c>
      <c r="AG296" s="35">
        <f>IF(OR($U296="",$AE296="",$AF296="",$X296=""),"",$AE296+$X296*($AF296-$AE296))</f>
        <v/>
      </c>
      <c r="AH296" s="36" t="n"/>
      <c r="AI296" s="36" t="n"/>
      <c r="AJ296" s="36" t="n"/>
      <c r="AK296" s="36" t="n"/>
      <c r="AL296" s="36" t="n"/>
      <c r="AM296" s="36" t="n"/>
      <c r="AN296" s="36" t="n"/>
      <c r="AO296" s="36" t="n"/>
      <c r="AP296" s="36" t="n"/>
      <c r="AQ296" s="36" t="n"/>
      <c r="AR296" s="36" t="n"/>
      <c r="AS296" s="36" t="n"/>
      <c r="AT296" s="36" t="n"/>
      <c r="AU296" s="36" t="n"/>
      <c r="AV296" s="36" t="n"/>
      <c r="AW296" s="36" t="n"/>
      <c r="AX296" s="36" t="n"/>
    </row>
    <row r="297">
      <c r="A297" s="28" t="inlineStr">
        <is>
          <t>UPS_1</t>
        </is>
      </c>
      <c r="B297" s="20" t="inlineStr">
        <is>
          <t>Brookfield Asset Management</t>
        </is>
      </c>
      <c r="C297" s="28" t="inlineStr">
        <is>
          <t>Brookfield Asset Management</t>
        </is>
      </c>
      <c r="D297" s="28" t="inlineStr"/>
      <c r="E297" s="28" t="inlineStr">
        <is>
          <t>No</t>
        </is>
      </c>
      <c r="F297" s="28" t="inlineStr">
        <is>
          <t>Proposal</t>
        </is>
      </c>
      <c r="G297" s="36" t="n"/>
      <c r="H297" s="40" t="n">
        <v>0.5</v>
      </c>
      <c r="I297" s="37" t="n"/>
      <c r="J297" s="37" t="n"/>
      <c r="K297" s="31" t="n"/>
      <c r="L297" s="31" t="n"/>
      <c r="M297" s="31" t="n"/>
      <c r="N297" s="31" t="n"/>
      <c r="O297" s="31" t="n"/>
      <c r="P297" s="31" t="n"/>
      <c r="Q297" s="23">
        <f>IF($A297="","",COUNTIFS(Assignments!$C$2:$C$769,$A297,Assignments!$G$2:$G$769,"Active"))</f>
        <v/>
      </c>
      <c r="R297" s="32">
        <f>IF($A297="","",SUMIFS(Assignments!$I$2:$I$769,Assignments!$C$2:$C$769,$A297,Assignments!$G$2:$G$769,"Active"))</f>
        <v/>
      </c>
      <c r="S297" s="20" t="inlineStr">
        <is>
          <t>Proposal</t>
        </is>
      </c>
      <c r="T297" s="31" t="n"/>
      <c r="U297" s="36" t="n"/>
      <c r="V297" s="34">
        <f>IF($U297="","",IFERROR(INDEX(Templates!$K$3:$K$10,MATCH($U297,Templates!$A$3:$A$10,0)),""))</f>
        <v/>
      </c>
      <c r="W297" s="34">
        <f>IF($U297="","",IFERROR(INDEX(Templates!$L$3:$L$10,MATCH($U297,Templates!$A$3:$A$10,0)),""))</f>
        <v/>
      </c>
      <c r="X297" s="21">
        <f>IF($U297="","",IFERROR(INDEX(Templates!$J$3:$J$10,MATCH($U297,Templates!$A$3:$A$10,0)),""))</f>
        <v/>
      </c>
      <c r="Y297" s="35">
        <f>IF(OR($U297="",$I297="",$J297="",$X297=""),"",$I297+$X297*($J297-$I297))</f>
        <v/>
      </c>
      <c r="Z297" s="30" t="n">
        <v>46212</v>
      </c>
      <c r="AA297" s="38" t="n"/>
      <c r="AB297" s="39" t="n"/>
      <c r="AC297" s="39" t="n"/>
      <c r="AD297" s="19">
        <f>IF($A297="","",IF($AA297="",$H297,$AA297))</f>
        <v/>
      </c>
      <c r="AE297" s="35">
        <f>IF($A297="","",IF($AB297="",$I297,$AB297))</f>
        <v/>
      </c>
      <c r="AF297" s="35">
        <f>IF($A297="","",IF($AC297="",$J297,$AC297))</f>
        <v/>
      </c>
      <c r="AG297" s="35">
        <f>IF(OR($U297="",$AE297="",$AF297="",$X297=""),"",$AE297+$X297*($AF297-$AE297))</f>
        <v/>
      </c>
      <c r="AH297" s="36" t="n"/>
      <c r="AI297" s="36" t="n"/>
      <c r="AJ297" s="36" t="n"/>
      <c r="AK297" s="36" t="n"/>
      <c r="AL297" s="36" t="n"/>
      <c r="AM297" s="36" t="n"/>
      <c r="AN297" s="36" t="n"/>
      <c r="AO297" s="36" t="n"/>
      <c r="AP297" s="36" t="n"/>
      <c r="AQ297" s="36" t="n"/>
      <c r="AR297" s="36" t="n"/>
      <c r="AS297" s="36" t="n"/>
      <c r="AT297" s="36" t="n"/>
      <c r="AU297" s="36" t="n"/>
      <c r="AV297" s="36" t="n"/>
      <c r="AW297" s="36" t="n"/>
      <c r="AX297" s="36" t="n"/>
    </row>
    <row r="298">
      <c r="A298" s="28" t="inlineStr">
        <is>
          <t>US Investment_1</t>
        </is>
      </c>
      <c r="B298" s="20" t="inlineStr">
        <is>
          <t>Taxand Global : ATOZ Tax Advisers Luxembourg</t>
        </is>
      </c>
      <c r="C298" s="28" t="inlineStr">
        <is>
          <t>Taxand Global</t>
        </is>
      </c>
      <c r="D298" s="28" t="inlineStr">
        <is>
          <t>ATOZ Tax Advisers Luxembourg</t>
        </is>
      </c>
      <c r="E298" s="28" t="inlineStr">
        <is>
          <t>No</t>
        </is>
      </c>
      <c r="F298" s="28" t="inlineStr">
        <is>
          <t>Proposal</t>
        </is>
      </c>
      <c r="G298" s="36" t="n"/>
      <c r="H298" s="40" t="n">
        <v>0.5</v>
      </c>
      <c r="I298" s="37" t="n"/>
      <c r="J298" s="37" t="n"/>
      <c r="K298" s="31" t="n"/>
      <c r="L298" s="31" t="n"/>
      <c r="M298" s="31" t="n"/>
      <c r="N298" s="31" t="n"/>
      <c r="O298" s="31" t="n"/>
      <c r="P298" s="31" t="n"/>
      <c r="Q298" s="23">
        <f>IF($A298="","",COUNTIFS(Assignments!$C$2:$C$769,$A298,Assignments!$G$2:$G$769,"Active"))</f>
        <v/>
      </c>
      <c r="R298" s="32">
        <f>IF($A298="","",SUMIFS(Assignments!$I$2:$I$769,Assignments!$C$2:$C$769,$A298,Assignments!$G$2:$G$769,"Active"))</f>
        <v/>
      </c>
      <c r="S298" s="20" t="inlineStr">
        <is>
          <t>Proposal</t>
        </is>
      </c>
      <c r="T298" s="31" t="n"/>
      <c r="U298" s="36" t="n"/>
      <c r="V298" s="34">
        <f>IF($U298="","",IFERROR(INDEX(Templates!$K$3:$K$10,MATCH($U298,Templates!$A$3:$A$10,0)),""))</f>
        <v/>
      </c>
      <c r="W298" s="34">
        <f>IF($U298="","",IFERROR(INDEX(Templates!$L$3:$L$10,MATCH($U298,Templates!$A$3:$A$10,0)),""))</f>
        <v/>
      </c>
      <c r="X298" s="21">
        <f>IF($U298="","",IFERROR(INDEX(Templates!$J$3:$J$10,MATCH($U298,Templates!$A$3:$A$10,0)),""))</f>
        <v/>
      </c>
      <c r="Y298" s="35">
        <f>IF(OR($U298="",$I298="",$J298="",$X298=""),"",$I298+$X298*($J298-$I298))</f>
        <v/>
      </c>
      <c r="Z298" s="30" t="n">
        <v>46212</v>
      </c>
      <c r="AA298" s="38" t="n"/>
      <c r="AB298" s="39" t="n"/>
      <c r="AC298" s="39" t="n"/>
      <c r="AD298" s="19">
        <f>IF($A298="","",IF($AA298="",$H298,$AA298))</f>
        <v/>
      </c>
      <c r="AE298" s="35">
        <f>IF($A298="","",IF($AB298="",$I298,$AB298))</f>
        <v/>
      </c>
      <c r="AF298" s="35">
        <f>IF($A298="","",IF($AC298="",$J298,$AC298))</f>
        <v/>
      </c>
      <c r="AG298" s="35">
        <f>IF(OR($U298="",$AE298="",$AF298="",$X298=""),"",$AE298+$X298*($AF298-$AE298))</f>
        <v/>
      </c>
      <c r="AH298" s="36" t="n"/>
      <c r="AI298" s="36" t="n"/>
      <c r="AJ298" s="36" t="n"/>
      <c r="AK298" s="36" t="n"/>
      <c r="AL298" s="36" t="n"/>
      <c r="AM298" s="36" t="n"/>
      <c r="AN298" s="36" t="n"/>
      <c r="AO298" s="36" t="n"/>
      <c r="AP298" s="36" t="n"/>
      <c r="AQ298" s="36" t="n"/>
      <c r="AR298" s="36" t="n"/>
      <c r="AS298" s="36" t="n"/>
      <c r="AT298" s="36" t="n"/>
      <c r="AU298" s="36" t="n"/>
      <c r="AV298" s="36" t="n"/>
      <c r="AW298" s="36" t="n"/>
      <c r="AX298" s="36" t="n"/>
    </row>
    <row r="299">
      <c r="A299" s="28" t="inlineStr">
        <is>
          <t>US Restructuring_1</t>
        </is>
      </c>
      <c r="B299" s="20" t="inlineStr">
        <is>
          <t>Taxand Global : ATOZ Tax Advisers Luxembourg</t>
        </is>
      </c>
      <c r="C299" s="28" t="inlineStr">
        <is>
          <t>Taxand Global</t>
        </is>
      </c>
      <c r="D299" s="28" t="inlineStr">
        <is>
          <t>ATOZ Tax Advisers Luxembourg</t>
        </is>
      </c>
      <c r="E299" s="28" t="inlineStr">
        <is>
          <t>No</t>
        </is>
      </c>
      <c r="F299" s="28" t="inlineStr">
        <is>
          <t>Proposal</t>
        </is>
      </c>
      <c r="G299" s="36" t="n"/>
      <c r="H299" s="40" t="n">
        <v>0.5</v>
      </c>
      <c r="I299" s="37" t="n"/>
      <c r="J299" s="37" t="n"/>
      <c r="K299" s="31" t="n"/>
      <c r="L299" s="31" t="n"/>
      <c r="M299" s="31" t="n"/>
      <c r="N299" s="31" t="n"/>
      <c r="O299" s="31" t="n"/>
      <c r="P299" s="31" t="n"/>
      <c r="Q299" s="23">
        <f>IF($A299="","",COUNTIFS(Assignments!$C$2:$C$769,$A299,Assignments!$G$2:$G$769,"Active"))</f>
        <v/>
      </c>
      <c r="R299" s="32">
        <f>IF($A299="","",SUMIFS(Assignments!$I$2:$I$769,Assignments!$C$2:$C$769,$A299,Assignments!$G$2:$G$769,"Active"))</f>
        <v/>
      </c>
      <c r="S299" s="20" t="inlineStr">
        <is>
          <t>Proposal</t>
        </is>
      </c>
      <c r="T299" s="31" t="n"/>
      <c r="U299" s="36" t="n"/>
      <c r="V299" s="34">
        <f>IF($U299="","",IFERROR(INDEX(Templates!$K$3:$K$10,MATCH($U299,Templates!$A$3:$A$10,0)),""))</f>
        <v/>
      </c>
      <c r="W299" s="34">
        <f>IF($U299="","",IFERROR(INDEX(Templates!$L$3:$L$10,MATCH($U299,Templates!$A$3:$A$10,0)),""))</f>
        <v/>
      </c>
      <c r="X299" s="21">
        <f>IF($U299="","",IFERROR(INDEX(Templates!$J$3:$J$10,MATCH($U299,Templates!$A$3:$A$10,0)),""))</f>
        <v/>
      </c>
      <c r="Y299" s="35">
        <f>IF(OR($U299="",$I299="",$J299="",$X299=""),"",$I299+$X299*($J299-$I299))</f>
        <v/>
      </c>
      <c r="Z299" s="30" t="n">
        <v>46212</v>
      </c>
      <c r="AA299" s="38" t="n"/>
      <c r="AB299" s="39" t="n"/>
      <c r="AC299" s="39" t="n"/>
      <c r="AD299" s="19">
        <f>IF($A299="","",IF($AA299="",$H299,$AA299))</f>
        <v/>
      </c>
      <c r="AE299" s="35">
        <f>IF($A299="","",IF($AB299="",$I299,$AB299))</f>
        <v/>
      </c>
      <c r="AF299" s="35">
        <f>IF($A299="","",IF($AC299="",$J299,$AC299))</f>
        <v/>
      </c>
      <c r="AG299" s="35">
        <f>IF(OR($U299="",$AE299="",$AF299="",$X299=""),"",$AE299+$X299*($AF299-$AE299))</f>
        <v/>
      </c>
      <c r="AH299" s="36" t="n"/>
      <c r="AI299" s="36" t="n"/>
      <c r="AJ299" s="36" t="n"/>
      <c r="AK299" s="36" t="n"/>
      <c r="AL299" s="36" t="n"/>
      <c r="AM299" s="36" t="n"/>
      <c r="AN299" s="36" t="n"/>
      <c r="AO299" s="36" t="n"/>
      <c r="AP299" s="36" t="n"/>
      <c r="AQ299" s="36" t="n"/>
      <c r="AR299" s="36" t="n"/>
      <c r="AS299" s="36" t="n"/>
      <c r="AT299" s="36" t="n"/>
      <c r="AU299" s="36" t="n"/>
      <c r="AV299" s="36" t="n"/>
      <c r="AW299" s="36" t="n"/>
      <c r="AX299" s="36" t="n"/>
    </row>
    <row r="300">
      <c r="A300" s="28" t="inlineStr">
        <is>
          <t>Victoria_2</t>
        </is>
      </c>
      <c r="B300" s="20" t="inlineStr">
        <is>
          <t>Euclid Transactional</t>
        </is>
      </c>
      <c r="C300" s="28" t="inlineStr">
        <is>
          <t>Euclid Transactional</t>
        </is>
      </c>
      <c r="D300" s="28" t="inlineStr"/>
      <c r="E300" s="28" t="inlineStr">
        <is>
          <t>No</t>
        </is>
      </c>
      <c r="F300" s="28" t="inlineStr">
        <is>
          <t>Proposal</t>
        </is>
      </c>
      <c r="G300" s="36" t="n"/>
      <c r="H300" s="40" t="n">
        <v>0.5</v>
      </c>
      <c r="I300" s="37" t="n"/>
      <c r="J300" s="37" t="n"/>
      <c r="K300" s="31" t="n"/>
      <c r="L300" s="31" t="n"/>
      <c r="M300" s="31" t="n"/>
      <c r="N300" s="31" t="n"/>
      <c r="O300" s="31" t="n"/>
      <c r="P300" s="31" t="n"/>
      <c r="Q300" s="23">
        <f>IF($A300="","",COUNTIFS(Assignments!$C$2:$C$769,$A300,Assignments!$G$2:$G$769,"Active"))</f>
        <v/>
      </c>
      <c r="R300" s="32">
        <f>IF($A300="","",SUMIFS(Assignments!$I$2:$I$769,Assignments!$C$2:$C$769,$A300,Assignments!$G$2:$G$769,"Active"))</f>
        <v/>
      </c>
      <c r="S300" s="20" t="inlineStr">
        <is>
          <t>Proposal</t>
        </is>
      </c>
      <c r="T300" s="31" t="n"/>
      <c r="U300" s="36" t="n"/>
      <c r="V300" s="34">
        <f>IF($U300="","",IFERROR(INDEX(Templates!$K$3:$K$10,MATCH($U300,Templates!$A$3:$A$10,0)),""))</f>
        <v/>
      </c>
      <c r="W300" s="34">
        <f>IF($U300="","",IFERROR(INDEX(Templates!$L$3:$L$10,MATCH($U300,Templates!$A$3:$A$10,0)),""))</f>
        <v/>
      </c>
      <c r="X300" s="21">
        <f>IF($U300="","",IFERROR(INDEX(Templates!$J$3:$J$10,MATCH($U300,Templates!$A$3:$A$10,0)),""))</f>
        <v/>
      </c>
      <c r="Y300" s="35">
        <f>IF(OR($U300="",$I300="",$J300="",$X300=""),"",$I300+$X300*($J300-$I300))</f>
        <v/>
      </c>
      <c r="Z300" s="30" t="n">
        <v>46212</v>
      </c>
      <c r="AA300" s="38" t="n"/>
      <c r="AB300" s="39" t="n"/>
      <c r="AC300" s="39" t="n"/>
      <c r="AD300" s="19">
        <f>IF($A300="","",IF($AA300="",$H300,$AA300))</f>
        <v/>
      </c>
      <c r="AE300" s="35">
        <f>IF($A300="","",IF($AB300="",$I300,$AB300))</f>
        <v/>
      </c>
      <c r="AF300" s="35">
        <f>IF($A300="","",IF($AC300="",$J300,$AC300))</f>
        <v/>
      </c>
      <c r="AG300" s="35">
        <f>IF(OR($U300="",$AE300="",$AF300="",$X300=""),"",$AE300+$X300*($AF300-$AE300))</f>
        <v/>
      </c>
      <c r="AH300" s="36" t="n"/>
      <c r="AI300" s="36" t="n"/>
      <c r="AJ300" s="36" t="n"/>
      <c r="AK300" s="36" t="n"/>
      <c r="AL300" s="36" t="n"/>
      <c r="AM300" s="36" t="n"/>
      <c r="AN300" s="36" t="n"/>
      <c r="AO300" s="36" t="n"/>
      <c r="AP300" s="36" t="n"/>
      <c r="AQ300" s="36" t="n"/>
      <c r="AR300" s="36" t="n"/>
      <c r="AS300" s="36" t="n"/>
      <c r="AT300" s="36" t="n"/>
      <c r="AU300" s="36" t="n"/>
      <c r="AV300" s="36" t="n"/>
      <c r="AW300" s="36" t="n"/>
      <c r="AX300" s="36" t="n"/>
    </row>
    <row r="301">
      <c r="A301" s="28" t="inlineStr">
        <is>
          <t>Voltaire_1</t>
        </is>
      </c>
      <c r="B301" s="20" t="inlineStr">
        <is>
          <t>Macquarie Group : DESRI</t>
        </is>
      </c>
      <c r="C301" s="28" t="inlineStr">
        <is>
          <t>Macquarie Group</t>
        </is>
      </c>
      <c r="D301" s="28" t="inlineStr">
        <is>
          <t>DESRI</t>
        </is>
      </c>
      <c r="E301" s="28" t="inlineStr">
        <is>
          <t>No</t>
        </is>
      </c>
      <c r="F301" s="28" t="inlineStr">
        <is>
          <t>Proposal</t>
        </is>
      </c>
      <c r="G301" s="36" t="n"/>
      <c r="H301" s="40" t="n">
        <v>0.5</v>
      </c>
      <c r="I301" s="37" t="n"/>
      <c r="J301" s="37" t="n"/>
      <c r="K301" s="31" t="n"/>
      <c r="L301" s="31" t="n"/>
      <c r="M301" s="31" t="n"/>
      <c r="N301" s="31" t="n"/>
      <c r="O301" s="31" t="n"/>
      <c r="P301" s="31" t="n"/>
      <c r="Q301" s="23">
        <f>IF($A301="","",COUNTIFS(Assignments!$C$2:$C$769,$A301,Assignments!$G$2:$G$769,"Active"))</f>
        <v/>
      </c>
      <c r="R301" s="32">
        <f>IF($A301="","",SUMIFS(Assignments!$I$2:$I$769,Assignments!$C$2:$C$769,$A301,Assignments!$G$2:$G$769,"Active"))</f>
        <v/>
      </c>
      <c r="S301" s="20" t="inlineStr">
        <is>
          <t>Proposal</t>
        </is>
      </c>
      <c r="T301" s="31" t="n"/>
      <c r="U301" s="36" t="n"/>
      <c r="V301" s="34">
        <f>IF($U301="","",IFERROR(INDEX(Templates!$K$3:$K$10,MATCH($U301,Templates!$A$3:$A$10,0)),""))</f>
        <v/>
      </c>
      <c r="W301" s="34">
        <f>IF($U301="","",IFERROR(INDEX(Templates!$L$3:$L$10,MATCH($U301,Templates!$A$3:$A$10,0)),""))</f>
        <v/>
      </c>
      <c r="X301" s="21">
        <f>IF($U301="","",IFERROR(INDEX(Templates!$J$3:$J$10,MATCH($U301,Templates!$A$3:$A$10,0)),""))</f>
        <v/>
      </c>
      <c r="Y301" s="35">
        <f>IF(OR($U301="",$I301="",$J301="",$X301=""),"",$I301+$X301*($J301-$I301))</f>
        <v/>
      </c>
      <c r="Z301" s="30" t="n">
        <v>46212</v>
      </c>
      <c r="AA301" s="38" t="n"/>
      <c r="AB301" s="39" t="n"/>
      <c r="AC301" s="39" t="n"/>
      <c r="AD301" s="19">
        <f>IF($A301="","",IF($AA301="",$H301,$AA301))</f>
        <v/>
      </c>
      <c r="AE301" s="35">
        <f>IF($A301="","",IF($AB301="",$I301,$AB301))</f>
        <v/>
      </c>
      <c r="AF301" s="35">
        <f>IF($A301="","",IF($AC301="",$J301,$AC301))</f>
        <v/>
      </c>
      <c r="AG301" s="35">
        <f>IF(OR($U301="",$AE301="",$AF301="",$X301=""),"",$AE301+$X301*($AF301-$AE301))</f>
        <v/>
      </c>
      <c r="AH301" s="36" t="n"/>
      <c r="AI301" s="36" t="n"/>
      <c r="AJ301" s="36" t="n"/>
      <c r="AK301" s="36" t="n"/>
      <c r="AL301" s="36" t="n"/>
      <c r="AM301" s="36" t="n"/>
      <c r="AN301" s="36" t="n"/>
      <c r="AO301" s="36" t="n"/>
      <c r="AP301" s="36" t="n"/>
      <c r="AQ301" s="36" t="n"/>
      <c r="AR301" s="36" t="n"/>
      <c r="AS301" s="36" t="n"/>
      <c r="AT301" s="36" t="n"/>
      <c r="AU301" s="36" t="n"/>
      <c r="AV301" s="36" t="n"/>
      <c r="AW301" s="36" t="n"/>
      <c r="AX301" s="36" t="n"/>
    </row>
    <row r="302">
      <c r="A302" s="28" t="inlineStr">
        <is>
          <t>Walnut_1</t>
        </is>
      </c>
      <c r="B302" s="20" t="inlineStr">
        <is>
          <t>Ryan Transactional Risk</t>
        </is>
      </c>
      <c r="C302" s="28" t="inlineStr">
        <is>
          <t>Ryan Transactional Risk</t>
        </is>
      </c>
      <c r="D302" s="28" t="inlineStr"/>
      <c r="E302" s="28" t="inlineStr">
        <is>
          <t>No</t>
        </is>
      </c>
      <c r="F302" s="28" t="inlineStr">
        <is>
          <t>Proposal</t>
        </is>
      </c>
      <c r="G302" s="36" t="n"/>
      <c r="H302" s="40" t="n">
        <v>0.5</v>
      </c>
      <c r="I302" s="37" t="n"/>
      <c r="J302" s="37" t="n"/>
      <c r="K302" s="31" t="n"/>
      <c r="L302" s="31" t="n"/>
      <c r="M302" s="31" t="n"/>
      <c r="N302" s="31" t="n"/>
      <c r="O302" s="31" t="n"/>
      <c r="P302" s="31" t="n"/>
      <c r="Q302" s="23">
        <f>IF($A302="","",COUNTIFS(Assignments!$C$2:$C$769,$A302,Assignments!$G$2:$G$769,"Active"))</f>
        <v/>
      </c>
      <c r="R302" s="32">
        <f>IF($A302="","",SUMIFS(Assignments!$I$2:$I$769,Assignments!$C$2:$C$769,$A302,Assignments!$G$2:$G$769,"Active"))</f>
        <v/>
      </c>
      <c r="S302" s="20" t="inlineStr">
        <is>
          <t>Proposal</t>
        </is>
      </c>
      <c r="T302" s="31" t="n"/>
      <c r="U302" s="36" t="n"/>
      <c r="V302" s="34">
        <f>IF($U302="","",IFERROR(INDEX(Templates!$K$3:$K$10,MATCH($U302,Templates!$A$3:$A$10,0)),""))</f>
        <v/>
      </c>
      <c r="W302" s="34">
        <f>IF($U302="","",IFERROR(INDEX(Templates!$L$3:$L$10,MATCH($U302,Templates!$A$3:$A$10,0)),""))</f>
        <v/>
      </c>
      <c r="X302" s="21">
        <f>IF($U302="","",IFERROR(INDEX(Templates!$J$3:$J$10,MATCH($U302,Templates!$A$3:$A$10,0)),""))</f>
        <v/>
      </c>
      <c r="Y302" s="35">
        <f>IF(OR($U302="",$I302="",$J302="",$X302=""),"",$I302+$X302*($J302-$I302))</f>
        <v/>
      </c>
      <c r="Z302" s="30" t="n">
        <v>46212</v>
      </c>
      <c r="AA302" s="38" t="n"/>
      <c r="AB302" s="39" t="n"/>
      <c r="AC302" s="39" t="n"/>
      <c r="AD302" s="19">
        <f>IF($A302="","",IF($AA302="",$H302,$AA302))</f>
        <v/>
      </c>
      <c r="AE302" s="35">
        <f>IF($A302="","",IF($AB302="",$I302,$AB302))</f>
        <v/>
      </c>
      <c r="AF302" s="35">
        <f>IF($A302="","",IF($AC302="",$J302,$AC302))</f>
        <v/>
      </c>
      <c r="AG302" s="35">
        <f>IF(OR($U302="",$AE302="",$AF302="",$X302=""),"",$AE302+$X302*($AF302-$AE302))</f>
        <v/>
      </c>
      <c r="AH302" s="36" t="n"/>
      <c r="AI302" s="36" t="n"/>
      <c r="AJ302" s="36" t="n"/>
      <c r="AK302" s="36" t="n"/>
      <c r="AL302" s="36" t="n"/>
      <c r="AM302" s="36" t="n"/>
      <c r="AN302" s="36" t="n"/>
      <c r="AO302" s="36" t="n"/>
      <c r="AP302" s="36" t="n"/>
      <c r="AQ302" s="36" t="n"/>
      <c r="AR302" s="36" t="n"/>
      <c r="AS302" s="36" t="n"/>
      <c r="AT302" s="36" t="n"/>
      <c r="AU302" s="36" t="n"/>
      <c r="AV302" s="36" t="n"/>
      <c r="AW302" s="36" t="n"/>
      <c r="AX302" s="36" t="n"/>
    </row>
    <row r="303">
      <c r="A303" s="28" t="inlineStr">
        <is>
          <t>West_2</t>
        </is>
      </c>
      <c r="B303" s="20" t="inlineStr">
        <is>
          <t>Fengate</t>
        </is>
      </c>
      <c r="C303" s="28" t="inlineStr">
        <is>
          <t>Fengate</t>
        </is>
      </c>
      <c r="D303" s="28" t="inlineStr"/>
      <c r="E303" s="28" t="inlineStr">
        <is>
          <t>No</t>
        </is>
      </c>
      <c r="F303" s="28" t="inlineStr">
        <is>
          <t>Proposal</t>
        </is>
      </c>
      <c r="G303" s="36" t="n"/>
      <c r="H303" s="40" t="n">
        <v>0.5</v>
      </c>
      <c r="I303" s="37" t="n"/>
      <c r="J303" s="37" t="n"/>
      <c r="K303" s="31" t="n"/>
      <c r="L303" s="31" t="n"/>
      <c r="M303" s="31" t="n"/>
      <c r="N303" s="31" t="n"/>
      <c r="O303" s="31" t="n"/>
      <c r="P303" s="31" t="n"/>
      <c r="Q303" s="23">
        <f>IF($A303="","",COUNTIFS(Assignments!$C$2:$C$769,$A303,Assignments!$G$2:$G$769,"Active"))</f>
        <v/>
      </c>
      <c r="R303" s="32">
        <f>IF($A303="","",SUMIFS(Assignments!$I$2:$I$769,Assignments!$C$2:$C$769,$A303,Assignments!$G$2:$G$769,"Active"))</f>
        <v/>
      </c>
      <c r="S303" s="20" t="inlineStr">
        <is>
          <t>Proposal</t>
        </is>
      </c>
      <c r="T303" s="31" t="n"/>
      <c r="U303" s="36" t="n"/>
      <c r="V303" s="34">
        <f>IF($U303="","",IFERROR(INDEX(Templates!$K$3:$K$10,MATCH($U303,Templates!$A$3:$A$10,0)),""))</f>
        <v/>
      </c>
      <c r="W303" s="34">
        <f>IF($U303="","",IFERROR(INDEX(Templates!$L$3:$L$10,MATCH($U303,Templates!$A$3:$A$10,0)),""))</f>
        <v/>
      </c>
      <c r="X303" s="21">
        <f>IF($U303="","",IFERROR(INDEX(Templates!$J$3:$J$10,MATCH($U303,Templates!$A$3:$A$10,0)),""))</f>
        <v/>
      </c>
      <c r="Y303" s="35">
        <f>IF(OR($U303="",$I303="",$J303="",$X303=""),"",$I303+$X303*($J303-$I303))</f>
        <v/>
      </c>
      <c r="Z303" s="30" t="n">
        <v>46212</v>
      </c>
      <c r="AA303" s="38" t="n"/>
      <c r="AB303" s="39" t="n"/>
      <c r="AC303" s="39" t="n"/>
      <c r="AD303" s="19">
        <f>IF($A303="","",IF($AA303="",$H303,$AA303))</f>
        <v/>
      </c>
      <c r="AE303" s="35">
        <f>IF($A303="","",IF($AB303="",$I303,$AB303))</f>
        <v/>
      </c>
      <c r="AF303" s="35">
        <f>IF($A303="","",IF($AC303="",$J303,$AC303))</f>
        <v/>
      </c>
      <c r="AG303" s="35">
        <f>IF(OR($U303="",$AE303="",$AF303="",$X303=""),"",$AE303+$X303*($AF303-$AE303))</f>
        <v/>
      </c>
      <c r="AH303" s="36" t="n"/>
      <c r="AI303" s="36" t="n"/>
      <c r="AJ303" s="36" t="n"/>
      <c r="AK303" s="36" t="n"/>
      <c r="AL303" s="36" t="n"/>
      <c r="AM303" s="36" t="n"/>
      <c r="AN303" s="36" t="n"/>
      <c r="AO303" s="36" t="n"/>
      <c r="AP303" s="36" t="n"/>
      <c r="AQ303" s="36" t="n"/>
      <c r="AR303" s="36" t="n"/>
      <c r="AS303" s="36" t="n"/>
      <c r="AT303" s="36" t="n"/>
      <c r="AU303" s="36" t="n"/>
      <c r="AV303" s="36" t="n"/>
      <c r="AW303" s="36" t="n"/>
      <c r="AX303" s="36" t="n"/>
    </row>
    <row r="304">
      <c r="A304" s="28" t="inlineStr">
        <is>
          <t>WIE_1</t>
        </is>
      </c>
      <c r="B304" s="20" t="inlineStr">
        <is>
          <t>Certa</t>
        </is>
      </c>
      <c r="C304" s="28" t="inlineStr">
        <is>
          <t>Certa</t>
        </is>
      </c>
      <c r="D304" s="28" t="inlineStr"/>
      <c r="E304" s="28" t="inlineStr">
        <is>
          <t>No</t>
        </is>
      </c>
      <c r="F304" s="28" t="inlineStr">
        <is>
          <t>Proposal</t>
        </is>
      </c>
      <c r="G304" s="36" t="n"/>
      <c r="H304" s="40" t="n">
        <v>0.5</v>
      </c>
      <c r="I304" s="37" t="n"/>
      <c r="J304" s="37" t="n"/>
      <c r="K304" s="31" t="n"/>
      <c r="L304" s="31" t="n"/>
      <c r="M304" s="31" t="n"/>
      <c r="N304" s="31" t="n"/>
      <c r="O304" s="31" t="n"/>
      <c r="P304" s="31" t="n"/>
      <c r="Q304" s="23">
        <f>IF($A304="","",COUNTIFS(Assignments!$C$2:$C$769,$A304,Assignments!$G$2:$G$769,"Active"))</f>
        <v/>
      </c>
      <c r="R304" s="32">
        <f>IF($A304="","",SUMIFS(Assignments!$I$2:$I$769,Assignments!$C$2:$C$769,$A304,Assignments!$G$2:$G$769,"Active"))</f>
        <v/>
      </c>
      <c r="S304" s="20" t="inlineStr">
        <is>
          <t>Proposal</t>
        </is>
      </c>
      <c r="T304" s="31" t="n"/>
      <c r="U304" s="36" t="n"/>
      <c r="V304" s="34">
        <f>IF($U304="","",IFERROR(INDEX(Templates!$K$3:$K$10,MATCH($U304,Templates!$A$3:$A$10,0)),""))</f>
        <v/>
      </c>
      <c r="W304" s="34">
        <f>IF($U304="","",IFERROR(INDEX(Templates!$L$3:$L$10,MATCH($U304,Templates!$A$3:$A$10,0)),""))</f>
        <v/>
      </c>
      <c r="X304" s="21">
        <f>IF($U304="","",IFERROR(INDEX(Templates!$J$3:$J$10,MATCH($U304,Templates!$A$3:$A$10,0)),""))</f>
        <v/>
      </c>
      <c r="Y304" s="35">
        <f>IF(OR($U304="",$I304="",$J304="",$X304=""),"",$I304+$X304*($J304-$I304))</f>
        <v/>
      </c>
      <c r="Z304" s="30" t="n">
        <v>46212</v>
      </c>
      <c r="AA304" s="38" t="n"/>
      <c r="AB304" s="39" t="n"/>
      <c r="AC304" s="39" t="n"/>
      <c r="AD304" s="19">
        <f>IF($A304="","",IF($AA304="",$H304,$AA304))</f>
        <v/>
      </c>
      <c r="AE304" s="35">
        <f>IF($A304="","",IF($AB304="",$I304,$AB304))</f>
        <v/>
      </c>
      <c r="AF304" s="35">
        <f>IF($A304="","",IF($AC304="",$J304,$AC304))</f>
        <v/>
      </c>
      <c r="AG304" s="35">
        <f>IF(OR($U304="",$AE304="",$AF304="",$X304=""),"",$AE304+$X304*($AF304-$AE304))</f>
        <v/>
      </c>
      <c r="AH304" s="36" t="n"/>
      <c r="AI304" s="36" t="n"/>
      <c r="AJ304" s="36" t="n"/>
      <c r="AK304" s="36" t="n"/>
      <c r="AL304" s="36" t="n"/>
      <c r="AM304" s="36" t="n"/>
      <c r="AN304" s="36" t="n"/>
      <c r="AO304" s="36" t="n"/>
      <c r="AP304" s="36" t="n"/>
      <c r="AQ304" s="36" t="n"/>
      <c r="AR304" s="36" t="n"/>
      <c r="AS304" s="36" t="n"/>
      <c r="AT304" s="36" t="n"/>
      <c r="AU304" s="36" t="n"/>
      <c r="AV304" s="36" t="n"/>
      <c r="AW304" s="36" t="n"/>
      <c r="AX304" s="36" t="n"/>
    </row>
    <row r="305">
      <c r="A305" s="28" t="inlineStr">
        <is>
          <t>Wind_3</t>
        </is>
      </c>
      <c r="B305" s="20" t="inlineStr">
        <is>
          <t>Transatlantic Power Holdings</t>
        </is>
      </c>
      <c r="C305" s="28" t="inlineStr">
        <is>
          <t>Transatlantic Power Holdings</t>
        </is>
      </c>
      <c r="D305" s="28" t="inlineStr"/>
      <c r="E305" s="28" t="inlineStr">
        <is>
          <t>No</t>
        </is>
      </c>
      <c r="F305" s="28" t="inlineStr">
        <is>
          <t>Proposal</t>
        </is>
      </c>
      <c r="G305" s="36" t="n"/>
      <c r="H305" s="40" t="n">
        <v>0.5</v>
      </c>
      <c r="I305" s="37" t="n"/>
      <c r="J305" s="37" t="n"/>
      <c r="K305" s="31" t="n"/>
      <c r="L305" s="31" t="n"/>
      <c r="M305" s="31" t="n"/>
      <c r="N305" s="31" t="n"/>
      <c r="O305" s="31" t="n"/>
      <c r="P305" s="31" t="n"/>
      <c r="Q305" s="23">
        <f>IF($A305="","",COUNTIFS(Assignments!$C$2:$C$769,$A305,Assignments!$G$2:$G$769,"Active"))</f>
        <v/>
      </c>
      <c r="R305" s="32">
        <f>IF($A305="","",SUMIFS(Assignments!$I$2:$I$769,Assignments!$C$2:$C$769,$A305,Assignments!$G$2:$G$769,"Active"))</f>
        <v/>
      </c>
      <c r="S305" s="20" t="inlineStr">
        <is>
          <t>Proposal</t>
        </is>
      </c>
      <c r="T305" s="31" t="n"/>
      <c r="U305" s="36" t="n"/>
      <c r="V305" s="34">
        <f>IF($U305="","",IFERROR(INDEX(Templates!$K$3:$K$10,MATCH($U305,Templates!$A$3:$A$10,0)),""))</f>
        <v/>
      </c>
      <c r="W305" s="34">
        <f>IF($U305="","",IFERROR(INDEX(Templates!$L$3:$L$10,MATCH($U305,Templates!$A$3:$A$10,0)),""))</f>
        <v/>
      </c>
      <c r="X305" s="21">
        <f>IF($U305="","",IFERROR(INDEX(Templates!$J$3:$J$10,MATCH($U305,Templates!$A$3:$A$10,0)),""))</f>
        <v/>
      </c>
      <c r="Y305" s="35">
        <f>IF(OR($U305="",$I305="",$J305="",$X305=""),"",$I305+$X305*($J305-$I305))</f>
        <v/>
      </c>
      <c r="Z305" s="30" t="n">
        <v>46212</v>
      </c>
      <c r="AA305" s="38" t="n"/>
      <c r="AB305" s="39" t="n"/>
      <c r="AC305" s="39" t="n"/>
      <c r="AD305" s="19">
        <f>IF($A305="","",IF($AA305="",$H305,$AA305))</f>
        <v/>
      </c>
      <c r="AE305" s="35">
        <f>IF($A305="","",IF($AB305="",$I305,$AB305))</f>
        <v/>
      </c>
      <c r="AF305" s="35">
        <f>IF($A305="","",IF($AC305="",$J305,$AC305))</f>
        <v/>
      </c>
      <c r="AG305" s="35">
        <f>IF(OR($U305="",$AE305="",$AF305="",$X305=""),"",$AE305+$X305*($AF305-$AE305))</f>
        <v/>
      </c>
      <c r="AH305" s="36" t="n"/>
      <c r="AI305" s="36" t="n"/>
      <c r="AJ305" s="36" t="n"/>
      <c r="AK305" s="36" t="n"/>
      <c r="AL305" s="36" t="n"/>
      <c r="AM305" s="36" t="n"/>
      <c r="AN305" s="36" t="n"/>
      <c r="AO305" s="36" t="n"/>
      <c r="AP305" s="36" t="n"/>
      <c r="AQ305" s="36" t="n"/>
      <c r="AR305" s="36" t="n"/>
      <c r="AS305" s="36" t="n"/>
      <c r="AT305" s="36" t="n"/>
      <c r="AU305" s="36" t="n"/>
      <c r="AV305" s="36" t="n"/>
      <c r="AW305" s="36" t="n"/>
      <c r="AX305" s="36" t="n"/>
    </row>
    <row r="306">
      <c r="A306" s="28" t="inlineStr">
        <is>
          <t>Wolverine_4</t>
        </is>
      </c>
      <c r="B306" s="20" t="inlineStr">
        <is>
          <t>Eight Advisory (Referral Source)</t>
        </is>
      </c>
      <c r="C306" s="28" t="inlineStr">
        <is>
          <t>Eight Advisory</t>
        </is>
      </c>
      <c r="D306" s="28" t="inlineStr"/>
      <c r="E306" s="28" t="inlineStr">
        <is>
          <t>Yes</t>
        </is>
      </c>
      <c r="F306" s="28" t="inlineStr">
        <is>
          <t>Proposal</t>
        </is>
      </c>
      <c r="G306" s="36" t="n"/>
      <c r="H306" s="40" t="n">
        <v>0.5</v>
      </c>
      <c r="I306" s="37" t="n"/>
      <c r="J306" s="37" t="n"/>
      <c r="K306" s="31" t="n"/>
      <c r="L306" s="31" t="n"/>
      <c r="M306" s="31" t="n"/>
      <c r="N306" s="31" t="n"/>
      <c r="O306" s="31" t="n"/>
      <c r="P306" s="31" t="n"/>
      <c r="Q306" s="23">
        <f>IF($A306="","",COUNTIFS(Assignments!$C$2:$C$769,$A306,Assignments!$G$2:$G$769,"Active"))</f>
        <v/>
      </c>
      <c r="R306" s="32">
        <f>IF($A306="","",SUMIFS(Assignments!$I$2:$I$769,Assignments!$C$2:$C$769,$A306,Assignments!$G$2:$G$769,"Active"))</f>
        <v/>
      </c>
      <c r="S306" s="20" t="inlineStr">
        <is>
          <t>Proposal</t>
        </is>
      </c>
      <c r="T306" s="31" t="n"/>
      <c r="U306" s="36" t="n"/>
      <c r="V306" s="34">
        <f>IF($U306="","",IFERROR(INDEX(Templates!$K$3:$K$10,MATCH($U306,Templates!$A$3:$A$10,0)),""))</f>
        <v/>
      </c>
      <c r="W306" s="34">
        <f>IF($U306="","",IFERROR(INDEX(Templates!$L$3:$L$10,MATCH($U306,Templates!$A$3:$A$10,0)),""))</f>
        <v/>
      </c>
      <c r="X306" s="21">
        <f>IF($U306="","",IFERROR(INDEX(Templates!$J$3:$J$10,MATCH($U306,Templates!$A$3:$A$10,0)),""))</f>
        <v/>
      </c>
      <c r="Y306" s="35">
        <f>IF(OR($U306="",$I306="",$J306="",$X306=""),"",$I306+$X306*($J306-$I306))</f>
        <v/>
      </c>
      <c r="Z306" s="30" t="n">
        <v>46212</v>
      </c>
      <c r="AA306" s="38" t="n"/>
      <c r="AB306" s="39" t="n"/>
      <c r="AC306" s="39" t="n"/>
      <c r="AD306" s="19">
        <f>IF($A306="","",IF($AA306="",$H306,$AA306))</f>
        <v/>
      </c>
      <c r="AE306" s="35">
        <f>IF($A306="","",IF($AB306="",$I306,$AB306))</f>
        <v/>
      </c>
      <c r="AF306" s="35">
        <f>IF($A306="","",IF($AC306="",$J306,$AC306))</f>
        <v/>
      </c>
      <c r="AG306" s="35">
        <f>IF(OR($U306="",$AE306="",$AF306="",$X306=""),"",$AE306+$X306*($AF306-$AE306))</f>
        <v/>
      </c>
      <c r="AH306" s="36" t="n"/>
      <c r="AI306" s="36" t="n"/>
      <c r="AJ306" s="36" t="n"/>
      <c r="AK306" s="36" t="n"/>
      <c r="AL306" s="36" t="n"/>
      <c r="AM306" s="36" t="n"/>
      <c r="AN306" s="36" t="n"/>
      <c r="AO306" s="36" t="n"/>
      <c r="AP306" s="36" t="n"/>
      <c r="AQ306" s="36" t="n"/>
      <c r="AR306" s="36" t="n"/>
      <c r="AS306" s="36" t="n"/>
      <c r="AT306" s="36" t="n"/>
      <c r="AU306" s="36" t="n"/>
      <c r="AV306" s="36" t="n"/>
      <c r="AW306" s="36" t="n"/>
      <c r="AX306" s="36" t="n"/>
    </row>
    <row r="307">
      <c r="A307" s="28" t="inlineStr">
        <is>
          <t>Yellowstone_2</t>
        </is>
      </c>
      <c r="B307" s="20" t="inlineStr">
        <is>
          <t>Solertia MGA Ltd.</t>
        </is>
      </c>
      <c r="C307" s="28" t="inlineStr">
        <is>
          <t>Solertia MGA Ltd.</t>
        </is>
      </c>
      <c r="D307" s="28" t="inlineStr"/>
      <c r="E307" s="28" t="inlineStr">
        <is>
          <t>No</t>
        </is>
      </c>
      <c r="F307" s="28" t="inlineStr">
        <is>
          <t>Proposal</t>
        </is>
      </c>
      <c r="G307" s="36" t="n"/>
      <c r="H307" s="40" t="n">
        <v>0.5</v>
      </c>
      <c r="I307" s="37" t="n"/>
      <c r="J307" s="37" t="n"/>
      <c r="K307" s="31" t="n"/>
      <c r="L307" s="31" t="n"/>
      <c r="M307" s="31" t="n"/>
      <c r="N307" s="31" t="n"/>
      <c r="O307" s="31" t="n"/>
      <c r="P307" s="31" t="n"/>
      <c r="Q307" s="23">
        <f>IF($A307="","",COUNTIFS(Assignments!$C$2:$C$769,$A307,Assignments!$G$2:$G$769,"Active"))</f>
        <v/>
      </c>
      <c r="R307" s="32">
        <f>IF($A307="","",SUMIFS(Assignments!$I$2:$I$769,Assignments!$C$2:$C$769,$A307,Assignments!$G$2:$G$769,"Active"))</f>
        <v/>
      </c>
      <c r="S307" s="20" t="inlineStr">
        <is>
          <t>Proposal</t>
        </is>
      </c>
      <c r="T307" s="31" t="n"/>
      <c r="U307" s="36" t="n"/>
      <c r="V307" s="34">
        <f>IF($U307="","",IFERROR(INDEX(Templates!$K$3:$K$10,MATCH($U307,Templates!$A$3:$A$10,0)),""))</f>
        <v/>
      </c>
      <c r="W307" s="34">
        <f>IF($U307="","",IFERROR(INDEX(Templates!$L$3:$L$10,MATCH($U307,Templates!$A$3:$A$10,0)),""))</f>
        <v/>
      </c>
      <c r="X307" s="21">
        <f>IF($U307="","",IFERROR(INDEX(Templates!$J$3:$J$10,MATCH($U307,Templates!$A$3:$A$10,0)),""))</f>
        <v/>
      </c>
      <c r="Y307" s="35">
        <f>IF(OR($U307="",$I307="",$J307="",$X307=""),"",$I307+$X307*($J307-$I307))</f>
        <v/>
      </c>
      <c r="Z307" s="30" t="n">
        <v>46212</v>
      </c>
      <c r="AA307" s="38" t="n"/>
      <c r="AB307" s="39" t="n"/>
      <c r="AC307" s="39" t="n"/>
      <c r="AD307" s="19">
        <f>IF($A307="","",IF($AA307="",$H307,$AA307))</f>
        <v/>
      </c>
      <c r="AE307" s="35">
        <f>IF($A307="","",IF($AB307="",$I307,$AB307))</f>
        <v/>
      </c>
      <c r="AF307" s="35">
        <f>IF($A307="","",IF($AC307="",$J307,$AC307))</f>
        <v/>
      </c>
      <c r="AG307" s="35">
        <f>IF(OR($U307="",$AE307="",$AF307="",$X307=""),"",$AE307+$X307*($AF307-$AE307))</f>
        <v/>
      </c>
      <c r="AH307" s="36" t="n"/>
      <c r="AI307" s="36" t="n"/>
      <c r="AJ307" s="36" t="n"/>
      <c r="AK307" s="36" t="n"/>
      <c r="AL307" s="36" t="n"/>
      <c r="AM307" s="36" t="n"/>
      <c r="AN307" s="36" t="n"/>
      <c r="AO307" s="36" t="n"/>
      <c r="AP307" s="36" t="n"/>
      <c r="AQ307" s="36" t="n"/>
      <c r="AR307" s="36" t="n"/>
      <c r="AS307" s="36" t="n"/>
      <c r="AT307" s="36" t="n"/>
      <c r="AU307" s="36" t="n"/>
      <c r="AV307" s="36" t="n"/>
      <c r="AW307" s="36" t="n"/>
      <c r="AX307" s="36" t="n"/>
    </row>
    <row r="308">
      <c r="A308" s="28" t="inlineStr">
        <is>
          <t>Aypa Power General PW&amp;A Advisory_1</t>
        </is>
      </c>
      <c r="B308" s="20" t="inlineStr">
        <is>
          <t>The Blackstone Group : Aypa Power</t>
        </is>
      </c>
      <c r="C308" s="28" t="inlineStr">
        <is>
          <t>The Blackstone Group</t>
        </is>
      </c>
      <c r="D308" s="28" t="inlineStr">
        <is>
          <t>Aypa Power</t>
        </is>
      </c>
      <c r="E308" s="28" t="inlineStr">
        <is>
          <t>No</t>
        </is>
      </c>
      <c r="F308" s="28" t="inlineStr">
        <is>
          <t>On hold</t>
        </is>
      </c>
      <c r="G308" s="28" t="n"/>
      <c r="H308" s="29" t="n">
        <v>0</v>
      </c>
      <c r="I308" s="30" t="n"/>
      <c r="J308" s="30" t="n"/>
      <c r="K308" s="31" t="n"/>
      <c r="L308" s="31" t="n"/>
      <c r="M308" s="31" t="n"/>
      <c r="N308" s="31" t="n"/>
      <c r="O308" s="31" t="n"/>
      <c r="P308" s="31" t="n"/>
      <c r="Q308" s="23">
        <f>IF($A308="","",COUNTIFS(Assignments!$C$2:$C$769,$A308,Assignments!$G$2:$G$769,"Active"))</f>
        <v/>
      </c>
      <c r="R308" s="32">
        <f>IF($A308="","",SUMIFS(Assignments!$I$2:$I$769,Assignments!$C$2:$C$769,$A308,Assignments!$G$2:$G$769,"Active"))</f>
        <v/>
      </c>
      <c r="S308" s="20" t="inlineStr">
        <is>
          <t>Not active</t>
        </is>
      </c>
      <c r="T308" s="31" t="n"/>
      <c r="U308" s="28" t="n"/>
      <c r="V308" s="34">
        <f>IF($U308="","",IFERROR(INDEX(Templates!$K$3:$K$10,MATCH($U308,Templates!$A$3:$A$10,0)),""))</f>
        <v/>
      </c>
      <c r="W308" s="34">
        <f>IF($U308="","",IFERROR(INDEX(Templates!$L$3:$L$10,MATCH($U308,Templates!$A$3:$A$10,0)),""))</f>
        <v/>
      </c>
      <c r="X308" s="21">
        <f>IF($U308="","",IFERROR(INDEX(Templates!$J$3:$J$10,MATCH($U308,Templates!$A$3:$A$10,0)),""))</f>
        <v/>
      </c>
      <c r="Y308" s="35">
        <f>IF(OR($U308="",$I308="",$J308="",$X308=""),"",$I308+$X308*($J308-$I308))</f>
        <v/>
      </c>
      <c r="Z308" s="30" t="n">
        <v>46212</v>
      </c>
      <c r="AA308" s="29" t="n"/>
      <c r="AB308" s="30" t="n"/>
      <c r="AC308" s="30" t="n"/>
      <c r="AD308" s="19">
        <f>IF($A308="","",IF($AA308="",$H308,$AA308))</f>
        <v/>
      </c>
      <c r="AE308" s="35">
        <f>IF($A308="","",IF($AB308="",$I308,$AB308))</f>
        <v/>
      </c>
      <c r="AF308" s="35">
        <f>IF($A308="","",IF($AC308="",$J308,$AC308))</f>
        <v/>
      </c>
      <c r="AG308" s="35">
        <f>IF(OR($U308="",$AE308="",$AF308="",$X308=""),"",$AE308+$X308*($AF308-$AE308))</f>
        <v/>
      </c>
      <c r="AH308" s="28" t="n"/>
      <c r="AI308" s="28" t="n"/>
      <c r="AJ308" s="28" t="n"/>
      <c r="AK308" s="28" t="n"/>
      <c r="AL308" s="28" t="n"/>
      <c r="AM308" s="28" t="n"/>
      <c r="AN308" s="28" t="n"/>
      <c r="AO308" s="28" t="n"/>
      <c r="AP308" s="28" t="n"/>
      <c r="AQ308" s="28" t="n"/>
      <c r="AR308" s="28" t="n"/>
      <c r="AS308" s="28" t="n"/>
      <c r="AT308" s="28" t="n"/>
      <c r="AU308" s="28" t="n"/>
      <c r="AV308" s="28" t="n"/>
      <c r="AW308" s="28" t="n"/>
      <c r="AX308" s="28" t="n"/>
    </row>
    <row r="309">
      <c r="A309" s="28" t="inlineStr">
        <is>
          <t>Edward_1</t>
        </is>
      </c>
      <c r="B309" s="20" t="inlineStr">
        <is>
          <t>Royal Bank of Canada</t>
        </is>
      </c>
      <c r="C309" s="28" t="inlineStr">
        <is>
          <t>Royal Bank of Canada</t>
        </is>
      </c>
      <c r="D309" s="28" t="inlineStr"/>
      <c r="E309" s="28" t="inlineStr">
        <is>
          <t>No</t>
        </is>
      </c>
      <c r="F309" s="28" t="inlineStr">
        <is>
          <t>Closed</t>
        </is>
      </c>
      <c r="G309" s="28" t="n"/>
      <c r="H309" s="29" t="n">
        <v>0</v>
      </c>
      <c r="I309" s="30" t="n"/>
      <c r="J309" s="30" t="n"/>
      <c r="K309" s="31" t="n"/>
      <c r="L309" s="31" t="n"/>
      <c r="M309" s="31" t="n"/>
      <c r="N309" s="31" t="n"/>
      <c r="O309" s="31" t="n"/>
      <c r="P309" s="31" t="n"/>
      <c r="Q309" s="23">
        <f>IF($A309="","",COUNTIFS(Assignments!$C$2:$C$769,$A309,Assignments!$G$2:$G$769,"Active"))</f>
        <v/>
      </c>
      <c r="R309" s="32">
        <f>IF($A309="","",SUMIFS(Assignments!$I$2:$I$769,Assignments!$C$2:$C$769,$A309,Assignments!$G$2:$G$769,"Active"))</f>
        <v/>
      </c>
      <c r="S309" s="20" t="inlineStr">
        <is>
          <t>Closed</t>
        </is>
      </c>
      <c r="T309" s="31" t="n"/>
      <c r="U309" s="28" t="n"/>
      <c r="V309" s="34">
        <f>IF($U309="","",IFERROR(INDEX(Templates!$K$3:$K$10,MATCH($U309,Templates!$A$3:$A$10,0)),""))</f>
        <v/>
      </c>
      <c r="W309" s="34">
        <f>IF($U309="","",IFERROR(INDEX(Templates!$L$3:$L$10,MATCH($U309,Templates!$A$3:$A$10,0)),""))</f>
        <v/>
      </c>
      <c r="X309" s="21">
        <f>IF($U309="","",IFERROR(INDEX(Templates!$J$3:$J$10,MATCH($U309,Templates!$A$3:$A$10,0)),""))</f>
        <v/>
      </c>
      <c r="Y309" s="35">
        <f>IF(OR($U309="",$I309="",$J309="",$X309=""),"",$I309+$X309*($J309-$I309))</f>
        <v/>
      </c>
      <c r="Z309" s="30" t="n">
        <v>46212</v>
      </c>
      <c r="AA309" s="29" t="n"/>
      <c r="AB309" s="30" t="n"/>
      <c r="AC309" s="30" t="n"/>
      <c r="AD309" s="19">
        <f>IF($A309="","",IF($AA309="",$H309,$AA309))</f>
        <v/>
      </c>
      <c r="AE309" s="35">
        <f>IF($A309="","",IF($AB309="",$I309,$AB309))</f>
        <v/>
      </c>
      <c r="AF309" s="35">
        <f>IF($A309="","",IF($AC309="",$J309,$AC309))</f>
        <v/>
      </c>
      <c r="AG309" s="35">
        <f>IF(OR($U309="",$AE309="",$AF309="",$X309=""),"",$AE309+$X309*($AF309-$AE309))</f>
        <v/>
      </c>
      <c r="AH309" s="28" t="n"/>
      <c r="AI309" s="28" t="n"/>
      <c r="AJ309" s="28" t="n"/>
      <c r="AK309" s="28" t="n"/>
      <c r="AL309" s="28" t="n"/>
      <c r="AM309" s="28" t="n"/>
      <c r="AN309" s="28" t="n"/>
      <c r="AO309" s="28" t="n"/>
      <c r="AP309" s="28" t="n"/>
      <c r="AQ309" s="28" t="n"/>
      <c r="AR309" s="28" t="n"/>
      <c r="AS309" s="28" t="n"/>
      <c r="AT309" s="28" t="n"/>
      <c r="AU309" s="28" t="n"/>
      <c r="AV309" s="28" t="n"/>
      <c r="AW309" s="28" t="n"/>
      <c r="AX309" s="28" t="n"/>
    </row>
    <row r="310">
      <c r="A310" s="28" t="inlineStr">
        <is>
          <t>Legolas_1</t>
        </is>
      </c>
      <c r="B310" s="20" t="inlineStr">
        <is>
          <t>SkyKnight Capital</t>
        </is>
      </c>
      <c r="C310" s="28" t="inlineStr">
        <is>
          <t>SkyKnight Capital</t>
        </is>
      </c>
      <c r="D310" s="28" t="inlineStr"/>
      <c r="E310" s="28" t="inlineStr">
        <is>
          <t>No</t>
        </is>
      </c>
      <c r="F310" s="28" t="inlineStr">
        <is>
          <t>Closed</t>
        </is>
      </c>
      <c r="G310" s="28" t="n"/>
      <c r="H310" s="29" t="n">
        <v>0</v>
      </c>
      <c r="I310" s="30" t="n"/>
      <c r="J310" s="30" t="n"/>
      <c r="K310" s="31" t="n"/>
      <c r="L310" s="31" t="n"/>
      <c r="M310" s="31" t="n"/>
      <c r="N310" s="31" t="n"/>
      <c r="O310" s="31" t="n"/>
      <c r="P310" s="31" t="n"/>
      <c r="Q310" s="23">
        <f>IF($A310="","",COUNTIFS(Assignments!$C$2:$C$769,$A310,Assignments!$G$2:$G$769,"Active"))</f>
        <v/>
      </c>
      <c r="R310" s="32">
        <f>IF($A310="","",SUMIFS(Assignments!$I$2:$I$769,Assignments!$C$2:$C$769,$A310,Assignments!$G$2:$G$769,"Active"))</f>
        <v/>
      </c>
      <c r="S310" s="20" t="inlineStr">
        <is>
          <t>Summary tab only (WIP)</t>
        </is>
      </c>
      <c r="T310" s="31" t="n"/>
      <c r="U310" s="28" t="n"/>
      <c r="V310" s="34">
        <f>IF($U310="","",IFERROR(INDEX(Templates!$K$3:$K$10,MATCH($U310,Templates!$A$3:$A$10,0)),""))</f>
        <v/>
      </c>
      <c r="W310" s="34">
        <f>IF($U310="","",IFERROR(INDEX(Templates!$L$3:$L$10,MATCH($U310,Templates!$A$3:$A$10,0)),""))</f>
        <v/>
      </c>
      <c r="X310" s="21">
        <f>IF($U310="","",IFERROR(INDEX(Templates!$J$3:$J$10,MATCH($U310,Templates!$A$3:$A$10,0)),""))</f>
        <v/>
      </c>
      <c r="Y310" s="35">
        <f>IF(OR($U310="",$I310="",$J310="",$X310=""),"",$I310+$X310*($J310-$I310))</f>
        <v/>
      </c>
      <c r="Z310" s="30" t="n">
        <v>46212</v>
      </c>
      <c r="AA310" s="29" t="n"/>
      <c r="AB310" s="30" t="n"/>
      <c r="AC310" s="30" t="n"/>
      <c r="AD310" s="19">
        <f>IF($A310="","",IF($AA310="",$H310,$AA310))</f>
        <v/>
      </c>
      <c r="AE310" s="35">
        <f>IF($A310="","",IF($AB310="",$I310,$AB310))</f>
        <v/>
      </c>
      <c r="AF310" s="35">
        <f>IF($A310="","",IF($AC310="",$J310,$AC310))</f>
        <v/>
      </c>
      <c r="AG310" s="35">
        <f>IF(OR($U310="",$AE310="",$AF310="",$X310=""),"",$AE310+$X310*($AF310-$AE310))</f>
        <v/>
      </c>
      <c r="AH310" s="28" t="n"/>
      <c r="AI310" s="28" t="n"/>
      <c r="AJ310" s="28" t="n"/>
      <c r="AK310" s="28" t="n"/>
      <c r="AL310" s="28" t="n"/>
      <c r="AM310" s="28" t="n"/>
      <c r="AN310" s="28" t="n"/>
      <c r="AO310" s="28" t="n"/>
      <c r="AP310" s="28" t="n"/>
      <c r="AQ310" s="28" t="n"/>
      <c r="AR310" s="28" t="n"/>
      <c r="AS310" s="28" t="n"/>
      <c r="AT310" s="28" t="n"/>
      <c r="AU310" s="28" t="n"/>
      <c r="AV310" s="28" t="n"/>
      <c r="AW310" s="28" t="n"/>
      <c r="AX310" s="28" t="n"/>
    </row>
    <row r="311">
      <c r="A311" s="28" t="inlineStr">
        <is>
          <t>Wheelhouse_2</t>
        </is>
      </c>
      <c r="B311" s="20" t="inlineStr">
        <is>
          <t>Royal Bank of Canada</t>
        </is>
      </c>
      <c r="C311" s="28" t="inlineStr">
        <is>
          <t>Royal Bank of Canada</t>
        </is>
      </c>
      <c r="D311" s="28" t="inlineStr"/>
      <c r="E311" s="28" t="inlineStr">
        <is>
          <t>No</t>
        </is>
      </c>
      <c r="F311" s="28" t="inlineStr">
        <is>
          <t>Closed</t>
        </is>
      </c>
      <c r="G311" s="28" t="n"/>
      <c r="H311" s="29" t="n">
        <v>0</v>
      </c>
      <c r="I311" s="30" t="n"/>
      <c r="J311" s="30" t="n"/>
      <c r="K311" s="31" t="n"/>
      <c r="L311" s="31" t="n"/>
      <c r="M311" s="31" t="n"/>
      <c r="N311" s="31" t="n"/>
      <c r="O311" s="31" t="n"/>
      <c r="P311" s="31" t="n"/>
      <c r="Q311" s="23">
        <f>IF($A311="","",COUNTIFS(Assignments!$C$2:$C$769,$A311,Assignments!$G$2:$G$769,"Active"))</f>
        <v/>
      </c>
      <c r="R311" s="32">
        <f>IF($A311="","",SUMIFS(Assignments!$I$2:$I$769,Assignments!$C$2:$C$769,$A311,Assignments!$G$2:$G$769,"Active"))</f>
        <v/>
      </c>
      <c r="S311" s="20" t="inlineStr">
        <is>
          <t>Closed</t>
        </is>
      </c>
      <c r="T311" s="31" t="n"/>
      <c r="U311" s="28" t="n"/>
      <c r="V311" s="34">
        <f>IF($U311="","",IFERROR(INDEX(Templates!$K$3:$K$10,MATCH($U311,Templates!$A$3:$A$10,0)),""))</f>
        <v/>
      </c>
      <c r="W311" s="34">
        <f>IF($U311="","",IFERROR(INDEX(Templates!$L$3:$L$10,MATCH($U311,Templates!$A$3:$A$10,0)),""))</f>
        <v/>
      </c>
      <c r="X311" s="21">
        <f>IF($U311="","",IFERROR(INDEX(Templates!$J$3:$J$10,MATCH($U311,Templates!$A$3:$A$10,0)),""))</f>
        <v/>
      </c>
      <c r="Y311" s="35">
        <f>IF(OR($U311="",$I311="",$J311="",$X311=""),"",$I311+$X311*($J311-$I311))</f>
        <v/>
      </c>
      <c r="Z311" s="30" t="n">
        <v>46212</v>
      </c>
      <c r="AA311" s="29" t="n"/>
      <c r="AB311" s="30" t="n"/>
      <c r="AC311" s="30" t="n"/>
      <c r="AD311" s="19">
        <f>IF($A311="","",IF($AA311="",$H311,$AA311))</f>
        <v/>
      </c>
      <c r="AE311" s="35">
        <f>IF($A311="","",IF($AB311="",$I311,$AB311))</f>
        <v/>
      </c>
      <c r="AF311" s="35">
        <f>IF($A311="","",IF($AC311="",$J311,$AC311))</f>
        <v/>
      </c>
      <c r="AG311" s="35">
        <f>IF(OR($U311="",$AE311="",$AF311="",$X311=""),"",$AE311+$X311*($AF311-$AE311))</f>
        <v/>
      </c>
      <c r="AH311" s="28" t="n"/>
      <c r="AI311" s="28" t="n"/>
      <c r="AJ311" s="28" t="n"/>
      <c r="AK311" s="28" t="n"/>
      <c r="AL311" s="28" t="n"/>
      <c r="AM311" s="28" t="n"/>
      <c r="AN311" s="28" t="n"/>
      <c r="AO311" s="28" t="n"/>
      <c r="AP311" s="28" t="n"/>
      <c r="AQ311" s="28" t="n"/>
      <c r="AR311" s="28" t="n"/>
      <c r="AS311" s="28" t="n"/>
      <c r="AT311" s="28" t="n"/>
      <c r="AU311" s="28" t="n"/>
      <c r="AV311" s="28" t="n"/>
      <c r="AW311" s="28" t="n"/>
      <c r="AX311" s="28" t="n"/>
    </row>
    <row r="312">
      <c r="A312" s="28" t="inlineStr">
        <is>
          <t>Beacon_3</t>
        </is>
      </c>
      <c r="B312" s="20" t="inlineStr">
        <is>
          <t>Tidewater Holdings, Inc</t>
        </is>
      </c>
      <c r="C312" s="28" t="inlineStr">
        <is>
          <t>Tidewater Holdings, Inc</t>
        </is>
      </c>
      <c r="D312" s="28" t="inlineStr"/>
      <c r="E312" s="28" t="inlineStr">
        <is>
          <t>No</t>
        </is>
      </c>
      <c r="F312" s="28" t="inlineStr">
        <is>
          <t>Dead</t>
        </is>
      </c>
      <c r="G312" s="28" t="n"/>
      <c r="H312" s="29" t="n">
        <v>0</v>
      </c>
      <c r="I312" s="30" t="n"/>
      <c r="J312" s="30" t="n"/>
      <c r="K312" s="31" t="n"/>
      <c r="L312" s="31" t="n"/>
      <c r="M312" s="31" t="n"/>
      <c r="N312" s="31" t="n"/>
      <c r="O312" s="31" t="n"/>
      <c r="P312" s="31" t="n"/>
      <c r="Q312" s="23">
        <f>IF($A312="","",COUNTIFS(Assignments!$C$2:$C$769,$A312,Assignments!$G$2:$G$769,"Active"))</f>
        <v/>
      </c>
      <c r="R312" s="32">
        <f>IF($A312="","",SUMIFS(Assignments!$I$2:$I$769,Assignments!$C$2:$C$769,$A312,Assignments!$G$2:$G$769,"Active"))</f>
        <v/>
      </c>
      <c r="S312" s="20" t="inlineStr">
        <is>
          <t>Dead</t>
        </is>
      </c>
      <c r="T312" s="31" t="n"/>
      <c r="U312" s="28" t="n"/>
      <c r="V312" s="34">
        <f>IF($U312="","",IFERROR(INDEX(Templates!$K$3:$K$10,MATCH($U312,Templates!$A$3:$A$10,0)),""))</f>
        <v/>
      </c>
      <c r="W312" s="34">
        <f>IF($U312="","",IFERROR(INDEX(Templates!$L$3:$L$10,MATCH($U312,Templates!$A$3:$A$10,0)),""))</f>
        <v/>
      </c>
      <c r="X312" s="21">
        <f>IF($U312="","",IFERROR(INDEX(Templates!$J$3:$J$10,MATCH($U312,Templates!$A$3:$A$10,0)),""))</f>
        <v/>
      </c>
      <c r="Y312" s="35">
        <f>IF(OR($U312="",$I312="",$J312="",$X312=""),"",$I312+$X312*($J312-$I312))</f>
        <v/>
      </c>
      <c r="Z312" s="30" t="n">
        <v>46212</v>
      </c>
      <c r="AA312" s="29" t="n"/>
      <c r="AB312" s="30" t="n"/>
      <c r="AC312" s="30" t="n"/>
      <c r="AD312" s="19">
        <f>IF($A312="","",IF($AA312="",$H312,$AA312))</f>
        <v/>
      </c>
      <c r="AE312" s="35">
        <f>IF($A312="","",IF($AB312="",$I312,$AB312))</f>
        <v/>
      </c>
      <c r="AF312" s="35">
        <f>IF($A312="","",IF($AC312="",$J312,$AC312))</f>
        <v/>
      </c>
      <c r="AG312" s="35">
        <f>IF(OR($U312="",$AE312="",$AF312="",$X312=""),"",$AE312+$X312*($AF312-$AE312))</f>
        <v/>
      </c>
      <c r="AH312" s="28" t="n"/>
      <c r="AI312" s="28" t="n"/>
      <c r="AJ312" s="28" t="n"/>
      <c r="AK312" s="28" t="n"/>
      <c r="AL312" s="28" t="n"/>
      <c r="AM312" s="28" t="n"/>
      <c r="AN312" s="28" t="n"/>
      <c r="AO312" s="28" t="n"/>
      <c r="AP312" s="28" t="n"/>
      <c r="AQ312" s="28" t="n"/>
      <c r="AR312" s="28" t="n"/>
      <c r="AS312" s="28" t="n"/>
      <c r="AT312" s="28" t="n"/>
      <c r="AU312" s="28" t="n"/>
      <c r="AV312" s="28" t="n"/>
      <c r="AW312" s="28" t="n"/>
      <c r="AX312" s="28" t="n"/>
    </row>
    <row r="313">
      <c r="A313" s="28" t="inlineStr">
        <is>
          <t>Canyon_1</t>
        </is>
      </c>
      <c r="B313" s="20" t="inlineStr">
        <is>
          <t>ECP</t>
        </is>
      </c>
      <c r="C313" s="28" t="inlineStr">
        <is>
          <t>ECP</t>
        </is>
      </c>
      <c r="D313" s="28" t="inlineStr"/>
      <c r="E313" s="28" t="inlineStr">
        <is>
          <t>No</t>
        </is>
      </c>
      <c r="F313" s="28" t="inlineStr">
        <is>
          <t>Dead</t>
        </is>
      </c>
      <c r="G313" s="28" t="n"/>
      <c r="H313" s="29" t="n">
        <v>0</v>
      </c>
      <c r="I313" s="30" t="n"/>
      <c r="J313" s="30" t="n"/>
      <c r="K313" s="31" t="n"/>
      <c r="L313" s="31" t="n"/>
      <c r="M313" s="31" t="n"/>
      <c r="N313" s="31" t="n"/>
      <c r="O313" s="31" t="n"/>
      <c r="P313" s="31" t="n"/>
      <c r="Q313" s="23">
        <f>IF($A313="","",COUNTIFS(Assignments!$C$2:$C$769,$A313,Assignments!$G$2:$G$769,"Active"))</f>
        <v/>
      </c>
      <c r="R313" s="32">
        <f>IF($A313="","",SUMIFS(Assignments!$I$2:$I$769,Assignments!$C$2:$C$769,$A313,Assignments!$G$2:$G$769,"Active"))</f>
        <v/>
      </c>
      <c r="S313" s="20" t="inlineStr">
        <is>
          <t>Dead</t>
        </is>
      </c>
      <c r="T313" s="31" t="n"/>
      <c r="U313" s="28" t="n"/>
      <c r="V313" s="34">
        <f>IF($U313="","",IFERROR(INDEX(Templates!$K$3:$K$10,MATCH($U313,Templates!$A$3:$A$10,0)),""))</f>
        <v/>
      </c>
      <c r="W313" s="34">
        <f>IF($U313="","",IFERROR(INDEX(Templates!$L$3:$L$10,MATCH($U313,Templates!$A$3:$A$10,0)),""))</f>
        <v/>
      </c>
      <c r="X313" s="21">
        <f>IF($U313="","",IFERROR(INDEX(Templates!$J$3:$J$10,MATCH($U313,Templates!$A$3:$A$10,0)),""))</f>
        <v/>
      </c>
      <c r="Y313" s="35">
        <f>IF(OR($U313="",$I313="",$J313="",$X313=""),"",$I313+$X313*($J313-$I313))</f>
        <v/>
      </c>
      <c r="Z313" s="30" t="n">
        <v>46212</v>
      </c>
      <c r="AA313" s="29" t="n"/>
      <c r="AB313" s="30" t="n"/>
      <c r="AC313" s="30" t="n"/>
      <c r="AD313" s="19">
        <f>IF($A313="","",IF($AA313="",$H313,$AA313))</f>
        <v/>
      </c>
      <c r="AE313" s="35">
        <f>IF($A313="","",IF($AB313="",$I313,$AB313))</f>
        <v/>
      </c>
      <c r="AF313" s="35">
        <f>IF($A313="","",IF($AC313="",$J313,$AC313))</f>
        <v/>
      </c>
      <c r="AG313" s="35">
        <f>IF(OR($U313="",$AE313="",$AF313="",$X313=""),"",$AE313+$X313*($AF313-$AE313))</f>
        <v/>
      </c>
      <c r="AH313" s="28" t="n"/>
      <c r="AI313" s="28" t="n"/>
      <c r="AJ313" s="28" t="n"/>
      <c r="AK313" s="28" t="n"/>
      <c r="AL313" s="28" t="n"/>
      <c r="AM313" s="28" t="n"/>
      <c r="AN313" s="28" t="n"/>
      <c r="AO313" s="28" t="n"/>
      <c r="AP313" s="28" t="n"/>
      <c r="AQ313" s="28" t="n"/>
      <c r="AR313" s="28" t="n"/>
      <c r="AS313" s="28" t="n"/>
      <c r="AT313" s="28" t="n"/>
      <c r="AU313" s="28" t="n"/>
      <c r="AV313" s="28" t="n"/>
      <c r="AW313" s="28" t="n"/>
      <c r="AX313" s="28" t="n"/>
    </row>
    <row r="314">
      <c r="A314" s="28" t="inlineStr">
        <is>
          <t>Steam_3</t>
        </is>
      </c>
      <c r="B314" s="20" t="inlineStr">
        <is>
          <t>John Hancock</t>
        </is>
      </c>
      <c r="C314" s="28" t="inlineStr">
        <is>
          <t>John Hancock</t>
        </is>
      </c>
      <c r="D314" s="28" t="inlineStr"/>
      <c r="E314" s="28" t="inlineStr">
        <is>
          <t>No</t>
        </is>
      </c>
      <c r="F314" s="28" t="inlineStr">
        <is>
          <t>Dead</t>
        </is>
      </c>
      <c r="G314" s="28" t="n"/>
      <c r="H314" s="29" t="n">
        <v>0</v>
      </c>
      <c r="I314" s="30" t="n"/>
      <c r="J314" s="30" t="n"/>
      <c r="K314" s="31" t="n"/>
      <c r="L314" s="31" t="n"/>
      <c r="M314" s="31" t="n"/>
      <c r="N314" s="31" t="n"/>
      <c r="O314" s="31" t="n"/>
      <c r="P314" s="31" t="n"/>
      <c r="Q314" s="23">
        <f>IF($A314="","",COUNTIFS(Assignments!$C$2:$C$769,$A314,Assignments!$G$2:$G$769,"Active"))</f>
        <v/>
      </c>
      <c r="R314" s="32">
        <f>IF($A314="","",SUMIFS(Assignments!$I$2:$I$769,Assignments!$C$2:$C$769,$A314,Assignments!$G$2:$G$769,"Active"))</f>
        <v/>
      </c>
      <c r="S314" s="20" t="inlineStr">
        <is>
          <t>Dead</t>
        </is>
      </c>
      <c r="T314" s="31" t="n"/>
      <c r="U314" s="28" t="n"/>
      <c r="V314" s="34">
        <f>IF($U314="","",IFERROR(INDEX(Templates!$K$3:$K$10,MATCH($U314,Templates!$A$3:$A$10,0)),""))</f>
        <v/>
      </c>
      <c r="W314" s="34">
        <f>IF($U314="","",IFERROR(INDEX(Templates!$L$3:$L$10,MATCH($U314,Templates!$A$3:$A$10,0)),""))</f>
        <v/>
      </c>
      <c r="X314" s="21">
        <f>IF($U314="","",IFERROR(INDEX(Templates!$J$3:$J$10,MATCH($U314,Templates!$A$3:$A$10,0)),""))</f>
        <v/>
      </c>
      <c r="Y314" s="35">
        <f>IF(OR($U314="",$I314="",$J314="",$X314=""),"",$I314+$X314*($J314-$I314))</f>
        <v/>
      </c>
      <c r="Z314" s="30" t="n">
        <v>46212</v>
      </c>
      <c r="AA314" s="29" t="n"/>
      <c r="AB314" s="30" t="n"/>
      <c r="AC314" s="30" t="n"/>
      <c r="AD314" s="19">
        <f>IF($A314="","",IF($AA314="",$H314,$AA314))</f>
        <v/>
      </c>
      <c r="AE314" s="35">
        <f>IF($A314="","",IF($AB314="",$I314,$AB314))</f>
        <v/>
      </c>
      <c r="AF314" s="35">
        <f>IF($A314="","",IF($AC314="",$J314,$AC314))</f>
        <v/>
      </c>
      <c r="AG314" s="35">
        <f>IF(OR($U314="",$AE314="",$AF314="",$X314=""),"",$AE314+$X314*($AF314-$AE314))</f>
        <v/>
      </c>
      <c r="AH314" s="28" t="n"/>
      <c r="AI314" s="28" t="n"/>
      <c r="AJ314" s="28" t="n"/>
      <c r="AK314" s="28" t="n"/>
      <c r="AL314" s="28" t="n"/>
      <c r="AM314" s="28" t="n"/>
      <c r="AN314" s="28" t="n"/>
      <c r="AO314" s="28" t="n"/>
      <c r="AP314" s="28" t="n"/>
      <c r="AQ314" s="28" t="n"/>
      <c r="AR314" s="28" t="n"/>
      <c r="AS314" s="28" t="n"/>
      <c r="AT314" s="28" t="n"/>
      <c r="AU314" s="28" t="n"/>
      <c r="AV314" s="28" t="n"/>
      <c r="AW314" s="28" t="n"/>
      <c r="AX314" s="28" t="n"/>
    </row>
    <row r="315">
      <c r="A315" s="28" t="inlineStr">
        <is>
          <t>ProEnergy_3</t>
        </is>
      </c>
      <c r="B315" s="20" t="inlineStr">
        <is>
          <t>ECP : ProEnergy</t>
        </is>
      </c>
      <c r="C315" s="28" t="inlineStr">
        <is>
          <t>ECP</t>
        </is>
      </c>
      <c r="D315" s="28" t="inlineStr">
        <is>
          <t>ProEnergy</t>
        </is>
      </c>
      <c r="E315" s="28" t="inlineStr">
        <is>
          <t>No</t>
        </is>
      </c>
      <c r="F315" s="28" t="inlineStr">
        <is>
          <t>Internal</t>
        </is>
      </c>
      <c r="G315" s="28" t="n"/>
      <c r="H315" s="29" t="n">
        <v>0</v>
      </c>
      <c r="I315" s="30" t="n"/>
      <c r="J315" s="30" t="n"/>
      <c r="K315" s="31" t="n"/>
      <c r="L315" s="31" t="n"/>
      <c r="M315" s="31" t="n"/>
      <c r="N315" s="31" t="n"/>
      <c r="O315" s="31" t="n"/>
      <c r="P315" s="31" t="n"/>
      <c r="Q315" s="23">
        <f>IF($A315="","",COUNTIFS(Assignments!$C$2:$C$769,$A315,Assignments!$G$2:$G$769,"Active"))</f>
        <v/>
      </c>
      <c r="R315" s="32">
        <f>IF($A315="","",SUMIFS(Assignments!$I$2:$I$769,Assignments!$C$2:$C$769,$A315,Assignments!$G$2:$G$769,"Active"))</f>
        <v/>
      </c>
      <c r="S315" s="20" t="inlineStr">
        <is>
          <t>General Code</t>
        </is>
      </c>
      <c r="T315" s="31" t="n"/>
      <c r="U315" s="28" t="n"/>
      <c r="V315" s="34">
        <f>IF($U315="","",IFERROR(INDEX(Templates!$K$3:$K$10,MATCH($U315,Templates!$A$3:$A$10,0)),""))</f>
        <v/>
      </c>
      <c r="W315" s="34">
        <f>IF($U315="","",IFERROR(INDEX(Templates!$L$3:$L$10,MATCH($U315,Templates!$A$3:$A$10,0)),""))</f>
        <v/>
      </c>
      <c r="X315" s="21">
        <f>IF($U315="","",IFERROR(INDEX(Templates!$J$3:$J$10,MATCH($U315,Templates!$A$3:$A$10,0)),""))</f>
        <v/>
      </c>
      <c r="Y315" s="35">
        <f>IF(OR($U315="",$I315="",$J315="",$X315=""),"",$I315+$X315*($J315-$I315))</f>
        <v/>
      </c>
      <c r="Z315" s="30" t="n">
        <v>46212</v>
      </c>
      <c r="AA315" s="29" t="n"/>
      <c r="AB315" s="30" t="n"/>
      <c r="AC315" s="30" t="n"/>
      <c r="AD315" s="19">
        <f>IF($A315="","",IF($AA315="",$H315,$AA315))</f>
        <v/>
      </c>
      <c r="AE315" s="35">
        <f>IF($A315="","",IF($AB315="",$I315,$AB315))</f>
        <v/>
      </c>
      <c r="AF315" s="35">
        <f>IF($A315="","",IF($AC315="",$J315,$AC315))</f>
        <v/>
      </c>
      <c r="AG315" s="35">
        <f>IF(OR($U315="",$AE315="",$AF315="",$X315=""),"",$AE315+$X315*($AF315-$AE315))</f>
        <v/>
      </c>
      <c r="AH315" s="28" t="n"/>
      <c r="AI315" s="28" t="n"/>
      <c r="AJ315" s="28" t="n"/>
      <c r="AK315" s="28" t="n"/>
      <c r="AL315" s="28" t="n"/>
      <c r="AM315" s="28" t="n"/>
      <c r="AN315" s="28" t="n"/>
      <c r="AO315" s="28" t="n"/>
      <c r="AP315" s="28" t="n"/>
      <c r="AQ315" s="28" t="n"/>
      <c r="AR315" s="28" t="n"/>
      <c r="AS315" s="28" t="n"/>
      <c r="AT315" s="28" t="n"/>
      <c r="AU315" s="28" t="n"/>
      <c r="AV315" s="28" t="n"/>
      <c r="AW315" s="28" t="n"/>
      <c r="AX315" s="28" t="n"/>
    </row>
    <row r="316">
      <c r="A316" s="31" t="n"/>
      <c r="B316" s="41" t="n"/>
      <c r="C316" s="31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  <c r="O316" s="31" t="n"/>
      <c r="P316" s="31" t="n"/>
      <c r="Q316" s="23">
        <f>IF($A316="","",COUNTIFS(Assignments!$C$2:$C$769,$A316,Assignments!$G$2:$G$769,"Active"))</f>
        <v/>
      </c>
      <c r="R316" s="32">
        <f>IF($A316="","",SUMIFS(Assignments!$I$2:$I$769,Assignments!$C$2:$C$769,$A316,Assignments!$G$2:$G$769,"Active"))</f>
        <v/>
      </c>
      <c r="S316" s="41" t="n"/>
      <c r="T316" s="31" t="n"/>
      <c r="U316" s="31" t="n"/>
      <c r="V316" s="34">
        <f>IF($U316="","",IFERROR(INDEX(Templates!$K$3:$K$10,MATCH($U316,Templates!$A$3:$A$10,0)),""))</f>
        <v/>
      </c>
      <c r="W316" s="34">
        <f>IF($U316="","",IFERROR(INDEX(Templates!$L$3:$L$10,MATCH($U316,Templates!$A$3:$A$10,0)),""))</f>
        <v/>
      </c>
      <c r="X316" s="21">
        <f>IF($U316="","",IFERROR(INDEX(Templates!$J$3:$J$10,MATCH($U316,Templates!$A$3:$A$10,0)),""))</f>
        <v/>
      </c>
      <c r="Y316" s="35">
        <f>IF(OR($U316="",$I316="",$J316="",$X316=""),"",$I316+$X316*($J316-$I316))</f>
        <v/>
      </c>
      <c r="Z316" s="31" t="n"/>
      <c r="AA316" s="31" t="n"/>
      <c r="AB316" s="31" t="n"/>
      <c r="AC316" s="31" t="n"/>
      <c r="AD316" s="19">
        <f>IF($A316="","",IF($AA316="",$H316,$AA316))</f>
        <v/>
      </c>
      <c r="AE316" s="35">
        <f>IF($A316="","",IF($AB316="",$I316,$AB316))</f>
        <v/>
      </c>
      <c r="AF316" s="35">
        <f>IF($A316="","",IF($AC316="",$J316,$AC316))</f>
        <v/>
      </c>
      <c r="AG316" s="35">
        <f>IF(OR($U316="",$AE316="",$AF316="",$X316=""),"",$AE316+$X316*($AF316-$AE316))</f>
        <v/>
      </c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  <c r="AT316" s="31" t="n"/>
      <c r="AU316" s="31" t="n"/>
      <c r="AV316" s="31" t="n"/>
      <c r="AW316" s="31" t="n"/>
      <c r="AX316" s="31" t="n"/>
    </row>
    <row r="317">
      <c r="A317" s="31" t="n"/>
      <c r="B317" s="41" t="n"/>
      <c r="C317" s="31" t="n"/>
      <c r="D317" s="31" t="n"/>
      <c r="E317" s="31" t="n"/>
      <c r="F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  <c r="O317" s="31" t="n"/>
      <c r="P317" s="31" t="n"/>
      <c r="Q317" s="23">
        <f>IF($A317="","",COUNTIFS(Assignments!$C$2:$C$769,$A317,Assignments!$G$2:$G$769,"Active"))</f>
        <v/>
      </c>
      <c r="R317" s="32">
        <f>IF($A317="","",SUMIFS(Assignments!$I$2:$I$769,Assignments!$C$2:$C$769,$A317,Assignments!$G$2:$G$769,"Active"))</f>
        <v/>
      </c>
      <c r="S317" s="41" t="n"/>
      <c r="T317" s="31" t="n"/>
      <c r="U317" s="31" t="n"/>
      <c r="V317" s="34">
        <f>IF($U317="","",IFERROR(INDEX(Templates!$K$3:$K$10,MATCH($U317,Templates!$A$3:$A$10,0)),""))</f>
        <v/>
      </c>
      <c r="W317" s="34">
        <f>IF($U317="","",IFERROR(INDEX(Templates!$L$3:$L$10,MATCH($U317,Templates!$A$3:$A$10,0)),""))</f>
        <v/>
      </c>
      <c r="X317" s="21">
        <f>IF($U317="","",IFERROR(INDEX(Templates!$J$3:$J$10,MATCH($U317,Templates!$A$3:$A$10,0)),""))</f>
        <v/>
      </c>
      <c r="Y317" s="35">
        <f>IF(OR($U317="",$I317="",$J317="",$X317=""),"",$I317+$X317*($J317-$I317))</f>
        <v/>
      </c>
      <c r="Z317" s="31" t="n"/>
      <c r="AA317" s="31" t="n"/>
      <c r="AB317" s="31" t="n"/>
      <c r="AC317" s="31" t="n"/>
      <c r="AD317" s="19">
        <f>IF($A317="","",IF($AA317="",$H317,$AA317))</f>
        <v/>
      </c>
      <c r="AE317" s="35">
        <f>IF($A317="","",IF($AB317="",$I317,$AB317))</f>
        <v/>
      </c>
      <c r="AF317" s="35">
        <f>IF($A317="","",IF($AC317="",$J317,$AC317))</f>
        <v/>
      </c>
      <c r="AG317" s="35">
        <f>IF(OR($U317="",$AE317="",$AF317="",$X317=""),"",$AE317+$X317*($AF317-$AE317))</f>
        <v/>
      </c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  <c r="AT317" s="31" t="n"/>
      <c r="AU317" s="31" t="n"/>
      <c r="AV317" s="31" t="n"/>
      <c r="AW317" s="31" t="n"/>
      <c r="AX317" s="31" t="n"/>
    </row>
    <row r="318">
      <c r="A318" s="31" t="n"/>
      <c r="B318" s="41" t="n"/>
      <c r="C318" s="31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  <c r="O318" s="31" t="n"/>
      <c r="P318" s="31" t="n"/>
      <c r="Q318" s="23">
        <f>IF($A318="","",COUNTIFS(Assignments!$C$2:$C$769,$A318,Assignments!$G$2:$G$769,"Active"))</f>
        <v/>
      </c>
      <c r="R318" s="32">
        <f>IF($A318="","",SUMIFS(Assignments!$I$2:$I$769,Assignments!$C$2:$C$769,$A318,Assignments!$G$2:$G$769,"Active"))</f>
        <v/>
      </c>
      <c r="S318" s="41" t="n"/>
      <c r="T318" s="31" t="n"/>
      <c r="U318" s="31" t="n"/>
      <c r="V318" s="34">
        <f>IF($U318="","",IFERROR(INDEX(Templates!$K$3:$K$10,MATCH($U318,Templates!$A$3:$A$10,0)),""))</f>
        <v/>
      </c>
      <c r="W318" s="34">
        <f>IF($U318="","",IFERROR(INDEX(Templates!$L$3:$L$10,MATCH($U318,Templates!$A$3:$A$10,0)),""))</f>
        <v/>
      </c>
      <c r="X318" s="21">
        <f>IF($U318="","",IFERROR(INDEX(Templates!$J$3:$J$10,MATCH($U318,Templates!$A$3:$A$10,0)),""))</f>
        <v/>
      </c>
      <c r="Y318" s="35">
        <f>IF(OR($U318="",$I318="",$J318="",$X318=""),"",$I318+$X318*($J318-$I318))</f>
        <v/>
      </c>
      <c r="Z318" s="31" t="n"/>
      <c r="AA318" s="31" t="n"/>
      <c r="AB318" s="31" t="n"/>
      <c r="AC318" s="31" t="n"/>
      <c r="AD318" s="19">
        <f>IF($A318="","",IF($AA318="",$H318,$AA318))</f>
        <v/>
      </c>
      <c r="AE318" s="35">
        <f>IF($A318="","",IF($AB318="",$I318,$AB318))</f>
        <v/>
      </c>
      <c r="AF318" s="35">
        <f>IF($A318="","",IF($AC318="",$J318,$AC318))</f>
        <v/>
      </c>
      <c r="AG318" s="35">
        <f>IF(OR($U318="",$AE318="",$AF318="",$X318=""),"",$AE318+$X318*($AF318-$AE318))</f>
        <v/>
      </c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  <c r="AT318" s="31" t="n"/>
      <c r="AU318" s="31" t="n"/>
      <c r="AV318" s="31" t="n"/>
      <c r="AW318" s="31" t="n"/>
      <c r="AX318" s="31" t="n"/>
    </row>
    <row r="319">
      <c r="A319" s="31" t="n"/>
      <c r="B319" s="41" t="n"/>
      <c r="C319" s="31" t="n"/>
      <c r="D319" s="31" t="n"/>
      <c r="E319" s="31" t="n"/>
      <c r="F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  <c r="O319" s="31" t="n"/>
      <c r="P319" s="31" t="n"/>
      <c r="Q319" s="23">
        <f>IF($A319="","",COUNTIFS(Assignments!$C$2:$C$769,$A319,Assignments!$G$2:$G$769,"Active"))</f>
        <v/>
      </c>
      <c r="R319" s="32">
        <f>IF($A319="","",SUMIFS(Assignments!$I$2:$I$769,Assignments!$C$2:$C$769,$A319,Assignments!$G$2:$G$769,"Active"))</f>
        <v/>
      </c>
      <c r="S319" s="41" t="n"/>
      <c r="T319" s="31" t="n"/>
      <c r="U319" s="31" t="n"/>
      <c r="V319" s="34">
        <f>IF($U319="","",IFERROR(INDEX(Templates!$K$3:$K$10,MATCH($U319,Templates!$A$3:$A$10,0)),""))</f>
        <v/>
      </c>
      <c r="W319" s="34">
        <f>IF($U319="","",IFERROR(INDEX(Templates!$L$3:$L$10,MATCH($U319,Templates!$A$3:$A$10,0)),""))</f>
        <v/>
      </c>
      <c r="X319" s="21">
        <f>IF($U319="","",IFERROR(INDEX(Templates!$J$3:$J$10,MATCH($U319,Templates!$A$3:$A$10,0)),""))</f>
        <v/>
      </c>
      <c r="Y319" s="35">
        <f>IF(OR($U319="",$I319="",$J319="",$X319=""),"",$I319+$X319*($J319-$I319))</f>
        <v/>
      </c>
      <c r="Z319" s="31" t="n"/>
      <c r="AA319" s="31" t="n"/>
      <c r="AB319" s="31" t="n"/>
      <c r="AC319" s="31" t="n"/>
      <c r="AD319" s="19">
        <f>IF($A319="","",IF($AA319="",$H319,$AA319))</f>
        <v/>
      </c>
      <c r="AE319" s="35">
        <f>IF($A319="","",IF($AB319="",$I319,$AB319))</f>
        <v/>
      </c>
      <c r="AF319" s="35">
        <f>IF($A319="","",IF($AC319="",$J319,$AC319))</f>
        <v/>
      </c>
      <c r="AG319" s="35">
        <f>IF(OR($U319="",$AE319="",$AF319="",$X319=""),"",$AE319+$X319*($AF319-$AE319))</f>
        <v/>
      </c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  <c r="AT319" s="31" t="n"/>
      <c r="AU319" s="31" t="n"/>
      <c r="AV319" s="31" t="n"/>
      <c r="AW319" s="31" t="n"/>
      <c r="AX319" s="31" t="n"/>
    </row>
    <row r="320">
      <c r="A320" s="31" t="n"/>
      <c r="B320" s="41" t="n"/>
      <c r="C320" s="31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  <c r="O320" s="31" t="n"/>
      <c r="P320" s="31" t="n"/>
      <c r="Q320" s="23">
        <f>IF($A320="","",COUNTIFS(Assignments!$C$2:$C$769,$A320,Assignments!$G$2:$G$769,"Active"))</f>
        <v/>
      </c>
      <c r="R320" s="32">
        <f>IF($A320="","",SUMIFS(Assignments!$I$2:$I$769,Assignments!$C$2:$C$769,$A320,Assignments!$G$2:$G$769,"Active"))</f>
        <v/>
      </c>
      <c r="S320" s="41" t="n"/>
      <c r="T320" s="31" t="n"/>
      <c r="U320" s="31" t="n"/>
      <c r="V320" s="34">
        <f>IF($U320="","",IFERROR(INDEX(Templates!$K$3:$K$10,MATCH($U320,Templates!$A$3:$A$10,0)),""))</f>
        <v/>
      </c>
      <c r="W320" s="34">
        <f>IF($U320="","",IFERROR(INDEX(Templates!$L$3:$L$10,MATCH($U320,Templates!$A$3:$A$10,0)),""))</f>
        <v/>
      </c>
      <c r="X320" s="21">
        <f>IF($U320="","",IFERROR(INDEX(Templates!$J$3:$J$10,MATCH($U320,Templates!$A$3:$A$10,0)),""))</f>
        <v/>
      </c>
      <c r="Y320" s="35">
        <f>IF(OR($U320="",$I320="",$J320="",$X320=""),"",$I320+$X320*($J320-$I320))</f>
        <v/>
      </c>
      <c r="Z320" s="31" t="n"/>
      <c r="AA320" s="31" t="n"/>
      <c r="AB320" s="31" t="n"/>
      <c r="AC320" s="31" t="n"/>
      <c r="AD320" s="19">
        <f>IF($A320="","",IF($AA320="",$H320,$AA320))</f>
        <v/>
      </c>
      <c r="AE320" s="35">
        <f>IF($A320="","",IF($AB320="",$I320,$AB320))</f>
        <v/>
      </c>
      <c r="AF320" s="35">
        <f>IF($A320="","",IF($AC320="",$J320,$AC320))</f>
        <v/>
      </c>
      <c r="AG320" s="35">
        <f>IF(OR($U320="",$AE320="",$AF320="",$X320=""),"",$AE320+$X320*($AF320-$AE320))</f>
        <v/>
      </c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  <c r="AT320" s="31" t="n"/>
      <c r="AU320" s="31" t="n"/>
      <c r="AV320" s="31" t="n"/>
      <c r="AW320" s="31" t="n"/>
      <c r="AX320" s="31" t="n"/>
    </row>
    <row r="321">
      <c r="A321" s="31" t="n"/>
      <c r="B321" s="41" t="n"/>
      <c r="C321" s="31" t="n"/>
      <c r="D321" s="31" t="n"/>
      <c r="E321" s="31" t="n"/>
      <c r="F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  <c r="O321" s="31" t="n"/>
      <c r="P321" s="31" t="n"/>
      <c r="Q321" s="23">
        <f>IF($A321="","",COUNTIFS(Assignments!$C$2:$C$769,$A321,Assignments!$G$2:$G$769,"Active"))</f>
        <v/>
      </c>
      <c r="R321" s="32">
        <f>IF($A321="","",SUMIFS(Assignments!$I$2:$I$769,Assignments!$C$2:$C$769,$A321,Assignments!$G$2:$G$769,"Active"))</f>
        <v/>
      </c>
      <c r="S321" s="41" t="n"/>
      <c r="T321" s="31" t="n"/>
      <c r="U321" s="31" t="n"/>
      <c r="V321" s="34">
        <f>IF($U321="","",IFERROR(INDEX(Templates!$K$3:$K$10,MATCH($U321,Templates!$A$3:$A$10,0)),""))</f>
        <v/>
      </c>
      <c r="W321" s="34">
        <f>IF($U321="","",IFERROR(INDEX(Templates!$L$3:$L$10,MATCH($U321,Templates!$A$3:$A$10,0)),""))</f>
        <v/>
      </c>
      <c r="X321" s="21">
        <f>IF($U321="","",IFERROR(INDEX(Templates!$J$3:$J$10,MATCH($U321,Templates!$A$3:$A$10,0)),""))</f>
        <v/>
      </c>
      <c r="Y321" s="35">
        <f>IF(OR($U321="",$I321="",$J321="",$X321=""),"",$I321+$X321*($J321-$I321))</f>
        <v/>
      </c>
      <c r="Z321" s="31" t="n"/>
      <c r="AA321" s="31" t="n"/>
      <c r="AB321" s="31" t="n"/>
      <c r="AC321" s="31" t="n"/>
      <c r="AD321" s="19">
        <f>IF($A321="","",IF($AA321="",$H321,$AA321))</f>
        <v/>
      </c>
      <c r="AE321" s="35">
        <f>IF($A321="","",IF($AB321="",$I321,$AB321))</f>
        <v/>
      </c>
      <c r="AF321" s="35">
        <f>IF($A321="","",IF($AC321="",$J321,$AC321))</f>
        <v/>
      </c>
      <c r="AG321" s="35">
        <f>IF(OR($U321="",$AE321="",$AF321="",$X321=""),"",$AE321+$X321*($AF321-$AE321))</f>
        <v/>
      </c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  <c r="AT321" s="31" t="n"/>
      <c r="AU321" s="31" t="n"/>
      <c r="AV321" s="31" t="n"/>
      <c r="AW321" s="31" t="n"/>
      <c r="AX321" s="31" t="n"/>
    </row>
    <row r="322">
      <c r="A322" s="31" t="n"/>
      <c r="B322" s="41" t="n"/>
      <c r="C322" s="31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  <c r="O322" s="31" t="n"/>
      <c r="P322" s="31" t="n"/>
      <c r="Q322" s="23">
        <f>IF($A322="","",COUNTIFS(Assignments!$C$2:$C$769,$A322,Assignments!$G$2:$G$769,"Active"))</f>
        <v/>
      </c>
      <c r="R322" s="32">
        <f>IF($A322="","",SUMIFS(Assignments!$I$2:$I$769,Assignments!$C$2:$C$769,$A322,Assignments!$G$2:$G$769,"Active"))</f>
        <v/>
      </c>
      <c r="S322" s="41" t="n"/>
      <c r="T322" s="31" t="n"/>
      <c r="U322" s="31" t="n"/>
      <c r="V322" s="34">
        <f>IF($U322="","",IFERROR(INDEX(Templates!$K$3:$K$10,MATCH($U322,Templates!$A$3:$A$10,0)),""))</f>
        <v/>
      </c>
      <c r="W322" s="34">
        <f>IF($U322="","",IFERROR(INDEX(Templates!$L$3:$L$10,MATCH($U322,Templates!$A$3:$A$10,0)),""))</f>
        <v/>
      </c>
      <c r="X322" s="21">
        <f>IF($U322="","",IFERROR(INDEX(Templates!$J$3:$J$10,MATCH($U322,Templates!$A$3:$A$10,0)),""))</f>
        <v/>
      </c>
      <c r="Y322" s="35">
        <f>IF(OR($U322="",$I322="",$J322="",$X322=""),"",$I322+$X322*($J322-$I322))</f>
        <v/>
      </c>
      <c r="Z322" s="31" t="n"/>
      <c r="AA322" s="31" t="n"/>
      <c r="AB322" s="31" t="n"/>
      <c r="AC322" s="31" t="n"/>
      <c r="AD322" s="19">
        <f>IF($A322="","",IF($AA322="",$H322,$AA322))</f>
        <v/>
      </c>
      <c r="AE322" s="35">
        <f>IF($A322="","",IF($AB322="",$I322,$AB322))</f>
        <v/>
      </c>
      <c r="AF322" s="35">
        <f>IF($A322="","",IF($AC322="",$J322,$AC322))</f>
        <v/>
      </c>
      <c r="AG322" s="35">
        <f>IF(OR($U322="",$AE322="",$AF322="",$X322=""),"",$AE322+$X322*($AF322-$AE322))</f>
        <v/>
      </c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  <c r="AT322" s="31" t="n"/>
      <c r="AU322" s="31" t="n"/>
      <c r="AV322" s="31" t="n"/>
      <c r="AW322" s="31" t="n"/>
      <c r="AX322" s="31" t="n"/>
    </row>
    <row r="323">
      <c r="A323" s="31" t="n"/>
      <c r="B323" s="41" t="n"/>
      <c r="C323" s="31" t="n"/>
      <c r="D323" s="31" t="n"/>
      <c r="E323" s="31" t="n"/>
      <c r="F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  <c r="O323" s="31" t="n"/>
      <c r="P323" s="31" t="n"/>
      <c r="Q323" s="23">
        <f>IF($A323="","",COUNTIFS(Assignments!$C$2:$C$769,$A323,Assignments!$G$2:$G$769,"Active"))</f>
        <v/>
      </c>
      <c r="R323" s="32">
        <f>IF($A323="","",SUMIFS(Assignments!$I$2:$I$769,Assignments!$C$2:$C$769,$A323,Assignments!$G$2:$G$769,"Active"))</f>
        <v/>
      </c>
      <c r="S323" s="41" t="n"/>
      <c r="T323" s="31" t="n"/>
      <c r="U323" s="31" t="n"/>
      <c r="V323" s="34">
        <f>IF($U323="","",IFERROR(INDEX(Templates!$K$3:$K$10,MATCH($U323,Templates!$A$3:$A$10,0)),""))</f>
        <v/>
      </c>
      <c r="W323" s="34">
        <f>IF($U323="","",IFERROR(INDEX(Templates!$L$3:$L$10,MATCH($U323,Templates!$A$3:$A$10,0)),""))</f>
        <v/>
      </c>
      <c r="X323" s="21">
        <f>IF($U323="","",IFERROR(INDEX(Templates!$J$3:$J$10,MATCH($U323,Templates!$A$3:$A$10,0)),""))</f>
        <v/>
      </c>
      <c r="Y323" s="35">
        <f>IF(OR($U323="",$I323="",$J323="",$X323=""),"",$I323+$X323*($J323-$I323))</f>
        <v/>
      </c>
      <c r="Z323" s="31" t="n"/>
      <c r="AA323" s="31" t="n"/>
      <c r="AB323" s="31" t="n"/>
      <c r="AC323" s="31" t="n"/>
      <c r="AD323" s="19">
        <f>IF($A323="","",IF($AA323="",$H323,$AA323))</f>
        <v/>
      </c>
      <c r="AE323" s="35">
        <f>IF($A323="","",IF($AB323="",$I323,$AB323))</f>
        <v/>
      </c>
      <c r="AF323" s="35">
        <f>IF($A323="","",IF($AC323="",$J323,$AC323))</f>
        <v/>
      </c>
      <c r="AG323" s="35">
        <f>IF(OR($U323="",$AE323="",$AF323="",$X323=""),"",$AE323+$X323*($AF323-$AE323))</f>
        <v/>
      </c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  <c r="AT323" s="31" t="n"/>
      <c r="AU323" s="31" t="n"/>
      <c r="AV323" s="31" t="n"/>
      <c r="AW323" s="31" t="n"/>
      <c r="AX323" s="31" t="n"/>
    </row>
    <row r="324">
      <c r="A324" s="31" t="n"/>
      <c r="B324" s="41" t="n"/>
      <c r="C324" s="31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  <c r="O324" s="31" t="n"/>
      <c r="P324" s="31" t="n"/>
      <c r="Q324" s="23">
        <f>IF($A324="","",COUNTIFS(Assignments!$C$2:$C$769,$A324,Assignments!$G$2:$G$769,"Active"))</f>
        <v/>
      </c>
      <c r="R324" s="32">
        <f>IF($A324="","",SUMIFS(Assignments!$I$2:$I$769,Assignments!$C$2:$C$769,$A324,Assignments!$G$2:$G$769,"Active"))</f>
        <v/>
      </c>
      <c r="S324" s="41" t="n"/>
      <c r="T324" s="31" t="n"/>
      <c r="U324" s="31" t="n"/>
      <c r="V324" s="34">
        <f>IF($U324="","",IFERROR(INDEX(Templates!$K$3:$K$10,MATCH($U324,Templates!$A$3:$A$10,0)),""))</f>
        <v/>
      </c>
      <c r="W324" s="34">
        <f>IF($U324="","",IFERROR(INDEX(Templates!$L$3:$L$10,MATCH($U324,Templates!$A$3:$A$10,0)),""))</f>
        <v/>
      </c>
      <c r="X324" s="21">
        <f>IF($U324="","",IFERROR(INDEX(Templates!$J$3:$J$10,MATCH($U324,Templates!$A$3:$A$10,0)),""))</f>
        <v/>
      </c>
      <c r="Y324" s="35">
        <f>IF(OR($U324="",$I324="",$J324="",$X324=""),"",$I324+$X324*($J324-$I324))</f>
        <v/>
      </c>
      <c r="Z324" s="31" t="n"/>
      <c r="AA324" s="31" t="n"/>
      <c r="AB324" s="31" t="n"/>
      <c r="AC324" s="31" t="n"/>
      <c r="AD324" s="19">
        <f>IF($A324="","",IF($AA324="",$H324,$AA324))</f>
        <v/>
      </c>
      <c r="AE324" s="35">
        <f>IF($A324="","",IF($AB324="",$I324,$AB324))</f>
        <v/>
      </c>
      <c r="AF324" s="35">
        <f>IF($A324="","",IF($AC324="",$J324,$AC324))</f>
        <v/>
      </c>
      <c r="AG324" s="35">
        <f>IF(OR($U324="",$AE324="",$AF324="",$X324=""),"",$AE324+$X324*($AF324-$AE324))</f>
        <v/>
      </c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  <c r="AT324" s="31" t="n"/>
      <c r="AU324" s="31" t="n"/>
      <c r="AV324" s="31" t="n"/>
      <c r="AW324" s="31" t="n"/>
      <c r="AX324" s="31" t="n"/>
    </row>
    <row r="325">
      <c r="A325" s="31" t="n"/>
      <c r="B325" s="41" t="n"/>
      <c r="C325" s="31" t="n"/>
      <c r="D325" s="31" t="n"/>
      <c r="E325" s="31" t="n"/>
      <c r="F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  <c r="O325" s="31" t="n"/>
      <c r="P325" s="31" t="n"/>
      <c r="Q325" s="23">
        <f>IF($A325="","",COUNTIFS(Assignments!$C$2:$C$769,$A325,Assignments!$G$2:$G$769,"Active"))</f>
        <v/>
      </c>
      <c r="R325" s="32">
        <f>IF($A325="","",SUMIFS(Assignments!$I$2:$I$769,Assignments!$C$2:$C$769,$A325,Assignments!$G$2:$G$769,"Active"))</f>
        <v/>
      </c>
      <c r="S325" s="41" t="n"/>
      <c r="T325" s="31" t="n"/>
      <c r="U325" s="31" t="n"/>
      <c r="V325" s="34">
        <f>IF($U325="","",IFERROR(INDEX(Templates!$K$3:$K$10,MATCH($U325,Templates!$A$3:$A$10,0)),""))</f>
        <v/>
      </c>
      <c r="W325" s="34">
        <f>IF($U325="","",IFERROR(INDEX(Templates!$L$3:$L$10,MATCH($U325,Templates!$A$3:$A$10,0)),""))</f>
        <v/>
      </c>
      <c r="X325" s="21">
        <f>IF($U325="","",IFERROR(INDEX(Templates!$J$3:$J$10,MATCH($U325,Templates!$A$3:$A$10,0)),""))</f>
        <v/>
      </c>
      <c r="Y325" s="35">
        <f>IF(OR($U325="",$I325="",$J325="",$X325=""),"",$I325+$X325*($J325-$I325))</f>
        <v/>
      </c>
      <c r="Z325" s="31" t="n"/>
      <c r="AA325" s="31" t="n"/>
      <c r="AB325" s="31" t="n"/>
      <c r="AC325" s="31" t="n"/>
      <c r="AD325" s="19">
        <f>IF($A325="","",IF($AA325="",$H325,$AA325))</f>
        <v/>
      </c>
      <c r="AE325" s="35">
        <f>IF($A325="","",IF($AB325="",$I325,$AB325))</f>
        <v/>
      </c>
      <c r="AF325" s="35">
        <f>IF($A325="","",IF($AC325="",$J325,$AC325))</f>
        <v/>
      </c>
      <c r="AG325" s="35">
        <f>IF(OR($U325="",$AE325="",$AF325="",$X325=""),"",$AE325+$X325*($AF325-$AE325))</f>
        <v/>
      </c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  <c r="AT325" s="31" t="n"/>
      <c r="AU325" s="31" t="n"/>
      <c r="AV325" s="31" t="n"/>
      <c r="AW325" s="31" t="n"/>
      <c r="AX325" s="31" t="n"/>
    </row>
    <row r="326">
      <c r="A326" s="31" t="n"/>
      <c r="B326" s="41" t="n"/>
      <c r="C326" s="31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  <c r="O326" s="31" t="n"/>
      <c r="P326" s="31" t="n"/>
      <c r="Q326" s="23">
        <f>IF($A326="","",COUNTIFS(Assignments!$C$2:$C$769,$A326,Assignments!$G$2:$G$769,"Active"))</f>
        <v/>
      </c>
      <c r="R326" s="32">
        <f>IF($A326="","",SUMIFS(Assignments!$I$2:$I$769,Assignments!$C$2:$C$769,$A326,Assignments!$G$2:$G$769,"Active"))</f>
        <v/>
      </c>
      <c r="S326" s="41" t="n"/>
      <c r="T326" s="31" t="n"/>
      <c r="U326" s="31" t="n"/>
      <c r="V326" s="34">
        <f>IF($U326="","",IFERROR(INDEX(Templates!$K$3:$K$10,MATCH($U326,Templates!$A$3:$A$10,0)),""))</f>
        <v/>
      </c>
      <c r="W326" s="34">
        <f>IF($U326="","",IFERROR(INDEX(Templates!$L$3:$L$10,MATCH($U326,Templates!$A$3:$A$10,0)),""))</f>
        <v/>
      </c>
      <c r="X326" s="21">
        <f>IF($U326="","",IFERROR(INDEX(Templates!$J$3:$J$10,MATCH($U326,Templates!$A$3:$A$10,0)),""))</f>
        <v/>
      </c>
      <c r="Y326" s="35">
        <f>IF(OR($U326="",$I326="",$J326="",$X326=""),"",$I326+$X326*($J326-$I326))</f>
        <v/>
      </c>
      <c r="Z326" s="31" t="n"/>
      <c r="AA326" s="31" t="n"/>
      <c r="AB326" s="31" t="n"/>
      <c r="AC326" s="31" t="n"/>
      <c r="AD326" s="19">
        <f>IF($A326="","",IF($AA326="",$H326,$AA326))</f>
        <v/>
      </c>
      <c r="AE326" s="35">
        <f>IF($A326="","",IF($AB326="",$I326,$AB326))</f>
        <v/>
      </c>
      <c r="AF326" s="35">
        <f>IF($A326="","",IF($AC326="",$J326,$AC326))</f>
        <v/>
      </c>
      <c r="AG326" s="35">
        <f>IF(OR($U326="",$AE326="",$AF326="",$X326=""),"",$AE326+$X326*($AF326-$AE326))</f>
        <v/>
      </c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  <c r="AT326" s="31" t="n"/>
      <c r="AU326" s="31" t="n"/>
      <c r="AV326" s="31" t="n"/>
      <c r="AW326" s="31" t="n"/>
      <c r="AX326" s="31" t="n"/>
    </row>
    <row r="327">
      <c r="A327" s="31" t="n"/>
      <c r="B327" s="41" t="n"/>
      <c r="C327" s="31" t="n"/>
      <c r="D327" s="31" t="n"/>
      <c r="E327" s="31" t="n"/>
      <c r="F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  <c r="O327" s="31" t="n"/>
      <c r="P327" s="31" t="n"/>
      <c r="Q327" s="23">
        <f>IF($A327="","",COUNTIFS(Assignments!$C$2:$C$769,$A327,Assignments!$G$2:$G$769,"Active"))</f>
        <v/>
      </c>
      <c r="R327" s="32">
        <f>IF($A327="","",SUMIFS(Assignments!$I$2:$I$769,Assignments!$C$2:$C$769,$A327,Assignments!$G$2:$G$769,"Active"))</f>
        <v/>
      </c>
      <c r="S327" s="41" t="n"/>
      <c r="T327" s="31" t="n"/>
      <c r="U327" s="31" t="n"/>
      <c r="V327" s="34">
        <f>IF($U327="","",IFERROR(INDEX(Templates!$K$3:$K$10,MATCH($U327,Templates!$A$3:$A$10,0)),""))</f>
        <v/>
      </c>
      <c r="W327" s="34">
        <f>IF($U327="","",IFERROR(INDEX(Templates!$L$3:$L$10,MATCH($U327,Templates!$A$3:$A$10,0)),""))</f>
        <v/>
      </c>
      <c r="X327" s="21">
        <f>IF($U327="","",IFERROR(INDEX(Templates!$J$3:$J$10,MATCH($U327,Templates!$A$3:$A$10,0)),""))</f>
        <v/>
      </c>
      <c r="Y327" s="35">
        <f>IF(OR($U327="",$I327="",$J327="",$X327=""),"",$I327+$X327*($J327-$I327))</f>
        <v/>
      </c>
      <c r="Z327" s="31" t="n"/>
      <c r="AA327" s="31" t="n"/>
      <c r="AB327" s="31" t="n"/>
      <c r="AC327" s="31" t="n"/>
      <c r="AD327" s="19">
        <f>IF($A327="","",IF($AA327="",$H327,$AA327))</f>
        <v/>
      </c>
      <c r="AE327" s="35">
        <f>IF($A327="","",IF($AB327="",$I327,$AB327))</f>
        <v/>
      </c>
      <c r="AF327" s="35">
        <f>IF($A327="","",IF($AC327="",$J327,$AC327))</f>
        <v/>
      </c>
      <c r="AG327" s="35">
        <f>IF(OR($U327="",$AE327="",$AF327="",$X327=""),"",$AE327+$X327*($AF327-$AE327))</f>
        <v/>
      </c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  <c r="AT327" s="31" t="n"/>
      <c r="AU327" s="31" t="n"/>
      <c r="AV327" s="31" t="n"/>
      <c r="AW327" s="31" t="n"/>
      <c r="AX327" s="31" t="n"/>
    </row>
    <row r="328">
      <c r="A328" s="31" t="n"/>
      <c r="B328" s="41" t="n"/>
      <c r="C328" s="31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  <c r="O328" s="31" t="n"/>
      <c r="P328" s="31" t="n"/>
      <c r="Q328" s="23">
        <f>IF($A328="","",COUNTIFS(Assignments!$C$2:$C$769,$A328,Assignments!$G$2:$G$769,"Active"))</f>
        <v/>
      </c>
      <c r="R328" s="32">
        <f>IF($A328="","",SUMIFS(Assignments!$I$2:$I$769,Assignments!$C$2:$C$769,$A328,Assignments!$G$2:$G$769,"Active"))</f>
        <v/>
      </c>
      <c r="S328" s="41" t="n"/>
      <c r="T328" s="31" t="n"/>
      <c r="U328" s="31" t="n"/>
      <c r="V328" s="34">
        <f>IF($U328="","",IFERROR(INDEX(Templates!$K$3:$K$10,MATCH($U328,Templates!$A$3:$A$10,0)),""))</f>
        <v/>
      </c>
      <c r="W328" s="34">
        <f>IF($U328="","",IFERROR(INDEX(Templates!$L$3:$L$10,MATCH($U328,Templates!$A$3:$A$10,0)),""))</f>
        <v/>
      </c>
      <c r="X328" s="21">
        <f>IF($U328="","",IFERROR(INDEX(Templates!$J$3:$J$10,MATCH($U328,Templates!$A$3:$A$10,0)),""))</f>
        <v/>
      </c>
      <c r="Y328" s="35">
        <f>IF(OR($U328="",$I328="",$J328="",$X328=""),"",$I328+$X328*($J328-$I328))</f>
        <v/>
      </c>
      <c r="Z328" s="31" t="n"/>
      <c r="AA328" s="31" t="n"/>
      <c r="AB328" s="31" t="n"/>
      <c r="AC328" s="31" t="n"/>
      <c r="AD328" s="19">
        <f>IF($A328="","",IF($AA328="",$H328,$AA328))</f>
        <v/>
      </c>
      <c r="AE328" s="35">
        <f>IF($A328="","",IF($AB328="",$I328,$AB328))</f>
        <v/>
      </c>
      <c r="AF328" s="35">
        <f>IF($A328="","",IF($AC328="",$J328,$AC328))</f>
        <v/>
      </c>
      <c r="AG328" s="35">
        <f>IF(OR($U328="",$AE328="",$AF328="",$X328=""),"",$AE328+$X328*($AF328-$AE328))</f>
        <v/>
      </c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  <c r="AT328" s="31" t="n"/>
      <c r="AU328" s="31" t="n"/>
      <c r="AV328" s="31" t="n"/>
      <c r="AW328" s="31" t="n"/>
      <c r="AX328" s="31" t="n"/>
    </row>
    <row r="329">
      <c r="A329" s="31" t="n"/>
      <c r="B329" s="41" t="n"/>
      <c r="C329" s="31" t="n"/>
      <c r="D329" s="31" t="n"/>
      <c r="E329" s="31" t="n"/>
      <c r="F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  <c r="O329" s="31" t="n"/>
      <c r="P329" s="31" t="n"/>
      <c r="Q329" s="23">
        <f>IF($A329="","",COUNTIFS(Assignments!$C$2:$C$769,$A329,Assignments!$G$2:$G$769,"Active"))</f>
        <v/>
      </c>
      <c r="R329" s="32">
        <f>IF($A329="","",SUMIFS(Assignments!$I$2:$I$769,Assignments!$C$2:$C$769,$A329,Assignments!$G$2:$G$769,"Active"))</f>
        <v/>
      </c>
      <c r="S329" s="41" t="n"/>
      <c r="T329" s="31" t="n"/>
      <c r="U329" s="31" t="n"/>
      <c r="V329" s="34">
        <f>IF($U329="","",IFERROR(INDEX(Templates!$K$3:$K$10,MATCH($U329,Templates!$A$3:$A$10,0)),""))</f>
        <v/>
      </c>
      <c r="W329" s="34">
        <f>IF($U329="","",IFERROR(INDEX(Templates!$L$3:$L$10,MATCH($U329,Templates!$A$3:$A$10,0)),""))</f>
        <v/>
      </c>
      <c r="X329" s="21">
        <f>IF($U329="","",IFERROR(INDEX(Templates!$J$3:$J$10,MATCH($U329,Templates!$A$3:$A$10,0)),""))</f>
        <v/>
      </c>
      <c r="Y329" s="35">
        <f>IF(OR($U329="",$I329="",$J329="",$X329=""),"",$I329+$X329*($J329-$I329))</f>
        <v/>
      </c>
      <c r="Z329" s="31" t="n"/>
      <c r="AA329" s="31" t="n"/>
      <c r="AB329" s="31" t="n"/>
      <c r="AC329" s="31" t="n"/>
      <c r="AD329" s="19">
        <f>IF($A329="","",IF($AA329="",$H329,$AA329))</f>
        <v/>
      </c>
      <c r="AE329" s="35">
        <f>IF($A329="","",IF($AB329="",$I329,$AB329))</f>
        <v/>
      </c>
      <c r="AF329" s="35">
        <f>IF($A329="","",IF($AC329="",$J329,$AC329))</f>
        <v/>
      </c>
      <c r="AG329" s="35">
        <f>IF(OR($U329="",$AE329="",$AF329="",$X329=""),"",$AE329+$X329*($AF329-$AE329))</f>
        <v/>
      </c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  <c r="AT329" s="31" t="n"/>
      <c r="AU329" s="31" t="n"/>
      <c r="AV329" s="31" t="n"/>
      <c r="AW329" s="31" t="n"/>
      <c r="AX329" s="31" t="n"/>
    </row>
    <row r="330">
      <c r="A330" s="31" t="n"/>
      <c r="B330" s="41" t="n"/>
      <c r="C330" s="31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  <c r="O330" s="31" t="n"/>
      <c r="P330" s="31" t="n"/>
      <c r="Q330" s="23">
        <f>IF($A330="","",COUNTIFS(Assignments!$C$2:$C$769,$A330,Assignments!$G$2:$G$769,"Active"))</f>
        <v/>
      </c>
      <c r="R330" s="32">
        <f>IF($A330="","",SUMIFS(Assignments!$I$2:$I$769,Assignments!$C$2:$C$769,$A330,Assignments!$G$2:$G$769,"Active"))</f>
        <v/>
      </c>
      <c r="S330" s="41" t="n"/>
      <c r="T330" s="31" t="n"/>
      <c r="U330" s="31" t="n"/>
      <c r="V330" s="34">
        <f>IF($U330="","",IFERROR(INDEX(Templates!$K$3:$K$10,MATCH($U330,Templates!$A$3:$A$10,0)),""))</f>
        <v/>
      </c>
      <c r="W330" s="34">
        <f>IF($U330="","",IFERROR(INDEX(Templates!$L$3:$L$10,MATCH($U330,Templates!$A$3:$A$10,0)),""))</f>
        <v/>
      </c>
      <c r="X330" s="21">
        <f>IF($U330="","",IFERROR(INDEX(Templates!$J$3:$J$10,MATCH($U330,Templates!$A$3:$A$10,0)),""))</f>
        <v/>
      </c>
      <c r="Y330" s="35">
        <f>IF(OR($U330="",$I330="",$J330="",$X330=""),"",$I330+$X330*($J330-$I330))</f>
        <v/>
      </c>
      <c r="Z330" s="31" t="n"/>
      <c r="AA330" s="31" t="n"/>
      <c r="AB330" s="31" t="n"/>
      <c r="AC330" s="31" t="n"/>
      <c r="AD330" s="19">
        <f>IF($A330="","",IF($AA330="",$H330,$AA330))</f>
        <v/>
      </c>
      <c r="AE330" s="35">
        <f>IF($A330="","",IF($AB330="",$I330,$AB330))</f>
        <v/>
      </c>
      <c r="AF330" s="35">
        <f>IF($A330="","",IF($AC330="",$J330,$AC330))</f>
        <v/>
      </c>
      <c r="AG330" s="35">
        <f>IF(OR($U330="",$AE330="",$AF330="",$X330=""),"",$AE330+$X330*($AF330-$AE330))</f>
        <v/>
      </c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  <c r="AT330" s="31" t="n"/>
      <c r="AU330" s="31" t="n"/>
      <c r="AV330" s="31" t="n"/>
      <c r="AW330" s="31" t="n"/>
      <c r="AX330" s="31" t="n"/>
    </row>
    <row r="331">
      <c r="A331" s="31" t="n"/>
      <c r="B331" s="41" t="n"/>
      <c r="C331" s="31" t="n"/>
      <c r="D331" s="31" t="n"/>
      <c r="E331" s="31" t="n"/>
      <c r="F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  <c r="O331" s="31" t="n"/>
      <c r="P331" s="31" t="n"/>
      <c r="Q331" s="23">
        <f>IF($A331="","",COUNTIFS(Assignments!$C$2:$C$769,$A331,Assignments!$G$2:$G$769,"Active"))</f>
        <v/>
      </c>
      <c r="R331" s="32">
        <f>IF($A331="","",SUMIFS(Assignments!$I$2:$I$769,Assignments!$C$2:$C$769,$A331,Assignments!$G$2:$G$769,"Active"))</f>
        <v/>
      </c>
      <c r="S331" s="41" t="n"/>
      <c r="T331" s="31" t="n"/>
      <c r="U331" s="31" t="n"/>
      <c r="V331" s="34">
        <f>IF($U331="","",IFERROR(INDEX(Templates!$K$3:$K$10,MATCH($U331,Templates!$A$3:$A$10,0)),""))</f>
        <v/>
      </c>
      <c r="W331" s="34">
        <f>IF($U331="","",IFERROR(INDEX(Templates!$L$3:$L$10,MATCH($U331,Templates!$A$3:$A$10,0)),""))</f>
        <v/>
      </c>
      <c r="X331" s="21">
        <f>IF($U331="","",IFERROR(INDEX(Templates!$J$3:$J$10,MATCH($U331,Templates!$A$3:$A$10,0)),""))</f>
        <v/>
      </c>
      <c r="Y331" s="35">
        <f>IF(OR($U331="",$I331="",$J331="",$X331=""),"",$I331+$X331*($J331-$I331))</f>
        <v/>
      </c>
      <c r="Z331" s="31" t="n"/>
      <c r="AA331" s="31" t="n"/>
      <c r="AB331" s="31" t="n"/>
      <c r="AC331" s="31" t="n"/>
      <c r="AD331" s="19">
        <f>IF($A331="","",IF($AA331="",$H331,$AA331))</f>
        <v/>
      </c>
      <c r="AE331" s="35">
        <f>IF($A331="","",IF($AB331="",$I331,$AB331))</f>
        <v/>
      </c>
      <c r="AF331" s="35">
        <f>IF($A331="","",IF($AC331="",$J331,$AC331))</f>
        <v/>
      </c>
      <c r="AG331" s="35">
        <f>IF(OR($U331="",$AE331="",$AF331="",$X331=""),"",$AE331+$X331*($AF331-$AE331))</f>
        <v/>
      </c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  <c r="AT331" s="31" t="n"/>
      <c r="AU331" s="31" t="n"/>
      <c r="AV331" s="31" t="n"/>
      <c r="AW331" s="31" t="n"/>
      <c r="AX331" s="31" t="n"/>
    </row>
    <row r="332">
      <c r="A332" s="31" t="n"/>
      <c r="B332" s="41" t="n"/>
      <c r="C332" s="31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  <c r="O332" s="31" t="n"/>
      <c r="P332" s="31" t="n"/>
      <c r="Q332" s="23">
        <f>IF($A332="","",COUNTIFS(Assignments!$C$2:$C$769,$A332,Assignments!$G$2:$G$769,"Active"))</f>
        <v/>
      </c>
      <c r="R332" s="32">
        <f>IF($A332="","",SUMIFS(Assignments!$I$2:$I$769,Assignments!$C$2:$C$769,$A332,Assignments!$G$2:$G$769,"Active"))</f>
        <v/>
      </c>
      <c r="S332" s="41" t="n"/>
      <c r="T332" s="31" t="n"/>
      <c r="U332" s="31" t="n"/>
      <c r="V332" s="34">
        <f>IF($U332="","",IFERROR(INDEX(Templates!$K$3:$K$10,MATCH($U332,Templates!$A$3:$A$10,0)),""))</f>
        <v/>
      </c>
      <c r="W332" s="34">
        <f>IF($U332="","",IFERROR(INDEX(Templates!$L$3:$L$10,MATCH($U332,Templates!$A$3:$A$10,0)),""))</f>
        <v/>
      </c>
      <c r="X332" s="21">
        <f>IF($U332="","",IFERROR(INDEX(Templates!$J$3:$J$10,MATCH($U332,Templates!$A$3:$A$10,0)),""))</f>
        <v/>
      </c>
      <c r="Y332" s="35">
        <f>IF(OR($U332="",$I332="",$J332="",$X332=""),"",$I332+$X332*($J332-$I332))</f>
        <v/>
      </c>
      <c r="Z332" s="31" t="n"/>
      <c r="AA332" s="31" t="n"/>
      <c r="AB332" s="31" t="n"/>
      <c r="AC332" s="31" t="n"/>
      <c r="AD332" s="19">
        <f>IF($A332="","",IF($AA332="",$H332,$AA332))</f>
        <v/>
      </c>
      <c r="AE332" s="35">
        <f>IF($A332="","",IF($AB332="",$I332,$AB332))</f>
        <v/>
      </c>
      <c r="AF332" s="35">
        <f>IF($A332="","",IF($AC332="",$J332,$AC332))</f>
        <v/>
      </c>
      <c r="AG332" s="35">
        <f>IF(OR($U332="",$AE332="",$AF332="",$X332=""),"",$AE332+$X332*($AF332-$AE332))</f>
        <v/>
      </c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  <c r="AT332" s="31" t="n"/>
      <c r="AU332" s="31" t="n"/>
      <c r="AV332" s="31" t="n"/>
      <c r="AW332" s="31" t="n"/>
      <c r="AX332" s="31" t="n"/>
    </row>
    <row r="333">
      <c r="A333" s="31" t="n"/>
      <c r="B333" s="41" t="n"/>
      <c r="C333" s="31" t="n"/>
      <c r="D333" s="31" t="n"/>
      <c r="E333" s="31" t="n"/>
      <c r="F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  <c r="O333" s="31" t="n"/>
      <c r="P333" s="31" t="n"/>
      <c r="Q333" s="23">
        <f>IF($A333="","",COUNTIFS(Assignments!$C$2:$C$769,$A333,Assignments!$G$2:$G$769,"Active"))</f>
        <v/>
      </c>
      <c r="R333" s="32">
        <f>IF($A333="","",SUMIFS(Assignments!$I$2:$I$769,Assignments!$C$2:$C$769,$A333,Assignments!$G$2:$G$769,"Active"))</f>
        <v/>
      </c>
      <c r="S333" s="41" t="n"/>
      <c r="T333" s="31" t="n"/>
      <c r="U333" s="31" t="n"/>
      <c r="V333" s="34">
        <f>IF($U333="","",IFERROR(INDEX(Templates!$K$3:$K$10,MATCH($U333,Templates!$A$3:$A$10,0)),""))</f>
        <v/>
      </c>
      <c r="W333" s="34">
        <f>IF($U333="","",IFERROR(INDEX(Templates!$L$3:$L$10,MATCH($U333,Templates!$A$3:$A$10,0)),""))</f>
        <v/>
      </c>
      <c r="X333" s="21">
        <f>IF($U333="","",IFERROR(INDEX(Templates!$J$3:$J$10,MATCH($U333,Templates!$A$3:$A$10,0)),""))</f>
        <v/>
      </c>
      <c r="Y333" s="35">
        <f>IF(OR($U333="",$I333="",$J333="",$X333=""),"",$I333+$X333*($J333-$I333))</f>
        <v/>
      </c>
      <c r="Z333" s="31" t="n"/>
      <c r="AA333" s="31" t="n"/>
      <c r="AB333" s="31" t="n"/>
      <c r="AC333" s="31" t="n"/>
      <c r="AD333" s="19">
        <f>IF($A333="","",IF($AA333="",$H333,$AA333))</f>
        <v/>
      </c>
      <c r="AE333" s="35">
        <f>IF($A333="","",IF($AB333="",$I333,$AB333))</f>
        <v/>
      </c>
      <c r="AF333" s="35">
        <f>IF($A333="","",IF($AC333="",$J333,$AC333))</f>
        <v/>
      </c>
      <c r="AG333" s="35">
        <f>IF(OR($U333="",$AE333="",$AF333="",$X333=""),"",$AE333+$X333*($AF333-$AE333))</f>
        <v/>
      </c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  <c r="AT333" s="31" t="n"/>
      <c r="AU333" s="31" t="n"/>
      <c r="AV333" s="31" t="n"/>
      <c r="AW333" s="31" t="n"/>
      <c r="AX333" s="31" t="n"/>
    </row>
    <row r="334">
      <c r="A334" s="31" t="n"/>
      <c r="B334" s="41" t="n"/>
      <c r="C334" s="31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  <c r="O334" s="31" t="n"/>
      <c r="P334" s="31" t="n"/>
      <c r="Q334" s="23">
        <f>IF($A334="","",COUNTIFS(Assignments!$C$2:$C$769,$A334,Assignments!$G$2:$G$769,"Active"))</f>
        <v/>
      </c>
      <c r="R334" s="32">
        <f>IF($A334="","",SUMIFS(Assignments!$I$2:$I$769,Assignments!$C$2:$C$769,$A334,Assignments!$G$2:$G$769,"Active"))</f>
        <v/>
      </c>
      <c r="S334" s="41" t="n"/>
      <c r="T334" s="31" t="n"/>
      <c r="U334" s="31" t="n"/>
      <c r="V334" s="34">
        <f>IF($U334="","",IFERROR(INDEX(Templates!$K$3:$K$10,MATCH($U334,Templates!$A$3:$A$10,0)),""))</f>
        <v/>
      </c>
      <c r="W334" s="34">
        <f>IF($U334="","",IFERROR(INDEX(Templates!$L$3:$L$10,MATCH($U334,Templates!$A$3:$A$10,0)),""))</f>
        <v/>
      </c>
      <c r="X334" s="21">
        <f>IF($U334="","",IFERROR(INDEX(Templates!$J$3:$J$10,MATCH($U334,Templates!$A$3:$A$10,0)),""))</f>
        <v/>
      </c>
      <c r="Y334" s="35">
        <f>IF(OR($U334="",$I334="",$J334="",$X334=""),"",$I334+$X334*($J334-$I334))</f>
        <v/>
      </c>
      <c r="Z334" s="31" t="n"/>
      <c r="AA334" s="31" t="n"/>
      <c r="AB334" s="31" t="n"/>
      <c r="AC334" s="31" t="n"/>
      <c r="AD334" s="19">
        <f>IF($A334="","",IF($AA334="",$H334,$AA334))</f>
        <v/>
      </c>
      <c r="AE334" s="35">
        <f>IF($A334="","",IF($AB334="",$I334,$AB334))</f>
        <v/>
      </c>
      <c r="AF334" s="35">
        <f>IF($A334="","",IF($AC334="",$J334,$AC334))</f>
        <v/>
      </c>
      <c r="AG334" s="35">
        <f>IF(OR($U334="",$AE334="",$AF334="",$X334=""),"",$AE334+$X334*($AF334-$AE334))</f>
        <v/>
      </c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  <c r="AT334" s="31" t="n"/>
      <c r="AU334" s="31" t="n"/>
      <c r="AV334" s="31" t="n"/>
      <c r="AW334" s="31" t="n"/>
      <c r="AX334" s="31" t="n"/>
    </row>
    <row r="335">
      <c r="A335" s="31" t="n"/>
      <c r="B335" s="41" t="n"/>
      <c r="C335" s="31" t="n"/>
      <c r="D335" s="31" t="n"/>
      <c r="E335" s="31" t="n"/>
      <c r="F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  <c r="O335" s="31" t="n"/>
      <c r="P335" s="31" t="n"/>
      <c r="Q335" s="23">
        <f>IF($A335="","",COUNTIFS(Assignments!$C$2:$C$769,$A335,Assignments!$G$2:$G$769,"Active"))</f>
        <v/>
      </c>
      <c r="R335" s="32">
        <f>IF($A335="","",SUMIFS(Assignments!$I$2:$I$769,Assignments!$C$2:$C$769,$A335,Assignments!$G$2:$G$769,"Active"))</f>
        <v/>
      </c>
      <c r="S335" s="41" t="n"/>
      <c r="T335" s="31" t="n"/>
      <c r="U335" s="31" t="n"/>
      <c r="V335" s="34">
        <f>IF($U335="","",IFERROR(INDEX(Templates!$K$3:$K$10,MATCH($U335,Templates!$A$3:$A$10,0)),""))</f>
        <v/>
      </c>
      <c r="W335" s="34">
        <f>IF($U335="","",IFERROR(INDEX(Templates!$L$3:$L$10,MATCH($U335,Templates!$A$3:$A$10,0)),""))</f>
        <v/>
      </c>
      <c r="X335" s="21">
        <f>IF($U335="","",IFERROR(INDEX(Templates!$J$3:$J$10,MATCH($U335,Templates!$A$3:$A$10,0)),""))</f>
        <v/>
      </c>
      <c r="Y335" s="35">
        <f>IF(OR($U335="",$I335="",$J335="",$X335=""),"",$I335+$X335*($J335-$I335))</f>
        <v/>
      </c>
      <c r="Z335" s="31" t="n"/>
      <c r="AA335" s="31" t="n"/>
      <c r="AB335" s="31" t="n"/>
      <c r="AC335" s="31" t="n"/>
      <c r="AD335" s="19">
        <f>IF($A335="","",IF($AA335="",$H335,$AA335))</f>
        <v/>
      </c>
      <c r="AE335" s="35">
        <f>IF($A335="","",IF($AB335="",$I335,$AB335))</f>
        <v/>
      </c>
      <c r="AF335" s="35">
        <f>IF($A335="","",IF($AC335="",$J335,$AC335))</f>
        <v/>
      </c>
      <c r="AG335" s="35">
        <f>IF(OR($U335="",$AE335="",$AF335="",$X335=""),"",$AE335+$X335*($AF335-$AE335))</f>
        <v/>
      </c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  <c r="AT335" s="31" t="n"/>
      <c r="AU335" s="31" t="n"/>
      <c r="AV335" s="31" t="n"/>
      <c r="AW335" s="31" t="n"/>
      <c r="AX335" s="31" t="n"/>
    </row>
    <row r="336">
      <c r="A336" s="31" t="n"/>
      <c r="B336" s="41" t="n"/>
      <c r="C336" s="31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  <c r="O336" s="31" t="n"/>
      <c r="P336" s="31" t="n"/>
      <c r="Q336" s="23">
        <f>IF($A336="","",COUNTIFS(Assignments!$C$2:$C$769,$A336,Assignments!$G$2:$G$769,"Active"))</f>
        <v/>
      </c>
      <c r="R336" s="32">
        <f>IF($A336="","",SUMIFS(Assignments!$I$2:$I$769,Assignments!$C$2:$C$769,$A336,Assignments!$G$2:$G$769,"Active"))</f>
        <v/>
      </c>
      <c r="S336" s="41" t="n"/>
      <c r="T336" s="31" t="n"/>
      <c r="U336" s="31" t="n"/>
      <c r="V336" s="34">
        <f>IF($U336="","",IFERROR(INDEX(Templates!$K$3:$K$10,MATCH($U336,Templates!$A$3:$A$10,0)),""))</f>
        <v/>
      </c>
      <c r="W336" s="34">
        <f>IF($U336="","",IFERROR(INDEX(Templates!$L$3:$L$10,MATCH($U336,Templates!$A$3:$A$10,0)),""))</f>
        <v/>
      </c>
      <c r="X336" s="21">
        <f>IF($U336="","",IFERROR(INDEX(Templates!$J$3:$J$10,MATCH($U336,Templates!$A$3:$A$10,0)),""))</f>
        <v/>
      </c>
      <c r="Y336" s="35">
        <f>IF(OR($U336="",$I336="",$J336="",$X336=""),"",$I336+$X336*($J336-$I336))</f>
        <v/>
      </c>
      <c r="Z336" s="31" t="n"/>
      <c r="AA336" s="31" t="n"/>
      <c r="AB336" s="31" t="n"/>
      <c r="AC336" s="31" t="n"/>
      <c r="AD336" s="19">
        <f>IF($A336="","",IF($AA336="",$H336,$AA336))</f>
        <v/>
      </c>
      <c r="AE336" s="35">
        <f>IF($A336="","",IF($AB336="",$I336,$AB336))</f>
        <v/>
      </c>
      <c r="AF336" s="35">
        <f>IF($A336="","",IF($AC336="",$J336,$AC336))</f>
        <v/>
      </c>
      <c r="AG336" s="35">
        <f>IF(OR($U336="",$AE336="",$AF336="",$X336=""),"",$AE336+$X336*($AF336-$AE336))</f>
        <v/>
      </c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  <c r="AT336" s="31" t="n"/>
      <c r="AU336" s="31" t="n"/>
      <c r="AV336" s="31" t="n"/>
      <c r="AW336" s="31" t="n"/>
      <c r="AX336" s="31" t="n"/>
    </row>
    <row r="337">
      <c r="A337" s="31" t="n"/>
      <c r="B337" s="41" t="n"/>
      <c r="C337" s="31" t="n"/>
      <c r="D337" s="31" t="n"/>
      <c r="E337" s="31" t="n"/>
      <c r="F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  <c r="O337" s="31" t="n"/>
      <c r="P337" s="31" t="n"/>
      <c r="Q337" s="23">
        <f>IF($A337="","",COUNTIFS(Assignments!$C$2:$C$769,$A337,Assignments!$G$2:$G$769,"Active"))</f>
        <v/>
      </c>
      <c r="R337" s="32">
        <f>IF($A337="","",SUMIFS(Assignments!$I$2:$I$769,Assignments!$C$2:$C$769,$A337,Assignments!$G$2:$G$769,"Active"))</f>
        <v/>
      </c>
      <c r="S337" s="41" t="n"/>
      <c r="T337" s="31" t="n"/>
      <c r="U337" s="31" t="n"/>
      <c r="V337" s="34">
        <f>IF($U337="","",IFERROR(INDEX(Templates!$K$3:$K$10,MATCH($U337,Templates!$A$3:$A$10,0)),""))</f>
        <v/>
      </c>
      <c r="W337" s="34">
        <f>IF($U337="","",IFERROR(INDEX(Templates!$L$3:$L$10,MATCH($U337,Templates!$A$3:$A$10,0)),""))</f>
        <v/>
      </c>
      <c r="X337" s="21">
        <f>IF($U337="","",IFERROR(INDEX(Templates!$J$3:$J$10,MATCH($U337,Templates!$A$3:$A$10,0)),""))</f>
        <v/>
      </c>
      <c r="Y337" s="35">
        <f>IF(OR($U337="",$I337="",$J337="",$X337=""),"",$I337+$X337*($J337-$I337))</f>
        <v/>
      </c>
      <c r="Z337" s="31" t="n"/>
      <c r="AA337" s="31" t="n"/>
      <c r="AB337" s="31" t="n"/>
      <c r="AC337" s="31" t="n"/>
      <c r="AD337" s="19">
        <f>IF($A337="","",IF($AA337="",$H337,$AA337))</f>
        <v/>
      </c>
      <c r="AE337" s="35">
        <f>IF($A337="","",IF($AB337="",$I337,$AB337))</f>
        <v/>
      </c>
      <c r="AF337" s="35">
        <f>IF($A337="","",IF($AC337="",$J337,$AC337))</f>
        <v/>
      </c>
      <c r="AG337" s="35">
        <f>IF(OR($U337="",$AE337="",$AF337="",$X337=""),"",$AE337+$X337*($AF337-$AE337))</f>
        <v/>
      </c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  <c r="AT337" s="31" t="n"/>
      <c r="AU337" s="31" t="n"/>
      <c r="AV337" s="31" t="n"/>
      <c r="AW337" s="31" t="n"/>
      <c r="AX337" s="31" t="n"/>
    </row>
    <row r="338">
      <c r="A338" s="31" t="n"/>
      <c r="B338" s="41" t="n"/>
      <c r="C338" s="31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  <c r="O338" s="31" t="n"/>
      <c r="P338" s="31" t="n"/>
      <c r="Q338" s="23">
        <f>IF($A338="","",COUNTIFS(Assignments!$C$2:$C$769,$A338,Assignments!$G$2:$G$769,"Active"))</f>
        <v/>
      </c>
      <c r="R338" s="32">
        <f>IF($A338="","",SUMIFS(Assignments!$I$2:$I$769,Assignments!$C$2:$C$769,$A338,Assignments!$G$2:$G$769,"Active"))</f>
        <v/>
      </c>
      <c r="S338" s="41" t="n"/>
      <c r="T338" s="31" t="n"/>
      <c r="U338" s="31" t="n"/>
      <c r="V338" s="34">
        <f>IF($U338="","",IFERROR(INDEX(Templates!$K$3:$K$10,MATCH($U338,Templates!$A$3:$A$10,0)),""))</f>
        <v/>
      </c>
      <c r="W338" s="34">
        <f>IF($U338="","",IFERROR(INDEX(Templates!$L$3:$L$10,MATCH($U338,Templates!$A$3:$A$10,0)),""))</f>
        <v/>
      </c>
      <c r="X338" s="21">
        <f>IF($U338="","",IFERROR(INDEX(Templates!$J$3:$J$10,MATCH($U338,Templates!$A$3:$A$10,0)),""))</f>
        <v/>
      </c>
      <c r="Y338" s="35">
        <f>IF(OR($U338="",$I338="",$J338="",$X338=""),"",$I338+$X338*($J338-$I338))</f>
        <v/>
      </c>
      <c r="Z338" s="31" t="n"/>
      <c r="AA338" s="31" t="n"/>
      <c r="AB338" s="31" t="n"/>
      <c r="AC338" s="31" t="n"/>
      <c r="AD338" s="19">
        <f>IF($A338="","",IF($AA338="",$H338,$AA338))</f>
        <v/>
      </c>
      <c r="AE338" s="35">
        <f>IF($A338="","",IF($AB338="",$I338,$AB338))</f>
        <v/>
      </c>
      <c r="AF338" s="35">
        <f>IF($A338="","",IF($AC338="",$J338,$AC338))</f>
        <v/>
      </c>
      <c r="AG338" s="35">
        <f>IF(OR($U338="",$AE338="",$AF338="",$X338=""),"",$AE338+$X338*($AF338-$AE338))</f>
        <v/>
      </c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  <c r="AT338" s="31" t="n"/>
      <c r="AU338" s="31" t="n"/>
      <c r="AV338" s="31" t="n"/>
      <c r="AW338" s="31" t="n"/>
      <c r="AX338" s="31" t="n"/>
    </row>
    <row r="339">
      <c r="A339" s="31" t="n"/>
      <c r="B339" s="41" t="n"/>
      <c r="C339" s="31" t="n"/>
      <c r="D339" s="31" t="n"/>
      <c r="E339" s="31" t="n"/>
      <c r="F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  <c r="O339" s="31" t="n"/>
      <c r="P339" s="31" t="n"/>
      <c r="Q339" s="23">
        <f>IF($A339="","",COUNTIFS(Assignments!$C$2:$C$769,$A339,Assignments!$G$2:$G$769,"Active"))</f>
        <v/>
      </c>
      <c r="R339" s="32">
        <f>IF($A339="","",SUMIFS(Assignments!$I$2:$I$769,Assignments!$C$2:$C$769,$A339,Assignments!$G$2:$G$769,"Active"))</f>
        <v/>
      </c>
      <c r="S339" s="41" t="n"/>
      <c r="T339" s="31" t="n"/>
      <c r="U339" s="31" t="n"/>
      <c r="V339" s="34">
        <f>IF($U339="","",IFERROR(INDEX(Templates!$K$3:$K$10,MATCH($U339,Templates!$A$3:$A$10,0)),""))</f>
        <v/>
      </c>
      <c r="W339" s="34">
        <f>IF($U339="","",IFERROR(INDEX(Templates!$L$3:$L$10,MATCH($U339,Templates!$A$3:$A$10,0)),""))</f>
        <v/>
      </c>
      <c r="X339" s="21">
        <f>IF($U339="","",IFERROR(INDEX(Templates!$J$3:$J$10,MATCH($U339,Templates!$A$3:$A$10,0)),""))</f>
        <v/>
      </c>
      <c r="Y339" s="35">
        <f>IF(OR($U339="",$I339="",$J339="",$X339=""),"",$I339+$X339*($J339-$I339))</f>
        <v/>
      </c>
      <c r="Z339" s="31" t="n"/>
      <c r="AA339" s="31" t="n"/>
      <c r="AB339" s="31" t="n"/>
      <c r="AC339" s="31" t="n"/>
      <c r="AD339" s="19">
        <f>IF($A339="","",IF($AA339="",$H339,$AA339))</f>
        <v/>
      </c>
      <c r="AE339" s="35">
        <f>IF($A339="","",IF($AB339="",$I339,$AB339))</f>
        <v/>
      </c>
      <c r="AF339" s="35">
        <f>IF($A339="","",IF($AC339="",$J339,$AC339))</f>
        <v/>
      </c>
      <c r="AG339" s="35">
        <f>IF(OR($U339="",$AE339="",$AF339="",$X339=""),"",$AE339+$X339*($AF339-$AE339))</f>
        <v/>
      </c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  <c r="AT339" s="31" t="n"/>
      <c r="AU339" s="31" t="n"/>
      <c r="AV339" s="31" t="n"/>
      <c r="AW339" s="31" t="n"/>
      <c r="AX339" s="31" t="n"/>
    </row>
    <row r="340">
      <c r="A340" s="31" t="n"/>
      <c r="B340" s="41" t="n"/>
      <c r="C340" s="31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  <c r="O340" s="31" t="n"/>
      <c r="P340" s="31" t="n"/>
      <c r="Q340" s="23">
        <f>IF($A340="","",COUNTIFS(Assignments!$C$2:$C$769,$A340,Assignments!$G$2:$G$769,"Active"))</f>
        <v/>
      </c>
      <c r="R340" s="32">
        <f>IF($A340="","",SUMIFS(Assignments!$I$2:$I$769,Assignments!$C$2:$C$769,$A340,Assignments!$G$2:$G$769,"Active"))</f>
        <v/>
      </c>
      <c r="S340" s="41" t="n"/>
      <c r="T340" s="31" t="n"/>
      <c r="U340" s="31" t="n"/>
      <c r="V340" s="34">
        <f>IF($U340="","",IFERROR(INDEX(Templates!$K$3:$K$10,MATCH($U340,Templates!$A$3:$A$10,0)),""))</f>
        <v/>
      </c>
      <c r="W340" s="34">
        <f>IF($U340="","",IFERROR(INDEX(Templates!$L$3:$L$10,MATCH($U340,Templates!$A$3:$A$10,0)),""))</f>
        <v/>
      </c>
      <c r="X340" s="21">
        <f>IF($U340="","",IFERROR(INDEX(Templates!$J$3:$J$10,MATCH($U340,Templates!$A$3:$A$10,0)),""))</f>
        <v/>
      </c>
      <c r="Y340" s="35">
        <f>IF(OR($U340="",$I340="",$J340="",$X340=""),"",$I340+$X340*($J340-$I340))</f>
        <v/>
      </c>
      <c r="Z340" s="31" t="n"/>
      <c r="AA340" s="31" t="n"/>
      <c r="AB340" s="31" t="n"/>
      <c r="AC340" s="31" t="n"/>
      <c r="AD340" s="19">
        <f>IF($A340="","",IF($AA340="",$H340,$AA340))</f>
        <v/>
      </c>
      <c r="AE340" s="35">
        <f>IF($A340="","",IF($AB340="",$I340,$AB340))</f>
        <v/>
      </c>
      <c r="AF340" s="35">
        <f>IF($A340="","",IF($AC340="",$J340,$AC340))</f>
        <v/>
      </c>
      <c r="AG340" s="35">
        <f>IF(OR($U340="",$AE340="",$AF340="",$X340=""),"",$AE340+$X340*($AF340-$AE340))</f>
        <v/>
      </c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  <c r="AT340" s="31" t="n"/>
      <c r="AU340" s="31" t="n"/>
      <c r="AV340" s="31" t="n"/>
      <c r="AW340" s="31" t="n"/>
      <c r="AX340" s="31" t="n"/>
    </row>
    <row r="341">
      <c r="A341" s="31" t="n"/>
      <c r="B341" s="41" t="n"/>
      <c r="C341" s="31" t="n"/>
      <c r="D341" s="31" t="n"/>
      <c r="E341" s="31" t="n"/>
      <c r="F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  <c r="O341" s="31" t="n"/>
      <c r="P341" s="31" t="n"/>
      <c r="Q341" s="23">
        <f>IF($A341="","",COUNTIFS(Assignments!$C$2:$C$769,$A341,Assignments!$G$2:$G$769,"Active"))</f>
        <v/>
      </c>
      <c r="R341" s="32">
        <f>IF($A341="","",SUMIFS(Assignments!$I$2:$I$769,Assignments!$C$2:$C$769,$A341,Assignments!$G$2:$G$769,"Active"))</f>
        <v/>
      </c>
      <c r="S341" s="41" t="n"/>
      <c r="T341" s="31" t="n"/>
      <c r="U341" s="31" t="n"/>
      <c r="V341" s="34">
        <f>IF($U341="","",IFERROR(INDEX(Templates!$K$3:$K$10,MATCH($U341,Templates!$A$3:$A$10,0)),""))</f>
        <v/>
      </c>
      <c r="W341" s="34">
        <f>IF($U341="","",IFERROR(INDEX(Templates!$L$3:$L$10,MATCH($U341,Templates!$A$3:$A$10,0)),""))</f>
        <v/>
      </c>
      <c r="X341" s="21">
        <f>IF($U341="","",IFERROR(INDEX(Templates!$J$3:$J$10,MATCH($U341,Templates!$A$3:$A$10,0)),""))</f>
        <v/>
      </c>
      <c r="Y341" s="35">
        <f>IF(OR($U341="",$I341="",$J341="",$X341=""),"",$I341+$X341*($J341-$I341))</f>
        <v/>
      </c>
      <c r="Z341" s="31" t="n"/>
      <c r="AA341" s="31" t="n"/>
      <c r="AB341" s="31" t="n"/>
      <c r="AC341" s="31" t="n"/>
      <c r="AD341" s="19">
        <f>IF($A341="","",IF($AA341="",$H341,$AA341))</f>
        <v/>
      </c>
      <c r="AE341" s="35">
        <f>IF($A341="","",IF($AB341="",$I341,$AB341))</f>
        <v/>
      </c>
      <c r="AF341" s="35">
        <f>IF($A341="","",IF($AC341="",$J341,$AC341))</f>
        <v/>
      </c>
      <c r="AG341" s="35">
        <f>IF(OR($U341="",$AE341="",$AF341="",$X341=""),"",$AE341+$X341*($AF341-$AE341))</f>
        <v/>
      </c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  <c r="AT341" s="31" t="n"/>
      <c r="AU341" s="31" t="n"/>
      <c r="AV341" s="31" t="n"/>
      <c r="AW341" s="31" t="n"/>
      <c r="AX341" s="31" t="n"/>
    </row>
    <row r="342">
      <c r="A342" s="31" t="n"/>
      <c r="B342" s="41" t="n"/>
      <c r="C342" s="31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  <c r="O342" s="31" t="n"/>
      <c r="P342" s="31" t="n"/>
      <c r="Q342" s="23">
        <f>IF($A342="","",COUNTIFS(Assignments!$C$2:$C$769,$A342,Assignments!$G$2:$G$769,"Active"))</f>
        <v/>
      </c>
      <c r="R342" s="32">
        <f>IF($A342="","",SUMIFS(Assignments!$I$2:$I$769,Assignments!$C$2:$C$769,$A342,Assignments!$G$2:$G$769,"Active"))</f>
        <v/>
      </c>
      <c r="S342" s="41" t="n"/>
      <c r="T342" s="31" t="n"/>
      <c r="U342" s="31" t="n"/>
      <c r="V342" s="34">
        <f>IF($U342="","",IFERROR(INDEX(Templates!$K$3:$K$10,MATCH($U342,Templates!$A$3:$A$10,0)),""))</f>
        <v/>
      </c>
      <c r="W342" s="34">
        <f>IF($U342="","",IFERROR(INDEX(Templates!$L$3:$L$10,MATCH($U342,Templates!$A$3:$A$10,0)),""))</f>
        <v/>
      </c>
      <c r="X342" s="21">
        <f>IF($U342="","",IFERROR(INDEX(Templates!$J$3:$J$10,MATCH($U342,Templates!$A$3:$A$10,0)),""))</f>
        <v/>
      </c>
      <c r="Y342" s="35">
        <f>IF(OR($U342="",$I342="",$J342="",$X342=""),"",$I342+$X342*($J342-$I342))</f>
        <v/>
      </c>
      <c r="Z342" s="31" t="n"/>
      <c r="AA342" s="31" t="n"/>
      <c r="AB342" s="31" t="n"/>
      <c r="AC342" s="31" t="n"/>
      <c r="AD342" s="19">
        <f>IF($A342="","",IF($AA342="",$H342,$AA342))</f>
        <v/>
      </c>
      <c r="AE342" s="35">
        <f>IF($A342="","",IF($AB342="",$I342,$AB342))</f>
        <v/>
      </c>
      <c r="AF342" s="35">
        <f>IF($A342="","",IF($AC342="",$J342,$AC342))</f>
        <v/>
      </c>
      <c r="AG342" s="35">
        <f>IF(OR($U342="",$AE342="",$AF342="",$X342=""),"",$AE342+$X342*($AF342-$AE342))</f>
        <v/>
      </c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  <c r="AT342" s="31" t="n"/>
      <c r="AU342" s="31" t="n"/>
      <c r="AV342" s="31" t="n"/>
      <c r="AW342" s="31" t="n"/>
      <c r="AX342" s="31" t="n"/>
    </row>
    <row r="343">
      <c r="A343" s="31" t="n"/>
      <c r="B343" s="41" t="n"/>
      <c r="C343" s="31" t="n"/>
      <c r="D343" s="31" t="n"/>
      <c r="E343" s="31" t="n"/>
      <c r="F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  <c r="O343" s="31" t="n"/>
      <c r="P343" s="31" t="n"/>
      <c r="Q343" s="23">
        <f>IF($A343="","",COUNTIFS(Assignments!$C$2:$C$769,$A343,Assignments!$G$2:$G$769,"Active"))</f>
        <v/>
      </c>
      <c r="R343" s="32">
        <f>IF($A343="","",SUMIFS(Assignments!$I$2:$I$769,Assignments!$C$2:$C$769,$A343,Assignments!$G$2:$G$769,"Active"))</f>
        <v/>
      </c>
      <c r="S343" s="41" t="n"/>
      <c r="T343" s="31" t="n"/>
      <c r="U343" s="31" t="n"/>
      <c r="V343" s="34">
        <f>IF($U343="","",IFERROR(INDEX(Templates!$K$3:$K$10,MATCH($U343,Templates!$A$3:$A$10,0)),""))</f>
        <v/>
      </c>
      <c r="W343" s="34">
        <f>IF($U343="","",IFERROR(INDEX(Templates!$L$3:$L$10,MATCH($U343,Templates!$A$3:$A$10,0)),""))</f>
        <v/>
      </c>
      <c r="X343" s="21">
        <f>IF($U343="","",IFERROR(INDEX(Templates!$J$3:$J$10,MATCH($U343,Templates!$A$3:$A$10,0)),""))</f>
        <v/>
      </c>
      <c r="Y343" s="35">
        <f>IF(OR($U343="",$I343="",$J343="",$X343=""),"",$I343+$X343*($J343-$I343))</f>
        <v/>
      </c>
      <c r="Z343" s="31" t="n"/>
      <c r="AA343" s="31" t="n"/>
      <c r="AB343" s="31" t="n"/>
      <c r="AC343" s="31" t="n"/>
      <c r="AD343" s="19">
        <f>IF($A343="","",IF($AA343="",$H343,$AA343))</f>
        <v/>
      </c>
      <c r="AE343" s="35">
        <f>IF($A343="","",IF($AB343="",$I343,$AB343))</f>
        <v/>
      </c>
      <c r="AF343" s="35">
        <f>IF($A343="","",IF($AC343="",$J343,$AC343))</f>
        <v/>
      </c>
      <c r="AG343" s="35">
        <f>IF(OR($U343="",$AE343="",$AF343="",$X343=""),"",$AE343+$X343*($AF343-$AE343))</f>
        <v/>
      </c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  <c r="AT343" s="31" t="n"/>
      <c r="AU343" s="31" t="n"/>
      <c r="AV343" s="31" t="n"/>
      <c r="AW343" s="31" t="n"/>
      <c r="AX343" s="31" t="n"/>
    </row>
    <row r="344">
      <c r="A344" s="31" t="n"/>
      <c r="B344" s="41" t="n"/>
      <c r="C344" s="31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  <c r="O344" s="31" t="n"/>
      <c r="P344" s="31" t="n"/>
      <c r="Q344" s="23">
        <f>IF($A344="","",COUNTIFS(Assignments!$C$2:$C$769,$A344,Assignments!$G$2:$G$769,"Active"))</f>
        <v/>
      </c>
      <c r="R344" s="32">
        <f>IF($A344="","",SUMIFS(Assignments!$I$2:$I$769,Assignments!$C$2:$C$769,$A344,Assignments!$G$2:$G$769,"Active"))</f>
        <v/>
      </c>
      <c r="S344" s="41" t="n"/>
      <c r="T344" s="31" t="n"/>
      <c r="U344" s="31" t="n"/>
      <c r="V344" s="34">
        <f>IF($U344="","",IFERROR(INDEX(Templates!$K$3:$K$10,MATCH($U344,Templates!$A$3:$A$10,0)),""))</f>
        <v/>
      </c>
      <c r="W344" s="34">
        <f>IF($U344="","",IFERROR(INDEX(Templates!$L$3:$L$10,MATCH($U344,Templates!$A$3:$A$10,0)),""))</f>
        <v/>
      </c>
      <c r="X344" s="21">
        <f>IF($U344="","",IFERROR(INDEX(Templates!$J$3:$J$10,MATCH($U344,Templates!$A$3:$A$10,0)),""))</f>
        <v/>
      </c>
      <c r="Y344" s="35">
        <f>IF(OR($U344="",$I344="",$J344="",$X344=""),"",$I344+$X344*($J344-$I344))</f>
        <v/>
      </c>
      <c r="Z344" s="31" t="n"/>
      <c r="AA344" s="31" t="n"/>
      <c r="AB344" s="31" t="n"/>
      <c r="AC344" s="31" t="n"/>
      <c r="AD344" s="19">
        <f>IF($A344="","",IF($AA344="",$H344,$AA344))</f>
        <v/>
      </c>
      <c r="AE344" s="35">
        <f>IF($A344="","",IF($AB344="",$I344,$AB344))</f>
        <v/>
      </c>
      <c r="AF344" s="35">
        <f>IF($A344="","",IF($AC344="",$J344,$AC344))</f>
        <v/>
      </c>
      <c r="AG344" s="35">
        <f>IF(OR($U344="",$AE344="",$AF344="",$X344=""),"",$AE344+$X344*($AF344-$AE344))</f>
        <v/>
      </c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  <c r="AT344" s="31" t="n"/>
      <c r="AU344" s="31" t="n"/>
      <c r="AV344" s="31" t="n"/>
      <c r="AW344" s="31" t="n"/>
      <c r="AX344" s="31" t="n"/>
    </row>
    <row r="345">
      <c r="A345" s="31" t="n"/>
      <c r="B345" s="41" t="n"/>
      <c r="C345" s="31" t="n"/>
      <c r="D345" s="31" t="n"/>
      <c r="E345" s="31" t="n"/>
      <c r="F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  <c r="O345" s="31" t="n"/>
      <c r="P345" s="31" t="n"/>
      <c r="Q345" s="23">
        <f>IF($A345="","",COUNTIFS(Assignments!$C$2:$C$769,$A345,Assignments!$G$2:$G$769,"Active"))</f>
        <v/>
      </c>
      <c r="R345" s="32">
        <f>IF($A345="","",SUMIFS(Assignments!$I$2:$I$769,Assignments!$C$2:$C$769,$A345,Assignments!$G$2:$G$769,"Active"))</f>
        <v/>
      </c>
      <c r="S345" s="41" t="n"/>
      <c r="T345" s="31" t="n"/>
      <c r="U345" s="31" t="n"/>
      <c r="V345" s="34">
        <f>IF($U345="","",IFERROR(INDEX(Templates!$K$3:$K$10,MATCH($U345,Templates!$A$3:$A$10,0)),""))</f>
        <v/>
      </c>
      <c r="W345" s="34">
        <f>IF($U345="","",IFERROR(INDEX(Templates!$L$3:$L$10,MATCH($U345,Templates!$A$3:$A$10,0)),""))</f>
        <v/>
      </c>
      <c r="X345" s="21">
        <f>IF($U345="","",IFERROR(INDEX(Templates!$J$3:$J$10,MATCH($U345,Templates!$A$3:$A$10,0)),""))</f>
        <v/>
      </c>
      <c r="Y345" s="35">
        <f>IF(OR($U345="",$I345="",$J345="",$X345=""),"",$I345+$X345*($J345-$I345))</f>
        <v/>
      </c>
      <c r="Z345" s="31" t="n"/>
      <c r="AA345" s="31" t="n"/>
      <c r="AB345" s="31" t="n"/>
      <c r="AC345" s="31" t="n"/>
      <c r="AD345" s="19">
        <f>IF($A345="","",IF($AA345="",$H345,$AA345))</f>
        <v/>
      </c>
      <c r="AE345" s="35">
        <f>IF($A345="","",IF($AB345="",$I345,$AB345))</f>
        <v/>
      </c>
      <c r="AF345" s="35">
        <f>IF($A345="","",IF($AC345="",$J345,$AC345))</f>
        <v/>
      </c>
      <c r="AG345" s="35">
        <f>IF(OR($U345="",$AE345="",$AF345="",$X345=""),"",$AE345+$X345*($AF345-$AE345))</f>
        <v/>
      </c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  <c r="AT345" s="31" t="n"/>
      <c r="AU345" s="31" t="n"/>
      <c r="AV345" s="31" t="n"/>
      <c r="AW345" s="31" t="n"/>
      <c r="AX345" s="31" t="n"/>
    </row>
    <row r="346">
      <c r="A346" s="31" t="n"/>
      <c r="B346" s="41" t="n"/>
      <c r="C346" s="31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  <c r="O346" s="31" t="n"/>
      <c r="P346" s="31" t="n"/>
      <c r="Q346" s="23">
        <f>IF($A346="","",COUNTIFS(Assignments!$C$2:$C$769,$A346,Assignments!$G$2:$G$769,"Active"))</f>
        <v/>
      </c>
      <c r="R346" s="32">
        <f>IF($A346="","",SUMIFS(Assignments!$I$2:$I$769,Assignments!$C$2:$C$769,$A346,Assignments!$G$2:$G$769,"Active"))</f>
        <v/>
      </c>
      <c r="S346" s="41" t="n"/>
      <c r="T346" s="31" t="n"/>
      <c r="U346" s="31" t="n"/>
      <c r="V346" s="34">
        <f>IF($U346="","",IFERROR(INDEX(Templates!$K$3:$K$10,MATCH($U346,Templates!$A$3:$A$10,0)),""))</f>
        <v/>
      </c>
      <c r="W346" s="34">
        <f>IF($U346="","",IFERROR(INDEX(Templates!$L$3:$L$10,MATCH($U346,Templates!$A$3:$A$10,0)),""))</f>
        <v/>
      </c>
      <c r="X346" s="21">
        <f>IF($U346="","",IFERROR(INDEX(Templates!$J$3:$J$10,MATCH($U346,Templates!$A$3:$A$10,0)),""))</f>
        <v/>
      </c>
      <c r="Y346" s="35">
        <f>IF(OR($U346="",$I346="",$J346="",$X346=""),"",$I346+$X346*($J346-$I346))</f>
        <v/>
      </c>
      <c r="Z346" s="31" t="n"/>
      <c r="AA346" s="31" t="n"/>
      <c r="AB346" s="31" t="n"/>
      <c r="AC346" s="31" t="n"/>
      <c r="AD346" s="19">
        <f>IF($A346="","",IF($AA346="",$H346,$AA346))</f>
        <v/>
      </c>
      <c r="AE346" s="35">
        <f>IF($A346="","",IF($AB346="",$I346,$AB346))</f>
        <v/>
      </c>
      <c r="AF346" s="35">
        <f>IF($A346="","",IF($AC346="",$J346,$AC346))</f>
        <v/>
      </c>
      <c r="AG346" s="35">
        <f>IF(OR($U346="",$AE346="",$AF346="",$X346=""),"",$AE346+$X346*($AF346-$AE346))</f>
        <v/>
      </c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  <c r="AT346" s="31" t="n"/>
      <c r="AU346" s="31" t="n"/>
      <c r="AV346" s="31" t="n"/>
      <c r="AW346" s="31" t="n"/>
      <c r="AX346" s="31" t="n"/>
    </row>
    <row r="347">
      <c r="A347" s="31" t="n"/>
      <c r="B347" s="41" t="n"/>
      <c r="C347" s="31" t="n"/>
      <c r="D347" s="31" t="n"/>
      <c r="E347" s="31" t="n"/>
      <c r="F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  <c r="O347" s="31" t="n"/>
      <c r="P347" s="31" t="n"/>
      <c r="Q347" s="23">
        <f>IF($A347="","",COUNTIFS(Assignments!$C$2:$C$769,$A347,Assignments!$G$2:$G$769,"Active"))</f>
        <v/>
      </c>
      <c r="R347" s="32">
        <f>IF($A347="","",SUMIFS(Assignments!$I$2:$I$769,Assignments!$C$2:$C$769,$A347,Assignments!$G$2:$G$769,"Active"))</f>
        <v/>
      </c>
      <c r="S347" s="41" t="n"/>
      <c r="T347" s="31" t="n"/>
      <c r="U347" s="31" t="n"/>
      <c r="V347" s="34">
        <f>IF($U347="","",IFERROR(INDEX(Templates!$K$3:$K$10,MATCH($U347,Templates!$A$3:$A$10,0)),""))</f>
        <v/>
      </c>
      <c r="W347" s="34">
        <f>IF($U347="","",IFERROR(INDEX(Templates!$L$3:$L$10,MATCH($U347,Templates!$A$3:$A$10,0)),""))</f>
        <v/>
      </c>
      <c r="X347" s="21">
        <f>IF($U347="","",IFERROR(INDEX(Templates!$J$3:$J$10,MATCH($U347,Templates!$A$3:$A$10,0)),""))</f>
        <v/>
      </c>
      <c r="Y347" s="35">
        <f>IF(OR($U347="",$I347="",$J347="",$X347=""),"",$I347+$X347*($J347-$I347))</f>
        <v/>
      </c>
      <c r="Z347" s="31" t="n"/>
      <c r="AA347" s="31" t="n"/>
      <c r="AB347" s="31" t="n"/>
      <c r="AC347" s="31" t="n"/>
      <c r="AD347" s="19">
        <f>IF($A347="","",IF($AA347="",$H347,$AA347))</f>
        <v/>
      </c>
      <c r="AE347" s="35">
        <f>IF($A347="","",IF($AB347="",$I347,$AB347))</f>
        <v/>
      </c>
      <c r="AF347" s="35">
        <f>IF($A347="","",IF($AC347="",$J347,$AC347))</f>
        <v/>
      </c>
      <c r="AG347" s="35">
        <f>IF(OR($U347="",$AE347="",$AF347="",$X347=""),"",$AE347+$X347*($AF347-$AE347))</f>
        <v/>
      </c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  <c r="AT347" s="31" t="n"/>
      <c r="AU347" s="31" t="n"/>
      <c r="AV347" s="31" t="n"/>
      <c r="AW347" s="31" t="n"/>
      <c r="AX347" s="31" t="n"/>
    </row>
    <row r="348">
      <c r="A348" s="31" t="n"/>
      <c r="B348" s="41" t="n"/>
      <c r="C348" s="31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  <c r="O348" s="31" t="n"/>
      <c r="P348" s="31" t="n"/>
      <c r="Q348" s="23">
        <f>IF($A348="","",COUNTIFS(Assignments!$C$2:$C$769,$A348,Assignments!$G$2:$G$769,"Active"))</f>
        <v/>
      </c>
      <c r="R348" s="32">
        <f>IF($A348="","",SUMIFS(Assignments!$I$2:$I$769,Assignments!$C$2:$C$769,$A348,Assignments!$G$2:$G$769,"Active"))</f>
        <v/>
      </c>
      <c r="S348" s="41" t="n"/>
      <c r="T348" s="31" t="n"/>
      <c r="U348" s="31" t="n"/>
      <c r="V348" s="34">
        <f>IF($U348="","",IFERROR(INDEX(Templates!$K$3:$K$10,MATCH($U348,Templates!$A$3:$A$10,0)),""))</f>
        <v/>
      </c>
      <c r="W348" s="34">
        <f>IF($U348="","",IFERROR(INDEX(Templates!$L$3:$L$10,MATCH($U348,Templates!$A$3:$A$10,0)),""))</f>
        <v/>
      </c>
      <c r="X348" s="21">
        <f>IF($U348="","",IFERROR(INDEX(Templates!$J$3:$J$10,MATCH($U348,Templates!$A$3:$A$10,0)),""))</f>
        <v/>
      </c>
      <c r="Y348" s="35">
        <f>IF(OR($U348="",$I348="",$J348="",$X348=""),"",$I348+$X348*($J348-$I348))</f>
        <v/>
      </c>
      <c r="Z348" s="31" t="n"/>
      <c r="AA348" s="31" t="n"/>
      <c r="AB348" s="31" t="n"/>
      <c r="AC348" s="31" t="n"/>
      <c r="AD348" s="19">
        <f>IF($A348="","",IF($AA348="",$H348,$AA348))</f>
        <v/>
      </c>
      <c r="AE348" s="35">
        <f>IF($A348="","",IF($AB348="",$I348,$AB348))</f>
        <v/>
      </c>
      <c r="AF348" s="35">
        <f>IF($A348="","",IF($AC348="",$J348,$AC348))</f>
        <v/>
      </c>
      <c r="AG348" s="35">
        <f>IF(OR($U348="",$AE348="",$AF348="",$X348=""),"",$AE348+$X348*($AF348-$AE348))</f>
        <v/>
      </c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  <c r="AT348" s="31" t="n"/>
      <c r="AU348" s="31" t="n"/>
      <c r="AV348" s="31" t="n"/>
      <c r="AW348" s="31" t="n"/>
      <c r="AX348" s="31" t="n"/>
    </row>
    <row r="349">
      <c r="A349" s="31" t="n"/>
      <c r="B349" s="41" t="n"/>
      <c r="C349" s="31" t="n"/>
      <c r="D349" s="31" t="n"/>
      <c r="E349" s="31" t="n"/>
      <c r="F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  <c r="O349" s="31" t="n"/>
      <c r="P349" s="31" t="n"/>
      <c r="Q349" s="23">
        <f>IF($A349="","",COUNTIFS(Assignments!$C$2:$C$769,$A349,Assignments!$G$2:$G$769,"Active"))</f>
        <v/>
      </c>
      <c r="R349" s="32">
        <f>IF($A349="","",SUMIFS(Assignments!$I$2:$I$769,Assignments!$C$2:$C$769,$A349,Assignments!$G$2:$G$769,"Active"))</f>
        <v/>
      </c>
      <c r="S349" s="41" t="n"/>
      <c r="T349" s="31" t="n"/>
      <c r="U349" s="31" t="n"/>
      <c r="V349" s="34">
        <f>IF($U349="","",IFERROR(INDEX(Templates!$K$3:$K$10,MATCH($U349,Templates!$A$3:$A$10,0)),""))</f>
        <v/>
      </c>
      <c r="W349" s="34">
        <f>IF($U349="","",IFERROR(INDEX(Templates!$L$3:$L$10,MATCH($U349,Templates!$A$3:$A$10,0)),""))</f>
        <v/>
      </c>
      <c r="X349" s="21">
        <f>IF($U349="","",IFERROR(INDEX(Templates!$J$3:$J$10,MATCH($U349,Templates!$A$3:$A$10,0)),""))</f>
        <v/>
      </c>
      <c r="Y349" s="35">
        <f>IF(OR($U349="",$I349="",$J349="",$X349=""),"",$I349+$X349*($J349-$I349))</f>
        <v/>
      </c>
      <c r="Z349" s="31" t="n"/>
      <c r="AA349" s="31" t="n"/>
      <c r="AB349" s="31" t="n"/>
      <c r="AC349" s="31" t="n"/>
      <c r="AD349" s="19">
        <f>IF($A349="","",IF($AA349="",$H349,$AA349))</f>
        <v/>
      </c>
      <c r="AE349" s="35">
        <f>IF($A349="","",IF($AB349="",$I349,$AB349))</f>
        <v/>
      </c>
      <c r="AF349" s="35">
        <f>IF($A349="","",IF($AC349="",$J349,$AC349))</f>
        <v/>
      </c>
      <c r="AG349" s="35">
        <f>IF(OR($U349="",$AE349="",$AF349="",$X349=""),"",$AE349+$X349*($AF349-$AE349))</f>
        <v/>
      </c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  <c r="AT349" s="31" t="n"/>
      <c r="AU349" s="31" t="n"/>
      <c r="AV349" s="31" t="n"/>
      <c r="AW349" s="31" t="n"/>
      <c r="AX349" s="31" t="n"/>
    </row>
    <row r="350">
      <c r="A350" s="31" t="n"/>
      <c r="B350" s="41" t="n"/>
      <c r="C350" s="31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  <c r="O350" s="31" t="n"/>
      <c r="P350" s="31" t="n"/>
      <c r="Q350" s="23">
        <f>IF($A350="","",COUNTIFS(Assignments!$C$2:$C$769,$A350,Assignments!$G$2:$G$769,"Active"))</f>
        <v/>
      </c>
      <c r="R350" s="32">
        <f>IF($A350="","",SUMIFS(Assignments!$I$2:$I$769,Assignments!$C$2:$C$769,$A350,Assignments!$G$2:$G$769,"Active"))</f>
        <v/>
      </c>
      <c r="S350" s="41" t="n"/>
      <c r="T350" s="31" t="n"/>
      <c r="U350" s="31" t="n"/>
      <c r="V350" s="34">
        <f>IF($U350="","",IFERROR(INDEX(Templates!$K$3:$K$10,MATCH($U350,Templates!$A$3:$A$10,0)),""))</f>
        <v/>
      </c>
      <c r="W350" s="34">
        <f>IF($U350="","",IFERROR(INDEX(Templates!$L$3:$L$10,MATCH($U350,Templates!$A$3:$A$10,0)),""))</f>
        <v/>
      </c>
      <c r="X350" s="21">
        <f>IF($U350="","",IFERROR(INDEX(Templates!$J$3:$J$10,MATCH($U350,Templates!$A$3:$A$10,0)),""))</f>
        <v/>
      </c>
      <c r="Y350" s="35">
        <f>IF(OR($U350="",$I350="",$J350="",$X350=""),"",$I350+$X350*($J350-$I350))</f>
        <v/>
      </c>
      <c r="Z350" s="31" t="n"/>
      <c r="AA350" s="31" t="n"/>
      <c r="AB350" s="31" t="n"/>
      <c r="AC350" s="31" t="n"/>
      <c r="AD350" s="19">
        <f>IF($A350="","",IF($AA350="",$H350,$AA350))</f>
        <v/>
      </c>
      <c r="AE350" s="35">
        <f>IF($A350="","",IF($AB350="",$I350,$AB350))</f>
        <v/>
      </c>
      <c r="AF350" s="35">
        <f>IF($A350="","",IF($AC350="",$J350,$AC350))</f>
        <v/>
      </c>
      <c r="AG350" s="35">
        <f>IF(OR($U350="",$AE350="",$AF350="",$X350=""),"",$AE350+$X350*($AF350-$AE350))</f>
        <v/>
      </c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  <c r="AT350" s="31" t="n"/>
      <c r="AU350" s="31" t="n"/>
      <c r="AV350" s="31" t="n"/>
      <c r="AW350" s="31" t="n"/>
      <c r="AX350" s="31" t="n"/>
    </row>
    <row r="351">
      <c r="A351" s="31" t="n"/>
      <c r="B351" s="41" t="n"/>
      <c r="C351" s="31" t="n"/>
      <c r="D351" s="31" t="n"/>
      <c r="E351" s="31" t="n"/>
      <c r="F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  <c r="O351" s="31" t="n"/>
      <c r="P351" s="31" t="n"/>
      <c r="Q351" s="23">
        <f>IF($A351="","",COUNTIFS(Assignments!$C$2:$C$769,$A351,Assignments!$G$2:$G$769,"Active"))</f>
        <v/>
      </c>
      <c r="R351" s="32">
        <f>IF($A351="","",SUMIFS(Assignments!$I$2:$I$769,Assignments!$C$2:$C$769,$A351,Assignments!$G$2:$G$769,"Active"))</f>
        <v/>
      </c>
      <c r="S351" s="41" t="n"/>
      <c r="T351" s="31" t="n"/>
      <c r="U351" s="31" t="n"/>
      <c r="V351" s="34">
        <f>IF($U351="","",IFERROR(INDEX(Templates!$K$3:$K$10,MATCH($U351,Templates!$A$3:$A$10,0)),""))</f>
        <v/>
      </c>
      <c r="W351" s="34">
        <f>IF($U351="","",IFERROR(INDEX(Templates!$L$3:$L$10,MATCH($U351,Templates!$A$3:$A$10,0)),""))</f>
        <v/>
      </c>
      <c r="X351" s="21">
        <f>IF($U351="","",IFERROR(INDEX(Templates!$J$3:$J$10,MATCH($U351,Templates!$A$3:$A$10,0)),""))</f>
        <v/>
      </c>
      <c r="Y351" s="35">
        <f>IF(OR($U351="",$I351="",$J351="",$X351=""),"",$I351+$X351*($J351-$I351))</f>
        <v/>
      </c>
      <c r="Z351" s="31" t="n"/>
      <c r="AA351" s="31" t="n"/>
      <c r="AB351" s="31" t="n"/>
      <c r="AC351" s="31" t="n"/>
      <c r="AD351" s="19">
        <f>IF($A351="","",IF($AA351="",$H351,$AA351))</f>
        <v/>
      </c>
      <c r="AE351" s="35">
        <f>IF($A351="","",IF($AB351="",$I351,$AB351))</f>
        <v/>
      </c>
      <c r="AF351" s="35">
        <f>IF($A351="","",IF($AC351="",$J351,$AC351))</f>
        <v/>
      </c>
      <c r="AG351" s="35">
        <f>IF(OR($U351="",$AE351="",$AF351="",$X351=""),"",$AE351+$X351*($AF351-$AE351))</f>
        <v/>
      </c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  <c r="AT351" s="31" t="n"/>
      <c r="AU351" s="31" t="n"/>
      <c r="AV351" s="31" t="n"/>
      <c r="AW351" s="31" t="n"/>
      <c r="AX351" s="31" t="n"/>
    </row>
    <row r="352">
      <c r="A352" s="31" t="n"/>
      <c r="B352" s="41" t="n"/>
      <c r="C352" s="31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  <c r="O352" s="31" t="n"/>
      <c r="P352" s="31" t="n"/>
      <c r="Q352" s="23">
        <f>IF($A352="","",COUNTIFS(Assignments!$C$2:$C$769,$A352,Assignments!$G$2:$G$769,"Active"))</f>
        <v/>
      </c>
      <c r="R352" s="32">
        <f>IF($A352="","",SUMIFS(Assignments!$I$2:$I$769,Assignments!$C$2:$C$769,$A352,Assignments!$G$2:$G$769,"Active"))</f>
        <v/>
      </c>
      <c r="S352" s="41" t="n"/>
      <c r="T352" s="31" t="n"/>
      <c r="U352" s="31" t="n"/>
      <c r="V352" s="34">
        <f>IF($U352="","",IFERROR(INDEX(Templates!$K$3:$K$10,MATCH($U352,Templates!$A$3:$A$10,0)),""))</f>
        <v/>
      </c>
      <c r="W352" s="34">
        <f>IF($U352="","",IFERROR(INDEX(Templates!$L$3:$L$10,MATCH($U352,Templates!$A$3:$A$10,0)),""))</f>
        <v/>
      </c>
      <c r="X352" s="21">
        <f>IF($U352="","",IFERROR(INDEX(Templates!$J$3:$J$10,MATCH($U352,Templates!$A$3:$A$10,0)),""))</f>
        <v/>
      </c>
      <c r="Y352" s="35">
        <f>IF(OR($U352="",$I352="",$J352="",$X352=""),"",$I352+$X352*($J352-$I352))</f>
        <v/>
      </c>
      <c r="Z352" s="31" t="n"/>
      <c r="AA352" s="31" t="n"/>
      <c r="AB352" s="31" t="n"/>
      <c r="AC352" s="31" t="n"/>
      <c r="AD352" s="19">
        <f>IF($A352="","",IF($AA352="",$H352,$AA352))</f>
        <v/>
      </c>
      <c r="AE352" s="35">
        <f>IF($A352="","",IF($AB352="",$I352,$AB352))</f>
        <v/>
      </c>
      <c r="AF352" s="35">
        <f>IF($A352="","",IF($AC352="",$J352,$AC352))</f>
        <v/>
      </c>
      <c r="AG352" s="35">
        <f>IF(OR($U352="",$AE352="",$AF352="",$X352=""),"",$AE352+$X352*($AF352-$AE352))</f>
        <v/>
      </c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  <c r="AT352" s="31" t="n"/>
      <c r="AU352" s="31" t="n"/>
      <c r="AV352" s="31" t="n"/>
      <c r="AW352" s="31" t="n"/>
      <c r="AX352" s="31" t="n"/>
    </row>
    <row r="353">
      <c r="A353" s="31" t="n"/>
      <c r="B353" s="41" t="n"/>
      <c r="C353" s="31" t="n"/>
      <c r="D353" s="31" t="n"/>
      <c r="E353" s="31" t="n"/>
      <c r="F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  <c r="O353" s="31" t="n"/>
      <c r="P353" s="31" t="n"/>
      <c r="Q353" s="23">
        <f>IF($A353="","",COUNTIFS(Assignments!$C$2:$C$769,$A353,Assignments!$G$2:$G$769,"Active"))</f>
        <v/>
      </c>
      <c r="R353" s="32">
        <f>IF($A353="","",SUMIFS(Assignments!$I$2:$I$769,Assignments!$C$2:$C$769,$A353,Assignments!$G$2:$G$769,"Active"))</f>
        <v/>
      </c>
      <c r="S353" s="41" t="n"/>
      <c r="T353" s="31" t="n"/>
      <c r="U353" s="31" t="n"/>
      <c r="V353" s="34">
        <f>IF($U353="","",IFERROR(INDEX(Templates!$K$3:$K$10,MATCH($U353,Templates!$A$3:$A$10,0)),""))</f>
        <v/>
      </c>
      <c r="W353" s="34">
        <f>IF($U353="","",IFERROR(INDEX(Templates!$L$3:$L$10,MATCH($U353,Templates!$A$3:$A$10,0)),""))</f>
        <v/>
      </c>
      <c r="X353" s="21">
        <f>IF($U353="","",IFERROR(INDEX(Templates!$J$3:$J$10,MATCH($U353,Templates!$A$3:$A$10,0)),""))</f>
        <v/>
      </c>
      <c r="Y353" s="35">
        <f>IF(OR($U353="",$I353="",$J353="",$X353=""),"",$I353+$X353*($J353-$I353))</f>
        <v/>
      </c>
      <c r="Z353" s="31" t="n"/>
      <c r="AA353" s="31" t="n"/>
      <c r="AB353" s="31" t="n"/>
      <c r="AC353" s="31" t="n"/>
      <c r="AD353" s="19">
        <f>IF($A353="","",IF($AA353="",$H353,$AA353))</f>
        <v/>
      </c>
      <c r="AE353" s="35">
        <f>IF($A353="","",IF($AB353="",$I353,$AB353))</f>
        <v/>
      </c>
      <c r="AF353" s="35">
        <f>IF($A353="","",IF($AC353="",$J353,$AC353))</f>
        <v/>
      </c>
      <c r="AG353" s="35">
        <f>IF(OR($U353="",$AE353="",$AF353="",$X353=""),"",$AE353+$X353*($AF353-$AE353))</f>
        <v/>
      </c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</row>
    <row r="354">
      <c r="A354" s="31" t="n"/>
      <c r="B354" s="41" t="n"/>
      <c r="C354" s="31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  <c r="O354" s="31" t="n"/>
      <c r="P354" s="31" t="n"/>
      <c r="Q354" s="23">
        <f>IF($A354="","",COUNTIFS(Assignments!$C$2:$C$769,$A354,Assignments!$G$2:$G$769,"Active"))</f>
        <v/>
      </c>
      <c r="R354" s="32">
        <f>IF($A354="","",SUMIFS(Assignments!$I$2:$I$769,Assignments!$C$2:$C$769,$A354,Assignments!$G$2:$G$769,"Active"))</f>
        <v/>
      </c>
      <c r="S354" s="41" t="n"/>
      <c r="T354" s="31" t="n"/>
      <c r="U354" s="31" t="n"/>
      <c r="V354" s="34">
        <f>IF($U354="","",IFERROR(INDEX(Templates!$K$3:$K$10,MATCH($U354,Templates!$A$3:$A$10,0)),""))</f>
        <v/>
      </c>
      <c r="W354" s="34">
        <f>IF($U354="","",IFERROR(INDEX(Templates!$L$3:$L$10,MATCH($U354,Templates!$A$3:$A$10,0)),""))</f>
        <v/>
      </c>
      <c r="X354" s="21">
        <f>IF($U354="","",IFERROR(INDEX(Templates!$J$3:$J$10,MATCH($U354,Templates!$A$3:$A$10,0)),""))</f>
        <v/>
      </c>
      <c r="Y354" s="35">
        <f>IF(OR($U354="",$I354="",$J354="",$X354=""),"",$I354+$X354*($J354-$I354))</f>
        <v/>
      </c>
      <c r="Z354" s="31" t="n"/>
      <c r="AA354" s="31" t="n"/>
      <c r="AB354" s="31" t="n"/>
      <c r="AC354" s="31" t="n"/>
      <c r="AD354" s="19">
        <f>IF($A354="","",IF($AA354="",$H354,$AA354))</f>
        <v/>
      </c>
      <c r="AE354" s="35">
        <f>IF($A354="","",IF($AB354="",$I354,$AB354))</f>
        <v/>
      </c>
      <c r="AF354" s="35">
        <f>IF($A354="","",IF($AC354="",$J354,$AC354))</f>
        <v/>
      </c>
      <c r="AG354" s="35">
        <f>IF(OR($U354="",$AE354="",$AF354="",$X354=""),"",$AE354+$X354*($AF354-$AE354))</f>
        <v/>
      </c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  <c r="AT354" s="31" t="n"/>
      <c r="AU354" s="31" t="n"/>
      <c r="AV354" s="31" t="n"/>
      <c r="AW354" s="31" t="n"/>
      <c r="AX354" s="31" t="n"/>
    </row>
    <row r="355">
      <c r="A355" s="31" t="n"/>
      <c r="B355" s="41" t="n"/>
      <c r="C355" s="31" t="n"/>
      <c r="D355" s="31" t="n"/>
      <c r="E355" s="31" t="n"/>
      <c r="F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  <c r="O355" s="31" t="n"/>
      <c r="P355" s="31" t="n"/>
      <c r="Q355" s="23">
        <f>IF($A355="","",COUNTIFS(Assignments!$C$2:$C$769,$A355,Assignments!$G$2:$G$769,"Active"))</f>
        <v/>
      </c>
      <c r="R355" s="32">
        <f>IF($A355="","",SUMIFS(Assignments!$I$2:$I$769,Assignments!$C$2:$C$769,$A355,Assignments!$G$2:$G$769,"Active"))</f>
        <v/>
      </c>
      <c r="S355" s="41" t="n"/>
      <c r="T355" s="31" t="n"/>
      <c r="U355" s="31" t="n"/>
      <c r="V355" s="34">
        <f>IF($U355="","",IFERROR(INDEX(Templates!$K$3:$K$10,MATCH($U355,Templates!$A$3:$A$10,0)),""))</f>
        <v/>
      </c>
      <c r="W355" s="34">
        <f>IF($U355="","",IFERROR(INDEX(Templates!$L$3:$L$10,MATCH($U355,Templates!$A$3:$A$10,0)),""))</f>
        <v/>
      </c>
      <c r="X355" s="21">
        <f>IF($U355="","",IFERROR(INDEX(Templates!$J$3:$J$10,MATCH($U355,Templates!$A$3:$A$10,0)),""))</f>
        <v/>
      </c>
      <c r="Y355" s="35">
        <f>IF(OR($U355="",$I355="",$J355="",$X355=""),"",$I355+$X355*($J355-$I355))</f>
        <v/>
      </c>
      <c r="Z355" s="31" t="n"/>
      <c r="AA355" s="31" t="n"/>
      <c r="AB355" s="31" t="n"/>
      <c r="AC355" s="31" t="n"/>
      <c r="AD355" s="19">
        <f>IF($A355="","",IF($AA355="",$H355,$AA355))</f>
        <v/>
      </c>
      <c r="AE355" s="35">
        <f>IF($A355="","",IF($AB355="",$I355,$AB355))</f>
        <v/>
      </c>
      <c r="AF355" s="35">
        <f>IF($A355="","",IF($AC355="",$J355,$AC355))</f>
        <v/>
      </c>
      <c r="AG355" s="35">
        <f>IF(OR($U355="",$AE355="",$AF355="",$X355=""),"",$AE355+$X355*($AF355-$AE355))</f>
        <v/>
      </c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  <c r="AT355" s="31" t="n"/>
      <c r="AU355" s="31" t="n"/>
      <c r="AV355" s="31" t="n"/>
      <c r="AW355" s="31" t="n"/>
      <c r="AX355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X355">
    <cfRule type="expression" priority="1" dxfId="5">
      <formula>OR($F2="Dead",$F2="Closed",$F2="Invoiced")</formula>
    </cfRule>
  </conditionalFormatting>
  <dataValidations count="21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  <dataValidation sqref="AH2:AH355" showDropDown="0" showInputMessage="0" showErrorMessage="0" allowBlank="1" type="list">
      <formula1>TddTypeList</formula1>
    </dataValidation>
    <dataValidation sqref="AI2:AI355" showDropDown="0" showInputMessage="0" showErrorMessage="0" allowBlank="1" type="list">
      <formula1>YesNoList</formula1>
    </dataValidation>
    <dataValidation sqref="AJ2:AJ355" showDropDown="0" showInputMessage="0" showErrorMessage="0" allowBlank="1" type="list">
      <formula1>TddScopeList</formula1>
    </dataValidation>
    <dataValidation sqref="AK2:AK355" showDropDown="0" showInputMessage="0" showErrorMessage="0" allowBlank="1" type="list">
      <formula1>OtherTddList</formula1>
    </dataValidation>
    <dataValidation sqref="AL2:AL355" showDropDown="0" showInputMessage="0" showErrorMessage="0" allowBlank="1" type="list">
      <formula1>CorpModelList</formula1>
    </dataValidation>
    <dataValidation sqref="AM2:AM355" showDropDown="0" showInputMessage="0" showErrorMessage="0" allowBlank="1" type="list">
      <formula1>YTickList</formula1>
    </dataValidation>
    <dataValidation sqref="AN2:AN355" showDropDown="0" showInputMessage="0" showErrorMessage="0" allowBlank="1" type="list">
      <formula1>YTickList</formula1>
    </dataValidation>
    <dataValidation sqref="AO2:AO355" showDropDown="0" showInputMessage="0" showErrorMessage="0" allowBlank="1" type="list">
      <formula1>YTickList</formula1>
    </dataValidation>
    <dataValidation sqref="AP2:AP355" showDropDown="0" showInputMessage="0" showErrorMessage="0" allowBlank="1" type="list">
      <formula1>YTickList</formula1>
    </dataValidation>
    <dataValidation sqref="AQ2:AQ355" showDropDown="0" showInputMessage="0" showErrorMessage="0" allowBlank="1" type="list">
      <formula1>YTickList</formula1>
    </dataValidation>
    <dataValidation sqref="AR2:AR355" showDropDown="0" showInputMessage="0" showErrorMessage="0" allowBlank="1" type="list">
      <formula1>YTickList</formula1>
    </dataValidation>
    <dataValidation sqref="AS2:AS355" showDropDown="0" showInputMessage="0" showErrorMessage="0" allowBlank="1" type="list">
      <formula1>YTickList</formula1>
    </dataValidation>
    <dataValidation sqref="AT2:AT355" showDropDown="0" showInputMessage="0" showErrorMessage="0" allowBlank="1" type="list">
      <formula1>YTickList</formula1>
    </dataValidation>
    <dataValidation sqref="AU2:AU355" showDropDown="0" showInputMessage="0" showErrorMessage="0" allowBlank="1" type="list">
      <formula1>YTickList</formula1>
    </dataValidation>
    <dataValidation sqref="AV2:AV355" showDropDown="0" showInputMessage="0" showErrorMessage="0" allowBlank="1" type="list">
      <formula1>YTickList</formula1>
    </dataValidation>
    <dataValidation sqref="AW2:AW355" showDropDown="0" showInputMessage="0" showErrorMessage="0" allowBlank="1" type="list">
      <formula1>YTickList</formula1>
    </dataValidation>
    <dataValidation sqref="AX2:AX355" showDropDown="0" showInputMessage="0" showErrorMessage="0" allowBlank="1" type="list">
      <formula1>YTickList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AN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9" customWidth="1" min="28" max="28"/>
    <col width="9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0" customWidth="1" min="37" max="37"/>
    <col width="11" customWidth="1" min="38" max="38"/>
    <col width="11" customWidth="1" min="39" max="39"/>
    <col width="10" customWidth="1" min="40" max="40"/>
  </cols>
  <sheetData>
    <row r="1" ht="28" customHeight="1">
      <c r="A1" s="15" t="inlineStr">
        <is>
          <t>Person</t>
        </is>
      </c>
      <c r="B1" s="15" t="inlineStr">
        <is>
          <t>Level (roster)</t>
        </is>
      </c>
      <c r="C1" s="15" t="inlineStr">
        <is>
          <t>Project ID</t>
        </is>
      </c>
      <c r="D1" s="15" t="inlineStr">
        <is>
          <t>Client</t>
        </is>
      </c>
      <c r="E1" s="15" t="inlineStr">
        <is>
          <t>Deal lifecycle</t>
        </is>
      </c>
      <c r="F1" s="15" t="inlineStr">
        <is>
          <t>Staffed as</t>
        </is>
      </c>
      <c r="G1" s="15" t="inlineStr">
        <is>
          <t>Active?</t>
        </is>
      </c>
      <c r="H1" s="15" t="inlineStr">
        <is>
          <t>Override hrs/wk</t>
        </is>
      </c>
      <c r="I1" s="15" t="inlineStr">
        <is>
          <t>Planned hrs/wk (used)</t>
        </is>
      </c>
      <c r="J1" s="15" t="inlineStr">
        <is>
          <t>Deal probability</t>
        </is>
      </c>
      <c r="K1" s="15" t="inlineStr">
        <is>
          <t>Weighted hrs/wk</t>
        </is>
      </c>
      <c r="L1" s="15" t="inlineStr">
        <is>
          <t>Deal start</t>
        </is>
      </c>
      <c r="M1" s="15" t="inlineStr">
        <is>
          <t>Deal end</t>
        </is>
      </c>
      <c r="N1" s="15" t="inlineStr">
        <is>
          <t>Eff. start (calc)</t>
        </is>
      </c>
      <c r="O1" s="15" t="inlineStr">
        <is>
          <t>Eff. end (calc)</t>
        </is>
      </c>
      <c r="P1" s="15" t="inlineStr">
        <is>
          <t>Source status (Jul 9)</t>
        </is>
      </c>
      <c r="Q1" s="15" t="inlineStr">
        <is>
          <t>Notes</t>
        </is>
      </c>
      <c r="R1" s="15" t="inlineStr">
        <is>
          <t>Archetype (calc)</t>
        </is>
      </c>
      <c r="S1" s="15" t="inlineStr">
        <is>
          <t>Front x (calc)</t>
        </is>
      </c>
      <c r="T1" s="15" t="inlineStr">
        <is>
          <t>Tail x (calc)</t>
        </is>
      </c>
      <c r="U1" s="15" t="inlineStr">
        <is>
          <t>Split date (calc)</t>
        </is>
      </c>
      <c r="V1" s="15" t="inlineStr">
        <is>
          <t>Seg1 start (calc)</t>
        </is>
      </c>
      <c r="W1" s="15" t="inlineStr">
        <is>
          <t>Seg1 end (calc)</t>
        </is>
      </c>
      <c r="X1" s="15" t="inlineStr">
        <is>
          <t>Seg1 hrs (calc)</t>
        </is>
      </c>
      <c r="Y1" s="15" t="inlineStr">
        <is>
          <t>Seg2 start (calc)</t>
        </is>
      </c>
      <c r="Z1" s="15" t="inlineStr">
        <is>
          <t>Seg2 end (calc)</t>
        </is>
      </c>
      <c r="AA1" s="15" t="inlineStr">
        <is>
          <t>Seg2 hrs (calc)</t>
        </is>
      </c>
      <c r="AB1" s="15" t="inlineStr">
        <is>
          <t>scn prob (calc)</t>
        </is>
      </c>
      <c r="AC1" s="15" t="inlineStr">
        <is>
          <t>scn wtd (calc)</t>
        </is>
      </c>
      <c r="AD1" s="15" t="inlineStr">
        <is>
          <t>scn start (calc)</t>
        </is>
      </c>
      <c r="AE1" s="15" t="inlineStr">
        <is>
          <t>scn end (calc)</t>
        </is>
      </c>
      <c r="AF1" s="15" t="inlineStr">
        <is>
          <t>scn eff start (calc)</t>
        </is>
      </c>
      <c r="AG1" s="15" t="inlineStr">
        <is>
          <t>scn eff end (calc)</t>
        </is>
      </c>
      <c r="AH1" s="15" t="inlineStr">
        <is>
          <t>scn split (calc)</t>
        </is>
      </c>
      <c r="AI1" s="15" t="inlineStr">
        <is>
          <t>scn seg1 start (calc)</t>
        </is>
      </c>
      <c r="AJ1" s="15" t="inlineStr">
        <is>
          <t>scn seg1 end (calc)</t>
        </is>
      </c>
      <c r="AK1" s="15" t="inlineStr">
        <is>
          <t>scn seg1 hrs (calc)</t>
        </is>
      </c>
      <c r="AL1" s="15" t="inlineStr">
        <is>
          <t>scn seg2 start (calc)</t>
        </is>
      </c>
      <c r="AM1" s="15" t="inlineStr">
        <is>
          <t>scn seg2 end (calc)</t>
        </is>
      </c>
      <c r="AN1" s="15" t="inlineStr">
        <is>
          <t>scn seg2 hrs (calc)</t>
        </is>
      </c>
    </row>
    <row r="2">
      <c r="A2" s="28" t="inlineStr">
        <is>
          <t>Tania</t>
        </is>
      </c>
      <c r="B2" s="16">
        <f>IF($A2="","",IFERROR(INDEX(Roster!$B$2:$B$40,MATCH($A2,Roster!$A$2:$A$40,0)),"?"))</f>
        <v/>
      </c>
      <c r="C2" s="28" t="inlineStr">
        <is>
          <t>EXAMPLE_0</t>
        </is>
      </c>
      <c r="D2" s="16">
        <f>IF($C2="","",IFERROR(IF(INDEX(Deals!$C$2:$C$355,MATCH($C2,Deals!$A$2:$A$355,0))=0,"",INDEX(Deals!$C$2:$C$355,MATCH($C2,Deals!$A$2:$A$355,0))),"?"))</f>
        <v/>
      </c>
      <c r="E2" s="16">
        <f>IF($C2="","",IFERROR(INDEX(Deals!$F$2:$F$355,MATCH($C2,Deals!$A$2:$A$355,0)),"?"))</f>
        <v/>
      </c>
      <c r="F2" s="28" t="inlineStr">
        <is>
          <t>Partner</t>
        </is>
      </c>
      <c r="G2" s="28" t="inlineStr">
        <is>
          <t>Inactive</t>
        </is>
      </c>
      <c r="H2" s="42" t="n">
        <v>6</v>
      </c>
      <c r="I2" s="32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1">
        <f>IF($C2="",0,IFERROR(INDEX(Deals!$H$2:$H$355,MATCH($C2,Deals!$A$2:$A$355,0)),0))</f>
        <v/>
      </c>
      <c r="K2" s="32">
        <f>IF(Settings!$B$4="Yes",$I2*$J2,$I2)</f>
        <v/>
      </c>
      <c r="L2" s="22">
        <f>IF($C2="","",IFERROR(IF(INDEX(Deals!$I$2:$I$355,MATCH($C2,Deals!$A$2:$A$355,0))=0,"",INDEX(Deals!$I$2:$I$355,MATCH($C2,Deals!$A$2:$A$355,0))),""))</f>
        <v/>
      </c>
      <c r="M2" s="22">
        <f>IF($C2="","",IFERROR(IF(INDEX(Deals!$J$2:$J$355,MATCH($C2,Deals!$A$2:$A$355,0))=0,"",INDEX(Deals!$J$2:$J$355,MATCH($C2,Deals!$A$2:$A$355,0))),""))</f>
        <v/>
      </c>
      <c r="N2" s="35">
        <f>IF($L2="",DATE(1900,1,1),$L2)</f>
        <v/>
      </c>
      <c r="O2" s="35">
        <f>IF($M2="",DATE(2100,12,31),$M2)</f>
        <v/>
      </c>
      <c r="P2" s="20" t="inlineStr"/>
      <c r="Q2" s="33" t="inlineStr">
        <is>
          <t>EXAMPLE row - Inactive so it counts nowhere; delete any time</t>
        </is>
      </c>
      <c r="R2" s="16">
        <f>IF($C2="","",IFERROR(IF(INDEX(Deals!$U$2:$U$355,MATCH($C2,Deals!$A$2:$A$355,0))=0,"",INDEX(Deals!$U$2:$U$355,MATCH($C2,Deals!$A$2:$A$355,0))),""))</f>
        <v/>
      </c>
      <c r="S2" s="34">
        <f>IFERROR(IF($U2="",1,INDEX(Deals!$V$2:$V$355,MATCH($C2,Deals!$A$2:$A$355,0))),1)</f>
        <v/>
      </c>
      <c r="T2" s="34">
        <f>IFERROR(IF($U2="",1,INDEX(Deals!$W$2:$W$355,MATCH($C2,Deals!$A$2:$A$355,0))),1)</f>
        <v/>
      </c>
      <c r="U2" s="22">
        <f>IF($C2="","",IFERROR(IF(INDEX(Deals!$Y$2:$Y$355,MATCH($C2,Deals!$A$2:$A$355,0))=0,"",INDEX(Deals!$Y$2:$Y$355,MATCH($C2,Deals!$A$2:$A$355,0))),""))</f>
        <v/>
      </c>
      <c r="V2" s="35">
        <f>IF($U2="",DATE(1900,1,1),$N2)</f>
        <v/>
      </c>
      <c r="W2" s="35">
        <f>IF($U2="",DATE(2100,12,31),$U2)</f>
        <v/>
      </c>
      <c r="X2" s="32">
        <f>IF($U2="",$K2,$K2*$S2)</f>
        <v/>
      </c>
      <c r="Y2" s="35">
        <f>IF($U2="",DATE(2100,12,31),$U2+1)</f>
        <v/>
      </c>
      <c r="Z2" s="35">
        <f>IF($U2="",DATE(1900,1,1),$O2)</f>
        <v/>
      </c>
      <c r="AA2" s="32">
        <f>IF($U2="",0,$K2*$T2)</f>
        <v/>
      </c>
      <c r="AB2" s="21">
        <f>IF($C2="",0,IFERROR(INDEX(Deals!$AD$2:$AD$355,MATCH($C2,Deals!$A$2:$A$355,0)),0))</f>
        <v/>
      </c>
      <c r="AC2" s="32">
        <f>IF(Settings!$B$4="Yes",$I2*$AB2,$I2)</f>
        <v/>
      </c>
      <c r="AD2" s="22">
        <f>IF($C2="","",IFERROR(IF(INDEX(Deals!$AE$2:$AE$355,MATCH($C2,Deals!$A$2:$A$355,0))=0,"",INDEX(Deals!$AE$2:$AE$355,MATCH($C2,Deals!$A$2:$A$355,0))),""))</f>
        <v/>
      </c>
      <c r="AE2" s="22">
        <f>IF($C2="","",IFERROR(IF(INDEX(Deals!$AF$2:$AF$355,MATCH($C2,Deals!$A$2:$A$355,0))=0,"",INDEX(Deals!$AF$2:$AF$355,MATCH($C2,Deals!$A$2:$A$355,0))),""))</f>
        <v/>
      </c>
      <c r="AF2" s="35">
        <f>IF($AD2="",DATE(1900,1,1),$AD2)</f>
        <v/>
      </c>
      <c r="AG2" s="35">
        <f>IF($AE2="",DATE(2100,12,31),$AE2)</f>
        <v/>
      </c>
      <c r="AH2" s="22">
        <f>IF($C2="","",IFERROR(IF(INDEX(Deals!$AG$2:$AG$355,MATCH($C2,Deals!$A$2:$A$355,0))=0,"",INDEX(Deals!$AG$2:$AG$355,MATCH($C2,Deals!$A$2:$A$355,0))),""))</f>
        <v/>
      </c>
      <c r="AI2" s="35">
        <f>IF($AH2="",DATE(1900,1,1),$AF2)</f>
        <v/>
      </c>
      <c r="AJ2" s="35">
        <f>IF($AH2="",DATE(2100,12,31),$AH2)</f>
        <v/>
      </c>
      <c r="AK2" s="32">
        <f>IF($AH2="",$AC2,$AC2*$S2)</f>
        <v/>
      </c>
      <c r="AL2" s="35">
        <f>IF($AH2="",DATE(2100,12,31),$AH2+1)</f>
        <v/>
      </c>
      <c r="AM2" s="35">
        <f>IF($AH2="",DATE(1900,1,1),$AG2)</f>
        <v/>
      </c>
      <c r="AN2" s="32">
        <f>IF($AH2="",0,$AC2*$T2)</f>
        <v/>
      </c>
    </row>
    <row r="3">
      <c r="A3" s="28" t="inlineStr">
        <is>
          <t>Tania</t>
        </is>
      </c>
      <c r="B3" s="16">
        <f>IF($A3="","",IFERROR(INDEX(Roster!$B$2:$B$40,MATCH($A3,Roster!$A$2:$A$40,0)),"?"))</f>
        <v/>
      </c>
      <c r="C3" s="28" t="inlineStr">
        <is>
          <t>360_2</t>
        </is>
      </c>
      <c r="D3" s="16">
        <f>IF($C3="","",IFERROR(IF(INDEX(Deals!$C$2:$C$355,MATCH($C3,Deals!$A$2:$A$355,0))=0,"",INDEX(Deals!$C$2:$C$355,MATCH($C3,Deals!$A$2:$A$355,0))),"?"))</f>
        <v/>
      </c>
      <c r="E3" s="16">
        <f>IF($C3="","",IFERROR(INDEX(Deals!$F$2:$F$355,MATCH($C3,Deals!$A$2:$A$355,0)),"?"))</f>
        <v/>
      </c>
      <c r="F3" s="28" t="inlineStr">
        <is>
          <t>Partner</t>
        </is>
      </c>
      <c r="G3" s="28" t="inlineStr">
        <is>
          <t>Active</t>
        </is>
      </c>
      <c r="H3" s="31" t="n"/>
      <c r="I3" s="32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1">
        <f>IF($C3="",0,IFERROR(INDEX(Deals!$H$2:$H$355,MATCH($C3,Deals!$A$2:$A$355,0)),0))</f>
        <v/>
      </c>
      <c r="K3" s="32">
        <f>IF(Settings!$B$4="Yes",$I3*$J3,$I3)</f>
        <v/>
      </c>
      <c r="L3" s="22">
        <f>IF($C3="","",IFERROR(IF(INDEX(Deals!$I$2:$I$355,MATCH($C3,Deals!$A$2:$A$355,0))=0,"",INDEX(Deals!$I$2:$I$355,MATCH($C3,Deals!$A$2:$A$355,0))),""))</f>
        <v/>
      </c>
      <c r="M3" s="22">
        <f>IF($C3="","",IFERROR(IF(INDEX(Deals!$J$2:$J$355,MATCH($C3,Deals!$A$2:$A$355,0))=0,"",INDEX(Deals!$J$2:$J$355,MATCH($C3,Deals!$A$2:$A$355,0))),""))</f>
        <v/>
      </c>
      <c r="N3" s="35">
        <f>IF($L3="",DATE(1900,1,1),$L3)</f>
        <v/>
      </c>
      <c r="O3" s="35">
        <f>IF($M3="",DATE(2100,12,31),$M3)</f>
        <v/>
      </c>
      <c r="P3" s="20" t="inlineStr"/>
      <c r="Q3" s="43" t="inlineStr"/>
      <c r="R3" s="16">
        <f>IF($C3="","",IFERROR(IF(INDEX(Deals!$U$2:$U$355,MATCH($C3,Deals!$A$2:$A$355,0))=0,"",INDEX(Deals!$U$2:$U$355,MATCH($C3,Deals!$A$2:$A$355,0))),""))</f>
        <v/>
      </c>
      <c r="S3" s="34">
        <f>IFERROR(IF($U3="",1,INDEX(Deals!$V$2:$V$355,MATCH($C3,Deals!$A$2:$A$355,0))),1)</f>
        <v/>
      </c>
      <c r="T3" s="34">
        <f>IFERROR(IF($U3="",1,INDEX(Deals!$W$2:$W$355,MATCH($C3,Deals!$A$2:$A$355,0))),1)</f>
        <v/>
      </c>
      <c r="U3" s="22">
        <f>IF($C3="","",IFERROR(IF(INDEX(Deals!$Y$2:$Y$355,MATCH($C3,Deals!$A$2:$A$355,0))=0,"",INDEX(Deals!$Y$2:$Y$355,MATCH($C3,Deals!$A$2:$A$355,0))),""))</f>
        <v/>
      </c>
      <c r="V3" s="35">
        <f>IF($U3="",DATE(1900,1,1),$N3)</f>
        <v/>
      </c>
      <c r="W3" s="35">
        <f>IF($U3="",DATE(2100,12,31),$U3)</f>
        <v/>
      </c>
      <c r="X3" s="32">
        <f>IF($U3="",$K3,$K3*$S3)</f>
        <v/>
      </c>
      <c r="Y3" s="35">
        <f>IF($U3="",DATE(2100,12,31),$U3+1)</f>
        <v/>
      </c>
      <c r="Z3" s="35">
        <f>IF($U3="",DATE(1900,1,1),$O3)</f>
        <v/>
      </c>
      <c r="AA3" s="32">
        <f>IF($U3="",0,$K3*$T3)</f>
        <v/>
      </c>
      <c r="AB3" s="21">
        <f>IF($C3="",0,IFERROR(INDEX(Deals!$AD$2:$AD$355,MATCH($C3,Deals!$A$2:$A$355,0)),0))</f>
        <v/>
      </c>
      <c r="AC3" s="32">
        <f>IF(Settings!$B$4="Yes",$I3*$AB3,$I3)</f>
        <v/>
      </c>
      <c r="AD3" s="22">
        <f>IF($C3="","",IFERROR(IF(INDEX(Deals!$AE$2:$AE$355,MATCH($C3,Deals!$A$2:$A$355,0))=0,"",INDEX(Deals!$AE$2:$AE$355,MATCH($C3,Deals!$A$2:$A$355,0))),""))</f>
        <v/>
      </c>
      <c r="AE3" s="22">
        <f>IF($C3="","",IFERROR(IF(INDEX(Deals!$AF$2:$AF$355,MATCH($C3,Deals!$A$2:$A$355,0))=0,"",INDEX(Deals!$AF$2:$AF$355,MATCH($C3,Deals!$A$2:$A$355,0))),""))</f>
        <v/>
      </c>
      <c r="AF3" s="35">
        <f>IF($AD3="",DATE(1900,1,1),$AD3)</f>
        <v/>
      </c>
      <c r="AG3" s="35">
        <f>IF($AE3="",DATE(2100,12,31),$AE3)</f>
        <v/>
      </c>
      <c r="AH3" s="22">
        <f>IF($C3="","",IFERROR(IF(INDEX(Deals!$AG$2:$AG$355,MATCH($C3,Deals!$A$2:$A$355,0))=0,"",INDEX(Deals!$AG$2:$AG$355,MATCH($C3,Deals!$A$2:$A$355,0))),""))</f>
        <v/>
      </c>
      <c r="AI3" s="35">
        <f>IF($AH3="",DATE(1900,1,1),$AF3)</f>
        <v/>
      </c>
      <c r="AJ3" s="35">
        <f>IF($AH3="",DATE(2100,12,31),$AH3)</f>
        <v/>
      </c>
      <c r="AK3" s="32">
        <f>IF($AH3="",$AC3,$AC3*$S3)</f>
        <v/>
      </c>
      <c r="AL3" s="35">
        <f>IF($AH3="",DATE(2100,12,31),$AH3+1)</f>
        <v/>
      </c>
      <c r="AM3" s="35">
        <f>IF($AH3="",DATE(1900,1,1),$AG3)</f>
        <v/>
      </c>
      <c r="AN3" s="32">
        <f>IF($AH3="",0,$AC3*$T3)</f>
        <v/>
      </c>
    </row>
    <row r="4">
      <c r="A4" s="28" t="inlineStr">
        <is>
          <t>Tania</t>
        </is>
      </c>
      <c r="B4" s="16">
        <f>IF($A4="","",IFERROR(INDEX(Roster!$B$2:$B$40,MATCH($A4,Roster!$A$2:$A$40,0)),"?"))</f>
        <v/>
      </c>
      <c r="C4" s="28" t="inlineStr">
        <is>
          <t>AIM_5</t>
        </is>
      </c>
      <c r="D4" s="16">
        <f>IF($C4="","",IFERROR(IF(INDEX(Deals!$C$2:$C$355,MATCH($C4,Deals!$A$2:$A$355,0))=0,"",INDEX(Deals!$C$2:$C$355,MATCH($C4,Deals!$A$2:$A$355,0))),"?"))</f>
        <v/>
      </c>
      <c r="E4" s="16">
        <f>IF($C4="","",IFERROR(INDEX(Deals!$F$2:$F$355,MATCH($C4,Deals!$A$2:$A$355,0)),"?"))</f>
        <v/>
      </c>
      <c r="F4" s="28" t="inlineStr">
        <is>
          <t>Partner</t>
        </is>
      </c>
      <c r="G4" s="28" t="inlineStr">
        <is>
          <t>Active</t>
        </is>
      </c>
      <c r="H4" s="31" t="n"/>
      <c r="I4" s="32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1">
        <f>IF($C4="",0,IFERROR(INDEX(Deals!$H$2:$H$355,MATCH($C4,Deals!$A$2:$A$355,0)),0))</f>
        <v/>
      </c>
      <c r="K4" s="32">
        <f>IF(Settings!$B$4="Yes",$I4*$J4,$I4)</f>
        <v/>
      </c>
      <c r="L4" s="22">
        <f>IF($C4="","",IFERROR(IF(INDEX(Deals!$I$2:$I$355,MATCH($C4,Deals!$A$2:$A$355,0))=0,"",INDEX(Deals!$I$2:$I$355,MATCH($C4,Deals!$A$2:$A$355,0))),""))</f>
        <v/>
      </c>
      <c r="M4" s="22">
        <f>IF($C4="","",IFERROR(IF(INDEX(Deals!$J$2:$J$355,MATCH($C4,Deals!$A$2:$A$355,0))=0,"",INDEX(Deals!$J$2:$J$355,MATCH($C4,Deals!$A$2:$A$355,0))),""))</f>
        <v/>
      </c>
      <c r="N4" s="35">
        <f>IF($L4="",DATE(1900,1,1),$L4)</f>
        <v/>
      </c>
      <c r="O4" s="35">
        <f>IF($M4="",DATE(2100,12,31),$M4)</f>
        <v/>
      </c>
      <c r="P4" s="20" t="inlineStr"/>
      <c r="Q4" s="43" t="inlineStr"/>
      <c r="R4" s="16">
        <f>IF($C4="","",IFERROR(IF(INDEX(Deals!$U$2:$U$355,MATCH($C4,Deals!$A$2:$A$355,0))=0,"",INDEX(Deals!$U$2:$U$355,MATCH($C4,Deals!$A$2:$A$355,0))),""))</f>
        <v/>
      </c>
      <c r="S4" s="34">
        <f>IFERROR(IF($U4="",1,INDEX(Deals!$V$2:$V$355,MATCH($C4,Deals!$A$2:$A$355,0))),1)</f>
        <v/>
      </c>
      <c r="T4" s="34">
        <f>IFERROR(IF($U4="",1,INDEX(Deals!$W$2:$W$355,MATCH($C4,Deals!$A$2:$A$355,0))),1)</f>
        <v/>
      </c>
      <c r="U4" s="22">
        <f>IF($C4="","",IFERROR(IF(INDEX(Deals!$Y$2:$Y$355,MATCH($C4,Deals!$A$2:$A$355,0))=0,"",INDEX(Deals!$Y$2:$Y$355,MATCH($C4,Deals!$A$2:$A$355,0))),""))</f>
        <v/>
      </c>
      <c r="V4" s="35">
        <f>IF($U4="",DATE(1900,1,1),$N4)</f>
        <v/>
      </c>
      <c r="W4" s="35">
        <f>IF($U4="",DATE(2100,12,31),$U4)</f>
        <v/>
      </c>
      <c r="X4" s="32">
        <f>IF($U4="",$K4,$K4*$S4)</f>
        <v/>
      </c>
      <c r="Y4" s="35">
        <f>IF($U4="",DATE(2100,12,31),$U4+1)</f>
        <v/>
      </c>
      <c r="Z4" s="35">
        <f>IF($U4="",DATE(1900,1,1),$O4)</f>
        <v/>
      </c>
      <c r="AA4" s="32">
        <f>IF($U4="",0,$K4*$T4)</f>
        <v/>
      </c>
      <c r="AB4" s="21">
        <f>IF($C4="",0,IFERROR(INDEX(Deals!$AD$2:$AD$355,MATCH($C4,Deals!$A$2:$A$355,0)),0))</f>
        <v/>
      </c>
      <c r="AC4" s="32">
        <f>IF(Settings!$B$4="Yes",$I4*$AB4,$I4)</f>
        <v/>
      </c>
      <c r="AD4" s="22">
        <f>IF($C4="","",IFERROR(IF(INDEX(Deals!$AE$2:$AE$355,MATCH($C4,Deals!$A$2:$A$355,0))=0,"",INDEX(Deals!$AE$2:$AE$355,MATCH($C4,Deals!$A$2:$A$355,0))),""))</f>
        <v/>
      </c>
      <c r="AE4" s="22">
        <f>IF($C4="","",IFERROR(IF(INDEX(Deals!$AF$2:$AF$355,MATCH($C4,Deals!$A$2:$A$355,0))=0,"",INDEX(Deals!$AF$2:$AF$355,MATCH($C4,Deals!$A$2:$A$355,0))),""))</f>
        <v/>
      </c>
      <c r="AF4" s="35">
        <f>IF($AD4="",DATE(1900,1,1),$AD4)</f>
        <v/>
      </c>
      <c r="AG4" s="35">
        <f>IF($AE4="",DATE(2100,12,31),$AE4)</f>
        <v/>
      </c>
      <c r="AH4" s="22">
        <f>IF($C4="","",IFERROR(IF(INDEX(Deals!$AG$2:$AG$355,MATCH($C4,Deals!$A$2:$A$355,0))=0,"",INDEX(Deals!$AG$2:$AG$355,MATCH($C4,Deals!$A$2:$A$355,0))),""))</f>
        <v/>
      </c>
      <c r="AI4" s="35">
        <f>IF($AH4="",DATE(1900,1,1),$AF4)</f>
        <v/>
      </c>
      <c r="AJ4" s="35">
        <f>IF($AH4="",DATE(2100,12,31),$AH4)</f>
        <v/>
      </c>
      <c r="AK4" s="32">
        <f>IF($AH4="",$AC4,$AC4*$S4)</f>
        <v/>
      </c>
      <c r="AL4" s="35">
        <f>IF($AH4="",DATE(2100,12,31),$AH4+1)</f>
        <v/>
      </c>
      <c r="AM4" s="35">
        <f>IF($AH4="",DATE(1900,1,1),$AG4)</f>
        <v/>
      </c>
      <c r="AN4" s="32">
        <f>IF($AH4="",0,$AC4*$T4)</f>
        <v/>
      </c>
    </row>
    <row r="5">
      <c r="A5" s="28" t="inlineStr">
        <is>
          <t>Tania</t>
        </is>
      </c>
      <c r="B5" s="16">
        <f>IF($A5="","",IFERROR(INDEX(Roster!$B$2:$B$40,MATCH($A5,Roster!$A$2:$A$40,0)),"?"))</f>
        <v/>
      </c>
      <c r="C5" s="28" t="inlineStr">
        <is>
          <t>Atlas_4</t>
        </is>
      </c>
      <c r="D5" s="16">
        <f>IF($C5="","",IFERROR(IF(INDEX(Deals!$C$2:$C$355,MATCH($C5,Deals!$A$2:$A$355,0))=0,"",INDEX(Deals!$C$2:$C$355,MATCH($C5,Deals!$A$2:$A$355,0))),"?"))</f>
        <v/>
      </c>
      <c r="E5" s="16">
        <f>IF($C5="","",IFERROR(INDEX(Deals!$F$2:$F$355,MATCH($C5,Deals!$A$2:$A$355,0)),"?"))</f>
        <v/>
      </c>
      <c r="F5" s="28" t="inlineStr">
        <is>
          <t>Partner</t>
        </is>
      </c>
      <c r="G5" s="28" t="inlineStr">
        <is>
          <t>Active</t>
        </is>
      </c>
      <c r="H5" s="31" t="n"/>
      <c r="I5" s="32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1">
        <f>IF($C5="",0,IFERROR(INDEX(Deals!$H$2:$H$355,MATCH($C5,Deals!$A$2:$A$355,0)),0))</f>
        <v/>
      </c>
      <c r="K5" s="32">
        <f>IF(Settings!$B$4="Yes",$I5*$J5,$I5)</f>
        <v/>
      </c>
      <c r="L5" s="22">
        <f>IF($C5="","",IFERROR(IF(INDEX(Deals!$I$2:$I$355,MATCH($C5,Deals!$A$2:$A$355,0))=0,"",INDEX(Deals!$I$2:$I$355,MATCH($C5,Deals!$A$2:$A$355,0))),""))</f>
        <v/>
      </c>
      <c r="M5" s="22">
        <f>IF($C5="","",IFERROR(IF(INDEX(Deals!$J$2:$J$355,MATCH($C5,Deals!$A$2:$A$355,0))=0,"",INDEX(Deals!$J$2:$J$355,MATCH($C5,Deals!$A$2:$A$355,0))),""))</f>
        <v/>
      </c>
      <c r="N5" s="35">
        <f>IF($L5="",DATE(1900,1,1),$L5)</f>
        <v/>
      </c>
      <c r="O5" s="35">
        <f>IF($M5="",DATE(2100,12,31),$M5)</f>
        <v/>
      </c>
      <c r="P5" s="20" t="inlineStr"/>
      <c r="Q5" s="43" t="inlineStr"/>
      <c r="R5" s="16">
        <f>IF($C5="","",IFERROR(IF(INDEX(Deals!$U$2:$U$355,MATCH($C5,Deals!$A$2:$A$355,0))=0,"",INDEX(Deals!$U$2:$U$355,MATCH($C5,Deals!$A$2:$A$355,0))),""))</f>
        <v/>
      </c>
      <c r="S5" s="34">
        <f>IFERROR(IF($U5="",1,INDEX(Deals!$V$2:$V$355,MATCH($C5,Deals!$A$2:$A$355,0))),1)</f>
        <v/>
      </c>
      <c r="T5" s="34">
        <f>IFERROR(IF($U5="",1,INDEX(Deals!$W$2:$W$355,MATCH($C5,Deals!$A$2:$A$355,0))),1)</f>
        <v/>
      </c>
      <c r="U5" s="22">
        <f>IF($C5="","",IFERROR(IF(INDEX(Deals!$Y$2:$Y$355,MATCH($C5,Deals!$A$2:$A$355,0))=0,"",INDEX(Deals!$Y$2:$Y$355,MATCH($C5,Deals!$A$2:$A$355,0))),""))</f>
        <v/>
      </c>
      <c r="V5" s="35">
        <f>IF($U5="",DATE(1900,1,1),$N5)</f>
        <v/>
      </c>
      <c r="W5" s="35">
        <f>IF($U5="",DATE(2100,12,31),$U5)</f>
        <v/>
      </c>
      <c r="X5" s="32">
        <f>IF($U5="",$K5,$K5*$S5)</f>
        <v/>
      </c>
      <c r="Y5" s="35">
        <f>IF($U5="",DATE(2100,12,31),$U5+1)</f>
        <v/>
      </c>
      <c r="Z5" s="35">
        <f>IF($U5="",DATE(1900,1,1),$O5)</f>
        <v/>
      </c>
      <c r="AA5" s="32">
        <f>IF($U5="",0,$K5*$T5)</f>
        <v/>
      </c>
      <c r="AB5" s="21">
        <f>IF($C5="",0,IFERROR(INDEX(Deals!$AD$2:$AD$355,MATCH($C5,Deals!$A$2:$A$355,0)),0))</f>
        <v/>
      </c>
      <c r="AC5" s="32">
        <f>IF(Settings!$B$4="Yes",$I5*$AB5,$I5)</f>
        <v/>
      </c>
      <c r="AD5" s="22">
        <f>IF($C5="","",IFERROR(IF(INDEX(Deals!$AE$2:$AE$355,MATCH($C5,Deals!$A$2:$A$355,0))=0,"",INDEX(Deals!$AE$2:$AE$355,MATCH($C5,Deals!$A$2:$A$355,0))),""))</f>
        <v/>
      </c>
      <c r="AE5" s="22">
        <f>IF($C5="","",IFERROR(IF(INDEX(Deals!$AF$2:$AF$355,MATCH($C5,Deals!$A$2:$A$355,0))=0,"",INDEX(Deals!$AF$2:$AF$355,MATCH($C5,Deals!$A$2:$A$355,0))),""))</f>
        <v/>
      </c>
      <c r="AF5" s="35">
        <f>IF($AD5="",DATE(1900,1,1),$AD5)</f>
        <v/>
      </c>
      <c r="AG5" s="35">
        <f>IF($AE5="",DATE(2100,12,31),$AE5)</f>
        <v/>
      </c>
      <c r="AH5" s="22">
        <f>IF($C5="","",IFERROR(IF(INDEX(Deals!$AG$2:$AG$355,MATCH($C5,Deals!$A$2:$A$355,0))=0,"",INDEX(Deals!$AG$2:$AG$355,MATCH($C5,Deals!$A$2:$A$355,0))),""))</f>
        <v/>
      </c>
      <c r="AI5" s="35">
        <f>IF($AH5="",DATE(1900,1,1),$AF5)</f>
        <v/>
      </c>
      <c r="AJ5" s="35">
        <f>IF($AH5="",DATE(2100,12,31),$AH5)</f>
        <v/>
      </c>
      <c r="AK5" s="32">
        <f>IF($AH5="",$AC5,$AC5*$S5)</f>
        <v/>
      </c>
      <c r="AL5" s="35">
        <f>IF($AH5="",DATE(2100,12,31),$AH5+1)</f>
        <v/>
      </c>
      <c r="AM5" s="35">
        <f>IF($AH5="",DATE(1900,1,1),$AG5)</f>
        <v/>
      </c>
      <c r="AN5" s="32">
        <f>IF($AH5="",0,$AC5*$T5)</f>
        <v/>
      </c>
    </row>
    <row r="6">
      <c r="A6" s="28" t="inlineStr">
        <is>
          <t>Tania</t>
        </is>
      </c>
      <c r="B6" s="16">
        <f>IF($A6="","",IFERROR(INDEX(Roster!$B$2:$B$40,MATCH($A6,Roster!$A$2:$A$40,0)),"?"))</f>
        <v/>
      </c>
      <c r="C6" s="28" t="inlineStr">
        <is>
          <t>Avengers</t>
        </is>
      </c>
      <c r="D6" s="16">
        <f>IF($C6="","",IFERROR(IF(INDEX(Deals!$C$2:$C$355,MATCH($C6,Deals!$A$2:$A$355,0))=0,"",INDEX(Deals!$C$2:$C$355,MATCH($C6,Deals!$A$2:$A$355,0))),"?"))</f>
        <v/>
      </c>
      <c r="E6" s="16">
        <f>IF($C6="","",IFERROR(INDEX(Deals!$F$2:$F$355,MATCH($C6,Deals!$A$2:$A$355,0)),"?"))</f>
        <v/>
      </c>
      <c r="F6" s="28" t="inlineStr">
        <is>
          <t>Partner</t>
        </is>
      </c>
      <c r="G6" s="28" t="inlineStr">
        <is>
          <t>Active</t>
        </is>
      </c>
      <c r="H6" s="31" t="n"/>
      <c r="I6" s="32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1">
        <f>IF($C6="",0,IFERROR(INDEX(Deals!$H$2:$H$355,MATCH($C6,Deals!$A$2:$A$355,0)),0))</f>
        <v/>
      </c>
      <c r="K6" s="32">
        <f>IF(Settings!$B$4="Yes",$I6*$J6,$I6)</f>
        <v/>
      </c>
      <c r="L6" s="22">
        <f>IF($C6="","",IFERROR(IF(INDEX(Deals!$I$2:$I$355,MATCH($C6,Deals!$A$2:$A$355,0))=0,"",INDEX(Deals!$I$2:$I$355,MATCH($C6,Deals!$A$2:$A$355,0))),""))</f>
        <v/>
      </c>
      <c r="M6" s="22">
        <f>IF($C6="","",IFERROR(IF(INDEX(Deals!$J$2:$J$355,MATCH($C6,Deals!$A$2:$A$355,0))=0,"",INDEX(Deals!$J$2:$J$355,MATCH($C6,Deals!$A$2:$A$355,0))),""))</f>
        <v/>
      </c>
      <c r="N6" s="35">
        <f>IF($L6="",DATE(1900,1,1),$L6)</f>
        <v/>
      </c>
      <c r="O6" s="35">
        <f>IF($M6="",DATE(2100,12,31),$M6)</f>
        <v/>
      </c>
      <c r="P6" s="20" t="inlineStr"/>
      <c r="Q6" s="43" t="inlineStr"/>
      <c r="R6" s="16">
        <f>IF($C6="","",IFERROR(IF(INDEX(Deals!$U$2:$U$355,MATCH($C6,Deals!$A$2:$A$355,0))=0,"",INDEX(Deals!$U$2:$U$355,MATCH($C6,Deals!$A$2:$A$355,0))),""))</f>
        <v/>
      </c>
      <c r="S6" s="34">
        <f>IFERROR(IF($U6="",1,INDEX(Deals!$V$2:$V$355,MATCH($C6,Deals!$A$2:$A$355,0))),1)</f>
        <v/>
      </c>
      <c r="T6" s="34">
        <f>IFERROR(IF($U6="",1,INDEX(Deals!$W$2:$W$355,MATCH($C6,Deals!$A$2:$A$355,0))),1)</f>
        <v/>
      </c>
      <c r="U6" s="22">
        <f>IF($C6="","",IFERROR(IF(INDEX(Deals!$Y$2:$Y$355,MATCH($C6,Deals!$A$2:$A$355,0))=0,"",INDEX(Deals!$Y$2:$Y$355,MATCH($C6,Deals!$A$2:$A$355,0))),""))</f>
        <v/>
      </c>
      <c r="V6" s="35">
        <f>IF($U6="",DATE(1900,1,1),$N6)</f>
        <v/>
      </c>
      <c r="W6" s="35">
        <f>IF($U6="",DATE(2100,12,31),$U6)</f>
        <v/>
      </c>
      <c r="X6" s="32">
        <f>IF($U6="",$K6,$K6*$S6)</f>
        <v/>
      </c>
      <c r="Y6" s="35">
        <f>IF($U6="",DATE(2100,12,31),$U6+1)</f>
        <v/>
      </c>
      <c r="Z6" s="35">
        <f>IF($U6="",DATE(1900,1,1),$O6)</f>
        <v/>
      </c>
      <c r="AA6" s="32">
        <f>IF($U6="",0,$K6*$T6)</f>
        <v/>
      </c>
      <c r="AB6" s="21">
        <f>IF($C6="",0,IFERROR(INDEX(Deals!$AD$2:$AD$355,MATCH($C6,Deals!$A$2:$A$355,0)),0))</f>
        <v/>
      </c>
      <c r="AC6" s="32">
        <f>IF(Settings!$B$4="Yes",$I6*$AB6,$I6)</f>
        <v/>
      </c>
      <c r="AD6" s="22">
        <f>IF($C6="","",IFERROR(IF(INDEX(Deals!$AE$2:$AE$355,MATCH($C6,Deals!$A$2:$A$355,0))=0,"",INDEX(Deals!$AE$2:$AE$355,MATCH($C6,Deals!$A$2:$A$355,0))),""))</f>
        <v/>
      </c>
      <c r="AE6" s="22">
        <f>IF($C6="","",IFERROR(IF(INDEX(Deals!$AF$2:$AF$355,MATCH($C6,Deals!$A$2:$A$355,0))=0,"",INDEX(Deals!$AF$2:$AF$355,MATCH($C6,Deals!$A$2:$A$355,0))),""))</f>
        <v/>
      </c>
      <c r="AF6" s="35">
        <f>IF($AD6="",DATE(1900,1,1),$AD6)</f>
        <v/>
      </c>
      <c r="AG6" s="35">
        <f>IF($AE6="",DATE(2100,12,31),$AE6)</f>
        <v/>
      </c>
      <c r="AH6" s="22">
        <f>IF($C6="","",IFERROR(IF(INDEX(Deals!$AG$2:$AG$355,MATCH($C6,Deals!$A$2:$A$355,0))=0,"",INDEX(Deals!$AG$2:$AG$355,MATCH($C6,Deals!$A$2:$A$355,0))),""))</f>
        <v/>
      </c>
      <c r="AI6" s="35">
        <f>IF($AH6="",DATE(1900,1,1),$AF6)</f>
        <v/>
      </c>
      <c r="AJ6" s="35">
        <f>IF($AH6="",DATE(2100,12,31),$AH6)</f>
        <v/>
      </c>
      <c r="AK6" s="32">
        <f>IF($AH6="",$AC6,$AC6*$S6)</f>
        <v/>
      </c>
      <c r="AL6" s="35">
        <f>IF($AH6="",DATE(2100,12,31),$AH6+1)</f>
        <v/>
      </c>
      <c r="AM6" s="35">
        <f>IF($AH6="",DATE(1900,1,1),$AG6)</f>
        <v/>
      </c>
      <c r="AN6" s="32">
        <f>IF($AH6="",0,$AC6*$T6)</f>
        <v/>
      </c>
    </row>
    <row r="7">
      <c r="A7" s="28" t="inlineStr">
        <is>
          <t>Tania</t>
        </is>
      </c>
      <c r="B7" s="16">
        <f>IF($A7="","",IFERROR(INDEX(Roster!$B$2:$B$40,MATCH($A7,Roster!$A$2:$A$40,0)),"?"))</f>
        <v/>
      </c>
      <c r="C7" s="28" t="inlineStr">
        <is>
          <t>Battery_2</t>
        </is>
      </c>
      <c r="D7" s="16">
        <f>IF($C7="","",IFERROR(IF(INDEX(Deals!$C$2:$C$355,MATCH($C7,Deals!$A$2:$A$355,0))=0,"",INDEX(Deals!$C$2:$C$355,MATCH($C7,Deals!$A$2:$A$355,0))),"?"))</f>
        <v/>
      </c>
      <c r="E7" s="16">
        <f>IF($C7="","",IFERROR(INDEX(Deals!$F$2:$F$355,MATCH($C7,Deals!$A$2:$A$355,0)),"?"))</f>
        <v/>
      </c>
      <c r="F7" s="28" t="inlineStr">
        <is>
          <t>Partner</t>
        </is>
      </c>
      <c r="G7" s="28" t="inlineStr">
        <is>
          <t>Active</t>
        </is>
      </c>
      <c r="H7" s="31" t="n"/>
      <c r="I7" s="32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1">
        <f>IF($C7="",0,IFERROR(INDEX(Deals!$H$2:$H$355,MATCH($C7,Deals!$A$2:$A$355,0)),0))</f>
        <v/>
      </c>
      <c r="K7" s="32">
        <f>IF(Settings!$B$4="Yes",$I7*$J7,$I7)</f>
        <v/>
      </c>
      <c r="L7" s="22">
        <f>IF($C7="","",IFERROR(IF(INDEX(Deals!$I$2:$I$355,MATCH($C7,Deals!$A$2:$A$355,0))=0,"",INDEX(Deals!$I$2:$I$355,MATCH($C7,Deals!$A$2:$A$355,0))),""))</f>
        <v/>
      </c>
      <c r="M7" s="22">
        <f>IF($C7="","",IFERROR(IF(INDEX(Deals!$J$2:$J$355,MATCH($C7,Deals!$A$2:$A$355,0))=0,"",INDEX(Deals!$J$2:$J$355,MATCH($C7,Deals!$A$2:$A$355,0))),""))</f>
        <v/>
      </c>
      <c r="N7" s="35">
        <f>IF($L7="",DATE(1900,1,1),$L7)</f>
        <v/>
      </c>
      <c r="O7" s="35">
        <f>IF($M7="",DATE(2100,12,31),$M7)</f>
        <v/>
      </c>
      <c r="P7" s="20" t="inlineStr"/>
      <c r="Q7" s="43" t="inlineStr"/>
      <c r="R7" s="16">
        <f>IF($C7="","",IFERROR(IF(INDEX(Deals!$U$2:$U$355,MATCH($C7,Deals!$A$2:$A$355,0))=0,"",INDEX(Deals!$U$2:$U$355,MATCH($C7,Deals!$A$2:$A$355,0))),""))</f>
        <v/>
      </c>
      <c r="S7" s="34">
        <f>IFERROR(IF($U7="",1,INDEX(Deals!$V$2:$V$355,MATCH($C7,Deals!$A$2:$A$355,0))),1)</f>
        <v/>
      </c>
      <c r="T7" s="34">
        <f>IFERROR(IF($U7="",1,INDEX(Deals!$W$2:$W$355,MATCH($C7,Deals!$A$2:$A$355,0))),1)</f>
        <v/>
      </c>
      <c r="U7" s="22">
        <f>IF($C7="","",IFERROR(IF(INDEX(Deals!$Y$2:$Y$355,MATCH($C7,Deals!$A$2:$A$355,0))=0,"",INDEX(Deals!$Y$2:$Y$355,MATCH($C7,Deals!$A$2:$A$355,0))),""))</f>
        <v/>
      </c>
      <c r="V7" s="35">
        <f>IF($U7="",DATE(1900,1,1),$N7)</f>
        <v/>
      </c>
      <c r="W7" s="35">
        <f>IF($U7="",DATE(2100,12,31),$U7)</f>
        <v/>
      </c>
      <c r="X7" s="32">
        <f>IF($U7="",$K7,$K7*$S7)</f>
        <v/>
      </c>
      <c r="Y7" s="35">
        <f>IF($U7="",DATE(2100,12,31),$U7+1)</f>
        <v/>
      </c>
      <c r="Z7" s="35">
        <f>IF($U7="",DATE(1900,1,1),$O7)</f>
        <v/>
      </c>
      <c r="AA7" s="32">
        <f>IF($U7="",0,$K7*$T7)</f>
        <v/>
      </c>
      <c r="AB7" s="21">
        <f>IF($C7="",0,IFERROR(INDEX(Deals!$AD$2:$AD$355,MATCH($C7,Deals!$A$2:$A$355,0)),0))</f>
        <v/>
      </c>
      <c r="AC7" s="32">
        <f>IF(Settings!$B$4="Yes",$I7*$AB7,$I7)</f>
        <v/>
      </c>
      <c r="AD7" s="22">
        <f>IF($C7="","",IFERROR(IF(INDEX(Deals!$AE$2:$AE$355,MATCH($C7,Deals!$A$2:$A$355,0))=0,"",INDEX(Deals!$AE$2:$AE$355,MATCH($C7,Deals!$A$2:$A$355,0))),""))</f>
        <v/>
      </c>
      <c r="AE7" s="22">
        <f>IF($C7="","",IFERROR(IF(INDEX(Deals!$AF$2:$AF$355,MATCH($C7,Deals!$A$2:$A$355,0))=0,"",INDEX(Deals!$AF$2:$AF$355,MATCH($C7,Deals!$A$2:$A$355,0))),""))</f>
        <v/>
      </c>
      <c r="AF7" s="35">
        <f>IF($AD7="",DATE(1900,1,1),$AD7)</f>
        <v/>
      </c>
      <c r="AG7" s="35">
        <f>IF($AE7="",DATE(2100,12,31),$AE7)</f>
        <v/>
      </c>
      <c r="AH7" s="22">
        <f>IF($C7="","",IFERROR(IF(INDEX(Deals!$AG$2:$AG$355,MATCH($C7,Deals!$A$2:$A$355,0))=0,"",INDEX(Deals!$AG$2:$AG$355,MATCH($C7,Deals!$A$2:$A$355,0))),""))</f>
        <v/>
      </c>
      <c r="AI7" s="35">
        <f>IF($AH7="",DATE(1900,1,1),$AF7)</f>
        <v/>
      </c>
      <c r="AJ7" s="35">
        <f>IF($AH7="",DATE(2100,12,31),$AH7)</f>
        <v/>
      </c>
      <c r="AK7" s="32">
        <f>IF($AH7="",$AC7,$AC7*$S7)</f>
        <v/>
      </c>
      <c r="AL7" s="35">
        <f>IF($AH7="",DATE(2100,12,31),$AH7+1)</f>
        <v/>
      </c>
      <c r="AM7" s="35">
        <f>IF($AH7="",DATE(1900,1,1),$AG7)</f>
        <v/>
      </c>
      <c r="AN7" s="32">
        <f>IF($AH7="",0,$AC7*$T7)</f>
        <v/>
      </c>
    </row>
    <row r="8">
      <c r="A8" s="28" t="inlineStr">
        <is>
          <t>Tania</t>
        </is>
      </c>
      <c r="B8" s="16">
        <f>IF($A8="","",IFERROR(INDEX(Roster!$B$2:$B$40,MATCH($A8,Roster!$A$2:$A$40,0)),"?"))</f>
        <v/>
      </c>
      <c r="C8" s="28" t="inlineStr">
        <is>
          <t>Bay_2</t>
        </is>
      </c>
      <c r="D8" s="16">
        <f>IF($C8="","",IFERROR(IF(INDEX(Deals!$C$2:$C$355,MATCH($C8,Deals!$A$2:$A$355,0))=0,"",INDEX(Deals!$C$2:$C$355,MATCH($C8,Deals!$A$2:$A$355,0))),"?"))</f>
        <v/>
      </c>
      <c r="E8" s="16">
        <f>IF($C8="","",IFERROR(INDEX(Deals!$F$2:$F$355,MATCH($C8,Deals!$A$2:$A$355,0)),"?"))</f>
        <v/>
      </c>
      <c r="F8" s="28" t="inlineStr">
        <is>
          <t>Partner</t>
        </is>
      </c>
      <c r="G8" s="28" t="inlineStr">
        <is>
          <t>Active</t>
        </is>
      </c>
      <c r="H8" s="31" t="n"/>
      <c r="I8" s="32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1">
        <f>IF($C8="",0,IFERROR(INDEX(Deals!$H$2:$H$355,MATCH($C8,Deals!$A$2:$A$355,0)),0))</f>
        <v/>
      </c>
      <c r="K8" s="32">
        <f>IF(Settings!$B$4="Yes",$I8*$J8,$I8)</f>
        <v/>
      </c>
      <c r="L8" s="22">
        <f>IF($C8="","",IFERROR(IF(INDEX(Deals!$I$2:$I$355,MATCH($C8,Deals!$A$2:$A$355,0))=0,"",INDEX(Deals!$I$2:$I$355,MATCH($C8,Deals!$A$2:$A$355,0))),""))</f>
        <v/>
      </c>
      <c r="M8" s="22">
        <f>IF($C8="","",IFERROR(IF(INDEX(Deals!$J$2:$J$355,MATCH($C8,Deals!$A$2:$A$355,0))=0,"",INDEX(Deals!$J$2:$J$355,MATCH($C8,Deals!$A$2:$A$355,0))),""))</f>
        <v/>
      </c>
      <c r="N8" s="35">
        <f>IF($L8="",DATE(1900,1,1),$L8)</f>
        <v/>
      </c>
      <c r="O8" s="35">
        <f>IF($M8="",DATE(2100,12,31),$M8)</f>
        <v/>
      </c>
      <c r="P8" s="20" t="inlineStr"/>
      <c r="Q8" s="43" t="inlineStr"/>
      <c r="R8" s="16">
        <f>IF($C8="","",IFERROR(IF(INDEX(Deals!$U$2:$U$355,MATCH($C8,Deals!$A$2:$A$355,0))=0,"",INDEX(Deals!$U$2:$U$355,MATCH($C8,Deals!$A$2:$A$355,0))),""))</f>
        <v/>
      </c>
      <c r="S8" s="34">
        <f>IFERROR(IF($U8="",1,INDEX(Deals!$V$2:$V$355,MATCH($C8,Deals!$A$2:$A$355,0))),1)</f>
        <v/>
      </c>
      <c r="T8" s="34">
        <f>IFERROR(IF($U8="",1,INDEX(Deals!$W$2:$W$355,MATCH($C8,Deals!$A$2:$A$355,0))),1)</f>
        <v/>
      </c>
      <c r="U8" s="22">
        <f>IF($C8="","",IFERROR(IF(INDEX(Deals!$Y$2:$Y$355,MATCH($C8,Deals!$A$2:$A$355,0))=0,"",INDEX(Deals!$Y$2:$Y$355,MATCH($C8,Deals!$A$2:$A$355,0))),""))</f>
        <v/>
      </c>
      <c r="V8" s="35">
        <f>IF($U8="",DATE(1900,1,1),$N8)</f>
        <v/>
      </c>
      <c r="W8" s="35">
        <f>IF($U8="",DATE(2100,12,31),$U8)</f>
        <v/>
      </c>
      <c r="X8" s="32">
        <f>IF($U8="",$K8,$K8*$S8)</f>
        <v/>
      </c>
      <c r="Y8" s="35">
        <f>IF($U8="",DATE(2100,12,31),$U8+1)</f>
        <v/>
      </c>
      <c r="Z8" s="35">
        <f>IF($U8="",DATE(1900,1,1),$O8)</f>
        <v/>
      </c>
      <c r="AA8" s="32">
        <f>IF($U8="",0,$K8*$T8)</f>
        <v/>
      </c>
      <c r="AB8" s="21">
        <f>IF($C8="",0,IFERROR(INDEX(Deals!$AD$2:$AD$355,MATCH($C8,Deals!$A$2:$A$355,0)),0))</f>
        <v/>
      </c>
      <c r="AC8" s="32">
        <f>IF(Settings!$B$4="Yes",$I8*$AB8,$I8)</f>
        <v/>
      </c>
      <c r="AD8" s="22">
        <f>IF($C8="","",IFERROR(IF(INDEX(Deals!$AE$2:$AE$355,MATCH($C8,Deals!$A$2:$A$355,0))=0,"",INDEX(Deals!$AE$2:$AE$355,MATCH($C8,Deals!$A$2:$A$355,0))),""))</f>
        <v/>
      </c>
      <c r="AE8" s="22">
        <f>IF($C8="","",IFERROR(IF(INDEX(Deals!$AF$2:$AF$355,MATCH($C8,Deals!$A$2:$A$355,0))=0,"",INDEX(Deals!$AF$2:$AF$355,MATCH($C8,Deals!$A$2:$A$355,0))),""))</f>
        <v/>
      </c>
      <c r="AF8" s="35">
        <f>IF($AD8="",DATE(1900,1,1),$AD8)</f>
        <v/>
      </c>
      <c r="AG8" s="35">
        <f>IF($AE8="",DATE(2100,12,31),$AE8)</f>
        <v/>
      </c>
      <c r="AH8" s="22">
        <f>IF($C8="","",IFERROR(IF(INDEX(Deals!$AG$2:$AG$355,MATCH($C8,Deals!$A$2:$A$355,0))=0,"",INDEX(Deals!$AG$2:$AG$355,MATCH($C8,Deals!$A$2:$A$355,0))),""))</f>
        <v/>
      </c>
      <c r="AI8" s="35">
        <f>IF($AH8="",DATE(1900,1,1),$AF8)</f>
        <v/>
      </c>
      <c r="AJ8" s="35">
        <f>IF($AH8="",DATE(2100,12,31),$AH8)</f>
        <v/>
      </c>
      <c r="AK8" s="32">
        <f>IF($AH8="",$AC8,$AC8*$S8)</f>
        <v/>
      </c>
      <c r="AL8" s="35">
        <f>IF($AH8="",DATE(2100,12,31),$AH8+1)</f>
        <v/>
      </c>
      <c r="AM8" s="35">
        <f>IF($AH8="",DATE(1900,1,1),$AG8)</f>
        <v/>
      </c>
      <c r="AN8" s="32">
        <f>IF($AH8="",0,$AC8*$T8)</f>
        <v/>
      </c>
    </row>
    <row r="9">
      <c r="A9" s="28" t="inlineStr">
        <is>
          <t>Tania</t>
        </is>
      </c>
      <c r="B9" s="16">
        <f>IF($A9="","",IFERROR(INDEX(Roster!$B$2:$B$40,MATCH($A9,Roster!$A$2:$A$40,0)),"?"))</f>
        <v/>
      </c>
      <c r="C9" s="28" t="inlineStr">
        <is>
          <t>Bledsoe_1</t>
        </is>
      </c>
      <c r="D9" s="16">
        <f>IF($C9="","",IFERROR(IF(INDEX(Deals!$C$2:$C$355,MATCH($C9,Deals!$A$2:$A$355,0))=0,"",INDEX(Deals!$C$2:$C$355,MATCH($C9,Deals!$A$2:$A$355,0))),"?"))</f>
        <v/>
      </c>
      <c r="E9" s="16">
        <f>IF($C9="","",IFERROR(INDEX(Deals!$F$2:$F$355,MATCH($C9,Deals!$A$2:$A$355,0)),"?"))</f>
        <v/>
      </c>
      <c r="F9" s="28" t="inlineStr">
        <is>
          <t>Partner</t>
        </is>
      </c>
      <c r="G9" s="28" t="inlineStr">
        <is>
          <t>Active</t>
        </is>
      </c>
      <c r="H9" s="31" t="n"/>
      <c r="I9" s="32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1">
        <f>IF($C9="",0,IFERROR(INDEX(Deals!$H$2:$H$355,MATCH($C9,Deals!$A$2:$A$355,0)),0))</f>
        <v/>
      </c>
      <c r="K9" s="32">
        <f>IF(Settings!$B$4="Yes",$I9*$J9,$I9)</f>
        <v/>
      </c>
      <c r="L9" s="22">
        <f>IF($C9="","",IFERROR(IF(INDEX(Deals!$I$2:$I$355,MATCH($C9,Deals!$A$2:$A$355,0))=0,"",INDEX(Deals!$I$2:$I$355,MATCH($C9,Deals!$A$2:$A$355,0))),""))</f>
        <v/>
      </c>
      <c r="M9" s="22">
        <f>IF($C9="","",IFERROR(IF(INDEX(Deals!$J$2:$J$355,MATCH($C9,Deals!$A$2:$A$355,0))=0,"",INDEX(Deals!$J$2:$J$355,MATCH($C9,Deals!$A$2:$A$355,0))),""))</f>
        <v/>
      </c>
      <c r="N9" s="35">
        <f>IF($L9="",DATE(1900,1,1),$L9)</f>
        <v/>
      </c>
      <c r="O9" s="35">
        <f>IF($M9="",DATE(2100,12,31),$M9)</f>
        <v/>
      </c>
      <c r="P9" s="20" t="inlineStr"/>
      <c r="Q9" s="43" t="inlineStr"/>
      <c r="R9" s="16">
        <f>IF($C9="","",IFERROR(IF(INDEX(Deals!$U$2:$U$355,MATCH($C9,Deals!$A$2:$A$355,0))=0,"",INDEX(Deals!$U$2:$U$355,MATCH($C9,Deals!$A$2:$A$355,0))),""))</f>
        <v/>
      </c>
      <c r="S9" s="34">
        <f>IFERROR(IF($U9="",1,INDEX(Deals!$V$2:$V$355,MATCH($C9,Deals!$A$2:$A$355,0))),1)</f>
        <v/>
      </c>
      <c r="T9" s="34">
        <f>IFERROR(IF($U9="",1,INDEX(Deals!$W$2:$W$355,MATCH($C9,Deals!$A$2:$A$355,0))),1)</f>
        <v/>
      </c>
      <c r="U9" s="22">
        <f>IF($C9="","",IFERROR(IF(INDEX(Deals!$Y$2:$Y$355,MATCH($C9,Deals!$A$2:$A$355,0))=0,"",INDEX(Deals!$Y$2:$Y$355,MATCH($C9,Deals!$A$2:$A$355,0))),""))</f>
        <v/>
      </c>
      <c r="V9" s="35">
        <f>IF($U9="",DATE(1900,1,1),$N9)</f>
        <v/>
      </c>
      <c r="W9" s="35">
        <f>IF($U9="",DATE(2100,12,31),$U9)</f>
        <v/>
      </c>
      <c r="X9" s="32">
        <f>IF($U9="",$K9,$K9*$S9)</f>
        <v/>
      </c>
      <c r="Y9" s="35">
        <f>IF($U9="",DATE(2100,12,31),$U9+1)</f>
        <v/>
      </c>
      <c r="Z9" s="35">
        <f>IF($U9="",DATE(1900,1,1),$O9)</f>
        <v/>
      </c>
      <c r="AA9" s="32">
        <f>IF($U9="",0,$K9*$T9)</f>
        <v/>
      </c>
      <c r="AB9" s="21">
        <f>IF($C9="",0,IFERROR(INDEX(Deals!$AD$2:$AD$355,MATCH($C9,Deals!$A$2:$A$355,0)),0))</f>
        <v/>
      </c>
      <c r="AC9" s="32">
        <f>IF(Settings!$B$4="Yes",$I9*$AB9,$I9)</f>
        <v/>
      </c>
      <c r="AD9" s="22">
        <f>IF($C9="","",IFERROR(IF(INDEX(Deals!$AE$2:$AE$355,MATCH($C9,Deals!$A$2:$A$355,0))=0,"",INDEX(Deals!$AE$2:$AE$355,MATCH($C9,Deals!$A$2:$A$355,0))),""))</f>
        <v/>
      </c>
      <c r="AE9" s="22">
        <f>IF($C9="","",IFERROR(IF(INDEX(Deals!$AF$2:$AF$355,MATCH($C9,Deals!$A$2:$A$355,0))=0,"",INDEX(Deals!$AF$2:$AF$355,MATCH($C9,Deals!$A$2:$A$355,0))),""))</f>
        <v/>
      </c>
      <c r="AF9" s="35">
        <f>IF($AD9="",DATE(1900,1,1),$AD9)</f>
        <v/>
      </c>
      <c r="AG9" s="35">
        <f>IF($AE9="",DATE(2100,12,31),$AE9)</f>
        <v/>
      </c>
      <c r="AH9" s="22">
        <f>IF($C9="","",IFERROR(IF(INDEX(Deals!$AG$2:$AG$355,MATCH($C9,Deals!$A$2:$A$355,0))=0,"",INDEX(Deals!$AG$2:$AG$355,MATCH($C9,Deals!$A$2:$A$355,0))),""))</f>
        <v/>
      </c>
      <c r="AI9" s="35">
        <f>IF($AH9="",DATE(1900,1,1),$AF9)</f>
        <v/>
      </c>
      <c r="AJ9" s="35">
        <f>IF($AH9="",DATE(2100,12,31),$AH9)</f>
        <v/>
      </c>
      <c r="AK9" s="32">
        <f>IF($AH9="",$AC9,$AC9*$S9)</f>
        <v/>
      </c>
      <c r="AL9" s="35">
        <f>IF($AH9="",DATE(2100,12,31),$AH9+1)</f>
        <v/>
      </c>
      <c r="AM9" s="35">
        <f>IF($AH9="",DATE(1900,1,1),$AG9)</f>
        <v/>
      </c>
      <c r="AN9" s="32">
        <f>IF($AH9="",0,$AC9*$T9)</f>
        <v/>
      </c>
    </row>
    <row r="10">
      <c r="A10" s="28" t="inlineStr">
        <is>
          <t>Tania</t>
        </is>
      </c>
      <c r="B10" s="16">
        <f>IF($A10="","",IFERROR(INDEX(Roster!$B$2:$B$40,MATCH($A10,Roster!$A$2:$A$40,0)),"?"))</f>
        <v/>
      </c>
      <c r="C10" s="28" t="inlineStr">
        <is>
          <t>Broadway_1</t>
        </is>
      </c>
      <c r="D10" s="16">
        <f>IF($C10="","",IFERROR(IF(INDEX(Deals!$C$2:$C$355,MATCH($C10,Deals!$A$2:$A$355,0))=0,"",INDEX(Deals!$C$2:$C$355,MATCH($C10,Deals!$A$2:$A$355,0))),"?"))</f>
        <v/>
      </c>
      <c r="E10" s="16">
        <f>IF($C10="","",IFERROR(INDEX(Deals!$F$2:$F$355,MATCH($C10,Deals!$A$2:$A$355,0)),"?"))</f>
        <v/>
      </c>
      <c r="F10" s="28" t="inlineStr">
        <is>
          <t>Partner</t>
        </is>
      </c>
      <c r="G10" s="28" t="inlineStr">
        <is>
          <t>Active</t>
        </is>
      </c>
      <c r="H10" s="31" t="n"/>
      <c r="I10" s="32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1">
        <f>IF($C10="",0,IFERROR(INDEX(Deals!$H$2:$H$355,MATCH($C10,Deals!$A$2:$A$355,0)),0))</f>
        <v/>
      </c>
      <c r="K10" s="32">
        <f>IF(Settings!$B$4="Yes",$I10*$J10,$I10)</f>
        <v/>
      </c>
      <c r="L10" s="22">
        <f>IF($C10="","",IFERROR(IF(INDEX(Deals!$I$2:$I$355,MATCH($C10,Deals!$A$2:$A$355,0))=0,"",INDEX(Deals!$I$2:$I$355,MATCH($C10,Deals!$A$2:$A$355,0))),""))</f>
        <v/>
      </c>
      <c r="M10" s="22">
        <f>IF($C10="","",IFERROR(IF(INDEX(Deals!$J$2:$J$355,MATCH($C10,Deals!$A$2:$A$355,0))=0,"",INDEX(Deals!$J$2:$J$355,MATCH($C10,Deals!$A$2:$A$355,0))),""))</f>
        <v/>
      </c>
      <c r="N10" s="35">
        <f>IF($L10="",DATE(1900,1,1),$L10)</f>
        <v/>
      </c>
      <c r="O10" s="35">
        <f>IF($M10="",DATE(2100,12,31),$M10)</f>
        <v/>
      </c>
      <c r="P10" s="20" t="inlineStr"/>
      <c r="Q10" s="43" t="inlineStr"/>
      <c r="R10" s="16">
        <f>IF($C10="","",IFERROR(IF(INDEX(Deals!$U$2:$U$355,MATCH($C10,Deals!$A$2:$A$355,0))=0,"",INDEX(Deals!$U$2:$U$355,MATCH($C10,Deals!$A$2:$A$355,0))),""))</f>
        <v/>
      </c>
      <c r="S10" s="34">
        <f>IFERROR(IF($U10="",1,INDEX(Deals!$V$2:$V$355,MATCH($C10,Deals!$A$2:$A$355,0))),1)</f>
        <v/>
      </c>
      <c r="T10" s="34">
        <f>IFERROR(IF($U10="",1,INDEX(Deals!$W$2:$W$355,MATCH($C10,Deals!$A$2:$A$355,0))),1)</f>
        <v/>
      </c>
      <c r="U10" s="22">
        <f>IF($C10="","",IFERROR(IF(INDEX(Deals!$Y$2:$Y$355,MATCH($C10,Deals!$A$2:$A$355,0))=0,"",INDEX(Deals!$Y$2:$Y$355,MATCH($C10,Deals!$A$2:$A$355,0))),""))</f>
        <v/>
      </c>
      <c r="V10" s="35">
        <f>IF($U10="",DATE(1900,1,1),$N10)</f>
        <v/>
      </c>
      <c r="W10" s="35">
        <f>IF($U10="",DATE(2100,12,31),$U10)</f>
        <v/>
      </c>
      <c r="X10" s="32">
        <f>IF($U10="",$K10,$K10*$S10)</f>
        <v/>
      </c>
      <c r="Y10" s="35">
        <f>IF($U10="",DATE(2100,12,31),$U10+1)</f>
        <v/>
      </c>
      <c r="Z10" s="35">
        <f>IF($U10="",DATE(1900,1,1),$O10)</f>
        <v/>
      </c>
      <c r="AA10" s="32">
        <f>IF($U10="",0,$K10*$T10)</f>
        <v/>
      </c>
      <c r="AB10" s="21">
        <f>IF($C10="",0,IFERROR(INDEX(Deals!$AD$2:$AD$355,MATCH($C10,Deals!$A$2:$A$355,0)),0))</f>
        <v/>
      </c>
      <c r="AC10" s="32">
        <f>IF(Settings!$B$4="Yes",$I10*$AB10,$I10)</f>
        <v/>
      </c>
      <c r="AD10" s="22">
        <f>IF($C10="","",IFERROR(IF(INDEX(Deals!$AE$2:$AE$355,MATCH($C10,Deals!$A$2:$A$355,0))=0,"",INDEX(Deals!$AE$2:$AE$355,MATCH($C10,Deals!$A$2:$A$355,0))),""))</f>
        <v/>
      </c>
      <c r="AE10" s="22">
        <f>IF($C10="","",IFERROR(IF(INDEX(Deals!$AF$2:$AF$355,MATCH($C10,Deals!$A$2:$A$355,0))=0,"",INDEX(Deals!$AF$2:$AF$355,MATCH($C10,Deals!$A$2:$A$355,0))),""))</f>
        <v/>
      </c>
      <c r="AF10" s="35">
        <f>IF($AD10="",DATE(1900,1,1),$AD10)</f>
        <v/>
      </c>
      <c r="AG10" s="35">
        <f>IF($AE10="",DATE(2100,12,31),$AE10)</f>
        <v/>
      </c>
      <c r="AH10" s="22">
        <f>IF($C10="","",IFERROR(IF(INDEX(Deals!$AG$2:$AG$355,MATCH($C10,Deals!$A$2:$A$355,0))=0,"",INDEX(Deals!$AG$2:$AG$355,MATCH($C10,Deals!$A$2:$A$355,0))),""))</f>
        <v/>
      </c>
      <c r="AI10" s="35">
        <f>IF($AH10="",DATE(1900,1,1),$AF10)</f>
        <v/>
      </c>
      <c r="AJ10" s="35">
        <f>IF($AH10="",DATE(2100,12,31),$AH10)</f>
        <v/>
      </c>
      <c r="AK10" s="32">
        <f>IF($AH10="",$AC10,$AC10*$S10)</f>
        <v/>
      </c>
      <c r="AL10" s="35">
        <f>IF($AH10="",DATE(2100,12,31),$AH10+1)</f>
        <v/>
      </c>
      <c r="AM10" s="35">
        <f>IF($AH10="",DATE(1900,1,1),$AG10)</f>
        <v/>
      </c>
      <c r="AN10" s="32">
        <f>IF($AH10="",0,$AC10*$T10)</f>
        <v/>
      </c>
    </row>
    <row r="11">
      <c r="A11" s="28" t="inlineStr">
        <is>
          <t>Tania</t>
        </is>
      </c>
      <c r="B11" s="16">
        <f>IF($A11="","",IFERROR(INDEX(Roster!$B$2:$B$40,MATCH($A11,Roster!$A$2:$A$40,0)),"?"))</f>
        <v/>
      </c>
      <c r="C11" s="28" t="inlineStr">
        <is>
          <t>Cactus</t>
        </is>
      </c>
      <c r="D11" s="16">
        <f>IF($C11="","",IFERROR(IF(INDEX(Deals!$C$2:$C$355,MATCH($C11,Deals!$A$2:$A$355,0))=0,"",INDEX(Deals!$C$2:$C$355,MATCH($C11,Deals!$A$2:$A$355,0))),"?"))</f>
        <v/>
      </c>
      <c r="E11" s="16">
        <f>IF($C11="","",IFERROR(INDEX(Deals!$F$2:$F$355,MATCH($C11,Deals!$A$2:$A$355,0)),"?"))</f>
        <v/>
      </c>
      <c r="F11" s="28" t="inlineStr">
        <is>
          <t>Partner</t>
        </is>
      </c>
      <c r="G11" s="28" t="inlineStr">
        <is>
          <t>Active</t>
        </is>
      </c>
      <c r="H11" s="31" t="n"/>
      <c r="I11" s="32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1">
        <f>IF($C11="",0,IFERROR(INDEX(Deals!$H$2:$H$355,MATCH($C11,Deals!$A$2:$A$355,0)),0))</f>
        <v/>
      </c>
      <c r="K11" s="32">
        <f>IF(Settings!$B$4="Yes",$I11*$J11,$I11)</f>
        <v/>
      </c>
      <c r="L11" s="22">
        <f>IF($C11="","",IFERROR(IF(INDEX(Deals!$I$2:$I$355,MATCH($C11,Deals!$A$2:$A$355,0))=0,"",INDEX(Deals!$I$2:$I$355,MATCH($C11,Deals!$A$2:$A$355,0))),""))</f>
        <v/>
      </c>
      <c r="M11" s="22">
        <f>IF($C11="","",IFERROR(IF(INDEX(Deals!$J$2:$J$355,MATCH($C11,Deals!$A$2:$A$355,0))=0,"",INDEX(Deals!$J$2:$J$355,MATCH($C11,Deals!$A$2:$A$355,0))),""))</f>
        <v/>
      </c>
      <c r="N11" s="35">
        <f>IF($L11="",DATE(1900,1,1),$L11)</f>
        <v/>
      </c>
      <c r="O11" s="35">
        <f>IF($M11="",DATE(2100,12,31),$M11)</f>
        <v/>
      </c>
      <c r="P11" s="20" t="inlineStr"/>
      <c r="Q11" s="43" t="inlineStr"/>
      <c r="R11" s="16">
        <f>IF($C11="","",IFERROR(IF(INDEX(Deals!$U$2:$U$355,MATCH($C11,Deals!$A$2:$A$355,0))=0,"",INDEX(Deals!$U$2:$U$355,MATCH($C11,Deals!$A$2:$A$355,0))),""))</f>
        <v/>
      </c>
      <c r="S11" s="34">
        <f>IFERROR(IF($U11="",1,INDEX(Deals!$V$2:$V$355,MATCH($C11,Deals!$A$2:$A$355,0))),1)</f>
        <v/>
      </c>
      <c r="T11" s="34">
        <f>IFERROR(IF($U11="",1,INDEX(Deals!$W$2:$W$355,MATCH($C11,Deals!$A$2:$A$355,0))),1)</f>
        <v/>
      </c>
      <c r="U11" s="22">
        <f>IF($C11="","",IFERROR(IF(INDEX(Deals!$Y$2:$Y$355,MATCH($C11,Deals!$A$2:$A$355,0))=0,"",INDEX(Deals!$Y$2:$Y$355,MATCH($C11,Deals!$A$2:$A$355,0))),""))</f>
        <v/>
      </c>
      <c r="V11" s="35">
        <f>IF($U11="",DATE(1900,1,1),$N11)</f>
        <v/>
      </c>
      <c r="W11" s="35">
        <f>IF($U11="",DATE(2100,12,31),$U11)</f>
        <v/>
      </c>
      <c r="X11" s="32">
        <f>IF($U11="",$K11,$K11*$S11)</f>
        <v/>
      </c>
      <c r="Y11" s="35">
        <f>IF($U11="",DATE(2100,12,31),$U11+1)</f>
        <v/>
      </c>
      <c r="Z11" s="35">
        <f>IF($U11="",DATE(1900,1,1),$O11)</f>
        <v/>
      </c>
      <c r="AA11" s="32">
        <f>IF($U11="",0,$K11*$T11)</f>
        <v/>
      </c>
      <c r="AB11" s="21">
        <f>IF($C11="",0,IFERROR(INDEX(Deals!$AD$2:$AD$355,MATCH($C11,Deals!$A$2:$A$355,0)),0))</f>
        <v/>
      </c>
      <c r="AC11" s="32">
        <f>IF(Settings!$B$4="Yes",$I11*$AB11,$I11)</f>
        <v/>
      </c>
      <c r="AD11" s="22">
        <f>IF($C11="","",IFERROR(IF(INDEX(Deals!$AE$2:$AE$355,MATCH($C11,Deals!$A$2:$A$355,0))=0,"",INDEX(Deals!$AE$2:$AE$355,MATCH($C11,Deals!$A$2:$A$355,0))),""))</f>
        <v/>
      </c>
      <c r="AE11" s="22">
        <f>IF($C11="","",IFERROR(IF(INDEX(Deals!$AF$2:$AF$355,MATCH($C11,Deals!$A$2:$A$355,0))=0,"",INDEX(Deals!$AF$2:$AF$355,MATCH($C11,Deals!$A$2:$A$355,0))),""))</f>
        <v/>
      </c>
      <c r="AF11" s="35">
        <f>IF($AD11="",DATE(1900,1,1),$AD11)</f>
        <v/>
      </c>
      <c r="AG11" s="35">
        <f>IF($AE11="",DATE(2100,12,31),$AE11)</f>
        <v/>
      </c>
      <c r="AH11" s="22">
        <f>IF($C11="","",IFERROR(IF(INDEX(Deals!$AG$2:$AG$355,MATCH($C11,Deals!$A$2:$A$355,0))=0,"",INDEX(Deals!$AG$2:$AG$355,MATCH($C11,Deals!$A$2:$A$355,0))),""))</f>
        <v/>
      </c>
      <c r="AI11" s="35">
        <f>IF($AH11="",DATE(1900,1,1),$AF11)</f>
        <v/>
      </c>
      <c r="AJ11" s="35">
        <f>IF($AH11="",DATE(2100,12,31),$AH11)</f>
        <v/>
      </c>
      <c r="AK11" s="32">
        <f>IF($AH11="",$AC11,$AC11*$S11)</f>
        <v/>
      </c>
      <c r="AL11" s="35">
        <f>IF($AH11="",DATE(2100,12,31),$AH11+1)</f>
        <v/>
      </c>
      <c r="AM11" s="35">
        <f>IF($AH11="",DATE(1900,1,1),$AG11)</f>
        <v/>
      </c>
      <c r="AN11" s="32">
        <f>IF($AH11="",0,$AC11*$T11)</f>
        <v/>
      </c>
    </row>
    <row r="12">
      <c r="A12" s="28" t="inlineStr">
        <is>
          <t>Tania</t>
        </is>
      </c>
      <c r="B12" s="16">
        <f>IF($A12="","",IFERROR(INDEX(Roster!$B$2:$B$40,MATCH($A12,Roster!$A$2:$A$40,0)),"?"))</f>
        <v/>
      </c>
      <c r="C12" s="28" t="inlineStr">
        <is>
          <t>Canyon_2</t>
        </is>
      </c>
      <c r="D12" s="16">
        <f>IF($C12="","",IFERROR(IF(INDEX(Deals!$C$2:$C$355,MATCH($C12,Deals!$A$2:$A$355,0))=0,"",INDEX(Deals!$C$2:$C$355,MATCH($C12,Deals!$A$2:$A$355,0))),"?"))</f>
        <v/>
      </c>
      <c r="E12" s="16">
        <f>IF($C12="","",IFERROR(INDEX(Deals!$F$2:$F$355,MATCH($C12,Deals!$A$2:$A$355,0)),"?"))</f>
        <v/>
      </c>
      <c r="F12" s="28" t="inlineStr">
        <is>
          <t>Partner</t>
        </is>
      </c>
      <c r="G12" s="28" t="inlineStr">
        <is>
          <t>Active</t>
        </is>
      </c>
      <c r="H12" s="31" t="n"/>
      <c r="I12" s="32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1">
        <f>IF($C12="",0,IFERROR(INDEX(Deals!$H$2:$H$355,MATCH($C12,Deals!$A$2:$A$355,0)),0))</f>
        <v/>
      </c>
      <c r="K12" s="32">
        <f>IF(Settings!$B$4="Yes",$I12*$J12,$I12)</f>
        <v/>
      </c>
      <c r="L12" s="22">
        <f>IF($C12="","",IFERROR(IF(INDEX(Deals!$I$2:$I$355,MATCH($C12,Deals!$A$2:$A$355,0))=0,"",INDEX(Deals!$I$2:$I$355,MATCH($C12,Deals!$A$2:$A$355,0))),""))</f>
        <v/>
      </c>
      <c r="M12" s="22">
        <f>IF($C12="","",IFERROR(IF(INDEX(Deals!$J$2:$J$355,MATCH($C12,Deals!$A$2:$A$355,0))=0,"",INDEX(Deals!$J$2:$J$355,MATCH($C12,Deals!$A$2:$A$355,0))),""))</f>
        <v/>
      </c>
      <c r="N12" s="35">
        <f>IF($L12="",DATE(1900,1,1),$L12)</f>
        <v/>
      </c>
      <c r="O12" s="35">
        <f>IF($M12="",DATE(2100,12,31),$M12)</f>
        <v/>
      </c>
      <c r="P12" s="20" t="inlineStr"/>
      <c r="Q12" s="43" t="inlineStr"/>
      <c r="R12" s="16">
        <f>IF($C12="","",IFERROR(IF(INDEX(Deals!$U$2:$U$355,MATCH($C12,Deals!$A$2:$A$355,0))=0,"",INDEX(Deals!$U$2:$U$355,MATCH($C12,Deals!$A$2:$A$355,0))),""))</f>
        <v/>
      </c>
      <c r="S12" s="34">
        <f>IFERROR(IF($U12="",1,INDEX(Deals!$V$2:$V$355,MATCH($C12,Deals!$A$2:$A$355,0))),1)</f>
        <v/>
      </c>
      <c r="T12" s="34">
        <f>IFERROR(IF($U12="",1,INDEX(Deals!$W$2:$W$355,MATCH($C12,Deals!$A$2:$A$355,0))),1)</f>
        <v/>
      </c>
      <c r="U12" s="22">
        <f>IF($C12="","",IFERROR(IF(INDEX(Deals!$Y$2:$Y$355,MATCH($C12,Deals!$A$2:$A$355,0))=0,"",INDEX(Deals!$Y$2:$Y$355,MATCH($C12,Deals!$A$2:$A$355,0))),""))</f>
        <v/>
      </c>
      <c r="V12" s="35">
        <f>IF($U12="",DATE(1900,1,1),$N12)</f>
        <v/>
      </c>
      <c r="W12" s="35">
        <f>IF($U12="",DATE(2100,12,31),$U12)</f>
        <v/>
      </c>
      <c r="X12" s="32">
        <f>IF($U12="",$K12,$K12*$S12)</f>
        <v/>
      </c>
      <c r="Y12" s="35">
        <f>IF($U12="",DATE(2100,12,31),$U12+1)</f>
        <v/>
      </c>
      <c r="Z12" s="35">
        <f>IF($U12="",DATE(1900,1,1),$O12)</f>
        <v/>
      </c>
      <c r="AA12" s="32">
        <f>IF($U12="",0,$K12*$T12)</f>
        <v/>
      </c>
      <c r="AB12" s="21">
        <f>IF($C12="",0,IFERROR(INDEX(Deals!$AD$2:$AD$355,MATCH($C12,Deals!$A$2:$A$355,0)),0))</f>
        <v/>
      </c>
      <c r="AC12" s="32">
        <f>IF(Settings!$B$4="Yes",$I12*$AB12,$I12)</f>
        <v/>
      </c>
      <c r="AD12" s="22">
        <f>IF($C12="","",IFERROR(IF(INDEX(Deals!$AE$2:$AE$355,MATCH($C12,Deals!$A$2:$A$355,0))=0,"",INDEX(Deals!$AE$2:$AE$355,MATCH($C12,Deals!$A$2:$A$355,0))),""))</f>
        <v/>
      </c>
      <c r="AE12" s="22">
        <f>IF($C12="","",IFERROR(IF(INDEX(Deals!$AF$2:$AF$355,MATCH($C12,Deals!$A$2:$A$355,0))=0,"",INDEX(Deals!$AF$2:$AF$355,MATCH($C12,Deals!$A$2:$A$355,0))),""))</f>
        <v/>
      </c>
      <c r="AF12" s="35">
        <f>IF($AD12="",DATE(1900,1,1),$AD12)</f>
        <v/>
      </c>
      <c r="AG12" s="35">
        <f>IF($AE12="",DATE(2100,12,31),$AE12)</f>
        <v/>
      </c>
      <c r="AH12" s="22">
        <f>IF($C12="","",IFERROR(IF(INDEX(Deals!$AG$2:$AG$355,MATCH($C12,Deals!$A$2:$A$355,0))=0,"",INDEX(Deals!$AG$2:$AG$355,MATCH($C12,Deals!$A$2:$A$355,0))),""))</f>
        <v/>
      </c>
      <c r="AI12" s="35">
        <f>IF($AH12="",DATE(1900,1,1),$AF12)</f>
        <v/>
      </c>
      <c r="AJ12" s="35">
        <f>IF($AH12="",DATE(2100,12,31),$AH12)</f>
        <v/>
      </c>
      <c r="AK12" s="32">
        <f>IF($AH12="",$AC12,$AC12*$S12)</f>
        <v/>
      </c>
      <c r="AL12" s="35">
        <f>IF($AH12="",DATE(2100,12,31),$AH12+1)</f>
        <v/>
      </c>
      <c r="AM12" s="35">
        <f>IF($AH12="",DATE(1900,1,1),$AG12)</f>
        <v/>
      </c>
      <c r="AN12" s="32">
        <f>IF($AH12="",0,$AC12*$T12)</f>
        <v/>
      </c>
    </row>
    <row r="13">
      <c r="A13" s="28" t="inlineStr">
        <is>
          <t>Tania</t>
        </is>
      </c>
      <c r="B13" s="16">
        <f>IF($A13="","",IFERROR(INDEX(Roster!$B$2:$B$40,MATCH($A13,Roster!$A$2:$A$40,0)),"?"))</f>
        <v/>
      </c>
      <c r="C13" s="28" t="inlineStr">
        <is>
          <t>Care_1</t>
        </is>
      </c>
      <c r="D13" s="16">
        <f>IF($C13="","",IFERROR(IF(INDEX(Deals!$C$2:$C$355,MATCH($C13,Deals!$A$2:$A$355,0))=0,"",INDEX(Deals!$C$2:$C$355,MATCH($C13,Deals!$A$2:$A$355,0))),"?"))</f>
        <v/>
      </c>
      <c r="E13" s="16">
        <f>IF($C13="","",IFERROR(INDEX(Deals!$F$2:$F$355,MATCH($C13,Deals!$A$2:$A$355,0)),"?"))</f>
        <v/>
      </c>
      <c r="F13" s="28" t="inlineStr">
        <is>
          <t>Partner</t>
        </is>
      </c>
      <c r="G13" s="28" t="inlineStr">
        <is>
          <t>Active</t>
        </is>
      </c>
      <c r="H13" s="31" t="n"/>
      <c r="I13" s="32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1">
        <f>IF($C13="",0,IFERROR(INDEX(Deals!$H$2:$H$355,MATCH($C13,Deals!$A$2:$A$355,0)),0))</f>
        <v/>
      </c>
      <c r="K13" s="32">
        <f>IF(Settings!$B$4="Yes",$I13*$J13,$I13)</f>
        <v/>
      </c>
      <c r="L13" s="22">
        <f>IF($C13="","",IFERROR(IF(INDEX(Deals!$I$2:$I$355,MATCH($C13,Deals!$A$2:$A$355,0))=0,"",INDEX(Deals!$I$2:$I$355,MATCH($C13,Deals!$A$2:$A$355,0))),""))</f>
        <v/>
      </c>
      <c r="M13" s="22">
        <f>IF($C13="","",IFERROR(IF(INDEX(Deals!$J$2:$J$355,MATCH($C13,Deals!$A$2:$A$355,0))=0,"",INDEX(Deals!$J$2:$J$355,MATCH($C13,Deals!$A$2:$A$355,0))),""))</f>
        <v/>
      </c>
      <c r="N13" s="35">
        <f>IF($L13="",DATE(1900,1,1),$L13)</f>
        <v/>
      </c>
      <c r="O13" s="35">
        <f>IF($M13="",DATE(2100,12,31),$M13)</f>
        <v/>
      </c>
      <c r="P13" s="20" t="inlineStr"/>
      <c r="Q13" s="43" t="inlineStr"/>
      <c r="R13" s="16">
        <f>IF($C13="","",IFERROR(IF(INDEX(Deals!$U$2:$U$355,MATCH($C13,Deals!$A$2:$A$355,0))=0,"",INDEX(Deals!$U$2:$U$355,MATCH($C13,Deals!$A$2:$A$355,0))),""))</f>
        <v/>
      </c>
      <c r="S13" s="34">
        <f>IFERROR(IF($U13="",1,INDEX(Deals!$V$2:$V$355,MATCH($C13,Deals!$A$2:$A$355,0))),1)</f>
        <v/>
      </c>
      <c r="T13" s="34">
        <f>IFERROR(IF($U13="",1,INDEX(Deals!$W$2:$W$355,MATCH($C13,Deals!$A$2:$A$355,0))),1)</f>
        <v/>
      </c>
      <c r="U13" s="22">
        <f>IF($C13="","",IFERROR(IF(INDEX(Deals!$Y$2:$Y$355,MATCH($C13,Deals!$A$2:$A$355,0))=0,"",INDEX(Deals!$Y$2:$Y$355,MATCH($C13,Deals!$A$2:$A$355,0))),""))</f>
        <v/>
      </c>
      <c r="V13" s="35">
        <f>IF($U13="",DATE(1900,1,1),$N13)</f>
        <v/>
      </c>
      <c r="W13" s="35">
        <f>IF($U13="",DATE(2100,12,31),$U13)</f>
        <v/>
      </c>
      <c r="X13" s="32">
        <f>IF($U13="",$K13,$K13*$S13)</f>
        <v/>
      </c>
      <c r="Y13" s="35">
        <f>IF($U13="",DATE(2100,12,31),$U13+1)</f>
        <v/>
      </c>
      <c r="Z13" s="35">
        <f>IF($U13="",DATE(1900,1,1),$O13)</f>
        <v/>
      </c>
      <c r="AA13" s="32">
        <f>IF($U13="",0,$K13*$T13)</f>
        <v/>
      </c>
      <c r="AB13" s="21">
        <f>IF($C13="",0,IFERROR(INDEX(Deals!$AD$2:$AD$355,MATCH($C13,Deals!$A$2:$A$355,0)),0))</f>
        <v/>
      </c>
      <c r="AC13" s="32">
        <f>IF(Settings!$B$4="Yes",$I13*$AB13,$I13)</f>
        <v/>
      </c>
      <c r="AD13" s="22">
        <f>IF($C13="","",IFERROR(IF(INDEX(Deals!$AE$2:$AE$355,MATCH($C13,Deals!$A$2:$A$355,0))=0,"",INDEX(Deals!$AE$2:$AE$355,MATCH($C13,Deals!$A$2:$A$355,0))),""))</f>
        <v/>
      </c>
      <c r="AE13" s="22">
        <f>IF($C13="","",IFERROR(IF(INDEX(Deals!$AF$2:$AF$355,MATCH($C13,Deals!$A$2:$A$355,0))=0,"",INDEX(Deals!$AF$2:$AF$355,MATCH($C13,Deals!$A$2:$A$355,0))),""))</f>
        <v/>
      </c>
      <c r="AF13" s="35">
        <f>IF($AD13="",DATE(1900,1,1),$AD13)</f>
        <v/>
      </c>
      <c r="AG13" s="35">
        <f>IF($AE13="",DATE(2100,12,31),$AE13)</f>
        <v/>
      </c>
      <c r="AH13" s="22">
        <f>IF($C13="","",IFERROR(IF(INDEX(Deals!$AG$2:$AG$355,MATCH($C13,Deals!$A$2:$A$355,0))=0,"",INDEX(Deals!$AG$2:$AG$355,MATCH($C13,Deals!$A$2:$A$355,0))),""))</f>
        <v/>
      </c>
      <c r="AI13" s="35">
        <f>IF($AH13="",DATE(1900,1,1),$AF13)</f>
        <v/>
      </c>
      <c r="AJ13" s="35">
        <f>IF($AH13="",DATE(2100,12,31),$AH13)</f>
        <v/>
      </c>
      <c r="AK13" s="32">
        <f>IF($AH13="",$AC13,$AC13*$S13)</f>
        <v/>
      </c>
      <c r="AL13" s="35">
        <f>IF($AH13="",DATE(2100,12,31),$AH13+1)</f>
        <v/>
      </c>
      <c r="AM13" s="35">
        <f>IF($AH13="",DATE(1900,1,1),$AG13)</f>
        <v/>
      </c>
      <c r="AN13" s="32">
        <f>IF($AH13="",0,$AC13*$T13)</f>
        <v/>
      </c>
    </row>
    <row r="14">
      <c r="A14" s="28" t="inlineStr">
        <is>
          <t>Tania</t>
        </is>
      </c>
      <c r="B14" s="16">
        <f>IF($A14="","",IFERROR(INDEX(Roster!$B$2:$B$40,MATCH($A14,Roster!$A$2:$A$40,0)),"?"))</f>
        <v/>
      </c>
      <c r="C14" s="28" t="inlineStr">
        <is>
          <t>Celestial_1</t>
        </is>
      </c>
      <c r="D14" s="16">
        <f>IF($C14="","",IFERROR(IF(INDEX(Deals!$C$2:$C$355,MATCH($C14,Deals!$A$2:$A$355,0))=0,"",INDEX(Deals!$C$2:$C$355,MATCH($C14,Deals!$A$2:$A$355,0))),"?"))</f>
        <v/>
      </c>
      <c r="E14" s="16">
        <f>IF($C14="","",IFERROR(INDEX(Deals!$F$2:$F$355,MATCH($C14,Deals!$A$2:$A$355,0)),"?"))</f>
        <v/>
      </c>
      <c r="F14" s="28" t="inlineStr">
        <is>
          <t>Partner</t>
        </is>
      </c>
      <c r="G14" s="28" t="inlineStr">
        <is>
          <t>Active</t>
        </is>
      </c>
      <c r="H14" s="31" t="n"/>
      <c r="I14" s="32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1">
        <f>IF($C14="",0,IFERROR(INDEX(Deals!$H$2:$H$355,MATCH($C14,Deals!$A$2:$A$355,0)),0))</f>
        <v/>
      </c>
      <c r="K14" s="32">
        <f>IF(Settings!$B$4="Yes",$I14*$J14,$I14)</f>
        <v/>
      </c>
      <c r="L14" s="22">
        <f>IF($C14="","",IFERROR(IF(INDEX(Deals!$I$2:$I$355,MATCH($C14,Deals!$A$2:$A$355,0))=0,"",INDEX(Deals!$I$2:$I$355,MATCH($C14,Deals!$A$2:$A$355,0))),""))</f>
        <v/>
      </c>
      <c r="M14" s="22">
        <f>IF($C14="","",IFERROR(IF(INDEX(Deals!$J$2:$J$355,MATCH($C14,Deals!$A$2:$A$355,0))=0,"",INDEX(Deals!$J$2:$J$355,MATCH($C14,Deals!$A$2:$A$355,0))),""))</f>
        <v/>
      </c>
      <c r="N14" s="35">
        <f>IF($L14="",DATE(1900,1,1),$L14)</f>
        <v/>
      </c>
      <c r="O14" s="35">
        <f>IF($M14="",DATE(2100,12,31),$M14)</f>
        <v/>
      </c>
      <c r="P14" s="20" t="inlineStr"/>
      <c r="Q14" s="43" t="inlineStr"/>
      <c r="R14" s="16">
        <f>IF($C14="","",IFERROR(IF(INDEX(Deals!$U$2:$U$355,MATCH($C14,Deals!$A$2:$A$355,0))=0,"",INDEX(Deals!$U$2:$U$355,MATCH($C14,Deals!$A$2:$A$355,0))),""))</f>
        <v/>
      </c>
      <c r="S14" s="34">
        <f>IFERROR(IF($U14="",1,INDEX(Deals!$V$2:$V$355,MATCH($C14,Deals!$A$2:$A$355,0))),1)</f>
        <v/>
      </c>
      <c r="T14" s="34">
        <f>IFERROR(IF($U14="",1,INDEX(Deals!$W$2:$W$355,MATCH($C14,Deals!$A$2:$A$355,0))),1)</f>
        <v/>
      </c>
      <c r="U14" s="22">
        <f>IF($C14="","",IFERROR(IF(INDEX(Deals!$Y$2:$Y$355,MATCH($C14,Deals!$A$2:$A$355,0))=0,"",INDEX(Deals!$Y$2:$Y$355,MATCH($C14,Deals!$A$2:$A$355,0))),""))</f>
        <v/>
      </c>
      <c r="V14" s="35">
        <f>IF($U14="",DATE(1900,1,1),$N14)</f>
        <v/>
      </c>
      <c r="W14" s="35">
        <f>IF($U14="",DATE(2100,12,31),$U14)</f>
        <v/>
      </c>
      <c r="X14" s="32">
        <f>IF($U14="",$K14,$K14*$S14)</f>
        <v/>
      </c>
      <c r="Y14" s="35">
        <f>IF($U14="",DATE(2100,12,31),$U14+1)</f>
        <v/>
      </c>
      <c r="Z14" s="35">
        <f>IF($U14="",DATE(1900,1,1),$O14)</f>
        <v/>
      </c>
      <c r="AA14" s="32">
        <f>IF($U14="",0,$K14*$T14)</f>
        <v/>
      </c>
      <c r="AB14" s="21">
        <f>IF($C14="",0,IFERROR(INDEX(Deals!$AD$2:$AD$355,MATCH($C14,Deals!$A$2:$A$355,0)),0))</f>
        <v/>
      </c>
      <c r="AC14" s="32">
        <f>IF(Settings!$B$4="Yes",$I14*$AB14,$I14)</f>
        <v/>
      </c>
      <c r="AD14" s="22">
        <f>IF($C14="","",IFERROR(IF(INDEX(Deals!$AE$2:$AE$355,MATCH($C14,Deals!$A$2:$A$355,0))=0,"",INDEX(Deals!$AE$2:$AE$355,MATCH($C14,Deals!$A$2:$A$355,0))),""))</f>
        <v/>
      </c>
      <c r="AE14" s="22">
        <f>IF($C14="","",IFERROR(IF(INDEX(Deals!$AF$2:$AF$355,MATCH($C14,Deals!$A$2:$A$355,0))=0,"",INDEX(Deals!$AF$2:$AF$355,MATCH($C14,Deals!$A$2:$A$355,0))),""))</f>
        <v/>
      </c>
      <c r="AF14" s="35">
        <f>IF($AD14="",DATE(1900,1,1),$AD14)</f>
        <v/>
      </c>
      <c r="AG14" s="35">
        <f>IF($AE14="",DATE(2100,12,31),$AE14)</f>
        <v/>
      </c>
      <c r="AH14" s="22">
        <f>IF($C14="","",IFERROR(IF(INDEX(Deals!$AG$2:$AG$355,MATCH($C14,Deals!$A$2:$A$355,0))=0,"",INDEX(Deals!$AG$2:$AG$355,MATCH($C14,Deals!$A$2:$A$355,0))),""))</f>
        <v/>
      </c>
      <c r="AI14" s="35">
        <f>IF($AH14="",DATE(1900,1,1),$AF14)</f>
        <v/>
      </c>
      <c r="AJ14" s="35">
        <f>IF($AH14="",DATE(2100,12,31),$AH14)</f>
        <v/>
      </c>
      <c r="AK14" s="32">
        <f>IF($AH14="",$AC14,$AC14*$S14)</f>
        <v/>
      </c>
      <c r="AL14" s="35">
        <f>IF($AH14="",DATE(2100,12,31),$AH14+1)</f>
        <v/>
      </c>
      <c r="AM14" s="35">
        <f>IF($AH14="",DATE(1900,1,1),$AG14)</f>
        <v/>
      </c>
      <c r="AN14" s="32">
        <f>IF($AH14="",0,$AC14*$T14)</f>
        <v/>
      </c>
    </row>
    <row r="15">
      <c r="A15" s="28" t="inlineStr">
        <is>
          <t>Tania</t>
        </is>
      </c>
      <c r="B15" s="16">
        <f>IF($A15="","",IFERROR(INDEX(Roster!$B$2:$B$40,MATCH($A15,Roster!$A$2:$A$40,0)),"?"))</f>
        <v/>
      </c>
      <c r="C15" s="28" t="inlineStr">
        <is>
          <t>Circuit_1</t>
        </is>
      </c>
      <c r="D15" s="16">
        <f>IF($C15="","",IFERROR(IF(INDEX(Deals!$C$2:$C$355,MATCH($C15,Deals!$A$2:$A$355,0))=0,"",INDEX(Deals!$C$2:$C$355,MATCH($C15,Deals!$A$2:$A$355,0))),"?"))</f>
        <v/>
      </c>
      <c r="E15" s="16">
        <f>IF($C15="","",IFERROR(INDEX(Deals!$F$2:$F$355,MATCH($C15,Deals!$A$2:$A$355,0)),"?"))</f>
        <v/>
      </c>
      <c r="F15" s="28" t="inlineStr">
        <is>
          <t>Partner</t>
        </is>
      </c>
      <c r="G15" s="28" t="inlineStr">
        <is>
          <t>Active</t>
        </is>
      </c>
      <c r="H15" s="31" t="n"/>
      <c r="I15" s="32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1">
        <f>IF($C15="",0,IFERROR(INDEX(Deals!$H$2:$H$355,MATCH($C15,Deals!$A$2:$A$355,0)),0))</f>
        <v/>
      </c>
      <c r="K15" s="32">
        <f>IF(Settings!$B$4="Yes",$I15*$J15,$I15)</f>
        <v/>
      </c>
      <c r="L15" s="22">
        <f>IF($C15="","",IFERROR(IF(INDEX(Deals!$I$2:$I$355,MATCH($C15,Deals!$A$2:$A$355,0))=0,"",INDEX(Deals!$I$2:$I$355,MATCH($C15,Deals!$A$2:$A$355,0))),""))</f>
        <v/>
      </c>
      <c r="M15" s="22">
        <f>IF($C15="","",IFERROR(IF(INDEX(Deals!$J$2:$J$355,MATCH($C15,Deals!$A$2:$A$355,0))=0,"",INDEX(Deals!$J$2:$J$355,MATCH($C15,Deals!$A$2:$A$355,0))),""))</f>
        <v/>
      </c>
      <c r="N15" s="35">
        <f>IF($L15="",DATE(1900,1,1),$L15)</f>
        <v/>
      </c>
      <c r="O15" s="35">
        <f>IF($M15="",DATE(2100,12,31),$M15)</f>
        <v/>
      </c>
      <c r="P15" s="20" t="inlineStr"/>
      <c r="Q15" s="43" t="inlineStr"/>
      <c r="R15" s="16">
        <f>IF($C15="","",IFERROR(IF(INDEX(Deals!$U$2:$U$355,MATCH($C15,Deals!$A$2:$A$355,0))=0,"",INDEX(Deals!$U$2:$U$355,MATCH($C15,Deals!$A$2:$A$355,0))),""))</f>
        <v/>
      </c>
      <c r="S15" s="34">
        <f>IFERROR(IF($U15="",1,INDEX(Deals!$V$2:$V$355,MATCH($C15,Deals!$A$2:$A$355,0))),1)</f>
        <v/>
      </c>
      <c r="T15" s="34">
        <f>IFERROR(IF($U15="",1,INDEX(Deals!$W$2:$W$355,MATCH($C15,Deals!$A$2:$A$355,0))),1)</f>
        <v/>
      </c>
      <c r="U15" s="22">
        <f>IF($C15="","",IFERROR(IF(INDEX(Deals!$Y$2:$Y$355,MATCH($C15,Deals!$A$2:$A$355,0))=0,"",INDEX(Deals!$Y$2:$Y$355,MATCH($C15,Deals!$A$2:$A$355,0))),""))</f>
        <v/>
      </c>
      <c r="V15" s="35">
        <f>IF($U15="",DATE(1900,1,1),$N15)</f>
        <v/>
      </c>
      <c r="W15" s="35">
        <f>IF($U15="",DATE(2100,12,31),$U15)</f>
        <v/>
      </c>
      <c r="X15" s="32">
        <f>IF($U15="",$K15,$K15*$S15)</f>
        <v/>
      </c>
      <c r="Y15" s="35">
        <f>IF($U15="",DATE(2100,12,31),$U15+1)</f>
        <v/>
      </c>
      <c r="Z15" s="35">
        <f>IF($U15="",DATE(1900,1,1),$O15)</f>
        <v/>
      </c>
      <c r="AA15" s="32">
        <f>IF($U15="",0,$K15*$T15)</f>
        <v/>
      </c>
      <c r="AB15" s="21">
        <f>IF($C15="",0,IFERROR(INDEX(Deals!$AD$2:$AD$355,MATCH($C15,Deals!$A$2:$A$355,0)),0))</f>
        <v/>
      </c>
      <c r="AC15" s="32">
        <f>IF(Settings!$B$4="Yes",$I15*$AB15,$I15)</f>
        <v/>
      </c>
      <c r="AD15" s="22">
        <f>IF($C15="","",IFERROR(IF(INDEX(Deals!$AE$2:$AE$355,MATCH($C15,Deals!$A$2:$A$355,0))=0,"",INDEX(Deals!$AE$2:$AE$355,MATCH($C15,Deals!$A$2:$A$355,0))),""))</f>
        <v/>
      </c>
      <c r="AE15" s="22">
        <f>IF($C15="","",IFERROR(IF(INDEX(Deals!$AF$2:$AF$355,MATCH($C15,Deals!$A$2:$A$355,0))=0,"",INDEX(Deals!$AF$2:$AF$355,MATCH($C15,Deals!$A$2:$A$355,0))),""))</f>
        <v/>
      </c>
      <c r="AF15" s="35">
        <f>IF($AD15="",DATE(1900,1,1),$AD15)</f>
        <v/>
      </c>
      <c r="AG15" s="35">
        <f>IF($AE15="",DATE(2100,12,31),$AE15)</f>
        <v/>
      </c>
      <c r="AH15" s="22">
        <f>IF($C15="","",IFERROR(IF(INDEX(Deals!$AG$2:$AG$355,MATCH($C15,Deals!$A$2:$A$355,0))=0,"",INDEX(Deals!$AG$2:$AG$355,MATCH($C15,Deals!$A$2:$A$355,0))),""))</f>
        <v/>
      </c>
      <c r="AI15" s="35">
        <f>IF($AH15="",DATE(1900,1,1),$AF15)</f>
        <v/>
      </c>
      <c r="AJ15" s="35">
        <f>IF($AH15="",DATE(2100,12,31),$AH15)</f>
        <v/>
      </c>
      <c r="AK15" s="32">
        <f>IF($AH15="",$AC15,$AC15*$S15)</f>
        <v/>
      </c>
      <c r="AL15" s="35">
        <f>IF($AH15="",DATE(2100,12,31),$AH15+1)</f>
        <v/>
      </c>
      <c r="AM15" s="35">
        <f>IF($AH15="",DATE(1900,1,1),$AG15)</f>
        <v/>
      </c>
      <c r="AN15" s="32">
        <f>IF($AH15="",0,$AC15*$T15)</f>
        <v/>
      </c>
    </row>
    <row r="16">
      <c r="A16" s="28" t="inlineStr">
        <is>
          <t>Tania</t>
        </is>
      </c>
      <c r="B16" s="16">
        <f>IF($A16="","",IFERROR(INDEX(Roster!$B$2:$B$40,MATCH($A16,Roster!$A$2:$A$40,0)),"?"))</f>
        <v/>
      </c>
      <c r="C16" s="28" t="inlineStr">
        <is>
          <t>Cohost_1</t>
        </is>
      </c>
      <c r="D16" s="16">
        <f>IF($C16="","",IFERROR(IF(INDEX(Deals!$C$2:$C$355,MATCH($C16,Deals!$A$2:$A$355,0))=0,"",INDEX(Deals!$C$2:$C$355,MATCH($C16,Deals!$A$2:$A$355,0))),"?"))</f>
        <v/>
      </c>
      <c r="E16" s="16">
        <f>IF($C16="","",IFERROR(INDEX(Deals!$F$2:$F$355,MATCH($C16,Deals!$A$2:$A$355,0)),"?"))</f>
        <v/>
      </c>
      <c r="F16" s="28" t="inlineStr">
        <is>
          <t>Partner</t>
        </is>
      </c>
      <c r="G16" s="28" t="inlineStr">
        <is>
          <t>Active</t>
        </is>
      </c>
      <c r="H16" s="31" t="n"/>
      <c r="I16" s="32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1">
        <f>IF($C16="",0,IFERROR(INDEX(Deals!$H$2:$H$355,MATCH($C16,Deals!$A$2:$A$355,0)),0))</f>
        <v/>
      </c>
      <c r="K16" s="32">
        <f>IF(Settings!$B$4="Yes",$I16*$J16,$I16)</f>
        <v/>
      </c>
      <c r="L16" s="22">
        <f>IF($C16="","",IFERROR(IF(INDEX(Deals!$I$2:$I$355,MATCH($C16,Deals!$A$2:$A$355,0))=0,"",INDEX(Deals!$I$2:$I$355,MATCH($C16,Deals!$A$2:$A$355,0))),""))</f>
        <v/>
      </c>
      <c r="M16" s="22">
        <f>IF($C16="","",IFERROR(IF(INDEX(Deals!$J$2:$J$355,MATCH($C16,Deals!$A$2:$A$355,0))=0,"",INDEX(Deals!$J$2:$J$355,MATCH($C16,Deals!$A$2:$A$355,0))),""))</f>
        <v/>
      </c>
      <c r="N16" s="35">
        <f>IF($L16="",DATE(1900,1,1),$L16)</f>
        <v/>
      </c>
      <c r="O16" s="35">
        <f>IF($M16="",DATE(2100,12,31),$M16)</f>
        <v/>
      </c>
      <c r="P16" s="20" t="inlineStr"/>
      <c r="Q16" s="43" t="inlineStr"/>
      <c r="R16" s="16">
        <f>IF($C16="","",IFERROR(IF(INDEX(Deals!$U$2:$U$355,MATCH($C16,Deals!$A$2:$A$355,0))=0,"",INDEX(Deals!$U$2:$U$355,MATCH($C16,Deals!$A$2:$A$355,0))),""))</f>
        <v/>
      </c>
      <c r="S16" s="34">
        <f>IFERROR(IF($U16="",1,INDEX(Deals!$V$2:$V$355,MATCH($C16,Deals!$A$2:$A$355,0))),1)</f>
        <v/>
      </c>
      <c r="T16" s="34">
        <f>IFERROR(IF($U16="",1,INDEX(Deals!$W$2:$W$355,MATCH($C16,Deals!$A$2:$A$355,0))),1)</f>
        <v/>
      </c>
      <c r="U16" s="22">
        <f>IF($C16="","",IFERROR(IF(INDEX(Deals!$Y$2:$Y$355,MATCH($C16,Deals!$A$2:$A$355,0))=0,"",INDEX(Deals!$Y$2:$Y$355,MATCH($C16,Deals!$A$2:$A$355,0))),""))</f>
        <v/>
      </c>
      <c r="V16" s="35">
        <f>IF($U16="",DATE(1900,1,1),$N16)</f>
        <v/>
      </c>
      <c r="W16" s="35">
        <f>IF($U16="",DATE(2100,12,31),$U16)</f>
        <v/>
      </c>
      <c r="X16" s="32">
        <f>IF($U16="",$K16,$K16*$S16)</f>
        <v/>
      </c>
      <c r="Y16" s="35">
        <f>IF($U16="",DATE(2100,12,31),$U16+1)</f>
        <v/>
      </c>
      <c r="Z16" s="35">
        <f>IF($U16="",DATE(1900,1,1),$O16)</f>
        <v/>
      </c>
      <c r="AA16" s="32">
        <f>IF($U16="",0,$K16*$T16)</f>
        <v/>
      </c>
      <c r="AB16" s="21">
        <f>IF($C16="",0,IFERROR(INDEX(Deals!$AD$2:$AD$355,MATCH($C16,Deals!$A$2:$A$355,0)),0))</f>
        <v/>
      </c>
      <c r="AC16" s="32">
        <f>IF(Settings!$B$4="Yes",$I16*$AB16,$I16)</f>
        <v/>
      </c>
      <c r="AD16" s="22">
        <f>IF($C16="","",IFERROR(IF(INDEX(Deals!$AE$2:$AE$355,MATCH($C16,Deals!$A$2:$A$355,0))=0,"",INDEX(Deals!$AE$2:$AE$355,MATCH($C16,Deals!$A$2:$A$355,0))),""))</f>
        <v/>
      </c>
      <c r="AE16" s="22">
        <f>IF($C16="","",IFERROR(IF(INDEX(Deals!$AF$2:$AF$355,MATCH($C16,Deals!$A$2:$A$355,0))=0,"",INDEX(Deals!$AF$2:$AF$355,MATCH($C16,Deals!$A$2:$A$355,0))),""))</f>
        <v/>
      </c>
      <c r="AF16" s="35">
        <f>IF($AD16="",DATE(1900,1,1),$AD16)</f>
        <v/>
      </c>
      <c r="AG16" s="35">
        <f>IF($AE16="",DATE(2100,12,31),$AE16)</f>
        <v/>
      </c>
      <c r="AH16" s="22">
        <f>IF($C16="","",IFERROR(IF(INDEX(Deals!$AG$2:$AG$355,MATCH($C16,Deals!$A$2:$A$355,0))=0,"",INDEX(Deals!$AG$2:$AG$355,MATCH($C16,Deals!$A$2:$A$355,0))),""))</f>
        <v/>
      </c>
      <c r="AI16" s="35">
        <f>IF($AH16="",DATE(1900,1,1),$AF16)</f>
        <v/>
      </c>
      <c r="AJ16" s="35">
        <f>IF($AH16="",DATE(2100,12,31),$AH16)</f>
        <v/>
      </c>
      <c r="AK16" s="32">
        <f>IF($AH16="",$AC16,$AC16*$S16)</f>
        <v/>
      </c>
      <c r="AL16" s="35">
        <f>IF($AH16="",DATE(2100,12,31),$AH16+1)</f>
        <v/>
      </c>
      <c r="AM16" s="35">
        <f>IF($AH16="",DATE(1900,1,1),$AG16)</f>
        <v/>
      </c>
      <c r="AN16" s="32">
        <f>IF($AH16="",0,$AC16*$T16)</f>
        <v/>
      </c>
    </row>
    <row r="17">
      <c r="A17" s="28" t="inlineStr">
        <is>
          <t>Tania</t>
        </is>
      </c>
      <c r="B17" s="16">
        <f>IF($A17="","",IFERROR(INDEX(Roster!$B$2:$B$40,MATCH($A17,Roster!$A$2:$A$40,0)),"?"))</f>
        <v/>
      </c>
      <c r="C17" s="28" t="inlineStr">
        <is>
          <t>Concrete_1</t>
        </is>
      </c>
      <c r="D17" s="16">
        <f>IF($C17="","",IFERROR(IF(INDEX(Deals!$C$2:$C$355,MATCH($C17,Deals!$A$2:$A$355,0))=0,"",INDEX(Deals!$C$2:$C$355,MATCH($C17,Deals!$A$2:$A$355,0))),"?"))</f>
        <v/>
      </c>
      <c r="E17" s="16">
        <f>IF($C17="","",IFERROR(INDEX(Deals!$F$2:$F$355,MATCH($C17,Deals!$A$2:$A$355,0)),"?"))</f>
        <v/>
      </c>
      <c r="F17" s="28" t="inlineStr">
        <is>
          <t>Partner</t>
        </is>
      </c>
      <c r="G17" s="28" t="inlineStr">
        <is>
          <t>Active</t>
        </is>
      </c>
      <c r="H17" s="31" t="n"/>
      <c r="I17" s="32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1">
        <f>IF($C17="",0,IFERROR(INDEX(Deals!$H$2:$H$355,MATCH($C17,Deals!$A$2:$A$355,0)),0))</f>
        <v/>
      </c>
      <c r="K17" s="32">
        <f>IF(Settings!$B$4="Yes",$I17*$J17,$I17)</f>
        <v/>
      </c>
      <c r="L17" s="22">
        <f>IF($C17="","",IFERROR(IF(INDEX(Deals!$I$2:$I$355,MATCH($C17,Deals!$A$2:$A$355,0))=0,"",INDEX(Deals!$I$2:$I$355,MATCH($C17,Deals!$A$2:$A$355,0))),""))</f>
        <v/>
      </c>
      <c r="M17" s="22">
        <f>IF($C17="","",IFERROR(IF(INDEX(Deals!$J$2:$J$355,MATCH($C17,Deals!$A$2:$A$355,0))=0,"",INDEX(Deals!$J$2:$J$355,MATCH($C17,Deals!$A$2:$A$355,0))),""))</f>
        <v/>
      </c>
      <c r="N17" s="35">
        <f>IF($L17="",DATE(1900,1,1),$L17)</f>
        <v/>
      </c>
      <c r="O17" s="35">
        <f>IF($M17="",DATE(2100,12,31),$M17)</f>
        <v/>
      </c>
      <c r="P17" s="20" t="inlineStr"/>
      <c r="Q17" s="43" t="inlineStr"/>
      <c r="R17" s="16">
        <f>IF($C17="","",IFERROR(IF(INDEX(Deals!$U$2:$U$355,MATCH($C17,Deals!$A$2:$A$355,0))=0,"",INDEX(Deals!$U$2:$U$355,MATCH($C17,Deals!$A$2:$A$355,0))),""))</f>
        <v/>
      </c>
      <c r="S17" s="34">
        <f>IFERROR(IF($U17="",1,INDEX(Deals!$V$2:$V$355,MATCH($C17,Deals!$A$2:$A$355,0))),1)</f>
        <v/>
      </c>
      <c r="T17" s="34">
        <f>IFERROR(IF($U17="",1,INDEX(Deals!$W$2:$W$355,MATCH($C17,Deals!$A$2:$A$355,0))),1)</f>
        <v/>
      </c>
      <c r="U17" s="22">
        <f>IF($C17="","",IFERROR(IF(INDEX(Deals!$Y$2:$Y$355,MATCH($C17,Deals!$A$2:$A$355,0))=0,"",INDEX(Deals!$Y$2:$Y$355,MATCH($C17,Deals!$A$2:$A$355,0))),""))</f>
        <v/>
      </c>
      <c r="V17" s="35">
        <f>IF($U17="",DATE(1900,1,1),$N17)</f>
        <v/>
      </c>
      <c r="W17" s="35">
        <f>IF($U17="",DATE(2100,12,31),$U17)</f>
        <v/>
      </c>
      <c r="X17" s="32">
        <f>IF($U17="",$K17,$K17*$S17)</f>
        <v/>
      </c>
      <c r="Y17" s="35">
        <f>IF($U17="",DATE(2100,12,31),$U17+1)</f>
        <v/>
      </c>
      <c r="Z17" s="35">
        <f>IF($U17="",DATE(1900,1,1),$O17)</f>
        <v/>
      </c>
      <c r="AA17" s="32">
        <f>IF($U17="",0,$K17*$T17)</f>
        <v/>
      </c>
      <c r="AB17" s="21">
        <f>IF($C17="",0,IFERROR(INDEX(Deals!$AD$2:$AD$355,MATCH($C17,Deals!$A$2:$A$355,0)),0))</f>
        <v/>
      </c>
      <c r="AC17" s="32">
        <f>IF(Settings!$B$4="Yes",$I17*$AB17,$I17)</f>
        <v/>
      </c>
      <c r="AD17" s="22">
        <f>IF($C17="","",IFERROR(IF(INDEX(Deals!$AE$2:$AE$355,MATCH($C17,Deals!$A$2:$A$355,0))=0,"",INDEX(Deals!$AE$2:$AE$355,MATCH($C17,Deals!$A$2:$A$355,0))),""))</f>
        <v/>
      </c>
      <c r="AE17" s="22">
        <f>IF($C17="","",IFERROR(IF(INDEX(Deals!$AF$2:$AF$355,MATCH($C17,Deals!$A$2:$A$355,0))=0,"",INDEX(Deals!$AF$2:$AF$355,MATCH($C17,Deals!$A$2:$A$355,0))),""))</f>
        <v/>
      </c>
      <c r="AF17" s="35">
        <f>IF($AD17="",DATE(1900,1,1),$AD17)</f>
        <v/>
      </c>
      <c r="AG17" s="35">
        <f>IF($AE17="",DATE(2100,12,31),$AE17)</f>
        <v/>
      </c>
      <c r="AH17" s="22">
        <f>IF($C17="","",IFERROR(IF(INDEX(Deals!$AG$2:$AG$355,MATCH($C17,Deals!$A$2:$A$355,0))=0,"",INDEX(Deals!$AG$2:$AG$355,MATCH($C17,Deals!$A$2:$A$355,0))),""))</f>
        <v/>
      </c>
      <c r="AI17" s="35">
        <f>IF($AH17="",DATE(1900,1,1),$AF17)</f>
        <v/>
      </c>
      <c r="AJ17" s="35">
        <f>IF($AH17="",DATE(2100,12,31),$AH17)</f>
        <v/>
      </c>
      <c r="AK17" s="32">
        <f>IF($AH17="",$AC17,$AC17*$S17)</f>
        <v/>
      </c>
      <c r="AL17" s="35">
        <f>IF($AH17="",DATE(2100,12,31),$AH17+1)</f>
        <v/>
      </c>
      <c r="AM17" s="35">
        <f>IF($AH17="",DATE(1900,1,1),$AG17)</f>
        <v/>
      </c>
      <c r="AN17" s="32">
        <f>IF($AH17="",0,$AC17*$T17)</f>
        <v/>
      </c>
    </row>
    <row r="18">
      <c r="A18" s="28" t="inlineStr">
        <is>
          <t>Tania</t>
        </is>
      </c>
      <c r="B18" s="16">
        <f>IF($A18="","",IFERROR(INDEX(Roster!$B$2:$B$40,MATCH($A18,Roster!$A$2:$A$40,0)),"?"))</f>
        <v/>
      </c>
      <c r="C18" s="28" t="inlineStr">
        <is>
          <t>Coral II_1</t>
        </is>
      </c>
      <c r="D18" s="16">
        <f>IF($C18="","",IFERROR(IF(INDEX(Deals!$C$2:$C$355,MATCH($C18,Deals!$A$2:$A$355,0))=0,"",INDEX(Deals!$C$2:$C$355,MATCH($C18,Deals!$A$2:$A$355,0))),"?"))</f>
        <v/>
      </c>
      <c r="E18" s="16">
        <f>IF($C18="","",IFERROR(INDEX(Deals!$F$2:$F$355,MATCH($C18,Deals!$A$2:$A$355,0)),"?"))</f>
        <v/>
      </c>
      <c r="F18" s="28" t="inlineStr">
        <is>
          <t>Partner</t>
        </is>
      </c>
      <c r="G18" s="28" t="inlineStr">
        <is>
          <t>Active</t>
        </is>
      </c>
      <c r="H18" s="31" t="n"/>
      <c r="I18" s="32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1">
        <f>IF($C18="",0,IFERROR(INDEX(Deals!$H$2:$H$355,MATCH($C18,Deals!$A$2:$A$355,0)),0))</f>
        <v/>
      </c>
      <c r="K18" s="32">
        <f>IF(Settings!$B$4="Yes",$I18*$J18,$I18)</f>
        <v/>
      </c>
      <c r="L18" s="22">
        <f>IF($C18="","",IFERROR(IF(INDEX(Deals!$I$2:$I$355,MATCH($C18,Deals!$A$2:$A$355,0))=0,"",INDEX(Deals!$I$2:$I$355,MATCH($C18,Deals!$A$2:$A$355,0))),""))</f>
        <v/>
      </c>
      <c r="M18" s="22">
        <f>IF($C18="","",IFERROR(IF(INDEX(Deals!$J$2:$J$355,MATCH($C18,Deals!$A$2:$A$355,0))=0,"",INDEX(Deals!$J$2:$J$355,MATCH($C18,Deals!$A$2:$A$355,0))),""))</f>
        <v/>
      </c>
      <c r="N18" s="35">
        <f>IF($L18="",DATE(1900,1,1),$L18)</f>
        <v/>
      </c>
      <c r="O18" s="35">
        <f>IF($M18="",DATE(2100,12,31),$M18)</f>
        <v/>
      </c>
      <c r="P18" s="20" t="inlineStr"/>
      <c r="Q18" s="43" t="inlineStr"/>
      <c r="R18" s="16">
        <f>IF($C18="","",IFERROR(IF(INDEX(Deals!$U$2:$U$355,MATCH($C18,Deals!$A$2:$A$355,0))=0,"",INDEX(Deals!$U$2:$U$355,MATCH($C18,Deals!$A$2:$A$355,0))),""))</f>
        <v/>
      </c>
      <c r="S18" s="34">
        <f>IFERROR(IF($U18="",1,INDEX(Deals!$V$2:$V$355,MATCH($C18,Deals!$A$2:$A$355,0))),1)</f>
        <v/>
      </c>
      <c r="T18" s="34">
        <f>IFERROR(IF($U18="",1,INDEX(Deals!$W$2:$W$355,MATCH($C18,Deals!$A$2:$A$355,0))),1)</f>
        <v/>
      </c>
      <c r="U18" s="22">
        <f>IF($C18="","",IFERROR(IF(INDEX(Deals!$Y$2:$Y$355,MATCH($C18,Deals!$A$2:$A$355,0))=0,"",INDEX(Deals!$Y$2:$Y$355,MATCH($C18,Deals!$A$2:$A$355,0))),""))</f>
        <v/>
      </c>
      <c r="V18" s="35">
        <f>IF($U18="",DATE(1900,1,1),$N18)</f>
        <v/>
      </c>
      <c r="W18" s="35">
        <f>IF($U18="",DATE(2100,12,31),$U18)</f>
        <v/>
      </c>
      <c r="X18" s="32">
        <f>IF($U18="",$K18,$K18*$S18)</f>
        <v/>
      </c>
      <c r="Y18" s="35">
        <f>IF($U18="",DATE(2100,12,31),$U18+1)</f>
        <v/>
      </c>
      <c r="Z18" s="35">
        <f>IF($U18="",DATE(1900,1,1),$O18)</f>
        <v/>
      </c>
      <c r="AA18" s="32">
        <f>IF($U18="",0,$K18*$T18)</f>
        <v/>
      </c>
      <c r="AB18" s="21">
        <f>IF($C18="",0,IFERROR(INDEX(Deals!$AD$2:$AD$355,MATCH($C18,Deals!$A$2:$A$355,0)),0))</f>
        <v/>
      </c>
      <c r="AC18" s="32">
        <f>IF(Settings!$B$4="Yes",$I18*$AB18,$I18)</f>
        <v/>
      </c>
      <c r="AD18" s="22">
        <f>IF($C18="","",IFERROR(IF(INDEX(Deals!$AE$2:$AE$355,MATCH($C18,Deals!$A$2:$A$355,0))=0,"",INDEX(Deals!$AE$2:$AE$355,MATCH($C18,Deals!$A$2:$A$355,0))),""))</f>
        <v/>
      </c>
      <c r="AE18" s="22">
        <f>IF($C18="","",IFERROR(IF(INDEX(Deals!$AF$2:$AF$355,MATCH($C18,Deals!$A$2:$A$355,0))=0,"",INDEX(Deals!$AF$2:$AF$355,MATCH($C18,Deals!$A$2:$A$355,0))),""))</f>
        <v/>
      </c>
      <c r="AF18" s="35">
        <f>IF($AD18="",DATE(1900,1,1),$AD18)</f>
        <v/>
      </c>
      <c r="AG18" s="35">
        <f>IF($AE18="",DATE(2100,12,31),$AE18)</f>
        <v/>
      </c>
      <c r="AH18" s="22">
        <f>IF($C18="","",IFERROR(IF(INDEX(Deals!$AG$2:$AG$355,MATCH($C18,Deals!$A$2:$A$355,0))=0,"",INDEX(Deals!$AG$2:$AG$355,MATCH($C18,Deals!$A$2:$A$355,0))),""))</f>
        <v/>
      </c>
      <c r="AI18" s="35">
        <f>IF($AH18="",DATE(1900,1,1),$AF18)</f>
        <v/>
      </c>
      <c r="AJ18" s="35">
        <f>IF($AH18="",DATE(2100,12,31),$AH18)</f>
        <v/>
      </c>
      <c r="AK18" s="32">
        <f>IF($AH18="",$AC18,$AC18*$S18)</f>
        <v/>
      </c>
      <c r="AL18" s="35">
        <f>IF($AH18="",DATE(2100,12,31),$AH18+1)</f>
        <v/>
      </c>
      <c r="AM18" s="35">
        <f>IF($AH18="",DATE(1900,1,1),$AG18)</f>
        <v/>
      </c>
      <c r="AN18" s="32">
        <f>IF($AH18="",0,$AC18*$T18)</f>
        <v/>
      </c>
    </row>
    <row r="19">
      <c r="A19" s="28" t="inlineStr">
        <is>
          <t>Tania</t>
        </is>
      </c>
      <c r="B19" s="16">
        <f>IF($A19="","",IFERROR(INDEX(Roster!$B$2:$B$40,MATCH($A19,Roster!$A$2:$A$40,0)),"?"))</f>
        <v/>
      </c>
      <c r="C19" s="28" t="inlineStr">
        <is>
          <t>Delaware_1</t>
        </is>
      </c>
      <c r="D19" s="16">
        <f>IF($C19="","",IFERROR(IF(INDEX(Deals!$C$2:$C$355,MATCH($C19,Deals!$A$2:$A$355,0))=0,"",INDEX(Deals!$C$2:$C$355,MATCH($C19,Deals!$A$2:$A$355,0))),"?"))</f>
        <v/>
      </c>
      <c r="E19" s="16">
        <f>IF($C19="","",IFERROR(INDEX(Deals!$F$2:$F$355,MATCH($C19,Deals!$A$2:$A$355,0)),"?"))</f>
        <v/>
      </c>
      <c r="F19" s="28" t="inlineStr">
        <is>
          <t>Partner</t>
        </is>
      </c>
      <c r="G19" s="28" t="inlineStr">
        <is>
          <t>Active</t>
        </is>
      </c>
      <c r="H19" s="31" t="n"/>
      <c r="I19" s="32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1">
        <f>IF($C19="",0,IFERROR(INDEX(Deals!$H$2:$H$355,MATCH($C19,Deals!$A$2:$A$355,0)),0))</f>
        <v/>
      </c>
      <c r="K19" s="32">
        <f>IF(Settings!$B$4="Yes",$I19*$J19,$I19)</f>
        <v/>
      </c>
      <c r="L19" s="22">
        <f>IF($C19="","",IFERROR(IF(INDEX(Deals!$I$2:$I$355,MATCH($C19,Deals!$A$2:$A$355,0))=0,"",INDEX(Deals!$I$2:$I$355,MATCH($C19,Deals!$A$2:$A$355,0))),""))</f>
        <v/>
      </c>
      <c r="M19" s="22">
        <f>IF($C19="","",IFERROR(IF(INDEX(Deals!$J$2:$J$355,MATCH($C19,Deals!$A$2:$A$355,0))=0,"",INDEX(Deals!$J$2:$J$355,MATCH($C19,Deals!$A$2:$A$355,0))),""))</f>
        <v/>
      </c>
      <c r="N19" s="35">
        <f>IF($L19="",DATE(1900,1,1),$L19)</f>
        <v/>
      </c>
      <c r="O19" s="35">
        <f>IF($M19="",DATE(2100,12,31),$M19)</f>
        <v/>
      </c>
      <c r="P19" s="20" t="inlineStr"/>
      <c r="Q19" s="43" t="inlineStr"/>
      <c r="R19" s="16">
        <f>IF($C19="","",IFERROR(IF(INDEX(Deals!$U$2:$U$355,MATCH($C19,Deals!$A$2:$A$355,0))=0,"",INDEX(Deals!$U$2:$U$355,MATCH($C19,Deals!$A$2:$A$355,0))),""))</f>
        <v/>
      </c>
      <c r="S19" s="34">
        <f>IFERROR(IF($U19="",1,INDEX(Deals!$V$2:$V$355,MATCH($C19,Deals!$A$2:$A$355,0))),1)</f>
        <v/>
      </c>
      <c r="T19" s="34">
        <f>IFERROR(IF($U19="",1,INDEX(Deals!$W$2:$W$355,MATCH($C19,Deals!$A$2:$A$355,0))),1)</f>
        <v/>
      </c>
      <c r="U19" s="22">
        <f>IF($C19="","",IFERROR(IF(INDEX(Deals!$Y$2:$Y$355,MATCH($C19,Deals!$A$2:$A$355,0))=0,"",INDEX(Deals!$Y$2:$Y$355,MATCH($C19,Deals!$A$2:$A$355,0))),""))</f>
        <v/>
      </c>
      <c r="V19" s="35">
        <f>IF($U19="",DATE(1900,1,1),$N19)</f>
        <v/>
      </c>
      <c r="W19" s="35">
        <f>IF($U19="",DATE(2100,12,31),$U19)</f>
        <v/>
      </c>
      <c r="X19" s="32">
        <f>IF($U19="",$K19,$K19*$S19)</f>
        <v/>
      </c>
      <c r="Y19" s="35">
        <f>IF($U19="",DATE(2100,12,31),$U19+1)</f>
        <v/>
      </c>
      <c r="Z19" s="35">
        <f>IF($U19="",DATE(1900,1,1),$O19)</f>
        <v/>
      </c>
      <c r="AA19" s="32">
        <f>IF($U19="",0,$K19*$T19)</f>
        <v/>
      </c>
      <c r="AB19" s="21">
        <f>IF($C19="",0,IFERROR(INDEX(Deals!$AD$2:$AD$355,MATCH($C19,Deals!$A$2:$A$355,0)),0))</f>
        <v/>
      </c>
      <c r="AC19" s="32">
        <f>IF(Settings!$B$4="Yes",$I19*$AB19,$I19)</f>
        <v/>
      </c>
      <c r="AD19" s="22">
        <f>IF($C19="","",IFERROR(IF(INDEX(Deals!$AE$2:$AE$355,MATCH($C19,Deals!$A$2:$A$355,0))=0,"",INDEX(Deals!$AE$2:$AE$355,MATCH($C19,Deals!$A$2:$A$355,0))),""))</f>
        <v/>
      </c>
      <c r="AE19" s="22">
        <f>IF($C19="","",IFERROR(IF(INDEX(Deals!$AF$2:$AF$355,MATCH($C19,Deals!$A$2:$A$355,0))=0,"",INDEX(Deals!$AF$2:$AF$355,MATCH($C19,Deals!$A$2:$A$355,0))),""))</f>
        <v/>
      </c>
      <c r="AF19" s="35">
        <f>IF($AD19="",DATE(1900,1,1),$AD19)</f>
        <v/>
      </c>
      <c r="AG19" s="35">
        <f>IF($AE19="",DATE(2100,12,31),$AE19)</f>
        <v/>
      </c>
      <c r="AH19" s="22">
        <f>IF($C19="","",IFERROR(IF(INDEX(Deals!$AG$2:$AG$355,MATCH($C19,Deals!$A$2:$A$355,0))=0,"",INDEX(Deals!$AG$2:$AG$355,MATCH($C19,Deals!$A$2:$A$355,0))),""))</f>
        <v/>
      </c>
      <c r="AI19" s="35">
        <f>IF($AH19="",DATE(1900,1,1),$AF19)</f>
        <v/>
      </c>
      <c r="AJ19" s="35">
        <f>IF($AH19="",DATE(2100,12,31),$AH19)</f>
        <v/>
      </c>
      <c r="AK19" s="32">
        <f>IF($AH19="",$AC19,$AC19*$S19)</f>
        <v/>
      </c>
      <c r="AL19" s="35">
        <f>IF($AH19="",DATE(2100,12,31),$AH19+1)</f>
        <v/>
      </c>
      <c r="AM19" s="35">
        <f>IF($AH19="",DATE(1900,1,1),$AG19)</f>
        <v/>
      </c>
      <c r="AN19" s="32">
        <f>IF($AH19="",0,$AC19*$T19)</f>
        <v/>
      </c>
    </row>
    <row r="20">
      <c r="A20" s="28" t="inlineStr">
        <is>
          <t>Tania</t>
        </is>
      </c>
      <c r="B20" s="16">
        <f>IF($A20="","",IFERROR(INDEX(Roster!$B$2:$B$40,MATCH($A20,Roster!$A$2:$A$40,0)),"?"))</f>
        <v/>
      </c>
      <c r="C20" s="28" t="inlineStr">
        <is>
          <t>Eagle_5</t>
        </is>
      </c>
      <c r="D20" s="16">
        <f>IF($C20="","",IFERROR(IF(INDEX(Deals!$C$2:$C$355,MATCH($C20,Deals!$A$2:$A$355,0))=0,"",INDEX(Deals!$C$2:$C$355,MATCH($C20,Deals!$A$2:$A$355,0))),"?"))</f>
        <v/>
      </c>
      <c r="E20" s="16">
        <f>IF($C20="","",IFERROR(INDEX(Deals!$F$2:$F$355,MATCH($C20,Deals!$A$2:$A$355,0)),"?"))</f>
        <v/>
      </c>
      <c r="F20" s="28" t="inlineStr">
        <is>
          <t>Partner</t>
        </is>
      </c>
      <c r="G20" s="28" t="inlineStr">
        <is>
          <t>Active</t>
        </is>
      </c>
      <c r="H20" s="31" t="n"/>
      <c r="I20" s="32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1">
        <f>IF($C20="",0,IFERROR(INDEX(Deals!$H$2:$H$355,MATCH($C20,Deals!$A$2:$A$355,0)),0))</f>
        <v/>
      </c>
      <c r="K20" s="32">
        <f>IF(Settings!$B$4="Yes",$I20*$J20,$I20)</f>
        <v/>
      </c>
      <c r="L20" s="22">
        <f>IF($C20="","",IFERROR(IF(INDEX(Deals!$I$2:$I$355,MATCH($C20,Deals!$A$2:$A$355,0))=0,"",INDEX(Deals!$I$2:$I$355,MATCH($C20,Deals!$A$2:$A$355,0))),""))</f>
        <v/>
      </c>
      <c r="M20" s="22">
        <f>IF($C20="","",IFERROR(IF(INDEX(Deals!$J$2:$J$355,MATCH($C20,Deals!$A$2:$A$355,0))=0,"",INDEX(Deals!$J$2:$J$355,MATCH($C20,Deals!$A$2:$A$355,0))),""))</f>
        <v/>
      </c>
      <c r="N20" s="35">
        <f>IF($L20="",DATE(1900,1,1),$L20)</f>
        <v/>
      </c>
      <c r="O20" s="35">
        <f>IF($M20="",DATE(2100,12,31),$M20)</f>
        <v/>
      </c>
      <c r="P20" s="20" t="inlineStr"/>
      <c r="Q20" s="43" t="inlineStr"/>
      <c r="R20" s="16">
        <f>IF($C20="","",IFERROR(IF(INDEX(Deals!$U$2:$U$355,MATCH($C20,Deals!$A$2:$A$355,0))=0,"",INDEX(Deals!$U$2:$U$355,MATCH($C20,Deals!$A$2:$A$355,0))),""))</f>
        <v/>
      </c>
      <c r="S20" s="34">
        <f>IFERROR(IF($U20="",1,INDEX(Deals!$V$2:$V$355,MATCH($C20,Deals!$A$2:$A$355,0))),1)</f>
        <v/>
      </c>
      <c r="T20" s="34">
        <f>IFERROR(IF($U20="",1,INDEX(Deals!$W$2:$W$355,MATCH($C20,Deals!$A$2:$A$355,0))),1)</f>
        <v/>
      </c>
      <c r="U20" s="22">
        <f>IF($C20="","",IFERROR(IF(INDEX(Deals!$Y$2:$Y$355,MATCH($C20,Deals!$A$2:$A$355,0))=0,"",INDEX(Deals!$Y$2:$Y$355,MATCH($C20,Deals!$A$2:$A$355,0))),""))</f>
        <v/>
      </c>
      <c r="V20" s="35">
        <f>IF($U20="",DATE(1900,1,1),$N20)</f>
        <v/>
      </c>
      <c r="W20" s="35">
        <f>IF($U20="",DATE(2100,12,31),$U20)</f>
        <v/>
      </c>
      <c r="X20" s="32">
        <f>IF($U20="",$K20,$K20*$S20)</f>
        <v/>
      </c>
      <c r="Y20" s="35">
        <f>IF($U20="",DATE(2100,12,31),$U20+1)</f>
        <v/>
      </c>
      <c r="Z20" s="35">
        <f>IF($U20="",DATE(1900,1,1),$O20)</f>
        <v/>
      </c>
      <c r="AA20" s="32">
        <f>IF($U20="",0,$K20*$T20)</f>
        <v/>
      </c>
      <c r="AB20" s="21">
        <f>IF($C20="",0,IFERROR(INDEX(Deals!$AD$2:$AD$355,MATCH($C20,Deals!$A$2:$A$355,0)),0))</f>
        <v/>
      </c>
      <c r="AC20" s="32">
        <f>IF(Settings!$B$4="Yes",$I20*$AB20,$I20)</f>
        <v/>
      </c>
      <c r="AD20" s="22">
        <f>IF($C20="","",IFERROR(IF(INDEX(Deals!$AE$2:$AE$355,MATCH($C20,Deals!$A$2:$A$355,0))=0,"",INDEX(Deals!$AE$2:$AE$355,MATCH($C20,Deals!$A$2:$A$355,0))),""))</f>
        <v/>
      </c>
      <c r="AE20" s="22">
        <f>IF($C20="","",IFERROR(IF(INDEX(Deals!$AF$2:$AF$355,MATCH($C20,Deals!$A$2:$A$355,0))=0,"",INDEX(Deals!$AF$2:$AF$355,MATCH($C20,Deals!$A$2:$A$355,0))),""))</f>
        <v/>
      </c>
      <c r="AF20" s="35">
        <f>IF($AD20="",DATE(1900,1,1),$AD20)</f>
        <v/>
      </c>
      <c r="AG20" s="35">
        <f>IF($AE20="",DATE(2100,12,31),$AE20)</f>
        <v/>
      </c>
      <c r="AH20" s="22">
        <f>IF($C20="","",IFERROR(IF(INDEX(Deals!$AG$2:$AG$355,MATCH($C20,Deals!$A$2:$A$355,0))=0,"",INDEX(Deals!$AG$2:$AG$355,MATCH($C20,Deals!$A$2:$A$355,0))),""))</f>
        <v/>
      </c>
      <c r="AI20" s="35">
        <f>IF($AH20="",DATE(1900,1,1),$AF20)</f>
        <v/>
      </c>
      <c r="AJ20" s="35">
        <f>IF($AH20="",DATE(2100,12,31),$AH20)</f>
        <v/>
      </c>
      <c r="AK20" s="32">
        <f>IF($AH20="",$AC20,$AC20*$S20)</f>
        <v/>
      </c>
      <c r="AL20" s="35">
        <f>IF($AH20="",DATE(2100,12,31),$AH20+1)</f>
        <v/>
      </c>
      <c r="AM20" s="35">
        <f>IF($AH20="",DATE(1900,1,1),$AG20)</f>
        <v/>
      </c>
      <c r="AN20" s="32">
        <f>IF($AH20="",0,$AC20*$T20)</f>
        <v/>
      </c>
    </row>
    <row r="21">
      <c r="A21" s="28" t="inlineStr">
        <is>
          <t>Tania</t>
        </is>
      </c>
      <c r="B21" s="16">
        <f>IF($A21="","",IFERROR(INDEX(Roster!$B$2:$B$40,MATCH($A21,Roster!$A$2:$A$40,0)),"?"))</f>
        <v/>
      </c>
      <c r="C21" s="28" t="inlineStr">
        <is>
          <t>Eagle_7</t>
        </is>
      </c>
      <c r="D21" s="16">
        <f>IF($C21="","",IFERROR(IF(INDEX(Deals!$C$2:$C$355,MATCH($C21,Deals!$A$2:$A$355,0))=0,"",INDEX(Deals!$C$2:$C$355,MATCH($C21,Deals!$A$2:$A$355,0))),"?"))</f>
        <v/>
      </c>
      <c r="E21" s="16">
        <f>IF($C21="","",IFERROR(INDEX(Deals!$F$2:$F$355,MATCH($C21,Deals!$A$2:$A$355,0)),"?"))</f>
        <v/>
      </c>
      <c r="F21" s="28" t="inlineStr">
        <is>
          <t>Partner</t>
        </is>
      </c>
      <c r="G21" s="28" t="inlineStr">
        <is>
          <t>Active</t>
        </is>
      </c>
      <c r="H21" s="31" t="n"/>
      <c r="I21" s="32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1">
        <f>IF($C21="",0,IFERROR(INDEX(Deals!$H$2:$H$355,MATCH($C21,Deals!$A$2:$A$355,0)),0))</f>
        <v/>
      </c>
      <c r="K21" s="32">
        <f>IF(Settings!$B$4="Yes",$I21*$J21,$I21)</f>
        <v/>
      </c>
      <c r="L21" s="22">
        <f>IF($C21="","",IFERROR(IF(INDEX(Deals!$I$2:$I$355,MATCH($C21,Deals!$A$2:$A$355,0))=0,"",INDEX(Deals!$I$2:$I$355,MATCH($C21,Deals!$A$2:$A$355,0))),""))</f>
        <v/>
      </c>
      <c r="M21" s="22">
        <f>IF($C21="","",IFERROR(IF(INDEX(Deals!$J$2:$J$355,MATCH($C21,Deals!$A$2:$A$355,0))=0,"",INDEX(Deals!$J$2:$J$355,MATCH($C21,Deals!$A$2:$A$355,0))),""))</f>
        <v/>
      </c>
      <c r="N21" s="35">
        <f>IF($L21="",DATE(1900,1,1),$L21)</f>
        <v/>
      </c>
      <c r="O21" s="35">
        <f>IF($M21="",DATE(2100,12,31),$M21)</f>
        <v/>
      </c>
      <c r="P21" s="20" t="inlineStr"/>
      <c r="Q21" s="43" t="inlineStr"/>
      <c r="R21" s="16">
        <f>IF($C21="","",IFERROR(IF(INDEX(Deals!$U$2:$U$355,MATCH($C21,Deals!$A$2:$A$355,0))=0,"",INDEX(Deals!$U$2:$U$355,MATCH($C21,Deals!$A$2:$A$355,0))),""))</f>
        <v/>
      </c>
      <c r="S21" s="34">
        <f>IFERROR(IF($U21="",1,INDEX(Deals!$V$2:$V$355,MATCH($C21,Deals!$A$2:$A$355,0))),1)</f>
        <v/>
      </c>
      <c r="T21" s="34">
        <f>IFERROR(IF($U21="",1,INDEX(Deals!$W$2:$W$355,MATCH($C21,Deals!$A$2:$A$355,0))),1)</f>
        <v/>
      </c>
      <c r="U21" s="22">
        <f>IF($C21="","",IFERROR(IF(INDEX(Deals!$Y$2:$Y$355,MATCH($C21,Deals!$A$2:$A$355,0))=0,"",INDEX(Deals!$Y$2:$Y$355,MATCH($C21,Deals!$A$2:$A$355,0))),""))</f>
        <v/>
      </c>
      <c r="V21" s="35">
        <f>IF($U21="",DATE(1900,1,1),$N21)</f>
        <v/>
      </c>
      <c r="W21" s="35">
        <f>IF($U21="",DATE(2100,12,31),$U21)</f>
        <v/>
      </c>
      <c r="X21" s="32">
        <f>IF($U21="",$K21,$K21*$S21)</f>
        <v/>
      </c>
      <c r="Y21" s="35">
        <f>IF($U21="",DATE(2100,12,31),$U21+1)</f>
        <v/>
      </c>
      <c r="Z21" s="35">
        <f>IF($U21="",DATE(1900,1,1),$O21)</f>
        <v/>
      </c>
      <c r="AA21" s="32">
        <f>IF($U21="",0,$K21*$T21)</f>
        <v/>
      </c>
      <c r="AB21" s="21">
        <f>IF($C21="",0,IFERROR(INDEX(Deals!$AD$2:$AD$355,MATCH($C21,Deals!$A$2:$A$355,0)),0))</f>
        <v/>
      </c>
      <c r="AC21" s="32">
        <f>IF(Settings!$B$4="Yes",$I21*$AB21,$I21)</f>
        <v/>
      </c>
      <c r="AD21" s="22">
        <f>IF($C21="","",IFERROR(IF(INDEX(Deals!$AE$2:$AE$355,MATCH($C21,Deals!$A$2:$A$355,0))=0,"",INDEX(Deals!$AE$2:$AE$355,MATCH($C21,Deals!$A$2:$A$355,0))),""))</f>
        <v/>
      </c>
      <c r="AE21" s="22">
        <f>IF($C21="","",IFERROR(IF(INDEX(Deals!$AF$2:$AF$355,MATCH($C21,Deals!$A$2:$A$355,0))=0,"",INDEX(Deals!$AF$2:$AF$355,MATCH($C21,Deals!$A$2:$A$355,0))),""))</f>
        <v/>
      </c>
      <c r="AF21" s="35">
        <f>IF($AD21="",DATE(1900,1,1),$AD21)</f>
        <v/>
      </c>
      <c r="AG21" s="35">
        <f>IF($AE21="",DATE(2100,12,31),$AE21)</f>
        <v/>
      </c>
      <c r="AH21" s="22">
        <f>IF($C21="","",IFERROR(IF(INDEX(Deals!$AG$2:$AG$355,MATCH($C21,Deals!$A$2:$A$355,0))=0,"",INDEX(Deals!$AG$2:$AG$355,MATCH($C21,Deals!$A$2:$A$355,0))),""))</f>
        <v/>
      </c>
      <c r="AI21" s="35">
        <f>IF($AH21="",DATE(1900,1,1),$AF21)</f>
        <v/>
      </c>
      <c r="AJ21" s="35">
        <f>IF($AH21="",DATE(2100,12,31),$AH21)</f>
        <v/>
      </c>
      <c r="AK21" s="32">
        <f>IF($AH21="",$AC21,$AC21*$S21)</f>
        <v/>
      </c>
      <c r="AL21" s="35">
        <f>IF($AH21="",DATE(2100,12,31),$AH21+1)</f>
        <v/>
      </c>
      <c r="AM21" s="35">
        <f>IF($AH21="",DATE(1900,1,1),$AG21)</f>
        <v/>
      </c>
      <c r="AN21" s="32">
        <f>IF($AH21="",0,$AC21*$T21)</f>
        <v/>
      </c>
    </row>
    <row r="22">
      <c r="A22" s="28" t="inlineStr">
        <is>
          <t>Tania</t>
        </is>
      </c>
      <c r="B22" s="16">
        <f>IF($A22="","",IFERROR(INDEX(Roster!$B$2:$B$40,MATCH($A22,Roster!$A$2:$A$40,0)),"?"))</f>
        <v/>
      </c>
      <c r="C22" s="28" t="inlineStr">
        <is>
          <t>Edward_1</t>
        </is>
      </c>
      <c r="D22" s="16">
        <f>IF($C22="","",IFERROR(IF(INDEX(Deals!$C$2:$C$355,MATCH($C22,Deals!$A$2:$A$355,0))=0,"",INDEX(Deals!$C$2:$C$355,MATCH($C22,Deals!$A$2:$A$355,0))),"?"))</f>
        <v/>
      </c>
      <c r="E22" s="16">
        <f>IF($C22="","",IFERROR(INDEX(Deals!$F$2:$F$355,MATCH($C22,Deals!$A$2:$A$355,0)),"?"))</f>
        <v/>
      </c>
      <c r="F22" s="28" t="inlineStr">
        <is>
          <t>Partner</t>
        </is>
      </c>
      <c r="G22" s="28" t="inlineStr">
        <is>
          <t>Inactive</t>
        </is>
      </c>
      <c r="H22" s="31" t="n"/>
      <c r="I22" s="32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1">
        <f>IF($C22="",0,IFERROR(INDEX(Deals!$H$2:$H$355,MATCH($C22,Deals!$A$2:$A$355,0)),0))</f>
        <v/>
      </c>
      <c r="K22" s="32">
        <f>IF(Settings!$B$4="Yes",$I22*$J22,$I22)</f>
        <v/>
      </c>
      <c r="L22" s="22">
        <f>IF($C22="","",IFERROR(IF(INDEX(Deals!$I$2:$I$355,MATCH($C22,Deals!$A$2:$A$355,0))=0,"",INDEX(Deals!$I$2:$I$355,MATCH($C22,Deals!$A$2:$A$355,0))),""))</f>
        <v/>
      </c>
      <c r="M22" s="22">
        <f>IF($C22="","",IFERROR(IF(INDEX(Deals!$J$2:$J$355,MATCH($C22,Deals!$A$2:$A$355,0))=0,"",INDEX(Deals!$J$2:$J$355,MATCH($C22,Deals!$A$2:$A$355,0))),""))</f>
        <v/>
      </c>
      <c r="N22" s="35">
        <f>IF($L22="",DATE(1900,1,1),$L22)</f>
        <v/>
      </c>
      <c r="O22" s="35">
        <f>IF($M22="",DATE(2100,12,31),$M22)</f>
        <v/>
      </c>
      <c r="P22" s="20" t="inlineStr"/>
      <c r="Q22" s="43" t="inlineStr">
        <is>
          <t>Deal lifecycle is Closed</t>
        </is>
      </c>
      <c r="R22" s="16">
        <f>IF($C22="","",IFERROR(IF(INDEX(Deals!$U$2:$U$355,MATCH($C22,Deals!$A$2:$A$355,0))=0,"",INDEX(Deals!$U$2:$U$355,MATCH($C22,Deals!$A$2:$A$355,0))),""))</f>
        <v/>
      </c>
      <c r="S22" s="34">
        <f>IFERROR(IF($U22="",1,INDEX(Deals!$V$2:$V$355,MATCH($C22,Deals!$A$2:$A$355,0))),1)</f>
        <v/>
      </c>
      <c r="T22" s="34">
        <f>IFERROR(IF($U22="",1,INDEX(Deals!$W$2:$W$355,MATCH($C22,Deals!$A$2:$A$355,0))),1)</f>
        <v/>
      </c>
      <c r="U22" s="22">
        <f>IF($C22="","",IFERROR(IF(INDEX(Deals!$Y$2:$Y$355,MATCH($C22,Deals!$A$2:$A$355,0))=0,"",INDEX(Deals!$Y$2:$Y$355,MATCH($C22,Deals!$A$2:$A$355,0))),""))</f>
        <v/>
      </c>
      <c r="V22" s="35">
        <f>IF($U22="",DATE(1900,1,1),$N22)</f>
        <v/>
      </c>
      <c r="W22" s="35">
        <f>IF($U22="",DATE(2100,12,31),$U22)</f>
        <v/>
      </c>
      <c r="X22" s="32">
        <f>IF($U22="",$K22,$K22*$S22)</f>
        <v/>
      </c>
      <c r="Y22" s="35">
        <f>IF($U22="",DATE(2100,12,31),$U22+1)</f>
        <v/>
      </c>
      <c r="Z22" s="35">
        <f>IF($U22="",DATE(1900,1,1),$O22)</f>
        <v/>
      </c>
      <c r="AA22" s="32">
        <f>IF($U22="",0,$K22*$T22)</f>
        <v/>
      </c>
      <c r="AB22" s="21">
        <f>IF($C22="",0,IFERROR(INDEX(Deals!$AD$2:$AD$355,MATCH($C22,Deals!$A$2:$A$355,0)),0))</f>
        <v/>
      </c>
      <c r="AC22" s="32">
        <f>IF(Settings!$B$4="Yes",$I22*$AB22,$I22)</f>
        <v/>
      </c>
      <c r="AD22" s="22">
        <f>IF($C22="","",IFERROR(IF(INDEX(Deals!$AE$2:$AE$355,MATCH($C22,Deals!$A$2:$A$355,0))=0,"",INDEX(Deals!$AE$2:$AE$355,MATCH($C22,Deals!$A$2:$A$355,0))),""))</f>
        <v/>
      </c>
      <c r="AE22" s="22">
        <f>IF($C22="","",IFERROR(IF(INDEX(Deals!$AF$2:$AF$355,MATCH($C22,Deals!$A$2:$A$355,0))=0,"",INDEX(Deals!$AF$2:$AF$355,MATCH($C22,Deals!$A$2:$A$355,0))),""))</f>
        <v/>
      </c>
      <c r="AF22" s="35">
        <f>IF($AD22="",DATE(1900,1,1),$AD22)</f>
        <v/>
      </c>
      <c r="AG22" s="35">
        <f>IF($AE22="",DATE(2100,12,31),$AE22)</f>
        <v/>
      </c>
      <c r="AH22" s="22">
        <f>IF($C22="","",IFERROR(IF(INDEX(Deals!$AG$2:$AG$355,MATCH($C22,Deals!$A$2:$A$355,0))=0,"",INDEX(Deals!$AG$2:$AG$355,MATCH($C22,Deals!$A$2:$A$355,0))),""))</f>
        <v/>
      </c>
      <c r="AI22" s="35">
        <f>IF($AH22="",DATE(1900,1,1),$AF22)</f>
        <v/>
      </c>
      <c r="AJ22" s="35">
        <f>IF($AH22="",DATE(2100,12,31),$AH22)</f>
        <v/>
      </c>
      <c r="AK22" s="32">
        <f>IF($AH22="",$AC22,$AC22*$S22)</f>
        <v/>
      </c>
      <c r="AL22" s="35">
        <f>IF($AH22="",DATE(2100,12,31),$AH22+1)</f>
        <v/>
      </c>
      <c r="AM22" s="35">
        <f>IF($AH22="",DATE(1900,1,1),$AG22)</f>
        <v/>
      </c>
      <c r="AN22" s="32">
        <f>IF($AH22="",0,$AC22*$T22)</f>
        <v/>
      </c>
    </row>
    <row r="23">
      <c r="A23" s="28" t="inlineStr">
        <is>
          <t>Tania</t>
        </is>
      </c>
      <c r="B23" s="16">
        <f>IF($A23="","",IFERROR(INDEX(Roster!$B$2:$B$40,MATCH($A23,Roster!$A$2:$A$40,0)),"?"))</f>
        <v/>
      </c>
      <c r="C23" s="28" t="inlineStr">
        <is>
          <t>FAUME US Expansion_1</t>
        </is>
      </c>
      <c r="D23" s="16">
        <f>IF($C23="","",IFERROR(IF(INDEX(Deals!$C$2:$C$355,MATCH($C23,Deals!$A$2:$A$355,0))=0,"",INDEX(Deals!$C$2:$C$355,MATCH($C23,Deals!$A$2:$A$355,0))),"?"))</f>
        <v/>
      </c>
      <c r="E23" s="16">
        <f>IF($C23="","",IFERROR(INDEX(Deals!$F$2:$F$355,MATCH($C23,Deals!$A$2:$A$355,0)),"?"))</f>
        <v/>
      </c>
      <c r="F23" s="28" t="inlineStr">
        <is>
          <t>Partner</t>
        </is>
      </c>
      <c r="G23" s="28" t="inlineStr">
        <is>
          <t>Active</t>
        </is>
      </c>
      <c r="H23" s="31" t="n"/>
      <c r="I23" s="32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1">
        <f>IF($C23="",0,IFERROR(INDEX(Deals!$H$2:$H$355,MATCH($C23,Deals!$A$2:$A$355,0)),0))</f>
        <v/>
      </c>
      <c r="K23" s="32">
        <f>IF(Settings!$B$4="Yes",$I23*$J23,$I23)</f>
        <v/>
      </c>
      <c r="L23" s="22">
        <f>IF($C23="","",IFERROR(IF(INDEX(Deals!$I$2:$I$355,MATCH($C23,Deals!$A$2:$A$355,0))=0,"",INDEX(Deals!$I$2:$I$355,MATCH($C23,Deals!$A$2:$A$355,0))),""))</f>
        <v/>
      </c>
      <c r="M23" s="22">
        <f>IF($C23="","",IFERROR(IF(INDEX(Deals!$J$2:$J$355,MATCH($C23,Deals!$A$2:$A$355,0))=0,"",INDEX(Deals!$J$2:$J$355,MATCH($C23,Deals!$A$2:$A$355,0))),""))</f>
        <v/>
      </c>
      <c r="N23" s="35">
        <f>IF($L23="",DATE(1900,1,1),$L23)</f>
        <v/>
      </c>
      <c r="O23" s="35">
        <f>IF($M23="",DATE(2100,12,31),$M23)</f>
        <v/>
      </c>
      <c r="P23" s="20" t="inlineStr"/>
      <c r="Q23" s="43" t="inlineStr"/>
      <c r="R23" s="16">
        <f>IF($C23="","",IFERROR(IF(INDEX(Deals!$U$2:$U$355,MATCH($C23,Deals!$A$2:$A$355,0))=0,"",INDEX(Deals!$U$2:$U$355,MATCH($C23,Deals!$A$2:$A$355,0))),""))</f>
        <v/>
      </c>
      <c r="S23" s="34">
        <f>IFERROR(IF($U23="",1,INDEX(Deals!$V$2:$V$355,MATCH($C23,Deals!$A$2:$A$355,0))),1)</f>
        <v/>
      </c>
      <c r="T23" s="34">
        <f>IFERROR(IF($U23="",1,INDEX(Deals!$W$2:$W$355,MATCH($C23,Deals!$A$2:$A$355,0))),1)</f>
        <v/>
      </c>
      <c r="U23" s="22">
        <f>IF($C23="","",IFERROR(IF(INDEX(Deals!$Y$2:$Y$355,MATCH($C23,Deals!$A$2:$A$355,0))=0,"",INDEX(Deals!$Y$2:$Y$355,MATCH($C23,Deals!$A$2:$A$355,0))),""))</f>
        <v/>
      </c>
      <c r="V23" s="35">
        <f>IF($U23="",DATE(1900,1,1),$N23)</f>
        <v/>
      </c>
      <c r="W23" s="35">
        <f>IF($U23="",DATE(2100,12,31),$U23)</f>
        <v/>
      </c>
      <c r="X23" s="32">
        <f>IF($U23="",$K23,$K23*$S23)</f>
        <v/>
      </c>
      <c r="Y23" s="35">
        <f>IF($U23="",DATE(2100,12,31),$U23+1)</f>
        <v/>
      </c>
      <c r="Z23" s="35">
        <f>IF($U23="",DATE(1900,1,1),$O23)</f>
        <v/>
      </c>
      <c r="AA23" s="32">
        <f>IF($U23="",0,$K23*$T23)</f>
        <v/>
      </c>
      <c r="AB23" s="21">
        <f>IF($C23="",0,IFERROR(INDEX(Deals!$AD$2:$AD$355,MATCH($C23,Deals!$A$2:$A$355,0)),0))</f>
        <v/>
      </c>
      <c r="AC23" s="32">
        <f>IF(Settings!$B$4="Yes",$I23*$AB23,$I23)</f>
        <v/>
      </c>
      <c r="AD23" s="22">
        <f>IF($C23="","",IFERROR(IF(INDEX(Deals!$AE$2:$AE$355,MATCH($C23,Deals!$A$2:$A$355,0))=0,"",INDEX(Deals!$AE$2:$AE$355,MATCH($C23,Deals!$A$2:$A$355,0))),""))</f>
        <v/>
      </c>
      <c r="AE23" s="22">
        <f>IF($C23="","",IFERROR(IF(INDEX(Deals!$AF$2:$AF$355,MATCH($C23,Deals!$A$2:$A$355,0))=0,"",INDEX(Deals!$AF$2:$AF$355,MATCH($C23,Deals!$A$2:$A$355,0))),""))</f>
        <v/>
      </c>
      <c r="AF23" s="35">
        <f>IF($AD23="",DATE(1900,1,1),$AD23)</f>
        <v/>
      </c>
      <c r="AG23" s="35">
        <f>IF($AE23="",DATE(2100,12,31),$AE23)</f>
        <v/>
      </c>
      <c r="AH23" s="22">
        <f>IF($C23="","",IFERROR(IF(INDEX(Deals!$AG$2:$AG$355,MATCH($C23,Deals!$A$2:$A$355,0))=0,"",INDEX(Deals!$AG$2:$AG$355,MATCH($C23,Deals!$A$2:$A$355,0))),""))</f>
        <v/>
      </c>
      <c r="AI23" s="35">
        <f>IF($AH23="",DATE(1900,1,1),$AF23)</f>
        <v/>
      </c>
      <c r="AJ23" s="35">
        <f>IF($AH23="",DATE(2100,12,31),$AH23)</f>
        <v/>
      </c>
      <c r="AK23" s="32">
        <f>IF($AH23="",$AC23,$AC23*$S23)</f>
        <v/>
      </c>
      <c r="AL23" s="35">
        <f>IF($AH23="",DATE(2100,12,31),$AH23+1)</f>
        <v/>
      </c>
      <c r="AM23" s="35">
        <f>IF($AH23="",DATE(1900,1,1),$AG23)</f>
        <v/>
      </c>
      <c r="AN23" s="32">
        <f>IF($AH23="",0,$AC23*$T23)</f>
        <v/>
      </c>
    </row>
    <row r="24">
      <c r="A24" s="28" t="inlineStr">
        <is>
          <t>Tania</t>
        </is>
      </c>
      <c r="B24" s="16">
        <f>IF($A24="","",IFERROR(INDEX(Roster!$B$2:$B$40,MATCH($A24,Roster!$A$2:$A$40,0)),"?"))</f>
        <v/>
      </c>
      <c r="C24" s="28" t="inlineStr">
        <is>
          <t>Galaxy_1</t>
        </is>
      </c>
      <c r="D24" s="16">
        <f>IF($C24="","",IFERROR(IF(INDEX(Deals!$C$2:$C$355,MATCH($C24,Deals!$A$2:$A$355,0))=0,"",INDEX(Deals!$C$2:$C$355,MATCH($C24,Deals!$A$2:$A$355,0))),"?"))</f>
        <v/>
      </c>
      <c r="E24" s="16">
        <f>IF($C24="","",IFERROR(INDEX(Deals!$F$2:$F$355,MATCH($C24,Deals!$A$2:$A$355,0)),"?"))</f>
        <v/>
      </c>
      <c r="F24" s="28" t="inlineStr">
        <is>
          <t>Partner</t>
        </is>
      </c>
      <c r="G24" s="28" t="inlineStr">
        <is>
          <t>Active</t>
        </is>
      </c>
      <c r="H24" s="31" t="n"/>
      <c r="I24" s="32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1">
        <f>IF($C24="",0,IFERROR(INDEX(Deals!$H$2:$H$355,MATCH($C24,Deals!$A$2:$A$355,0)),0))</f>
        <v/>
      </c>
      <c r="K24" s="32">
        <f>IF(Settings!$B$4="Yes",$I24*$J24,$I24)</f>
        <v/>
      </c>
      <c r="L24" s="22">
        <f>IF($C24="","",IFERROR(IF(INDEX(Deals!$I$2:$I$355,MATCH($C24,Deals!$A$2:$A$355,0))=0,"",INDEX(Deals!$I$2:$I$355,MATCH($C24,Deals!$A$2:$A$355,0))),""))</f>
        <v/>
      </c>
      <c r="M24" s="22">
        <f>IF($C24="","",IFERROR(IF(INDEX(Deals!$J$2:$J$355,MATCH($C24,Deals!$A$2:$A$355,0))=0,"",INDEX(Deals!$J$2:$J$355,MATCH($C24,Deals!$A$2:$A$355,0))),""))</f>
        <v/>
      </c>
      <c r="N24" s="35">
        <f>IF($L24="",DATE(1900,1,1),$L24)</f>
        <v/>
      </c>
      <c r="O24" s="35">
        <f>IF($M24="",DATE(2100,12,31),$M24)</f>
        <v/>
      </c>
      <c r="P24" s="20" t="inlineStr"/>
      <c r="Q24" s="43" t="inlineStr"/>
      <c r="R24" s="16">
        <f>IF($C24="","",IFERROR(IF(INDEX(Deals!$U$2:$U$355,MATCH($C24,Deals!$A$2:$A$355,0))=0,"",INDEX(Deals!$U$2:$U$355,MATCH($C24,Deals!$A$2:$A$355,0))),""))</f>
        <v/>
      </c>
      <c r="S24" s="34">
        <f>IFERROR(IF($U24="",1,INDEX(Deals!$V$2:$V$355,MATCH($C24,Deals!$A$2:$A$355,0))),1)</f>
        <v/>
      </c>
      <c r="T24" s="34">
        <f>IFERROR(IF($U24="",1,INDEX(Deals!$W$2:$W$355,MATCH($C24,Deals!$A$2:$A$355,0))),1)</f>
        <v/>
      </c>
      <c r="U24" s="22">
        <f>IF($C24="","",IFERROR(IF(INDEX(Deals!$Y$2:$Y$355,MATCH($C24,Deals!$A$2:$A$355,0))=0,"",INDEX(Deals!$Y$2:$Y$355,MATCH($C24,Deals!$A$2:$A$355,0))),""))</f>
        <v/>
      </c>
      <c r="V24" s="35">
        <f>IF($U24="",DATE(1900,1,1),$N24)</f>
        <v/>
      </c>
      <c r="W24" s="35">
        <f>IF($U24="",DATE(2100,12,31),$U24)</f>
        <v/>
      </c>
      <c r="X24" s="32">
        <f>IF($U24="",$K24,$K24*$S24)</f>
        <v/>
      </c>
      <c r="Y24" s="35">
        <f>IF($U24="",DATE(2100,12,31),$U24+1)</f>
        <v/>
      </c>
      <c r="Z24" s="35">
        <f>IF($U24="",DATE(1900,1,1),$O24)</f>
        <v/>
      </c>
      <c r="AA24" s="32">
        <f>IF($U24="",0,$K24*$T24)</f>
        <v/>
      </c>
      <c r="AB24" s="21">
        <f>IF($C24="",0,IFERROR(INDEX(Deals!$AD$2:$AD$355,MATCH($C24,Deals!$A$2:$A$355,0)),0))</f>
        <v/>
      </c>
      <c r="AC24" s="32">
        <f>IF(Settings!$B$4="Yes",$I24*$AB24,$I24)</f>
        <v/>
      </c>
      <c r="AD24" s="22">
        <f>IF($C24="","",IFERROR(IF(INDEX(Deals!$AE$2:$AE$355,MATCH($C24,Deals!$A$2:$A$355,0))=0,"",INDEX(Deals!$AE$2:$AE$355,MATCH($C24,Deals!$A$2:$A$355,0))),""))</f>
        <v/>
      </c>
      <c r="AE24" s="22">
        <f>IF($C24="","",IFERROR(IF(INDEX(Deals!$AF$2:$AF$355,MATCH($C24,Deals!$A$2:$A$355,0))=0,"",INDEX(Deals!$AF$2:$AF$355,MATCH($C24,Deals!$A$2:$A$355,0))),""))</f>
        <v/>
      </c>
      <c r="AF24" s="35">
        <f>IF($AD24="",DATE(1900,1,1),$AD24)</f>
        <v/>
      </c>
      <c r="AG24" s="35">
        <f>IF($AE24="",DATE(2100,12,31),$AE24)</f>
        <v/>
      </c>
      <c r="AH24" s="22">
        <f>IF($C24="","",IFERROR(IF(INDEX(Deals!$AG$2:$AG$355,MATCH($C24,Deals!$A$2:$A$355,0))=0,"",INDEX(Deals!$AG$2:$AG$355,MATCH($C24,Deals!$A$2:$A$355,0))),""))</f>
        <v/>
      </c>
      <c r="AI24" s="35">
        <f>IF($AH24="",DATE(1900,1,1),$AF24)</f>
        <v/>
      </c>
      <c r="AJ24" s="35">
        <f>IF($AH24="",DATE(2100,12,31),$AH24)</f>
        <v/>
      </c>
      <c r="AK24" s="32">
        <f>IF($AH24="",$AC24,$AC24*$S24)</f>
        <v/>
      </c>
      <c r="AL24" s="35">
        <f>IF($AH24="",DATE(2100,12,31),$AH24+1)</f>
        <v/>
      </c>
      <c r="AM24" s="35">
        <f>IF($AH24="",DATE(1900,1,1),$AG24)</f>
        <v/>
      </c>
      <c r="AN24" s="32">
        <f>IF($AH24="",0,$AC24*$T24)</f>
        <v/>
      </c>
    </row>
    <row r="25">
      <c r="A25" s="28" t="inlineStr">
        <is>
          <t>Tania</t>
        </is>
      </c>
      <c r="B25" s="16">
        <f>IF($A25="","",IFERROR(INDEX(Roster!$B$2:$B$40,MATCH($A25,Roster!$A$2:$A$40,0)),"?"))</f>
        <v/>
      </c>
      <c r="C25" s="28" t="inlineStr">
        <is>
          <t>Gemini</t>
        </is>
      </c>
      <c r="D25" s="16">
        <f>IF($C25="","",IFERROR(IF(INDEX(Deals!$C$2:$C$355,MATCH($C25,Deals!$A$2:$A$355,0))=0,"",INDEX(Deals!$C$2:$C$355,MATCH($C25,Deals!$A$2:$A$355,0))),"?"))</f>
        <v/>
      </c>
      <c r="E25" s="16">
        <f>IF($C25="","",IFERROR(INDEX(Deals!$F$2:$F$355,MATCH($C25,Deals!$A$2:$A$355,0)),"?"))</f>
        <v/>
      </c>
      <c r="F25" s="28" t="inlineStr">
        <is>
          <t>Partner</t>
        </is>
      </c>
      <c r="G25" s="28" t="inlineStr">
        <is>
          <t>Active</t>
        </is>
      </c>
      <c r="H25" s="31" t="n"/>
      <c r="I25" s="32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1">
        <f>IF($C25="",0,IFERROR(INDEX(Deals!$H$2:$H$355,MATCH($C25,Deals!$A$2:$A$355,0)),0))</f>
        <v/>
      </c>
      <c r="K25" s="32">
        <f>IF(Settings!$B$4="Yes",$I25*$J25,$I25)</f>
        <v/>
      </c>
      <c r="L25" s="22">
        <f>IF($C25="","",IFERROR(IF(INDEX(Deals!$I$2:$I$355,MATCH($C25,Deals!$A$2:$A$355,0))=0,"",INDEX(Deals!$I$2:$I$355,MATCH($C25,Deals!$A$2:$A$355,0))),""))</f>
        <v/>
      </c>
      <c r="M25" s="22">
        <f>IF($C25="","",IFERROR(IF(INDEX(Deals!$J$2:$J$355,MATCH($C25,Deals!$A$2:$A$355,0))=0,"",INDEX(Deals!$J$2:$J$355,MATCH($C25,Deals!$A$2:$A$355,0))),""))</f>
        <v/>
      </c>
      <c r="N25" s="35">
        <f>IF($L25="",DATE(1900,1,1),$L25)</f>
        <v/>
      </c>
      <c r="O25" s="35">
        <f>IF($M25="",DATE(2100,12,31),$M25)</f>
        <v/>
      </c>
      <c r="P25" s="20" t="inlineStr"/>
      <c r="Q25" s="43" t="inlineStr"/>
      <c r="R25" s="16">
        <f>IF($C25="","",IFERROR(IF(INDEX(Deals!$U$2:$U$355,MATCH($C25,Deals!$A$2:$A$355,0))=0,"",INDEX(Deals!$U$2:$U$355,MATCH($C25,Deals!$A$2:$A$355,0))),""))</f>
        <v/>
      </c>
      <c r="S25" s="34">
        <f>IFERROR(IF($U25="",1,INDEX(Deals!$V$2:$V$355,MATCH($C25,Deals!$A$2:$A$355,0))),1)</f>
        <v/>
      </c>
      <c r="T25" s="34">
        <f>IFERROR(IF($U25="",1,INDEX(Deals!$W$2:$W$355,MATCH($C25,Deals!$A$2:$A$355,0))),1)</f>
        <v/>
      </c>
      <c r="U25" s="22">
        <f>IF($C25="","",IFERROR(IF(INDEX(Deals!$Y$2:$Y$355,MATCH($C25,Deals!$A$2:$A$355,0))=0,"",INDEX(Deals!$Y$2:$Y$355,MATCH($C25,Deals!$A$2:$A$355,0))),""))</f>
        <v/>
      </c>
      <c r="V25" s="35">
        <f>IF($U25="",DATE(1900,1,1),$N25)</f>
        <v/>
      </c>
      <c r="W25" s="35">
        <f>IF($U25="",DATE(2100,12,31),$U25)</f>
        <v/>
      </c>
      <c r="X25" s="32">
        <f>IF($U25="",$K25,$K25*$S25)</f>
        <v/>
      </c>
      <c r="Y25" s="35">
        <f>IF($U25="",DATE(2100,12,31),$U25+1)</f>
        <v/>
      </c>
      <c r="Z25" s="35">
        <f>IF($U25="",DATE(1900,1,1),$O25)</f>
        <v/>
      </c>
      <c r="AA25" s="32">
        <f>IF($U25="",0,$K25*$T25)</f>
        <v/>
      </c>
      <c r="AB25" s="21">
        <f>IF($C25="",0,IFERROR(INDEX(Deals!$AD$2:$AD$355,MATCH($C25,Deals!$A$2:$A$355,0)),0))</f>
        <v/>
      </c>
      <c r="AC25" s="32">
        <f>IF(Settings!$B$4="Yes",$I25*$AB25,$I25)</f>
        <v/>
      </c>
      <c r="AD25" s="22">
        <f>IF($C25="","",IFERROR(IF(INDEX(Deals!$AE$2:$AE$355,MATCH($C25,Deals!$A$2:$A$355,0))=0,"",INDEX(Deals!$AE$2:$AE$355,MATCH($C25,Deals!$A$2:$A$355,0))),""))</f>
        <v/>
      </c>
      <c r="AE25" s="22">
        <f>IF($C25="","",IFERROR(IF(INDEX(Deals!$AF$2:$AF$355,MATCH($C25,Deals!$A$2:$A$355,0))=0,"",INDEX(Deals!$AF$2:$AF$355,MATCH($C25,Deals!$A$2:$A$355,0))),""))</f>
        <v/>
      </c>
      <c r="AF25" s="35">
        <f>IF($AD25="",DATE(1900,1,1),$AD25)</f>
        <v/>
      </c>
      <c r="AG25" s="35">
        <f>IF($AE25="",DATE(2100,12,31),$AE25)</f>
        <v/>
      </c>
      <c r="AH25" s="22">
        <f>IF($C25="","",IFERROR(IF(INDEX(Deals!$AG$2:$AG$355,MATCH($C25,Deals!$A$2:$A$355,0))=0,"",INDEX(Deals!$AG$2:$AG$355,MATCH($C25,Deals!$A$2:$A$355,0))),""))</f>
        <v/>
      </c>
      <c r="AI25" s="35">
        <f>IF($AH25="",DATE(1900,1,1),$AF25)</f>
        <v/>
      </c>
      <c r="AJ25" s="35">
        <f>IF($AH25="",DATE(2100,12,31),$AH25)</f>
        <v/>
      </c>
      <c r="AK25" s="32">
        <f>IF($AH25="",$AC25,$AC25*$S25)</f>
        <v/>
      </c>
      <c r="AL25" s="35">
        <f>IF($AH25="",DATE(2100,12,31),$AH25+1)</f>
        <v/>
      </c>
      <c r="AM25" s="35">
        <f>IF($AH25="",DATE(1900,1,1),$AG25)</f>
        <v/>
      </c>
      <c r="AN25" s="32">
        <f>IF($AH25="",0,$AC25*$T25)</f>
        <v/>
      </c>
    </row>
    <row r="26">
      <c r="A26" s="28" t="inlineStr">
        <is>
          <t>Tania</t>
        </is>
      </c>
      <c r="B26" s="16">
        <f>IF($A26="","",IFERROR(INDEX(Roster!$B$2:$B$40,MATCH($A26,Roster!$A$2:$A$40,0)),"?"))</f>
        <v/>
      </c>
      <c r="C26" s="28" t="inlineStr">
        <is>
          <t>Goose_2</t>
        </is>
      </c>
      <c r="D26" s="16">
        <f>IF($C26="","",IFERROR(IF(INDEX(Deals!$C$2:$C$355,MATCH($C26,Deals!$A$2:$A$355,0))=0,"",INDEX(Deals!$C$2:$C$355,MATCH($C26,Deals!$A$2:$A$355,0))),"?"))</f>
        <v/>
      </c>
      <c r="E26" s="16">
        <f>IF($C26="","",IFERROR(INDEX(Deals!$F$2:$F$355,MATCH($C26,Deals!$A$2:$A$355,0)),"?"))</f>
        <v/>
      </c>
      <c r="F26" s="28" t="inlineStr">
        <is>
          <t>Partner</t>
        </is>
      </c>
      <c r="G26" s="28" t="inlineStr">
        <is>
          <t>Active</t>
        </is>
      </c>
      <c r="H26" s="31" t="n"/>
      <c r="I26" s="32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1">
        <f>IF($C26="",0,IFERROR(INDEX(Deals!$H$2:$H$355,MATCH($C26,Deals!$A$2:$A$355,0)),0))</f>
        <v/>
      </c>
      <c r="K26" s="32">
        <f>IF(Settings!$B$4="Yes",$I26*$J26,$I26)</f>
        <v/>
      </c>
      <c r="L26" s="22">
        <f>IF($C26="","",IFERROR(IF(INDEX(Deals!$I$2:$I$355,MATCH($C26,Deals!$A$2:$A$355,0))=0,"",INDEX(Deals!$I$2:$I$355,MATCH($C26,Deals!$A$2:$A$355,0))),""))</f>
        <v/>
      </c>
      <c r="M26" s="22">
        <f>IF($C26="","",IFERROR(IF(INDEX(Deals!$J$2:$J$355,MATCH($C26,Deals!$A$2:$A$355,0))=0,"",INDEX(Deals!$J$2:$J$355,MATCH($C26,Deals!$A$2:$A$355,0))),""))</f>
        <v/>
      </c>
      <c r="N26" s="35">
        <f>IF($L26="",DATE(1900,1,1),$L26)</f>
        <v/>
      </c>
      <c r="O26" s="35">
        <f>IF($M26="",DATE(2100,12,31),$M26)</f>
        <v/>
      </c>
      <c r="P26" s="20" t="inlineStr"/>
      <c r="Q26" s="43" t="inlineStr"/>
      <c r="R26" s="16">
        <f>IF($C26="","",IFERROR(IF(INDEX(Deals!$U$2:$U$355,MATCH($C26,Deals!$A$2:$A$355,0))=0,"",INDEX(Deals!$U$2:$U$355,MATCH($C26,Deals!$A$2:$A$355,0))),""))</f>
        <v/>
      </c>
      <c r="S26" s="34">
        <f>IFERROR(IF($U26="",1,INDEX(Deals!$V$2:$V$355,MATCH($C26,Deals!$A$2:$A$355,0))),1)</f>
        <v/>
      </c>
      <c r="T26" s="34">
        <f>IFERROR(IF($U26="",1,INDEX(Deals!$W$2:$W$355,MATCH($C26,Deals!$A$2:$A$355,0))),1)</f>
        <v/>
      </c>
      <c r="U26" s="22">
        <f>IF($C26="","",IFERROR(IF(INDEX(Deals!$Y$2:$Y$355,MATCH($C26,Deals!$A$2:$A$355,0))=0,"",INDEX(Deals!$Y$2:$Y$355,MATCH($C26,Deals!$A$2:$A$355,0))),""))</f>
        <v/>
      </c>
      <c r="V26" s="35">
        <f>IF($U26="",DATE(1900,1,1),$N26)</f>
        <v/>
      </c>
      <c r="W26" s="35">
        <f>IF($U26="",DATE(2100,12,31),$U26)</f>
        <v/>
      </c>
      <c r="X26" s="32">
        <f>IF($U26="",$K26,$K26*$S26)</f>
        <v/>
      </c>
      <c r="Y26" s="35">
        <f>IF($U26="",DATE(2100,12,31),$U26+1)</f>
        <v/>
      </c>
      <c r="Z26" s="35">
        <f>IF($U26="",DATE(1900,1,1),$O26)</f>
        <v/>
      </c>
      <c r="AA26" s="32">
        <f>IF($U26="",0,$K26*$T26)</f>
        <v/>
      </c>
      <c r="AB26" s="21">
        <f>IF($C26="",0,IFERROR(INDEX(Deals!$AD$2:$AD$355,MATCH($C26,Deals!$A$2:$A$355,0)),0))</f>
        <v/>
      </c>
      <c r="AC26" s="32">
        <f>IF(Settings!$B$4="Yes",$I26*$AB26,$I26)</f>
        <v/>
      </c>
      <c r="AD26" s="22">
        <f>IF($C26="","",IFERROR(IF(INDEX(Deals!$AE$2:$AE$355,MATCH($C26,Deals!$A$2:$A$355,0))=0,"",INDEX(Deals!$AE$2:$AE$355,MATCH($C26,Deals!$A$2:$A$355,0))),""))</f>
        <v/>
      </c>
      <c r="AE26" s="22">
        <f>IF($C26="","",IFERROR(IF(INDEX(Deals!$AF$2:$AF$355,MATCH($C26,Deals!$A$2:$A$355,0))=0,"",INDEX(Deals!$AF$2:$AF$355,MATCH($C26,Deals!$A$2:$A$355,0))),""))</f>
        <v/>
      </c>
      <c r="AF26" s="35">
        <f>IF($AD26="",DATE(1900,1,1),$AD26)</f>
        <v/>
      </c>
      <c r="AG26" s="35">
        <f>IF($AE26="",DATE(2100,12,31),$AE26)</f>
        <v/>
      </c>
      <c r="AH26" s="22">
        <f>IF($C26="","",IFERROR(IF(INDEX(Deals!$AG$2:$AG$355,MATCH($C26,Deals!$A$2:$A$355,0))=0,"",INDEX(Deals!$AG$2:$AG$355,MATCH($C26,Deals!$A$2:$A$355,0))),""))</f>
        <v/>
      </c>
      <c r="AI26" s="35">
        <f>IF($AH26="",DATE(1900,1,1),$AF26)</f>
        <v/>
      </c>
      <c r="AJ26" s="35">
        <f>IF($AH26="",DATE(2100,12,31),$AH26)</f>
        <v/>
      </c>
      <c r="AK26" s="32">
        <f>IF($AH26="",$AC26,$AC26*$S26)</f>
        <v/>
      </c>
      <c r="AL26" s="35">
        <f>IF($AH26="",DATE(2100,12,31),$AH26+1)</f>
        <v/>
      </c>
      <c r="AM26" s="35">
        <f>IF($AH26="",DATE(1900,1,1),$AG26)</f>
        <v/>
      </c>
      <c r="AN26" s="32">
        <f>IF($AH26="",0,$AC26*$T26)</f>
        <v/>
      </c>
    </row>
    <row r="27">
      <c r="A27" s="28" t="inlineStr">
        <is>
          <t>Tania</t>
        </is>
      </c>
      <c r="B27" s="16">
        <f>IF($A27="","",IFERROR(INDEX(Roster!$B$2:$B$40,MATCH($A27,Roster!$A$2:$A$40,0)),"?"))</f>
        <v/>
      </c>
      <c r="C27" s="28" t="inlineStr">
        <is>
          <t>Maple_4</t>
        </is>
      </c>
      <c r="D27" s="16">
        <f>IF($C27="","",IFERROR(IF(INDEX(Deals!$C$2:$C$355,MATCH($C27,Deals!$A$2:$A$355,0))=0,"",INDEX(Deals!$C$2:$C$355,MATCH($C27,Deals!$A$2:$A$355,0))),"?"))</f>
        <v/>
      </c>
      <c r="E27" s="16">
        <f>IF($C27="","",IFERROR(INDEX(Deals!$F$2:$F$355,MATCH($C27,Deals!$A$2:$A$355,0)),"?"))</f>
        <v/>
      </c>
      <c r="F27" s="28" t="inlineStr">
        <is>
          <t>Partner</t>
        </is>
      </c>
      <c r="G27" s="28" t="inlineStr">
        <is>
          <t>Active</t>
        </is>
      </c>
      <c r="H27" s="31" t="n"/>
      <c r="I27" s="32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1">
        <f>IF($C27="",0,IFERROR(INDEX(Deals!$H$2:$H$355,MATCH($C27,Deals!$A$2:$A$355,0)),0))</f>
        <v/>
      </c>
      <c r="K27" s="32">
        <f>IF(Settings!$B$4="Yes",$I27*$J27,$I27)</f>
        <v/>
      </c>
      <c r="L27" s="22">
        <f>IF($C27="","",IFERROR(IF(INDEX(Deals!$I$2:$I$355,MATCH($C27,Deals!$A$2:$A$355,0))=0,"",INDEX(Deals!$I$2:$I$355,MATCH($C27,Deals!$A$2:$A$355,0))),""))</f>
        <v/>
      </c>
      <c r="M27" s="22">
        <f>IF($C27="","",IFERROR(IF(INDEX(Deals!$J$2:$J$355,MATCH($C27,Deals!$A$2:$A$355,0))=0,"",INDEX(Deals!$J$2:$J$355,MATCH($C27,Deals!$A$2:$A$355,0))),""))</f>
        <v/>
      </c>
      <c r="N27" s="35">
        <f>IF($L27="",DATE(1900,1,1),$L27)</f>
        <v/>
      </c>
      <c r="O27" s="35">
        <f>IF($M27="",DATE(2100,12,31),$M27)</f>
        <v/>
      </c>
      <c r="P27" s="20" t="inlineStr"/>
      <c r="Q27" s="43" t="inlineStr"/>
      <c r="R27" s="16">
        <f>IF($C27="","",IFERROR(IF(INDEX(Deals!$U$2:$U$355,MATCH($C27,Deals!$A$2:$A$355,0))=0,"",INDEX(Deals!$U$2:$U$355,MATCH($C27,Deals!$A$2:$A$355,0))),""))</f>
        <v/>
      </c>
      <c r="S27" s="34">
        <f>IFERROR(IF($U27="",1,INDEX(Deals!$V$2:$V$355,MATCH($C27,Deals!$A$2:$A$355,0))),1)</f>
        <v/>
      </c>
      <c r="T27" s="34">
        <f>IFERROR(IF($U27="",1,INDEX(Deals!$W$2:$W$355,MATCH($C27,Deals!$A$2:$A$355,0))),1)</f>
        <v/>
      </c>
      <c r="U27" s="22">
        <f>IF($C27="","",IFERROR(IF(INDEX(Deals!$Y$2:$Y$355,MATCH($C27,Deals!$A$2:$A$355,0))=0,"",INDEX(Deals!$Y$2:$Y$355,MATCH($C27,Deals!$A$2:$A$355,0))),""))</f>
        <v/>
      </c>
      <c r="V27" s="35">
        <f>IF($U27="",DATE(1900,1,1),$N27)</f>
        <v/>
      </c>
      <c r="W27" s="35">
        <f>IF($U27="",DATE(2100,12,31),$U27)</f>
        <v/>
      </c>
      <c r="X27" s="32">
        <f>IF($U27="",$K27,$K27*$S27)</f>
        <v/>
      </c>
      <c r="Y27" s="35">
        <f>IF($U27="",DATE(2100,12,31),$U27+1)</f>
        <v/>
      </c>
      <c r="Z27" s="35">
        <f>IF($U27="",DATE(1900,1,1),$O27)</f>
        <v/>
      </c>
      <c r="AA27" s="32">
        <f>IF($U27="",0,$K27*$T27)</f>
        <v/>
      </c>
      <c r="AB27" s="21">
        <f>IF($C27="",0,IFERROR(INDEX(Deals!$AD$2:$AD$355,MATCH($C27,Deals!$A$2:$A$355,0)),0))</f>
        <v/>
      </c>
      <c r="AC27" s="32">
        <f>IF(Settings!$B$4="Yes",$I27*$AB27,$I27)</f>
        <v/>
      </c>
      <c r="AD27" s="22">
        <f>IF($C27="","",IFERROR(IF(INDEX(Deals!$AE$2:$AE$355,MATCH($C27,Deals!$A$2:$A$355,0))=0,"",INDEX(Deals!$AE$2:$AE$355,MATCH($C27,Deals!$A$2:$A$355,0))),""))</f>
        <v/>
      </c>
      <c r="AE27" s="22">
        <f>IF($C27="","",IFERROR(IF(INDEX(Deals!$AF$2:$AF$355,MATCH($C27,Deals!$A$2:$A$355,0))=0,"",INDEX(Deals!$AF$2:$AF$355,MATCH($C27,Deals!$A$2:$A$355,0))),""))</f>
        <v/>
      </c>
      <c r="AF27" s="35">
        <f>IF($AD27="",DATE(1900,1,1),$AD27)</f>
        <v/>
      </c>
      <c r="AG27" s="35">
        <f>IF($AE27="",DATE(2100,12,31),$AE27)</f>
        <v/>
      </c>
      <c r="AH27" s="22">
        <f>IF($C27="","",IFERROR(IF(INDEX(Deals!$AG$2:$AG$355,MATCH($C27,Deals!$A$2:$A$355,0))=0,"",INDEX(Deals!$AG$2:$AG$355,MATCH($C27,Deals!$A$2:$A$355,0))),""))</f>
        <v/>
      </c>
      <c r="AI27" s="35">
        <f>IF($AH27="",DATE(1900,1,1),$AF27)</f>
        <v/>
      </c>
      <c r="AJ27" s="35">
        <f>IF($AH27="",DATE(2100,12,31),$AH27)</f>
        <v/>
      </c>
      <c r="AK27" s="32">
        <f>IF($AH27="",$AC27,$AC27*$S27)</f>
        <v/>
      </c>
      <c r="AL27" s="35">
        <f>IF($AH27="",DATE(2100,12,31),$AH27+1)</f>
        <v/>
      </c>
      <c r="AM27" s="35">
        <f>IF($AH27="",DATE(1900,1,1),$AG27)</f>
        <v/>
      </c>
      <c r="AN27" s="32">
        <f>IF($AH27="",0,$AC27*$T27)</f>
        <v/>
      </c>
    </row>
    <row r="28">
      <c r="A28" s="28" t="inlineStr">
        <is>
          <t>Tania</t>
        </is>
      </c>
      <c r="B28" s="16">
        <f>IF($A28="","",IFERROR(INDEX(Roster!$B$2:$B$40,MATCH($A28,Roster!$A$2:$A$40,0)),"?"))</f>
        <v/>
      </c>
      <c r="C28" s="28" t="inlineStr">
        <is>
          <t>Mash_1</t>
        </is>
      </c>
      <c r="D28" s="16">
        <f>IF($C28="","",IFERROR(IF(INDEX(Deals!$C$2:$C$355,MATCH($C28,Deals!$A$2:$A$355,0))=0,"",INDEX(Deals!$C$2:$C$355,MATCH($C28,Deals!$A$2:$A$355,0))),"?"))</f>
        <v/>
      </c>
      <c r="E28" s="16">
        <f>IF($C28="","",IFERROR(INDEX(Deals!$F$2:$F$355,MATCH($C28,Deals!$A$2:$A$355,0)),"?"))</f>
        <v/>
      </c>
      <c r="F28" s="28" t="inlineStr">
        <is>
          <t>Partner</t>
        </is>
      </c>
      <c r="G28" s="28" t="inlineStr">
        <is>
          <t>Active</t>
        </is>
      </c>
      <c r="H28" s="31" t="n"/>
      <c r="I28" s="32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1">
        <f>IF($C28="",0,IFERROR(INDEX(Deals!$H$2:$H$355,MATCH($C28,Deals!$A$2:$A$355,0)),0))</f>
        <v/>
      </c>
      <c r="K28" s="32">
        <f>IF(Settings!$B$4="Yes",$I28*$J28,$I28)</f>
        <v/>
      </c>
      <c r="L28" s="22">
        <f>IF($C28="","",IFERROR(IF(INDEX(Deals!$I$2:$I$355,MATCH($C28,Deals!$A$2:$A$355,0))=0,"",INDEX(Deals!$I$2:$I$355,MATCH($C28,Deals!$A$2:$A$355,0))),""))</f>
        <v/>
      </c>
      <c r="M28" s="22">
        <f>IF($C28="","",IFERROR(IF(INDEX(Deals!$J$2:$J$355,MATCH($C28,Deals!$A$2:$A$355,0))=0,"",INDEX(Deals!$J$2:$J$355,MATCH($C28,Deals!$A$2:$A$355,0))),""))</f>
        <v/>
      </c>
      <c r="N28" s="35">
        <f>IF($L28="",DATE(1900,1,1),$L28)</f>
        <v/>
      </c>
      <c r="O28" s="35">
        <f>IF($M28="",DATE(2100,12,31),$M28)</f>
        <v/>
      </c>
      <c r="P28" s="20" t="inlineStr"/>
      <c r="Q28" s="43" t="inlineStr"/>
      <c r="R28" s="16">
        <f>IF($C28="","",IFERROR(IF(INDEX(Deals!$U$2:$U$355,MATCH($C28,Deals!$A$2:$A$355,0))=0,"",INDEX(Deals!$U$2:$U$355,MATCH($C28,Deals!$A$2:$A$355,0))),""))</f>
        <v/>
      </c>
      <c r="S28" s="34">
        <f>IFERROR(IF($U28="",1,INDEX(Deals!$V$2:$V$355,MATCH($C28,Deals!$A$2:$A$355,0))),1)</f>
        <v/>
      </c>
      <c r="T28" s="34">
        <f>IFERROR(IF($U28="",1,INDEX(Deals!$W$2:$W$355,MATCH($C28,Deals!$A$2:$A$355,0))),1)</f>
        <v/>
      </c>
      <c r="U28" s="22">
        <f>IF($C28="","",IFERROR(IF(INDEX(Deals!$Y$2:$Y$355,MATCH($C28,Deals!$A$2:$A$355,0))=0,"",INDEX(Deals!$Y$2:$Y$355,MATCH($C28,Deals!$A$2:$A$355,0))),""))</f>
        <v/>
      </c>
      <c r="V28" s="35">
        <f>IF($U28="",DATE(1900,1,1),$N28)</f>
        <v/>
      </c>
      <c r="W28" s="35">
        <f>IF($U28="",DATE(2100,12,31),$U28)</f>
        <v/>
      </c>
      <c r="X28" s="32">
        <f>IF($U28="",$K28,$K28*$S28)</f>
        <v/>
      </c>
      <c r="Y28" s="35">
        <f>IF($U28="",DATE(2100,12,31),$U28+1)</f>
        <v/>
      </c>
      <c r="Z28" s="35">
        <f>IF($U28="",DATE(1900,1,1),$O28)</f>
        <v/>
      </c>
      <c r="AA28" s="32">
        <f>IF($U28="",0,$K28*$T28)</f>
        <v/>
      </c>
      <c r="AB28" s="21">
        <f>IF($C28="",0,IFERROR(INDEX(Deals!$AD$2:$AD$355,MATCH($C28,Deals!$A$2:$A$355,0)),0))</f>
        <v/>
      </c>
      <c r="AC28" s="32">
        <f>IF(Settings!$B$4="Yes",$I28*$AB28,$I28)</f>
        <v/>
      </c>
      <c r="AD28" s="22">
        <f>IF($C28="","",IFERROR(IF(INDEX(Deals!$AE$2:$AE$355,MATCH($C28,Deals!$A$2:$A$355,0))=0,"",INDEX(Deals!$AE$2:$AE$355,MATCH($C28,Deals!$A$2:$A$355,0))),""))</f>
        <v/>
      </c>
      <c r="AE28" s="22">
        <f>IF($C28="","",IFERROR(IF(INDEX(Deals!$AF$2:$AF$355,MATCH($C28,Deals!$A$2:$A$355,0))=0,"",INDEX(Deals!$AF$2:$AF$355,MATCH($C28,Deals!$A$2:$A$355,0))),""))</f>
        <v/>
      </c>
      <c r="AF28" s="35">
        <f>IF($AD28="",DATE(1900,1,1),$AD28)</f>
        <v/>
      </c>
      <c r="AG28" s="35">
        <f>IF($AE28="",DATE(2100,12,31),$AE28)</f>
        <v/>
      </c>
      <c r="AH28" s="22">
        <f>IF($C28="","",IFERROR(IF(INDEX(Deals!$AG$2:$AG$355,MATCH($C28,Deals!$A$2:$A$355,0))=0,"",INDEX(Deals!$AG$2:$AG$355,MATCH($C28,Deals!$A$2:$A$355,0))),""))</f>
        <v/>
      </c>
      <c r="AI28" s="35">
        <f>IF($AH28="",DATE(1900,1,1),$AF28)</f>
        <v/>
      </c>
      <c r="AJ28" s="35">
        <f>IF($AH28="",DATE(2100,12,31),$AH28)</f>
        <v/>
      </c>
      <c r="AK28" s="32">
        <f>IF($AH28="",$AC28,$AC28*$S28)</f>
        <v/>
      </c>
      <c r="AL28" s="35">
        <f>IF($AH28="",DATE(2100,12,31),$AH28+1)</f>
        <v/>
      </c>
      <c r="AM28" s="35">
        <f>IF($AH28="",DATE(1900,1,1),$AG28)</f>
        <v/>
      </c>
      <c r="AN28" s="32">
        <f>IF($AH28="",0,$AC28*$T28)</f>
        <v/>
      </c>
    </row>
    <row r="29">
      <c r="A29" s="28" t="inlineStr">
        <is>
          <t>Tania</t>
        </is>
      </c>
      <c r="B29" s="16">
        <f>IF($A29="","",IFERROR(INDEX(Roster!$B$2:$B$40,MATCH($A29,Roster!$A$2:$A$40,0)),"?"))</f>
        <v/>
      </c>
      <c r="C29" s="28" t="inlineStr">
        <is>
          <t>Mont_1</t>
        </is>
      </c>
      <c r="D29" s="16">
        <f>IF($C29="","",IFERROR(IF(INDEX(Deals!$C$2:$C$355,MATCH($C29,Deals!$A$2:$A$355,0))=0,"",INDEX(Deals!$C$2:$C$355,MATCH($C29,Deals!$A$2:$A$355,0))),"?"))</f>
        <v/>
      </c>
      <c r="E29" s="16">
        <f>IF($C29="","",IFERROR(INDEX(Deals!$F$2:$F$355,MATCH($C29,Deals!$A$2:$A$355,0)),"?"))</f>
        <v/>
      </c>
      <c r="F29" s="28" t="inlineStr">
        <is>
          <t>Partner</t>
        </is>
      </c>
      <c r="G29" s="28" t="inlineStr">
        <is>
          <t>Active</t>
        </is>
      </c>
      <c r="H29" s="31" t="n"/>
      <c r="I29" s="32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1">
        <f>IF($C29="",0,IFERROR(INDEX(Deals!$H$2:$H$355,MATCH($C29,Deals!$A$2:$A$355,0)),0))</f>
        <v/>
      </c>
      <c r="K29" s="32">
        <f>IF(Settings!$B$4="Yes",$I29*$J29,$I29)</f>
        <v/>
      </c>
      <c r="L29" s="22">
        <f>IF($C29="","",IFERROR(IF(INDEX(Deals!$I$2:$I$355,MATCH($C29,Deals!$A$2:$A$355,0))=0,"",INDEX(Deals!$I$2:$I$355,MATCH($C29,Deals!$A$2:$A$355,0))),""))</f>
        <v/>
      </c>
      <c r="M29" s="22">
        <f>IF($C29="","",IFERROR(IF(INDEX(Deals!$J$2:$J$355,MATCH($C29,Deals!$A$2:$A$355,0))=0,"",INDEX(Deals!$J$2:$J$355,MATCH($C29,Deals!$A$2:$A$355,0))),""))</f>
        <v/>
      </c>
      <c r="N29" s="35">
        <f>IF($L29="",DATE(1900,1,1),$L29)</f>
        <v/>
      </c>
      <c r="O29" s="35">
        <f>IF($M29="",DATE(2100,12,31),$M29)</f>
        <v/>
      </c>
      <c r="P29" s="20" t="inlineStr"/>
      <c r="Q29" s="43" t="inlineStr"/>
      <c r="R29" s="16">
        <f>IF($C29="","",IFERROR(IF(INDEX(Deals!$U$2:$U$355,MATCH($C29,Deals!$A$2:$A$355,0))=0,"",INDEX(Deals!$U$2:$U$355,MATCH($C29,Deals!$A$2:$A$355,0))),""))</f>
        <v/>
      </c>
      <c r="S29" s="34">
        <f>IFERROR(IF($U29="",1,INDEX(Deals!$V$2:$V$355,MATCH($C29,Deals!$A$2:$A$355,0))),1)</f>
        <v/>
      </c>
      <c r="T29" s="34">
        <f>IFERROR(IF($U29="",1,INDEX(Deals!$W$2:$W$355,MATCH($C29,Deals!$A$2:$A$355,0))),1)</f>
        <v/>
      </c>
      <c r="U29" s="22">
        <f>IF($C29="","",IFERROR(IF(INDEX(Deals!$Y$2:$Y$355,MATCH($C29,Deals!$A$2:$A$355,0))=0,"",INDEX(Deals!$Y$2:$Y$355,MATCH($C29,Deals!$A$2:$A$355,0))),""))</f>
        <v/>
      </c>
      <c r="V29" s="35">
        <f>IF($U29="",DATE(1900,1,1),$N29)</f>
        <v/>
      </c>
      <c r="W29" s="35">
        <f>IF($U29="",DATE(2100,12,31),$U29)</f>
        <v/>
      </c>
      <c r="X29" s="32">
        <f>IF($U29="",$K29,$K29*$S29)</f>
        <v/>
      </c>
      <c r="Y29" s="35">
        <f>IF($U29="",DATE(2100,12,31),$U29+1)</f>
        <v/>
      </c>
      <c r="Z29" s="35">
        <f>IF($U29="",DATE(1900,1,1),$O29)</f>
        <v/>
      </c>
      <c r="AA29" s="32">
        <f>IF($U29="",0,$K29*$T29)</f>
        <v/>
      </c>
      <c r="AB29" s="21">
        <f>IF($C29="",0,IFERROR(INDEX(Deals!$AD$2:$AD$355,MATCH($C29,Deals!$A$2:$A$355,0)),0))</f>
        <v/>
      </c>
      <c r="AC29" s="32">
        <f>IF(Settings!$B$4="Yes",$I29*$AB29,$I29)</f>
        <v/>
      </c>
      <c r="AD29" s="22">
        <f>IF($C29="","",IFERROR(IF(INDEX(Deals!$AE$2:$AE$355,MATCH($C29,Deals!$A$2:$A$355,0))=0,"",INDEX(Deals!$AE$2:$AE$355,MATCH($C29,Deals!$A$2:$A$355,0))),""))</f>
        <v/>
      </c>
      <c r="AE29" s="22">
        <f>IF($C29="","",IFERROR(IF(INDEX(Deals!$AF$2:$AF$355,MATCH($C29,Deals!$A$2:$A$355,0))=0,"",INDEX(Deals!$AF$2:$AF$355,MATCH($C29,Deals!$A$2:$A$355,0))),""))</f>
        <v/>
      </c>
      <c r="AF29" s="35">
        <f>IF($AD29="",DATE(1900,1,1),$AD29)</f>
        <v/>
      </c>
      <c r="AG29" s="35">
        <f>IF($AE29="",DATE(2100,12,31),$AE29)</f>
        <v/>
      </c>
      <c r="AH29" s="22">
        <f>IF($C29="","",IFERROR(IF(INDEX(Deals!$AG$2:$AG$355,MATCH($C29,Deals!$A$2:$A$355,0))=0,"",INDEX(Deals!$AG$2:$AG$355,MATCH($C29,Deals!$A$2:$A$355,0))),""))</f>
        <v/>
      </c>
      <c r="AI29" s="35">
        <f>IF($AH29="",DATE(1900,1,1),$AF29)</f>
        <v/>
      </c>
      <c r="AJ29" s="35">
        <f>IF($AH29="",DATE(2100,12,31),$AH29)</f>
        <v/>
      </c>
      <c r="AK29" s="32">
        <f>IF($AH29="",$AC29,$AC29*$S29)</f>
        <v/>
      </c>
      <c r="AL29" s="35">
        <f>IF($AH29="",DATE(2100,12,31),$AH29+1)</f>
        <v/>
      </c>
      <c r="AM29" s="35">
        <f>IF($AH29="",DATE(1900,1,1),$AG29)</f>
        <v/>
      </c>
      <c r="AN29" s="32">
        <f>IF($AH29="",0,$AC29*$T29)</f>
        <v/>
      </c>
    </row>
    <row r="30">
      <c r="A30" s="28" t="inlineStr">
        <is>
          <t>Tania</t>
        </is>
      </c>
      <c r="B30" s="16">
        <f>IF($A30="","",IFERROR(INDEX(Roster!$B$2:$B$40,MATCH($A30,Roster!$A$2:$A$40,0)),"?"))</f>
        <v/>
      </c>
      <c r="C30" s="28" t="inlineStr">
        <is>
          <t>Naples_2</t>
        </is>
      </c>
      <c r="D30" s="16">
        <f>IF($C30="","",IFERROR(IF(INDEX(Deals!$C$2:$C$355,MATCH($C30,Deals!$A$2:$A$355,0))=0,"",INDEX(Deals!$C$2:$C$355,MATCH($C30,Deals!$A$2:$A$355,0))),"?"))</f>
        <v/>
      </c>
      <c r="E30" s="16">
        <f>IF($C30="","",IFERROR(INDEX(Deals!$F$2:$F$355,MATCH($C30,Deals!$A$2:$A$355,0)),"?"))</f>
        <v/>
      </c>
      <c r="F30" s="28" t="inlineStr">
        <is>
          <t>Partner</t>
        </is>
      </c>
      <c r="G30" s="28" t="inlineStr">
        <is>
          <t>Active</t>
        </is>
      </c>
      <c r="H30" s="31" t="n"/>
      <c r="I30" s="32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1">
        <f>IF($C30="",0,IFERROR(INDEX(Deals!$H$2:$H$355,MATCH($C30,Deals!$A$2:$A$355,0)),0))</f>
        <v/>
      </c>
      <c r="K30" s="32">
        <f>IF(Settings!$B$4="Yes",$I30*$J30,$I30)</f>
        <v/>
      </c>
      <c r="L30" s="22">
        <f>IF($C30="","",IFERROR(IF(INDEX(Deals!$I$2:$I$355,MATCH($C30,Deals!$A$2:$A$355,0))=0,"",INDEX(Deals!$I$2:$I$355,MATCH($C30,Deals!$A$2:$A$355,0))),""))</f>
        <v/>
      </c>
      <c r="M30" s="22">
        <f>IF($C30="","",IFERROR(IF(INDEX(Deals!$J$2:$J$355,MATCH($C30,Deals!$A$2:$A$355,0))=0,"",INDEX(Deals!$J$2:$J$355,MATCH($C30,Deals!$A$2:$A$355,0))),""))</f>
        <v/>
      </c>
      <c r="N30" s="35">
        <f>IF($L30="",DATE(1900,1,1),$L30)</f>
        <v/>
      </c>
      <c r="O30" s="35">
        <f>IF($M30="",DATE(2100,12,31),$M30)</f>
        <v/>
      </c>
      <c r="P30" s="20" t="inlineStr"/>
      <c r="Q30" s="43" t="inlineStr"/>
      <c r="R30" s="16">
        <f>IF($C30="","",IFERROR(IF(INDEX(Deals!$U$2:$U$355,MATCH($C30,Deals!$A$2:$A$355,0))=0,"",INDEX(Deals!$U$2:$U$355,MATCH($C30,Deals!$A$2:$A$355,0))),""))</f>
        <v/>
      </c>
      <c r="S30" s="34">
        <f>IFERROR(IF($U30="",1,INDEX(Deals!$V$2:$V$355,MATCH($C30,Deals!$A$2:$A$355,0))),1)</f>
        <v/>
      </c>
      <c r="T30" s="34">
        <f>IFERROR(IF($U30="",1,INDEX(Deals!$W$2:$W$355,MATCH($C30,Deals!$A$2:$A$355,0))),1)</f>
        <v/>
      </c>
      <c r="U30" s="22">
        <f>IF($C30="","",IFERROR(IF(INDEX(Deals!$Y$2:$Y$355,MATCH($C30,Deals!$A$2:$A$355,0))=0,"",INDEX(Deals!$Y$2:$Y$355,MATCH($C30,Deals!$A$2:$A$355,0))),""))</f>
        <v/>
      </c>
      <c r="V30" s="35">
        <f>IF($U30="",DATE(1900,1,1),$N30)</f>
        <v/>
      </c>
      <c r="W30" s="35">
        <f>IF($U30="",DATE(2100,12,31),$U30)</f>
        <v/>
      </c>
      <c r="X30" s="32">
        <f>IF($U30="",$K30,$K30*$S30)</f>
        <v/>
      </c>
      <c r="Y30" s="35">
        <f>IF($U30="",DATE(2100,12,31),$U30+1)</f>
        <v/>
      </c>
      <c r="Z30" s="35">
        <f>IF($U30="",DATE(1900,1,1),$O30)</f>
        <v/>
      </c>
      <c r="AA30" s="32">
        <f>IF($U30="",0,$K30*$T30)</f>
        <v/>
      </c>
      <c r="AB30" s="21">
        <f>IF($C30="",0,IFERROR(INDEX(Deals!$AD$2:$AD$355,MATCH($C30,Deals!$A$2:$A$355,0)),0))</f>
        <v/>
      </c>
      <c r="AC30" s="32">
        <f>IF(Settings!$B$4="Yes",$I30*$AB30,$I30)</f>
        <v/>
      </c>
      <c r="AD30" s="22">
        <f>IF($C30="","",IFERROR(IF(INDEX(Deals!$AE$2:$AE$355,MATCH($C30,Deals!$A$2:$A$355,0))=0,"",INDEX(Deals!$AE$2:$AE$355,MATCH($C30,Deals!$A$2:$A$355,0))),""))</f>
        <v/>
      </c>
      <c r="AE30" s="22">
        <f>IF($C30="","",IFERROR(IF(INDEX(Deals!$AF$2:$AF$355,MATCH($C30,Deals!$A$2:$A$355,0))=0,"",INDEX(Deals!$AF$2:$AF$355,MATCH($C30,Deals!$A$2:$A$355,0))),""))</f>
        <v/>
      </c>
      <c r="AF30" s="35">
        <f>IF($AD30="",DATE(1900,1,1),$AD30)</f>
        <v/>
      </c>
      <c r="AG30" s="35">
        <f>IF($AE30="",DATE(2100,12,31),$AE30)</f>
        <v/>
      </c>
      <c r="AH30" s="22">
        <f>IF($C30="","",IFERROR(IF(INDEX(Deals!$AG$2:$AG$355,MATCH($C30,Deals!$A$2:$A$355,0))=0,"",INDEX(Deals!$AG$2:$AG$355,MATCH($C30,Deals!$A$2:$A$355,0))),""))</f>
        <v/>
      </c>
      <c r="AI30" s="35">
        <f>IF($AH30="",DATE(1900,1,1),$AF30)</f>
        <v/>
      </c>
      <c r="AJ30" s="35">
        <f>IF($AH30="",DATE(2100,12,31),$AH30)</f>
        <v/>
      </c>
      <c r="AK30" s="32">
        <f>IF($AH30="",$AC30,$AC30*$S30)</f>
        <v/>
      </c>
      <c r="AL30" s="35">
        <f>IF($AH30="",DATE(2100,12,31),$AH30+1)</f>
        <v/>
      </c>
      <c r="AM30" s="35">
        <f>IF($AH30="",DATE(1900,1,1),$AG30)</f>
        <v/>
      </c>
      <c r="AN30" s="32">
        <f>IF($AH30="",0,$AC30*$T30)</f>
        <v/>
      </c>
    </row>
    <row r="31">
      <c r="A31" s="28" t="inlineStr">
        <is>
          <t>Tania</t>
        </is>
      </c>
      <c r="B31" s="16">
        <f>IF($A31="","",IFERROR(INDEX(Roster!$B$2:$B$40,MATCH($A31,Roster!$A$2:$A$40,0)),"?"))</f>
        <v/>
      </c>
      <c r="C31" s="28" t="inlineStr">
        <is>
          <t>Nemrut_1</t>
        </is>
      </c>
      <c r="D31" s="16">
        <f>IF($C31="","",IFERROR(IF(INDEX(Deals!$C$2:$C$355,MATCH($C31,Deals!$A$2:$A$355,0))=0,"",INDEX(Deals!$C$2:$C$355,MATCH($C31,Deals!$A$2:$A$355,0))),"?"))</f>
        <v/>
      </c>
      <c r="E31" s="16">
        <f>IF($C31="","",IFERROR(INDEX(Deals!$F$2:$F$355,MATCH($C31,Deals!$A$2:$A$355,0)),"?"))</f>
        <v/>
      </c>
      <c r="F31" s="28" t="inlineStr">
        <is>
          <t>Partner</t>
        </is>
      </c>
      <c r="G31" s="28" t="inlineStr">
        <is>
          <t>Active</t>
        </is>
      </c>
      <c r="H31" s="31" t="n"/>
      <c r="I31" s="32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1">
        <f>IF($C31="",0,IFERROR(INDEX(Deals!$H$2:$H$355,MATCH($C31,Deals!$A$2:$A$355,0)),0))</f>
        <v/>
      </c>
      <c r="K31" s="32">
        <f>IF(Settings!$B$4="Yes",$I31*$J31,$I31)</f>
        <v/>
      </c>
      <c r="L31" s="22">
        <f>IF($C31="","",IFERROR(IF(INDEX(Deals!$I$2:$I$355,MATCH($C31,Deals!$A$2:$A$355,0))=0,"",INDEX(Deals!$I$2:$I$355,MATCH($C31,Deals!$A$2:$A$355,0))),""))</f>
        <v/>
      </c>
      <c r="M31" s="22">
        <f>IF($C31="","",IFERROR(IF(INDEX(Deals!$J$2:$J$355,MATCH($C31,Deals!$A$2:$A$355,0))=0,"",INDEX(Deals!$J$2:$J$355,MATCH($C31,Deals!$A$2:$A$355,0))),""))</f>
        <v/>
      </c>
      <c r="N31" s="35">
        <f>IF($L31="",DATE(1900,1,1),$L31)</f>
        <v/>
      </c>
      <c r="O31" s="35">
        <f>IF($M31="",DATE(2100,12,31),$M31)</f>
        <v/>
      </c>
      <c r="P31" s="20" t="inlineStr"/>
      <c r="Q31" s="43" t="inlineStr"/>
      <c r="R31" s="16">
        <f>IF($C31="","",IFERROR(IF(INDEX(Deals!$U$2:$U$355,MATCH($C31,Deals!$A$2:$A$355,0))=0,"",INDEX(Deals!$U$2:$U$355,MATCH($C31,Deals!$A$2:$A$355,0))),""))</f>
        <v/>
      </c>
      <c r="S31" s="34">
        <f>IFERROR(IF($U31="",1,INDEX(Deals!$V$2:$V$355,MATCH($C31,Deals!$A$2:$A$355,0))),1)</f>
        <v/>
      </c>
      <c r="T31" s="34">
        <f>IFERROR(IF($U31="",1,INDEX(Deals!$W$2:$W$355,MATCH($C31,Deals!$A$2:$A$355,0))),1)</f>
        <v/>
      </c>
      <c r="U31" s="22">
        <f>IF($C31="","",IFERROR(IF(INDEX(Deals!$Y$2:$Y$355,MATCH($C31,Deals!$A$2:$A$355,0))=0,"",INDEX(Deals!$Y$2:$Y$355,MATCH($C31,Deals!$A$2:$A$355,0))),""))</f>
        <v/>
      </c>
      <c r="V31" s="35">
        <f>IF($U31="",DATE(1900,1,1),$N31)</f>
        <v/>
      </c>
      <c r="W31" s="35">
        <f>IF($U31="",DATE(2100,12,31),$U31)</f>
        <v/>
      </c>
      <c r="X31" s="32">
        <f>IF($U31="",$K31,$K31*$S31)</f>
        <v/>
      </c>
      <c r="Y31" s="35">
        <f>IF($U31="",DATE(2100,12,31),$U31+1)</f>
        <v/>
      </c>
      <c r="Z31" s="35">
        <f>IF($U31="",DATE(1900,1,1),$O31)</f>
        <v/>
      </c>
      <c r="AA31" s="32">
        <f>IF($U31="",0,$K31*$T31)</f>
        <v/>
      </c>
      <c r="AB31" s="21">
        <f>IF($C31="",0,IFERROR(INDEX(Deals!$AD$2:$AD$355,MATCH($C31,Deals!$A$2:$A$355,0)),0))</f>
        <v/>
      </c>
      <c r="AC31" s="32">
        <f>IF(Settings!$B$4="Yes",$I31*$AB31,$I31)</f>
        <v/>
      </c>
      <c r="AD31" s="22">
        <f>IF($C31="","",IFERROR(IF(INDEX(Deals!$AE$2:$AE$355,MATCH($C31,Deals!$A$2:$A$355,0))=0,"",INDEX(Deals!$AE$2:$AE$355,MATCH($C31,Deals!$A$2:$A$355,0))),""))</f>
        <v/>
      </c>
      <c r="AE31" s="22">
        <f>IF($C31="","",IFERROR(IF(INDEX(Deals!$AF$2:$AF$355,MATCH($C31,Deals!$A$2:$A$355,0))=0,"",INDEX(Deals!$AF$2:$AF$355,MATCH($C31,Deals!$A$2:$A$355,0))),""))</f>
        <v/>
      </c>
      <c r="AF31" s="35">
        <f>IF($AD31="",DATE(1900,1,1),$AD31)</f>
        <v/>
      </c>
      <c r="AG31" s="35">
        <f>IF($AE31="",DATE(2100,12,31),$AE31)</f>
        <v/>
      </c>
      <c r="AH31" s="22">
        <f>IF($C31="","",IFERROR(IF(INDEX(Deals!$AG$2:$AG$355,MATCH($C31,Deals!$A$2:$A$355,0))=0,"",INDEX(Deals!$AG$2:$AG$355,MATCH($C31,Deals!$A$2:$A$355,0))),""))</f>
        <v/>
      </c>
      <c r="AI31" s="35">
        <f>IF($AH31="",DATE(1900,1,1),$AF31)</f>
        <v/>
      </c>
      <c r="AJ31" s="35">
        <f>IF($AH31="",DATE(2100,12,31),$AH31)</f>
        <v/>
      </c>
      <c r="AK31" s="32">
        <f>IF($AH31="",$AC31,$AC31*$S31)</f>
        <v/>
      </c>
      <c r="AL31" s="35">
        <f>IF($AH31="",DATE(2100,12,31),$AH31+1)</f>
        <v/>
      </c>
      <c r="AM31" s="35">
        <f>IF($AH31="",DATE(1900,1,1),$AG31)</f>
        <v/>
      </c>
      <c r="AN31" s="32">
        <f>IF($AH31="",0,$AC31*$T31)</f>
        <v/>
      </c>
    </row>
    <row r="32">
      <c r="A32" s="28" t="inlineStr">
        <is>
          <t>Tania</t>
        </is>
      </c>
      <c r="B32" s="16">
        <f>IF($A32="","",IFERROR(INDEX(Roster!$B$2:$B$40,MATCH($A32,Roster!$A$2:$A$40,0)),"?"))</f>
        <v/>
      </c>
      <c r="C32" s="28" t="inlineStr">
        <is>
          <t>NXT Add_1</t>
        </is>
      </c>
      <c r="D32" s="16">
        <f>IF($C32="","",IFERROR(IF(INDEX(Deals!$C$2:$C$355,MATCH($C32,Deals!$A$2:$A$355,0))=0,"",INDEX(Deals!$C$2:$C$355,MATCH($C32,Deals!$A$2:$A$355,0))),"?"))</f>
        <v/>
      </c>
      <c r="E32" s="16">
        <f>IF($C32="","",IFERROR(INDEX(Deals!$F$2:$F$355,MATCH($C32,Deals!$A$2:$A$355,0)),"?"))</f>
        <v/>
      </c>
      <c r="F32" s="28" t="inlineStr">
        <is>
          <t>Partner</t>
        </is>
      </c>
      <c r="G32" s="28" t="inlineStr">
        <is>
          <t>Active</t>
        </is>
      </c>
      <c r="H32" s="31" t="n"/>
      <c r="I32" s="32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1">
        <f>IF($C32="",0,IFERROR(INDEX(Deals!$H$2:$H$355,MATCH($C32,Deals!$A$2:$A$355,0)),0))</f>
        <v/>
      </c>
      <c r="K32" s="32">
        <f>IF(Settings!$B$4="Yes",$I32*$J32,$I32)</f>
        <v/>
      </c>
      <c r="L32" s="22">
        <f>IF($C32="","",IFERROR(IF(INDEX(Deals!$I$2:$I$355,MATCH($C32,Deals!$A$2:$A$355,0))=0,"",INDEX(Deals!$I$2:$I$355,MATCH($C32,Deals!$A$2:$A$355,0))),""))</f>
        <v/>
      </c>
      <c r="M32" s="22">
        <f>IF($C32="","",IFERROR(IF(INDEX(Deals!$J$2:$J$355,MATCH($C32,Deals!$A$2:$A$355,0))=0,"",INDEX(Deals!$J$2:$J$355,MATCH($C32,Deals!$A$2:$A$355,0))),""))</f>
        <v/>
      </c>
      <c r="N32" s="35">
        <f>IF($L32="",DATE(1900,1,1),$L32)</f>
        <v/>
      </c>
      <c r="O32" s="35">
        <f>IF($M32="",DATE(2100,12,31),$M32)</f>
        <v/>
      </c>
      <c r="P32" s="20" t="inlineStr"/>
      <c r="Q32" s="43" t="inlineStr"/>
      <c r="R32" s="16">
        <f>IF($C32="","",IFERROR(IF(INDEX(Deals!$U$2:$U$355,MATCH($C32,Deals!$A$2:$A$355,0))=0,"",INDEX(Deals!$U$2:$U$355,MATCH($C32,Deals!$A$2:$A$355,0))),""))</f>
        <v/>
      </c>
      <c r="S32" s="34">
        <f>IFERROR(IF($U32="",1,INDEX(Deals!$V$2:$V$355,MATCH($C32,Deals!$A$2:$A$355,0))),1)</f>
        <v/>
      </c>
      <c r="T32" s="34">
        <f>IFERROR(IF($U32="",1,INDEX(Deals!$W$2:$W$355,MATCH($C32,Deals!$A$2:$A$355,0))),1)</f>
        <v/>
      </c>
      <c r="U32" s="22">
        <f>IF($C32="","",IFERROR(IF(INDEX(Deals!$Y$2:$Y$355,MATCH($C32,Deals!$A$2:$A$355,0))=0,"",INDEX(Deals!$Y$2:$Y$355,MATCH($C32,Deals!$A$2:$A$355,0))),""))</f>
        <v/>
      </c>
      <c r="V32" s="35">
        <f>IF($U32="",DATE(1900,1,1),$N32)</f>
        <v/>
      </c>
      <c r="W32" s="35">
        <f>IF($U32="",DATE(2100,12,31),$U32)</f>
        <v/>
      </c>
      <c r="X32" s="32">
        <f>IF($U32="",$K32,$K32*$S32)</f>
        <v/>
      </c>
      <c r="Y32" s="35">
        <f>IF($U32="",DATE(2100,12,31),$U32+1)</f>
        <v/>
      </c>
      <c r="Z32" s="35">
        <f>IF($U32="",DATE(1900,1,1),$O32)</f>
        <v/>
      </c>
      <c r="AA32" s="32">
        <f>IF($U32="",0,$K32*$T32)</f>
        <v/>
      </c>
      <c r="AB32" s="21">
        <f>IF($C32="",0,IFERROR(INDEX(Deals!$AD$2:$AD$355,MATCH($C32,Deals!$A$2:$A$355,0)),0))</f>
        <v/>
      </c>
      <c r="AC32" s="32">
        <f>IF(Settings!$B$4="Yes",$I32*$AB32,$I32)</f>
        <v/>
      </c>
      <c r="AD32" s="22">
        <f>IF($C32="","",IFERROR(IF(INDEX(Deals!$AE$2:$AE$355,MATCH($C32,Deals!$A$2:$A$355,0))=0,"",INDEX(Deals!$AE$2:$AE$355,MATCH($C32,Deals!$A$2:$A$355,0))),""))</f>
        <v/>
      </c>
      <c r="AE32" s="22">
        <f>IF($C32="","",IFERROR(IF(INDEX(Deals!$AF$2:$AF$355,MATCH($C32,Deals!$A$2:$A$355,0))=0,"",INDEX(Deals!$AF$2:$AF$355,MATCH($C32,Deals!$A$2:$A$355,0))),""))</f>
        <v/>
      </c>
      <c r="AF32" s="35">
        <f>IF($AD32="",DATE(1900,1,1),$AD32)</f>
        <v/>
      </c>
      <c r="AG32" s="35">
        <f>IF($AE32="",DATE(2100,12,31),$AE32)</f>
        <v/>
      </c>
      <c r="AH32" s="22">
        <f>IF($C32="","",IFERROR(IF(INDEX(Deals!$AG$2:$AG$355,MATCH($C32,Deals!$A$2:$A$355,0))=0,"",INDEX(Deals!$AG$2:$AG$355,MATCH($C32,Deals!$A$2:$A$355,0))),""))</f>
        <v/>
      </c>
      <c r="AI32" s="35">
        <f>IF($AH32="",DATE(1900,1,1),$AF32)</f>
        <v/>
      </c>
      <c r="AJ32" s="35">
        <f>IF($AH32="",DATE(2100,12,31),$AH32)</f>
        <v/>
      </c>
      <c r="AK32" s="32">
        <f>IF($AH32="",$AC32,$AC32*$S32)</f>
        <v/>
      </c>
      <c r="AL32" s="35">
        <f>IF($AH32="",DATE(2100,12,31),$AH32+1)</f>
        <v/>
      </c>
      <c r="AM32" s="35">
        <f>IF($AH32="",DATE(1900,1,1),$AG32)</f>
        <v/>
      </c>
      <c r="AN32" s="32">
        <f>IF($AH32="",0,$AC32*$T32)</f>
        <v/>
      </c>
    </row>
    <row r="33">
      <c r="A33" s="28" t="inlineStr">
        <is>
          <t>Tania</t>
        </is>
      </c>
      <c r="B33" s="16">
        <f>IF($A33="","",IFERROR(INDEX(Roster!$B$2:$B$40,MATCH($A33,Roster!$A$2:$A$40,0)),"?"))</f>
        <v/>
      </c>
      <c r="C33" s="28" t="inlineStr">
        <is>
          <t>Papago_1</t>
        </is>
      </c>
      <c r="D33" s="16">
        <f>IF($C33="","",IFERROR(IF(INDEX(Deals!$C$2:$C$355,MATCH($C33,Deals!$A$2:$A$355,0))=0,"",INDEX(Deals!$C$2:$C$355,MATCH($C33,Deals!$A$2:$A$355,0))),"?"))</f>
        <v/>
      </c>
      <c r="E33" s="16">
        <f>IF($C33="","",IFERROR(INDEX(Deals!$F$2:$F$355,MATCH($C33,Deals!$A$2:$A$355,0)),"?"))</f>
        <v/>
      </c>
      <c r="F33" s="28" t="inlineStr">
        <is>
          <t>Partner</t>
        </is>
      </c>
      <c r="G33" s="28" t="inlineStr">
        <is>
          <t>Active</t>
        </is>
      </c>
      <c r="H33" s="31" t="n"/>
      <c r="I33" s="32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1">
        <f>IF($C33="",0,IFERROR(INDEX(Deals!$H$2:$H$355,MATCH($C33,Deals!$A$2:$A$355,0)),0))</f>
        <v/>
      </c>
      <c r="K33" s="32">
        <f>IF(Settings!$B$4="Yes",$I33*$J33,$I33)</f>
        <v/>
      </c>
      <c r="L33" s="22">
        <f>IF($C33="","",IFERROR(IF(INDEX(Deals!$I$2:$I$355,MATCH($C33,Deals!$A$2:$A$355,0))=0,"",INDEX(Deals!$I$2:$I$355,MATCH($C33,Deals!$A$2:$A$355,0))),""))</f>
        <v/>
      </c>
      <c r="M33" s="22">
        <f>IF($C33="","",IFERROR(IF(INDEX(Deals!$J$2:$J$355,MATCH($C33,Deals!$A$2:$A$355,0))=0,"",INDEX(Deals!$J$2:$J$355,MATCH($C33,Deals!$A$2:$A$355,0))),""))</f>
        <v/>
      </c>
      <c r="N33" s="35">
        <f>IF($L33="",DATE(1900,1,1),$L33)</f>
        <v/>
      </c>
      <c r="O33" s="35">
        <f>IF($M33="",DATE(2100,12,31),$M33)</f>
        <v/>
      </c>
      <c r="P33" s="20" t="inlineStr"/>
      <c r="Q33" s="43" t="inlineStr"/>
      <c r="R33" s="16">
        <f>IF($C33="","",IFERROR(IF(INDEX(Deals!$U$2:$U$355,MATCH($C33,Deals!$A$2:$A$355,0))=0,"",INDEX(Deals!$U$2:$U$355,MATCH($C33,Deals!$A$2:$A$355,0))),""))</f>
        <v/>
      </c>
      <c r="S33" s="34">
        <f>IFERROR(IF($U33="",1,INDEX(Deals!$V$2:$V$355,MATCH($C33,Deals!$A$2:$A$355,0))),1)</f>
        <v/>
      </c>
      <c r="T33" s="34">
        <f>IFERROR(IF($U33="",1,INDEX(Deals!$W$2:$W$355,MATCH($C33,Deals!$A$2:$A$355,0))),1)</f>
        <v/>
      </c>
      <c r="U33" s="22">
        <f>IF($C33="","",IFERROR(IF(INDEX(Deals!$Y$2:$Y$355,MATCH($C33,Deals!$A$2:$A$355,0))=0,"",INDEX(Deals!$Y$2:$Y$355,MATCH($C33,Deals!$A$2:$A$355,0))),""))</f>
        <v/>
      </c>
      <c r="V33" s="35">
        <f>IF($U33="",DATE(1900,1,1),$N33)</f>
        <v/>
      </c>
      <c r="W33" s="35">
        <f>IF($U33="",DATE(2100,12,31),$U33)</f>
        <v/>
      </c>
      <c r="X33" s="32">
        <f>IF($U33="",$K33,$K33*$S33)</f>
        <v/>
      </c>
      <c r="Y33" s="35">
        <f>IF($U33="",DATE(2100,12,31),$U33+1)</f>
        <v/>
      </c>
      <c r="Z33" s="35">
        <f>IF($U33="",DATE(1900,1,1),$O33)</f>
        <v/>
      </c>
      <c r="AA33" s="32">
        <f>IF($U33="",0,$K33*$T33)</f>
        <v/>
      </c>
      <c r="AB33" s="21">
        <f>IF($C33="",0,IFERROR(INDEX(Deals!$AD$2:$AD$355,MATCH($C33,Deals!$A$2:$A$355,0)),0))</f>
        <v/>
      </c>
      <c r="AC33" s="32">
        <f>IF(Settings!$B$4="Yes",$I33*$AB33,$I33)</f>
        <v/>
      </c>
      <c r="AD33" s="22">
        <f>IF($C33="","",IFERROR(IF(INDEX(Deals!$AE$2:$AE$355,MATCH($C33,Deals!$A$2:$A$355,0))=0,"",INDEX(Deals!$AE$2:$AE$355,MATCH($C33,Deals!$A$2:$A$355,0))),""))</f>
        <v/>
      </c>
      <c r="AE33" s="22">
        <f>IF($C33="","",IFERROR(IF(INDEX(Deals!$AF$2:$AF$355,MATCH($C33,Deals!$A$2:$A$355,0))=0,"",INDEX(Deals!$AF$2:$AF$355,MATCH($C33,Deals!$A$2:$A$355,0))),""))</f>
        <v/>
      </c>
      <c r="AF33" s="35">
        <f>IF($AD33="",DATE(1900,1,1),$AD33)</f>
        <v/>
      </c>
      <c r="AG33" s="35">
        <f>IF($AE33="",DATE(2100,12,31),$AE33)</f>
        <v/>
      </c>
      <c r="AH33" s="22">
        <f>IF($C33="","",IFERROR(IF(INDEX(Deals!$AG$2:$AG$355,MATCH($C33,Deals!$A$2:$A$355,0))=0,"",INDEX(Deals!$AG$2:$AG$355,MATCH($C33,Deals!$A$2:$A$355,0))),""))</f>
        <v/>
      </c>
      <c r="AI33" s="35">
        <f>IF($AH33="",DATE(1900,1,1),$AF33)</f>
        <v/>
      </c>
      <c r="AJ33" s="35">
        <f>IF($AH33="",DATE(2100,12,31),$AH33)</f>
        <v/>
      </c>
      <c r="AK33" s="32">
        <f>IF($AH33="",$AC33,$AC33*$S33)</f>
        <v/>
      </c>
      <c r="AL33" s="35">
        <f>IF($AH33="",DATE(2100,12,31),$AH33+1)</f>
        <v/>
      </c>
      <c r="AM33" s="35">
        <f>IF($AH33="",DATE(1900,1,1),$AG33)</f>
        <v/>
      </c>
      <c r="AN33" s="32">
        <f>IF($AH33="",0,$AC33*$T33)</f>
        <v/>
      </c>
    </row>
    <row r="34">
      <c r="A34" s="28" t="inlineStr">
        <is>
          <t>Tania</t>
        </is>
      </c>
      <c r="B34" s="16">
        <f>IF($A34="","",IFERROR(INDEX(Roster!$B$2:$B$40,MATCH($A34,Roster!$A$2:$A$40,0)),"?"))</f>
        <v/>
      </c>
      <c r="C34" s="28" t="inlineStr">
        <is>
          <t>Pelican_1</t>
        </is>
      </c>
      <c r="D34" s="16">
        <f>IF($C34="","",IFERROR(IF(INDEX(Deals!$C$2:$C$355,MATCH($C34,Deals!$A$2:$A$355,0))=0,"",INDEX(Deals!$C$2:$C$355,MATCH($C34,Deals!$A$2:$A$355,0))),"?"))</f>
        <v/>
      </c>
      <c r="E34" s="16">
        <f>IF($C34="","",IFERROR(INDEX(Deals!$F$2:$F$355,MATCH($C34,Deals!$A$2:$A$355,0)),"?"))</f>
        <v/>
      </c>
      <c r="F34" s="28" t="inlineStr">
        <is>
          <t>Partner</t>
        </is>
      </c>
      <c r="G34" s="28" t="inlineStr">
        <is>
          <t>Active</t>
        </is>
      </c>
      <c r="H34" s="31" t="n"/>
      <c r="I34" s="32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1">
        <f>IF($C34="",0,IFERROR(INDEX(Deals!$H$2:$H$355,MATCH($C34,Deals!$A$2:$A$355,0)),0))</f>
        <v/>
      </c>
      <c r="K34" s="32">
        <f>IF(Settings!$B$4="Yes",$I34*$J34,$I34)</f>
        <v/>
      </c>
      <c r="L34" s="22">
        <f>IF($C34="","",IFERROR(IF(INDEX(Deals!$I$2:$I$355,MATCH($C34,Deals!$A$2:$A$355,0))=0,"",INDEX(Deals!$I$2:$I$355,MATCH($C34,Deals!$A$2:$A$355,0))),""))</f>
        <v/>
      </c>
      <c r="M34" s="22">
        <f>IF($C34="","",IFERROR(IF(INDEX(Deals!$J$2:$J$355,MATCH($C34,Deals!$A$2:$A$355,0))=0,"",INDEX(Deals!$J$2:$J$355,MATCH($C34,Deals!$A$2:$A$355,0))),""))</f>
        <v/>
      </c>
      <c r="N34" s="35">
        <f>IF($L34="",DATE(1900,1,1),$L34)</f>
        <v/>
      </c>
      <c r="O34" s="35">
        <f>IF($M34="",DATE(2100,12,31),$M34)</f>
        <v/>
      </c>
      <c r="P34" s="20" t="inlineStr"/>
      <c r="Q34" s="43" t="inlineStr"/>
      <c r="R34" s="16">
        <f>IF($C34="","",IFERROR(IF(INDEX(Deals!$U$2:$U$355,MATCH($C34,Deals!$A$2:$A$355,0))=0,"",INDEX(Deals!$U$2:$U$355,MATCH($C34,Deals!$A$2:$A$355,0))),""))</f>
        <v/>
      </c>
      <c r="S34" s="34">
        <f>IFERROR(IF($U34="",1,INDEX(Deals!$V$2:$V$355,MATCH($C34,Deals!$A$2:$A$355,0))),1)</f>
        <v/>
      </c>
      <c r="T34" s="34">
        <f>IFERROR(IF($U34="",1,INDEX(Deals!$W$2:$W$355,MATCH($C34,Deals!$A$2:$A$355,0))),1)</f>
        <v/>
      </c>
      <c r="U34" s="22">
        <f>IF($C34="","",IFERROR(IF(INDEX(Deals!$Y$2:$Y$355,MATCH($C34,Deals!$A$2:$A$355,0))=0,"",INDEX(Deals!$Y$2:$Y$355,MATCH($C34,Deals!$A$2:$A$355,0))),""))</f>
        <v/>
      </c>
      <c r="V34" s="35">
        <f>IF($U34="",DATE(1900,1,1),$N34)</f>
        <v/>
      </c>
      <c r="W34" s="35">
        <f>IF($U34="",DATE(2100,12,31),$U34)</f>
        <v/>
      </c>
      <c r="X34" s="32">
        <f>IF($U34="",$K34,$K34*$S34)</f>
        <v/>
      </c>
      <c r="Y34" s="35">
        <f>IF($U34="",DATE(2100,12,31),$U34+1)</f>
        <v/>
      </c>
      <c r="Z34" s="35">
        <f>IF($U34="",DATE(1900,1,1),$O34)</f>
        <v/>
      </c>
      <c r="AA34" s="32">
        <f>IF($U34="",0,$K34*$T34)</f>
        <v/>
      </c>
      <c r="AB34" s="21">
        <f>IF($C34="",0,IFERROR(INDEX(Deals!$AD$2:$AD$355,MATCH($C34,Deals!$A$2:$A$355,0)),0))</f>
        <v/>
      </c>
      <c r="AC34" s="32">
        <f>IF(Settings!$B$4="Yes",$I34*$AB34,$I34)</f>
        <v/>
      </c>
      <c r="AD34" s="22">
        <f>IF($C34="","",IFERROR(IF(INDEX(Deals!$AE$2:$AE$355,MATCH($C34,Deals!$A$2:$A$355,0))=0,"",INDEX(Deals!$AE$2:$AE$355,MATCH($C34,Deals!$A$2:$A$355,0))),""))</f>
        <v/>
      </c>
      <c r="AE34" s="22">
        <f>IF($C34="","",IFERROR(IF(INDEX(Deals!$AF$2:$AF$355,MATCH($C34,Deals!$A$2:$A$355,0))=0,"",INDEX(Deals!$AF$2:$AF$355,MATCH($C34,Deals!$A$2:$A$355,0))),""))</f>
        <v/>
      </c>
      <c r="AF34" s="35">
        <f>IF($AD34="",DATE(1900,1,1),$AD34)</f>
        <v/>
      </c>
      <c r="AG34" s="35">
        <f>IF($AE34="",DATE(2100,12,31),$AE34)</f>
        <v/>
      </c>
      <c r="AH34" s="22">
        <f>IF($C34="","",IFERROR(IF(INDEX(Deals!$AG$2:$AG$355,MATCH($C34,Deals!$A$2:$A$355,0))=0,"",INDEX(Deals!$AG$2:$AG$355,MATCH($C34,Deals!$A$2:$A$355,0))),""))</f>
        <v/>
      </c>
      <c r="AI34" s="35">
        <f>IF($AH34="",DATE(1900,1,1),$AF34)</f>
        <v/>
      </c>
      <c r="AJ34" s="35">
        <f>IF($AH34="",DATE(2100,12,31),$AH34)</f>
        <v/>
      </c>
      <c r="AK34" s="32">
        <f>IF($AH34="",$AC34,$AC34*$S34)</f>
        <v/>
      </c>
      <c r="AL34" s="35">
        <f>IF($AH34="",DATE(2100,12,31),$AH34+1)</f>
        <v/>
      </c>
      <c r="AM34" s="35">
        <f>IF($AH34="",DATE(1900,1,1),$AG34)</f>
        <v/>
      </c>
      <c r="AN34" s="32">
        <f>IF($AH34="",0,$AC34*$T34)</f>
        <v/>
      </c>
    </row>
    <row r="35">
      <c r="A35" s="28" t="inlineStr">
        <is>
          <t>Tania</t>
        </is>
      </c>
      <c r="B35" s="16">
        <f>IF($A35="","",IFERROR(INDEX(Roster!$B$2:$B$40,MATCH($A35,Roster!$A$2:$A$40,0)),"?"))</f>
        <v/>
      </c>
      <c r="C35" s="28" t="inlineStr">
        <is>
          <t>Pet_1</t>
        </is>
      </c>
      <c r="D35" s="16">
        <f>IF($C35="","",IFERROR(IF(INDEX(Deals!$C$2:$C$355,MATCH($C35,Deals!$A$2:$A$355,0))=0,"",INDEX(Deals!$C$2:$C$355,MATCH($C35,Deals!$A$2:$A$355,0))),"?"))</f>
        <v/>
      </c>
      <c r="E35" s="16">
        <f>IF($C35="","",IFERROR(INDEX(Deals!$F$2:$F$355,MATCH($C35,Deals!$A$2:$A$355,0)),"?"))</f>
        <v/>
      </c>
      <c r="F35" s="28" t="inlineStr">
        <is>
          <t>Partner</t>
        </is>
      </c>
      <c r="G35" s="28" t="inlineStr">
        <is>
          <t>Active</t>
        </is>
      </c>
      <c r="H35" s="31" t="n"/>
      <c r="I35" s="32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1">
        <f>IF($C35="",0,IFERROR(INDEX(Deals!$H$2:$H$355,MATCH($C35,Deals!$A$2:$A$355,0)),0))</f>
        <v/>
      </c>
      <c r="K35" s="32">
        <f>IF(Settings!$B$4="Yes",$I35*$J35,$I35)</f>
        <v/>
      </c>
      <c r="L35" s="22">
        <f>IF($C35="","",IFERROR(IF(INDEX(Deals!$I$2:$I$355,MATCH($C35,Deals!$A$2:$A$355,0))=0,"",INDEX(Deals!$I$2:$I$355,MATCH($C35,Deals!$A$2:$A$355,0))),""))</f>
        <v/>
      </c>
      <c r="M35" s="22">
        <f>IF($C35="","",IFERROR(IF(INDEX(Deals!$J$2:$J$355,MATCH($C35,Deals!$A$2:$A$355,0))=0,"",INDEX(Deals!$J$2:$J$355,MATCH($C35,Deals!$A$2:$A$355,0))),""))</f>
        <v/>
      </c>
      <c r="N35" s="35">
        <f>IF($L35="",DATE(1900,1,1),$L35)</f>
        <v/>
      </c>
      <c r="O35" s="35">
        <f>IF($M35="",DATE(2100,12,31),$M35)</f>
        <v/>
      </c>
      <c r="P35" s="20" t="inlineStr"/>
      <c r="Q35" s="43" t="inlineStr"/>
      <c r="R35" s="16">
        <f>IF($C35="","",IFERROR(IF(INDEX(Deals!$U$2:$U$355,MATCH($C35,Deals!$A$2:$A$355,0))=0,"",INDEX(Deals!$U$2:$U$355,MATCH($C35,Deals!$A$2:$A$355,0))),""))</f>
        <v/>
      </c>
      <c r="S35" s="34">
        <f>IFERROR(IF($U35="",1,INDEX(Deals!$V$2:$V$355,MATCH($C35,Deals!$A$2:$A$355,0))),1)</f>
        <v/>
      </c>
      <c r="T35" s="34">
        <f>IFERROR(IF($U35="",1,INDEX(Deals!$W$2:$W$355,MATCH($C35,Deals!$A$2:$A$355,0))),1)</f>
        <v/>
      </c>
      <c r="U35" s="22">
        <f>IF($C35="","",IFERROR(IF(INDEX(Deals!$Y$2:$Y$355,MATCH($C35,Deals!$A$2:$A$355,0))=0,"",INDEX(Deals!$Y$2:$Y$355,MATCH($C35,Deals!$A$2:$A$355,0))),""))</f>
        <v/>
      </c>
      <c r="V35" s="35">
        <f>IF($U35="",DATE(1900,1,1),$N35)</f>
        <v/>
      </c>
      <c r="W35" s="35">
        <f>IF($U35="",DATE(2100,12,31),$U35)</f>
        <v/>
      </c>
      <c r="X35" s="32">
        <f>IF($U35="",$K35,$K35*$S35)</f>
        <v/>
      </c>
      <c r="Y35" s="35">
        <f>IF($U35="",DATE(2100,12,31),$U35+1)</f>
        <v/>
      </c>
      <c r="Z35" s="35">
        <f>IF($U35="",DATE(1900,1,1),$O35)</f>
        <v/>
      </c>
      <c r="AA35" s="32">
        <f>IF($U35="",0,$K35*$T35)</f>
        <v/>
      </c>
      <c r="AB35" s="21">
        <f>IF($C35="",0,IFERROR(INDEX(Deals!$AD$2:$AD$355,MATCH($C35,Deals!$A$2:$A$355,0)),0))</f>
        <v/>
      </c>
      <c r="AC35" s="32">
        <f>IF(Settings!$B$4="Yes",$I35*$AB35,$I35)</f>
        <v/>
      </c>
      <c r="AD35" s="22">
        <f>IF($C35="","",IFERROR(IF(INDEX(Deals!$AE$2:$AE$355,MATCH($C35,Deals!$A$2:$A$355,0))=0,"",INDEX(Deals!$AE$2:$AE$355,MATCH($C35,Deals!$A$2:$A$355,0))),""))</f>
        <v/>
      </c>
      <c r="AE35" s="22">
        <f>IF($C35="","",IFERROR(IF(INDEX(Deals!$AF$2:$AF$355,MATCH($C35,Deals!$A$2:$A$355,0))=0,"",INDEX(Deals!$AF$2:$AF$355,MATCH($C35,Deals!$A$2:$A$355,0))),""))</f>
        <v/>
      </c>
      <c r="AF35" s="35">
        <f>IF($AD35="",DATE(1900,1,1),$AD35)</f>
        <v/>
      </c>
      <c r="AG35" s="35">
        <f>IF($AE35="",DATE(2100,12,31),$AE35)</f>
        <v/>
      </c>
      <c r="AH35" s="22">
        <f>IF($C35="","",IFERROR(IF(INDEX(Deals!$AG$2:$AG$355,MATCH($C35,Deals!$A$2:$A$355,0))=0,"",INDEX(Deals!$AG$2:$AG$355,MATCH($C35,Deals!$A$2:$A$355,0))),""))</f>
        <v/>
      </c>
      <c r="AI35" s="35">
        <f>IF($AH35="",DATE(1900,1,1),$AF35)</f>
        <v/>
      </c>
      <c r="AJ35" s="35">
        <f>IF($AH35="",DATE(2100,12,31),$AH35)</f>
        <v/>
      </c>
      <c r="AK35" s="32">
        <f>IF($AH35="",$AC35,$AC35*$S35)</f>
        <v/>
      </c>
      <c r="AL35" s="35">
        <f>IF($AH35="",DATE(2100,12,31),$AH35+1)</f>
        <v/>
      </c>
      <c r="AM35" s="35">
        <f>IF($AH35="",DATE(1900,1,1),$AG35)</f>
        <v/>
      </c>
      <c r="AN35" s="32">
        <f>IF($AH35="",0,$AC35*$T35)</f>
        <v/>
      </c>
    </row>
    <row r="36">
      <c r="A36" s="28" t="inlineStr">
        <is>
          <t>Tania</t>
        </is>
      </c>
      <c r="B36" s="16">
        <f>IF($A36="","",IFERROR(INDEX(Roster!$B$2:$B$40,MATCH($A36,Roster!$A$2:$A$40,0)),"?"))</f>
        <v/>
      </c>
      <c r="C36" s="28" t="inlineStr">
        <is>
          <t>PMD_1</t>
        </is>
      </c>
      <c r="D36" s="16">
        <f>IF($C36="","",IFERROR(IF(INDEX(Deals!$C$2:$C$355,MATCH($C36,Deals!$A$2:$A$355,0))=0,"",INDEX(Deals!$C$2:$C$355,MATCH($C36,Deals!$A$2:$A$355,0))),"?"))</f>
        <v/>
      </c>
      <c r="E36" s="16">
        <f>IF($C36="","",IFERROR(INDEX(Deals!$F$2:$F$355,MATCH($C36,Deals!$A$2:$A$355,0)),"?"))</f>
        <v/>
      </c>
      <c r="F36" s="28" t="inlineStr">
        <is>
          <t>Partner</t>
        </is>
      </c>
      <c r="G36" s="28" t="inlineStr">
        <is>
          <t>Active</t>
        </is>
      </c>
      <c r="H36" s="31" t="n"/>
      <c r="I36" s="32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1">
        <f>IF($C36="",0,IFERROR(INDEX(Deals!$H$2:$H$355,MATCH($C36,Deals!$A$2:$A$355,0)),0))</f>
        <v/>
      </c>
      <c r="K36" s="32">
        <f>IF(Settings!$B$4="Yes",$I36*$J36,$I36)</f>
        <v/>
      </c>
      <c r="L36" s="22">
        <f>IF($C36="","",IFERROR(IF(INDEX(Deals!$I$2:$I$355,MATCH($C36,Deals!$A$2:$A$355,0))=0,"",INDEX(Deals!$I$2:$I$355,MATCH($C36,Deals!$A$2:$A$355,0))),""))</f>
        <v/>
      </c>
      <c r="M36" s="22">
        <f>IF($C36="","",IFERROR(IF(INDEX(Deals!$J$2:$J$355,MATCH($C36,Deals!$A$2:$A$355,0))=0,"",INDEX(Deals!$J$2:$J$355,MATCH($C36,Deals!$A$2:$A$355,0))),""))</f>
        <v/>
      </c>
      <c r="N36" s="35">
        <f>IF($L36="",DATE(1900,1,1),$L36)</f>
        <v/>
      </c>
      <c r="O36" s="35">
        <f>IF($M36="",DATE(2100,12,31),$M36)</f>
        <v/>
      </c>
      <c r="P36" s="20" t="inlineStr"/>
      <c r="Q36" s="43" t="inlineStr"/>
      <c r="R36" s="16">
        <f>IF($C36="","",IFERROR(IF(INDEX(Deals!$U$2:$U$355,MATCH($C36,Deals!$A$2:$A$355,0))=0,"",INDEX(Deals!$U$2:$U$355,MATCH($C36,Deals!$A$2:$A$355,0))),""))</f>
        <v/>
      </c>
      <c r="S36" s="34">
        <f>IFERROR(IF($U36="",1,INDEX(Deals!$V$2:$V$355,MATCH($C36,Deals!$A$2:$A$355,0))),1)</f>
        <v/>
      </c>
      <c r="T36" s="34">
        <f>IFERROR(IF($U36="",1,INDEX(Deals!$W$2:$W$355,MATCH($C36,Deals!$A$2:$A$355,0))),1)</f>
        <v/>
      </c>
      <c r="U36" s="22">
        <f>IF($C36="","",IFERROR(IF(INDEX(Deals!$Y$2:$Y$355,MATCH($C36,Deals!$A$2:$A$355,0))=0,"",INDEX(Deals!$Y$2:$Y$355,MATCH($C36,Deals!$A$2:$A$355,0))),""))</f>
        <v/>
      </c>
      <c r="V36" s="35">
        <f>IF($U36="",DATE(1900,1,1),$N36)</f>
        <v/>
      </c>
      <c r="W36" s="35">
        <f>IF($U36="",DATE(2100,12,31),$U36)</f>
        <v/>
      </c>
      <c r="X36" s="32">
        <f>IF($U36="",$K36,$K36*$S36)</f>
        <v/>
      </c>
      <c r="Y36" s="35">
        <f>IF($U36="",DATE(2100,12,31),$U36+1)</f>
        <v/>
      </c>
      <c r="Z36" s="35">
        <f>IF($U36="",DATE(1900,1,1),$O36)</f>
        <v/>
      </c>
      <c r="AA36" s="32">
        <f>IF($U36="",0,$K36*$T36)</f>
        <v/>
      </c>
      <c r="AB36" s="21">
        <f>IF($C36="",0,IFERROR(INDEX(Deals!$AD$2:$AD$355,MATCH($C36,Deals!$A$2:$A$355,0)),0))</f>
        <v/>
      </c>
      <c r="AC36" s="32">
        <f>IF(Settings!$B$4="Yes",$I36*$AB36,$I36)</f>
        <v/>
      </c>
      <c r="AD36" s="22">
        <f>IF($C36="","",IFERROR(IF(INDEX(Deals!$AE$2:$AE$355,MATCH($C36,Deals!$A$2:$A$355,0))=0,"",INDEX(Deals!$AE$2:$AE$355,MATCH($C36,Deals!$A$2:$A$355,0))),""))</f>
        <v/>
      </c>
      <c r="AE36" s="22">
        <f>IF($C36="","",IFERROR(IF(INDEX(Deals!$AF$2:$AF$355,MATCH($C36,Deals!$A$2:$A$355,0))=0,"",INDEX(Deals!$AF$2:$AF$355,MATCH($C36,Deals!$A$2:$A$355,0))),""))</f>
        <v/>
      </c>
      <c r="AF36" s="35">
        <f>IF($AD36="",DATE(1900,1,1),$AD36)</f>
        <v/>
      </c>
      <c r="AG36" s="35">
        <f>IF($AE36="",DATE(2100,12,31),$AE36)</f>
        <v/>
      </c>
      <c r="AH36" s="22">
        <f>IF($C36="","",IFERROR(IF(INDEX(Deals!$AG$2:$AG$355,MATCH($C36,Deals!$A$2:$A$355,0))=0,"",INDEX(Deals!$AG$2:$AG$355,MATCH($C36,Deals!$A$2:$A$355,0))),""))</f>
        <v/>
      </c>
      <c r="AI36" s="35">
        <f>IF($AH36="",DATE(1900,1,1),$AF36)</f>
        <v/>
      </c>
      <c r="AJ36" s="35">
        <f>IF($AH36="",DATE(2100,12,31),$AH36)</f>
        <v/>
      </c>
      <c r="AK36" s="32">
        <f>IF($AH36="",$AC36,$AC36*$S36)</f>
        <v/>
      </c>
      <c r="AL36" s="35">
        <f>IF($AH36="",DATE(2100,12,31),$AH36+1)</f>
        <v/>
      </c>
      <c r="AM36" s="35">
        <f>IF($AH36="",DATE(1900,1,1),$AG36)</f>
        <v/>
      </c>
      <c r="AN36" s="32">
        <f>IF($AH36="",0,$AC36*$T36)</f>
        <v/>
      </c>
    </row>
    <row r="37">
      <c r="A37" s="28" t="inlineStr">
        <is>
          <t>Tania</t>
        </is>
      </c>
      <c r="B37" s="16">
        <f>IF($A37="","",IFERROR(INDEX(Roster!$B$2:$B$40,MATCH($A37,Roster!$A$2:$A$40,0)),"?"))</f>
        <v/>
      </c>
      <c r="C37" s="28" t="inlineStr">
        <is>
          <t>Redwood_1</t>
        </is>
      </c>
      <c r="D37" s="16">
        <f>IF($C37="","",IFERROR(IF(INDEX(Deals!$C$2:$C$355,MATCH($C37,Deals!$A$2:$A$355,0))=0,"",INDEX(Deals!$C$2:$C$355,MATCH($C37,Deals!$A$2:$A$355,0))),"?"))</f>
        <v/>
      </c>
      <c r="E37" s="16">
        <f>IF($C37="","",IFERROR(INDEX(Deals!$F$2:$F$355,MATCH($C37,Deals!$A$2:$A$355,0)),"?"))</f>
        <v/>
      </c>
      <c r="F37" s="28" t="inlineStr">
        <is>
          <t>Partner</t>
        </is>
      </c>
      <c r="G37" s="28" t="inlineStr">
        <is>
          <t>Active</t>
        </is>
      </c>
      <c r="H37" s="31" t="n"/>
      <c r="I37" s="32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1">
        <f>IF($C37="",0,IFERROR(INDEX(Deals!$H$2:$H$355,MATCH($C37,Deals!$A$2:$A$355,0)),0))</f>
        <v/>
      </c>
      <c r="K37" s="32">
        <f>IF(Settings!$B$4="Yes",$I37*$J37,$I37)</f>
        <v/>
      </c>
      <c r="L37" s="22">
        <f>IF($C37="","",IFERROR(IF(INDEX(Deals!$I$2:$I$355,MATCH($C37,Deals!$A$2:$A$355,0))=0,"",INDEX(Deals!$I$2:$I$355,MATCH($C37,Deals!$A$2:$A$355,0))),""))</f>
        <v/>
      </c>
      <c r="M37" s="22">
        <f>IF($C37="","",IFERROR(IF(INDEX(Deals!$J$2:$J$355,MATCH($C37,Deals!$A$2:$A$355,0))=0,"",INDEX(Deals!$J$2:$J$355,MATCH($C37,Deals!$A$2:$A$355,0))),""))</f>
        <v/>
      </c>
      <c r="N37" s="35">
        <f>IF($L37="",DATE(1900,1,1),$L37)</f>
        <v/>
      </c>
      <c r="O37" s="35">
        <f>IF($M37="",DATE(2100,12,31),$M37)</f>
        <v/>
      </c>
      <c r="P37" s="20" t="inlineStr"/>
      <c r="Q37" s="43" t="inlineStr"/>
      <c r="R37" s="16">
        <f>IF($C37="","",IFERROR(IF(INDEX(Deals!$U$2:$U$355,MATCH($C37,Deals!$A$2:$A$355,0))=0,"",INDEX(Deals!$U$2:$U$355,MATCH($C37,Deals!$A$2:$A$355,0))),""))</f>
        <v/>
      </c>
      <c r="S37" s="34">
        <f>IFERROR(IF($U37="",1,INDEX(Deals!$V$2:$V$355,MATCH($C37,Deals!$A$2:$A$355,0))),1)</f>
        <v/>
      </c>
      <c r="T37" s="34">
        <f>IFERROR(IF($U37="",1,INDEX(Deals!$W$2:$W$355,MATCH($C37,Deals!$A$2:$A$355,0))),1)</f>
        <v/>
      </c>
      <c r="U37" s="22">
        <f>IF($C37="","",IFERROR(IF(INDEX(Deals!$Y$2:$Y$355,MATCH($C37,Deals!$A$2:$A$355,0))=0,"",INDEX(Deals!$Y$2:$Y$355,MATCH($C37,Deals!$A$2:$A$355,0))),""))</f>
        <v/>
      </c>
      <c r="V37" s="35">
        <f>IF($U37="",DATE(1900,1,1),$N37)</f>
        <v/>
      </c>
      <c r="W37" s="35">
        <f>IF($U37="",DATE(2100,12,31),$U37)</f>
        <v/>
      </c>
      <c r="X37" s="32">
        <f>IF($U37="",$K37,$K37*$S37)</f>
        <v/>
      </c>
      <c r="Y37" s="35">
        <f>IF($U37="",DATE(2100,12,31),$U37+1)</f>
        <v/>
      </c>
      <c r="Z37" s="35">
        <f>IF($U37="",DATE(1900,1,1),$O37)</f>
        <v/>
      </c>
      <c r="AA37" s="32">
        <f>IF($U37="",0,$K37*$T37)</f>
        <v/>
      </c>
      <c r="AB37" s="21">
        <f>IF($C37="",0,IFERROR(INDEX(Deals!$AD$2:$AD$355,MATCH($C37,Deals!$A$2:$A$355,0)),0))</f>
        <v/>
      </c>
      <c r="AC37" s="32">
        <f>IF(Settings!$B$4="Yes",$I37*$AB37,$I37)</f>
        <v/>
      </c>
      <c r="AD37" s="22">
        <f>IF($C37="","",IFERROR(IF(INDEX(Deals!$AE$2:$AE$355,MATCH($C37,Deals!$A$2:$A$355,0))=0,"",INDEX(Deals!$AE$2:$AE$355,MATCH($C37,Deals!$A$2:$A$355,0))),""))</f>
        <v/>
      </c>
      <c r="AE37" s="22">
        <f>IF($C37="","",IFERROR(IF(INDEX(Deals!$AF$2:$AF$355,MATCH($C37,Deals!$A$2:$A$355,0))=0,"",INDEX(Deals!$AF$2:$AF$355,MATCH($C37,Deals!$A$2:$A$355,0))),""))</f>
        <v/>
      </c>
      <c r="AF37" s="35">
        <f>IF($AD37="",DATE(1900,1,1),$AD37)</f>
        <v/>
      </c>
      <c r="AG37" s="35">
        <f>IF($AE37="",DATE(2100,12,31),$AE37)</f>
        <v/>
      </c>
      <c r="AH37" s="22">
        <f>IF($C37="","",IFERROR(IF(INDEX(Deals!$AG$2:$AG$355,MATCH($C37,Deals!$A$2:$A$355,0))=0,"",INDEX(Deals!$AG$2:$AG$355,MATCH($C37,Deals!$A$2:$A$355,0))),""))</f>
        <v/>
      </c>
      <c r="AI37" s="35">
        <f>IF($AH37="",DATE(1900,1,1),$AF37)</f>
        <v/>
      </c>
      <c r="AJ37" s="35">
        <f>IF($AH37="",DATE(2100,12,31),$AH37)</f>
        <v/>
      </c>
      <c r="AK37" s="32">
        <f>IF($AH37="",$AC37,$AC37*$S37)</f>
        <v/>
      </c>
      <c r="AL37" s="35">
        <f>IF($AH37="",DATE(2100,12,31),$AH37+1)</f>
        <v/>
      </c>
      <c r="AM37" s="35">
        <f>IF($AH37="",DATE(1900,1,1),$AG37)</f>
        <v/>
      </c>
      <c r="AN37" s="32">
        <f>IF($AH37="",0,$AC37*$T37)</f>
        <v/>
      </c>
    </row>
    <row r="38">
      <c r="A38" s="28" t="inlineStr">
        <is>
          <t>Tania</t>
        </is>
      </c>
      <c r="B38" s="16">
        <f>IF($A38="","",IFERROR(INDEX(Roster!$B$2:$B$40,MATCH($A38,Roster!$A$2:$A$40,0)),"?"))</f>
        <v/>
      </c>
      <c r="C38" s="28" t="inlineStr">
        <is>
          <t>Remus_1</t>
        </is>
      </c>
      <c r="D38" s="16">
        <f>IF($C38="","",IFERROR(IF(INDEX(Deals!$C$2:$C$355,MATCH($C38,Deals!$A$2:$A$355,0))=0,"",INDEX(Deals!$C$2:$C$355,MATCH($C38,Deals!$A$2:$A$355,0))),"?"))</f>
        <v/>
      </c>
      <c r="E38" s="16">
        <f>IF($C38="","",IFERROR(INDEX(Deals!$F$2:$F$355,MATCH($C38,Deals!$A$2:$A$355,0)),"?"))</f>
        <v/>
      </c>
      <c r="F38" s="28" t="inlineStr">
        <is>
          <t>Partner</t>
        </is>
      </c>
      <c r="G38" s="28" t="inlineStr">
        <is>
          <t>Active</t>
        </is>
      </c>
      <c r="H38" s="31" t="n"/>
      <c r="I38" s="32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1">
        <f>IF($C38="",0,IFERROR(INDEX(Deals!$H$2:$H$355,MATCH($C38,Deals!$A$2:$A$355,0)),0))</f>
        <v/>
      </c>
      <c r="K38" s="32">
        <f>IF(Settings!$B$4="Yes",$I38*$J38,$I38)</f>
        <v/>
      </c>
      <c r="L38" s="22">
        <f>IF($C38="","",IFERROR(IF(INDEX(Deals!$I$2:$I$355,MATCH($C38,Deals!$A$2:$A$355,0))=0,"",INDEX(Deals!$I$2:$I$355,MATCH($C38,Deals!$A$2:$A$355,0))),""))</f>
        <v/>
      </c>
      <c r="M38" s="22">
        <f>IF($C38="","",IFERROR(IF(INDEX(Deals!$J$2:$J$355,MATCH($C38,Deals!$A$2:$A$355,0))=0,"",INDEX(Deals!$J$2:$J$355,MATCH($C38,Deals!$A$2:$A$355,0))),""))</f>
        <v/>
      </c>
      <c r="N38" s="35">
        <f>IF($L38="",DATE(1900,1,1),$L38)</f>
        <v/>
      </c>
      <c r="O38" s="35">
        <f>IF($M38="",DATE(2100,12,31),$M38)</f>
        <v/>
      </c>
      <c r="P38" s="20" t="inlineStr"/>
      <c r="Q38" s="43" t="inlineStr"/>
      <c r="R38" s="16">
        <f>IF($C38="","",IFERROR(IF(INDEX(Deals!$U$2:$U$355,MATCH($C38,Deals!$A$2:$A$355,0))=0,"",INDEX(Deals!$U$2:$U$355,MATCH($C38,Deals!$A$2:$A$355,0))),""))</f>
        <v/>
      </c>
      <c r="S38" s="34">
        <f>IFERROR(IF($U38="",1,INDEX(Deals!$V$2:$V$355,MATCH($C38,Deals!$A$2:$A$355,0))),1)</f>
        <v/>
      </c>
      <c r="T38" s="34">
        <f>IFERROR(IF($U38="",1,INDEX(Deals!$W$2:$W$355,MATCH($C38,Deals!$A$2:$A$355,0))),1)</f>
        <v/>
      </c>
      <c r="U38" s="22">
        <f>IF($C38="","",IFERROR(IF(INDEX(Deals!$Y$2:$Y$355,MATCH($C38,Deals!$A$2:$A$355,0))=0,"",INDEX(Deals!$Y$2:$Y$355,MATCH($C38,Deals!$A$2:$A$355,0))),""))</f>
        <v/>
      </c>
      <c r="V38" s="35">
        <f>IF($U38="",DATE(1900,1,1),$N38)</f>
        <v/>
      </c>
      <c r="W38" s="35">
        <f>IF($U38="",DATE(2100,12,31),$U38)</f>
        <v/>
      </c>
      <c r="X38" s="32">
        <f>IF($U38="",$K38,$K38*$S38)</f>
        <v/>
      </c>
      <c r="Y38" s="35">
        <f>IF($U38="",DATE(2100,12,31),$U38+1)</f>
        <v/>
      </c>
      <c r="Z38" s="35">
        <f>IF($U38="",DATE(1900,1,1),$O38)</f>
        <v/>
      </c>
      <c r="AA38" s="32">
        <f>IF($U38="",0,$K38*$T38)</f>
        <v/>
      </c>
      <c r="AB38" s="21">
        <f>IF($C38="",0,IFERROR(INDEX(Deals!$AD$2:$AD$355,MATCH($C38,Deals!$A$2:$A$355,0)),0))</f>
        <v/>
      </c>
      <c r="AC38" s="32">
        <f>IF(Settings!$B$4="Yes",$I38*$AB38,$I38)</f>
        <v/>
      </c>
      <c r="AD38" s="22">
        <f>IF($C38="","",IFERROR(IF(INDEX(Deals!$AE$2:$AE$355,MATCH($C38,Deals!$A$2:$A$355,0))=0,"",INDEX(Deals!$AE$2:$AE$355,MATCH($C38,Deals!$A$2:$A$355,0))),""))</f>
        <v/>
      </c>
      <c r="AE38" s="22">
        <f>IF($C38="","",IFERROR(IF(INDEX(Deals!$AF$2:$AF$355,MATCH($C38,Deals!$A$2:$A$355,0))=0,"",INDEX(Deals!$AF$2:$AF$355,MATCH($C38,Deals!$A$2:$A$355,0))),""))</f>
        <v/>
      </c>
      <c r="AF38" s="35">
        <f>IF($AD38="",DATE(1900,1,1),$AD38)</f>
        <v/>
      </c>
      <c r="AG38" s="35">
        <f>IF($AE38="",DATE(2100,12,31),$AE38)</f>
        <v/>
      </c>
      <c r="AH38" s="22">
        <f>IF($C38="","",IFERROR(IF(INDEX(Deals!$AG$2:$AG$355,MATCH($C38,Deals!$A$2:$A$355,0))=0,"",INDEX(Deals!$AG$2:$AG$355,MATCH($C38,Deals!$A$2:$A$355,0))),""))</f>
        <v/>
      </c>
      <c r="AI38" s="35">
        <f>IF($AH38="",DATE(1900,1,1),$AF38)</f>
        <v/>
      </c>
      <c r="AJ38" s="35">
        <f>IF($AH38="",DATE(2100,12,31),$AH38)</f>
        <v/>
      </c>
      <c r="AK38" s="32">
        <f>IF($AH38="",$AC38,$AC38*$S38)</f>
        <v/>
      </c>
      <c r="AL38" s="35">
        <f>IF($AH38="",DATE(2100,12,31),$AH38+1)</f>
        <v/>
      </c>
      <c r="AM38" s="35">
        <f>IF($AH38="",DATE(1900,1,1),$AG38)</f>
        <v/>
      </c>
      <c r="AN38" s="32">
        <f>IF($AH38="",0,$AC38*$T38)</f>
        <v/>
      </c>
    </row>
    <row r="39">
      <c r="A39" s="28" t="inlineStr">
        <is>
          <t>Tania</t>
        </is>
      </c>
      <c r="B39" s="16">
        <f>IF($A39="","",IFERROR(INDEX(Roster!$B$2:$B$40,MATCH($A39,Roster!$A$2:$A$40,0)),"?"))</f>
        <v/>
      </c>
      <c r="C39" s="28" t="inlineStr">
        <is>
          <t>Scan_1</t>
        </is>
      </c>
      <c r="D39" s="16">
        <f>IF($C39="","",IFERROR(IF(INDEX(Deals!$C$2:$C$355,MATCH($C39,Deals!$A$2:$A$355,0))=0,"",INDEX(Deals!$C$2:$C$355,MATCH($C39,Deals!$A$2:$A$355,0))),"?"))</f>
        <v/>
      </c>
      <c r="E39" s="16">
        <f>IF($C39="","",IFERROR(INDEX(Deals!$F$2:$F$355,MATCH($C39,Deals!$A$2:$A$355,0)),"?"))</f>
        <v/>
      </c>
      <c r="F39" s="28" t="inlineStr">
        <is>
          <t>Partner</t>
        </is>
      </c>
      <c r="G39" s="28" t="inlineStr">
        <is>
          <t>Active</t>
        </is>
      </c>
      <c r="H39" s="31" t="n"/>
      <c r="I39" s="32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1">
        <f>IF($C39="",0,IFERROR(INDEX(Deals!$H$2:$H$355,MATCH($C39,Deals!$A$2:$A$355,0)),0))</f>
        <v/>
      </c>
      <c r="K39" s="32">
        <f>IF(Settings!$B$4="Yes",$I39*$J39,$I39)</f>
        <v/>
      </c>
      <c r="L39" s="22">
        <f>IF($C39="","",IFERROR(IF(INDEX(Deals!$I$2:$I$355,MATCH($C39,Deals!$A$2:$A$355,0))=0,"",INDEX(Deals!$I$2:$I$355,MATCH($C39,Deals!$A$2:$A$355,0))),""))</f>
        <v/>
      </c>
      <c r="M39" s="22">
        <f>IF($C39="","",IFERROR(IF(INDEX(Deals!$J$2:$J$355,MATCH($C39,Deals!$A$2:$A$355,0))=0,"",INDEX(Deals!$J$2:$J$355,MATCH($C39,Deals!$A$2:$A$355,0))),""))</f>
        <v/>
      </c>
      <c r="N39" s="35">
        <f>IF($L39="",DATE(1900,1,1),$L39)</f>
        <v/>
      </c>
      <c r="O39" s="35">
        <f>IF($M39="",DATE(2100,12,31),$M39)</f>
        <v/>
      </c>
      <c r="P39" s="20" t="inlineStr"/>
      <c r="Q39" s="43" t="inlineStr"/>
      <c r="R39" s="16">
        <f>IF($C39="","",IFERROR(IF(INDEX(Deals!$U$2:$U$355,MATCH($C39,Deals!$A$2:$A$355,0))=0,"",INDEX(Deals!$U$2:$U$355,MATCH($C39,Deals!$A$2:$A$355,0))),""))</f>
        <v/>
      </c>
      <c r="S39" s="34">
        <f>IFERROR(IF($U39="",1,INDEX(Deals!$V$2:$V$355,MATCH($C39,Deals!$A$2:$A$355,0))),1)</f>
        <v/>
      </c>
      <c r="T39" s="34">
        <f>IFERROR(IF($U39="",1,INDEX(Deals!$W$2:$W$355,MATCH($C39,Deals!$A$2:$A$355,0))),1)</f>
        <v/>
      </c>
      <c r="U39" s="22">
        <f>IF($C39="","",IFERROR(IF(INDEX(Deals!$Y$2:$Y$355,MATCH($C39,Deals!$A$2:$A$355,0))=0,"",INDEX(Deals!$Y$2:$Y$355,MATCH($C39,Deals!$A$2:$A$355,0))),""))</f>
        <v/>
      </c>
      <c r="V39" s="35">
        <f>IF($U39="",DATE(1900,1,1),$N39)</f>
        <v/>
      </c>
      <c r="W39" s="35">
        <f>IF($U39="",DATE(2100,12,31),$U39)</f>
        <v/>
      </c>
      <c r="X39" s="32">
        <f>IF($U39="",$K39,$K39*$S39)</f>
        <v/>
      </c>
      <c r="Y39" s="35">
        <f>IF($U39="",DATE(2100,12,31),$U39+1)</f>
        <v/>
      </c>
      <c r="Z39" s="35">
        <f>IF($U39="",DATE(1900,1,1),$O39)</f>
        <v/>
      </c>
      <c r="AA39" s="32">
        <f>IF($U39="",0,$K39*$T39)</f>
        <v/>
      </c>
      <c r="AB39" s="21">
        <f>IF($C39="",0,IFERROR(INDEX(Deals!$AD$2:$AD$355,MATCH($C39,Deals!$A$2:$A$355,0)),0))</f>
        <v/>
      </c>
      <c r="AC39" s="32">
        <f>IF(Settings!$B$4="Yes",$I39*$AB39,$I39)</f>
        <v/>
      </c>
      <c r="AD39" s="22">
        <f>IF($C39="","",IFERROR(IF(INDEX(Deals!$AE$2:$AE$355,MATCH($C39,Deals!$A$2:$A$355,0))=0,"",INDEX(Deals!$AE$2:$AE$355,MATCH($C39,Deals!$A$2:$A$355,0))),""))</f>
        <v/>
      </c>
      <c r="AE39" s="22">
        <f>IF($C39="","",IFERROR(IF(INDEX(Deals!$AF$2:$AF$355,MATCH($C39,Deals!$A$2:$A$355,0))=0,"",INDEX(Deals!$AF$2:$AF$355,MATCH($C39,Deals!$A$2:$A$355,0))),""))</f>
        <v/>
      </c>
      <c r="AF39" s="35">
        <f>IF($AD39="",DATE(1900,1,1),$AD39)</f>
        <v/>
      </c>
      <c r="AG39" s="35">
        <f>IF($AE39="",DATE(2100,12,31),$AE39)</f>
        <v/>
      </c>
      <c r="AH39" s="22">
        <f>IF($C39="","",IFERROR(IF(INDEX(Deals!$AG$2:$AG$355,MATCH($C39,Deals!$A$2:$A$355,0))=0,"",INDEX(Deals!$AG$2:$AG$355,MATCH($C39,Deals!$A$2:$A$355,0))),""))</f>
        <v/>
      </c>
      <c r="AI39" s="35">
        <f>IF($AH39="",DATE(1900,1,1),$AF39)</f>
        <v/>
      </c>
      <c r="AJ39" s="35">
        <f>IF($AH39="",DATE(2100,12,31),$AH39)</f>
        <v/>
      </c>
      <c r="AK39" s="32">
        <f>IF($AH39="",$AC39,$AC39*$S39)</f>
        <v/>
      </c>
      <c r="AL39" s="35">
        <f>IF($AH39="",DATE(2100,12,31),$AH39+1)</f>
        <v/>
      </c>
      <c r="AM39" s="35">
        <f>IF($AH39="",DATE(1900,1,1),$AG39)</f>
        <v/>
      </c>
      <c r="AN39" s="32">
        <f>IF($AH39="",0,$AC39*$T39)</f>
        <v/>
      </c>
    </row>
    <row r="40">
      <c r="A40" s="28" t="inlineStr">
        <is>
          <t>Tania</t>
        </is>
      </c>
      <c r="B40" s="16">
        <f>IF($A40="","",IFERROR(INDEX(Roster!$B$2:$B$40,MATCH($A40,Roster!$A$2:$A$40,0)),"?"))</f>
        <v/>
      </c>
      <c r="C40" s="28" t="inlineStr">
        <is>
          <t>Seven2 PFIC_1</t>
        </is>
      </c>
      <c r="D40" s="16">
        <f>IF($C40="","",IFERROR(IF(INDEX(Deals!$C$2:$C$355,MATCH($C40,Deals!$A$2:$A$355,0))=0,"",INDEX(Deals!$C$2:$C$355,MATCH($C40,Deals!$A$2:$A$355,0))),"?"))</f>
        <v/>
      </c>
      <c r="E40" s="16">
        <f>IF($C40="","",IFERROR(INDEX(Deals!$F$2:$F$355,MATCH($C40,Deals!$A$2:$A$355,0)),"?"))</f>
        <v/>
      </c>
      <c r="F40" s="28" t="inlineStr">
        <is>
          <t>Partner</t>
        </is>
      </c>
      <c r="G40" s="28" t="inlineStr">
        <is>
          <t>Active</t>
        </is>
      </c>
      <c r="H40" s="31" t="n"/>
      <c r="I40" s="32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1">
        <f>IF($C40="",0,IFERROR(INDEX(Deals!$H$2:$H$355,MATCH($C40,Deals!$A$2:$A$355,0)),0))</f>
        <v/>
      </c>
      <c r="K40" s="32">
        <f>IF(Settings!$B$4="Yes",$I40*$J40,$I40)</f>
        <v/>
      </c>
      <c r="L40" s="22">
        <f>IF($C40="","",IFERROR(IF(INDEX(Deals!$I$2:$I$355,MATCH($C40,Deals!$A$2:$A$355,0))=0,"",INDEX(Deals!$I$2:$I$355,MATCH($C40,Deals!$A$2:$A$355,0))),""))</f>
        <v/>
      </c>
      <c r="M40" s="22">
        <f>IF($C40="","",IFERROR(IF(INDEX(Deals!$J$2:$J$355,MATCH($C40,Deals!$A$2:$A$355,0))=0,"",INDEX(Deals!$J$2:$J$355,MATCH($C40,Deals!$A$2:$A$355,0))),""))</f>
        <v/>
      </c>
      <c r="N40" s="35">
        <f>IF($L40="",DATE(1900,1,1),$L40)</f>
        <v/>
      </c>
      <c r="O40" s="35">
        <f>IF($M40="",DATE(2100,12,31),$M40)</f>
        <v/>
      </c>
      <c r="P40" s="20" t="inlineStr"/>
      <c r="Q40" s="43" t="inlineStr"/>
      <c r="R40" s="16">
        <f>IF($C40="","",IFERROR(IF(INDEX(Deals!$U$2:$U$355,MATCH($C40,Deals!$A$2:$A$355,0))=0,"",INDEX(Deals!$U$2:$U$355,MATCH($C40,Deals!$A$2:$A$355,0))),""))</f>
        <v/>
      </c>
      <c r="S40" s="34">
        <f>IFERROR(IF($U40="",1,INDEX(Deals!$V$2:$V$355,MATCH($C40,Deals!$A$2:$A$355,0))),1)</f>
        <v/>
      </c>
      <c r="T40" s="34">
        <f>IFERROR(IF($U40="",1,INDEX(Deals!$W$2:$W$355,MATCH($C40,Deals!$A$2:$A$355,0))),1)</f>
        <v/>
      </c>
      <c r="U40" s="22">
        <f>IF($C40="","",IFERROR(IF(INDEX(Deals!$Y$2:$Y$355,MATCH($C40,Deals!$A$2:$A$355,0))=0,"",INDEX(Deals!$Y$2:$Y$355,MATCH($C40,Deals!$A$2:$A$355,0))),""))</f>
        <v/>
      </c>
      <c r="V40" s="35">
        <f>IF($U40="",DATE(1900,1,1),$N40)</f>
        <v/>
      </c>
      <c r="W40" s="35">
        <f>IF($U40="",DATE(2100,12,31),$U40)</f>
        <v/>
      </c>
      <c r="X40" s="32">
        <f>IF($U40="",$K40,$K40*$S40)</f>
        <v/>
      </c>
      <c r="Y40" s="35">
        <f>IF($U40="",DATE(2100,12,31),$U40+1)</f>
        <v/>
      </c>
      <c r="Z40" s="35">
        <f>IF($U40="",DATE(1900,1,1),$O40)</f>
        <v/>
      </c>
      <c r="AA40" s="32">
        <f>IF($U40="",0,$K40*$T40)</f>
        <v/>
      </c>
      <c r="AB40" s="21">
        <f>IF($C40="",0,IFERROR(INDEX(Deals!$AD$2:$AD$355,MATCH($C40,Deals!$A$2:$A$355,0)),0))</f>
        <v/>
      </c>
      <c r="AC40" s="32">
        <f>IF(Settings!$B$4="Yes",$I40*$AB40,$I40)</f>
        <v/>
      </c>
      <c r="AD40" s="22">
        <f>IF($C40="","",IFERROR(IF(INDEX(Deals!$AE$2:$AE$355,MATCH($C40,Deals!$A$2:$A$355,0))=0,"",INDEX(Deals!$AE$2:$AE$355,MATCH($C40,Deals!$A$2:$A$355,0))),""))</f>
        <v/>
      </c>
      <c r="AE40" s="22">
        <f>IF($C40="","",IFERROR(IF(INDEX(Deals!$AF$2:$AF$355,MATCH($C40,Deals!$A$2:$A$355,0))=0,"",INDEX(Deals!$AF$2:$AF$355,MATCH($C40,Deals!$A$2:$A$355,0))),""))</f>
        <v/>
      </c>
      <c r="AF40" s="35">
        <f>IF($AD40="",DATE(1900,1,1),$AD40)</f>
        <v/>
      </c>
      <c r="AG40" s="35">
        <f>IF($AE40="",DATE(2100,12,31),$AE40)</f>
        <v/>
      </c>
      <c r="AH40" s="22">
        <f>IF($C40="","",IFERROR(IF(INDEX(Deals!$AG$2:$AG$355,MATCH($C40,Deals!$A$2:$A$355,0))=0,"",INDEX(Deals!$AG$2:$AG$355,MATCH($C40,Deals!$A$2:$A$355,0))),""))</f>
        <v/>
      </c>
      <c r="AI40" s="35">
        <f>IF($AH40="",DATE(1900,1,1),$AF40)</f>
        <v/>
      </c>
      <c r="AJ40" s="35">
        <f>IF($AH40="",DATE(2100,12,31),$AH40)</f>
        <v/>
      </c>
      <c r="AK40" s="32">
        <f>IF($AH40="",$AC40,$AC40*$S40)</f>
        <v/>
      </c>
      <c r="AL40" s="35">
        <f>IF($AH40="",DATE(2100,12,31),$AH40+1)</f>
        <v/>
      </c>
      <c r="AM40" s="35">
        <f>IF($AH40="",DATE(1900,1,1),$AG40)</f>
        <v/>
      </c>
      <c r="AN40" s="32">
        <f>IF($AH40="",0,$AC40*$T40)</f>
        <v/>
      </c>
    </row>
    <row r="41">
      <c r="A41" s="28" t="inlineStr">
        <is>
          <t>Tania</t>
        </is>
      </c>
      <c r="B41" s="16">
        <f>IF($A41="","",IFERROR(INDEX(Roster!$B$2:$B$40,MATCH($A41,Roster!$A$2:$A$40,0)),"?"))</f>
        <v/>
      </c>
      <c r="C41" s="28" t="inlineStr">
        <is>
          <t>Steam_3</t>
        </is>
      </c>
      <c r="D41" s="16">
        <f>IF($C41="","",IFERROR(IF(INDEX(Deals!$C$2:$C$355,MATCH($C41,Deals!$A$2:$A$355,0))=0,"",INDEX(Deals!$C$2:$C$355,MATCH($C41,Deals!$A$2:$A$355,0))),"?"))</f>
        <v/>
      </c>
      <c r="E41" s="16">
        <f>IF($C41="","",IFERROR(INDEX(Deals!$F$2:$F$355,MATCH($C41,Deals!$A$2:$A$355,0)),"?"))</f>
        <v/>
      </c>
      <c r="F41" s="28" t="inlineStr">
        <is>
          <t>Partner</t>
        </is>
      </c>
      <c r="G41" s="28" t="inlineStr">
        <is>
          <t>Inactive</t>
        </is>
      </c>
      <c r="H41" s="31" t="n"/>
      <c r="I41" s="32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1">
        <f>IF($C41="",0,IFERROR(INDEX(Deals!$H$2:$H$355,MATCH($C41,Deals!$A$2:$A$355,0)),0))</f>
        <v/>
      </c>
      <c r="K41" s="32">
        <f>IF(Settings!$B$4="Yes",$I41*$J41,$I41)</f>
        <v/>
      </c>
      <c r="L41" s="22">
        <f>IF($C41="","",IFERROR(IF(INDEX(Deals!$I$2:$I$355,MATCH($C41,Deals!$A$2:$A$355,0))=0,"",INDEX(Deals!$I$2:$I$355,MATCH($C41,Deals!$A$2:$A$355,0))),""))</f>
        <v/>
      </c>
      <c r="M41" s="22">
        <f>IF($C41="","",IFERROR(IF(INDEX(Deals!$J$2:$J$355,MATCH($C41,Deals!$A$2:$A$355,0))=0,"",INDEX(Deals!$J$2:$J$355,MATCH($C41,Deals!$A$2:$A$355,0))),""))</f>
        <v/>
      </c>
      <c r="N41" s="35">
        <f>IF($L41="",DATE(1900,1,1),$L41)</f>
        <v/>
      </c>
      <c r="O41" s="35">
        <f>IF($M41="",DATE(2100,12,31),$M41)</f>
        <v/>
      </c>
      <c r="P41" s="20" t="inlineStr"/>
      <c r="Q41" s="43" t="inlineStr">
        <is>
          <t>Deal lifecycle is Dead</t>
        </is>
      </c>
      <c r="R41" s="16">
        <f>IF($C41="","",IFERROR(IF(INDEX(Deals!$U$2:$U$355,MATCH($C41,Deals!$A$2:$A$355,0))=0,"",INDEX(Deals!$U$2:$U$355,MATCH($C41,Deals!$A$2:$A$355,0))),""))</f>
        <v/>
      </c>
      <c r="S41" s="34">
        <f>IFERROR(IF($U41="",1,INDEX(Deals!$V$2:$V$355,MATCH($C41,Deals!$A$2:$A$355,0))),1)</f>
        <v/>
      </c>
      <c r="T41" s="34">
        <f>IFERROR(IF($U41="",1,INDEX(Deals!$W$2:$W$355,MATCH($C41,Deals!$A$2:$A$355,0))),1)</f>
        <v/>
      </c>
      <c r="U41" s="22">
        <f>IF($C41="","",IFERROR(IF(INDEX(Deals!$Y$2:$Y$355,MATCH($C41,Deals!$A$2:$A$355,0))=0,"",INDEX(Deals!$Y$2:$Y$355,MATCH($C41,Deals!$A$2:$A$355,0))),""))</f>
        <v/>
      </c>
      <c r="V41" s="35">
        <f>IF($U41="",DATE(1900,1,1),$N41)</f>
        <v/>
      </c>
      <c r="W41" s="35">
        <f>IF($U41="",DATE(2100,12,31),$U41)</f>
        <v/>
      </c>
      <c r="X41" s="32">
        <f>IF($U41="",$K41,$K41*$S41)</f>
        <v/>
      </c>
      <c r="Y41" s="35">
        <f>IF($U41="",DATE(2100,12,31),$U41+1)</f>
        <v/>
      </c>
      <c r="Z41" s="35">
        <f>IF($U41="",DATE(1900,1,1),$O41)</f>
        <v/>
      </c>
      <c r="AA41" s="32">
        <f>IF($U41="",0,$K41*$T41)</f>
        <v/>
      </c>
      <c r="AB41" s="21">
        <f>IF($C41="",0,IFERROR(INDEX(Deals!$AD$2:$AD$355,MATCH($C41,Deals!$A$2:$A$355,0)),0))</f>
        <v/>
      </c>
      <c r="AC41" s="32">
        <f>IF(Settings!$B$4="Yes",$I41*$AB41,$I41)</f>
        <v/>
      </c>
      <c r="AD41" s="22">
        <f>IF($C41="","",IFERROR(IF(INDEX(Deals!$AE$2:$AE$355,MATCH($C41,Deals!$A$2:$A$355,0))=0,"",INDEX(Deals!$AE$2:$AE$355,MATCH($C41,Deals!$A$2:$A$355,0))),""))</f>
        <v/>
      </c>
      <c r="AE41" s="22">
        <f>IF($C41="","",IFERROR(IF(INDEX(Deals!$AF$2:$AF$355,MATCH($C41,Deals!$A$2:$A$355,0))=0,"",INDEX(Deals!$AF$2:$AF$355,MATCH($C41,Deals!$A$2:$A$355,0))),""))</f>
        <v/>
      </c>
      <c r="AF41" s="35">
        <f>IF($AD41="",DATE(1900,1,1),$AD41)</f>
        <v/>
      </c>
      <c r="AG41" s="35">
        <f>IF($AE41="",DATE(2100,12,31),$AE41)</f>
        <v/>
      </c>
      <c r="AH41" s="22">
        <f>IF($C41="","",IFERROR(IF(INDEX(Deals!$AG$2:$AG$355,MATCH($C41,Deals!$A$2:$A$355,0))=0,"",INDEX(Deals!$AG$2:$AG$355,MATCH($C41,Deals!$A$2:$A$355,0))),""))</f>
        <v/>
      </c>
      <c r="AI41" s="35">
        <f>IF($AH41="",DATE(1900,1,1),$AF41)</f>
        <v/>
      </c>
      <c r="AJ41" s="35">
        <f>IF($AH41="",DATE(2100,12,31),$AH41)</f>
        <v/>
      </c>
      <c r="AK41" s="32">
        <f>IF($AH41="",$AC41,$AC41*$S41)</f>
        <v/>
      </c>
      <c r="AL41" s="35">
        <f>IF($AH41="",DATE(2100,12,31),$AH41+1)</f>
        <v/>
      </c>
      <c r="AM41" s="35">
        <f>IF($AH41="",DATE(1900,1,1),$AG41)</f>
        <v/>
      </c>
      <c r="AN41" s="32">
        <f>IF($AH41="",0,$AC41*$T41)</f>
        <v/>
      </c>
    </row>
    <row r="42">
      <c r="A42" s="28" t="inlineStr">
        <is>
          <t>Tania</t>
        </is>
      </c>
      <c r="B42" s="16">
        <f>IF($A42="","",IFERROR(INDEX(Roster!$B$2:$B$40,MATCH($A42,Roster!$A$2:$A$40,0)),"?"))</f>
        <v/>
      </c>
      <c r="C42" s="28" t="inlineStr">
        <is>
          <t>Tailgate_1</t>
        </is>
      </c>
      <c r="D42" s="16">
        <f>IF($C42="","",IFERROR(IF(INDEX(Deals!$C$2:$C$355,MATCH($C42,Deals!$A$2:$A$355,0))=0,"",INDEX(Deals!$C$2:$C$355,MATCH($C42,Deals!$A$2:$A$355,0))),"?"))</f>
        <v/>
      </c>
      <c r="E42" s="16">
        <f>IF($C42="","",IFERROR(INDEX(Deals!$F$2:$F$355,MATCH($C42,Deals!$A$2:$A$355,0)),"?"))</f>
        <v/>
      </c>
      <c r="F42" s="28" t="inlineStr">
        <is>
          <t>Partner</t>
        </is>
      </c>
      <c r="G42" s="28" t="inlineStr">
        <is>
          <t>Active</t>
        </is>
      </c>
      <c r="H42" s="31" t="n"/>
      <c r="I42" s="32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1">
        <f>IF($C42="",0,IFERROR(INDEX(Deals!$H$2:$H$355,MATCH($C42,Deals!$A$2:$A$355,0)),0))</f>
        <v/>
      </c>
      <c r="K42" s="32">
        <f>IF(Settings!$B$4="Yes",$I42*$J42,$I42)</f>
        <v/>
      </c>
      <c r="L42" s="22">
        <f>IF($C42="","",IFERROR(IF(INDEX(Deals!$I$2:$I$355,MATCH($C42,Deals!$A$2:$A$355,0))=0,"",INDEX(Deals!$I$2:$I$355,MATCH($C42,Deals!$A$2:$A$355,0))),""))</f>
        <v/>
      </c>
      <c r="M42" s="22">
        <f>IF($C42="","",IFERROR(IF(INDEX(Deals!$J$2:$J$355,MATCH($C42,Deals!$A$2:$A$355,0))=0,"",INDEX(Deals!$J$2:$J$355,MATCH($C42,Deals!$A$2:$A$355,0))),""))</f>
        <v/>
      </c>
      <c r="N42" s="35">
        <f>IF($L42="",DATE(1900,1,1),$L42)</f>
        <v/>
      </c>
      <c r="O42" s="35">
        <f>IF($M42="",DATE(2100,12,31),$M42)</f>
        <v/>
      </c>
      <c r="P42" s="20" t="inlineStr"/>
      <c r="Q42" s="43" t="inlineStr"/>
      <c r="R42" s="16">
        <f>IF($C42="","",IFERROR(IF(INDEX(Deals!$U$2:$U$355,MATCH($C42,Deals!$A$2:$A$355,0))=0,"",INDEX(Deals!$U$2:$U$355,MATCH($C42,Deals!$A$2:$A$355,0))),""))</f>
        <v/>
      </c>
      <c r="S42" s="34">
        <f>IFERROR(IF($U42="",1,INDEX(Deals!$V$2:$V$355,MATCH($C42,Deals!$A$2:$A$355,0))),1)</f>
        <v/>
      </c>
      <c r="T42" s="34">
        <f>IFERROR(IF($U42="",1,INDEX(Deals!$W$2:$W$355,MATCH($C42,Deals!$A$2:$A$355,0))),1)</f>
        <v/>
      </c>
      <c r="U42" s="22">
        <f>IF($C42="","",IFERROR(IF(INDEX(Deals!$Y$2:$Y$355,MATCH($C42,Deals!$A$2:$A$355,0))=0,"",INDEX(Deals!$Y$2:$Y$355,MATCH($C42,Deals!$A$2:$A$355,0))),""))</f>
        <v/>
      </c>
      <c r="V42" s="35">
        <f>IF($U42="",DATE(1900,1,1),$N42)</f>
        <v/>
      </c>
      <c r="W42" s="35">
        <f>IF($U42="",DATE(2100,12,31),$U42)</f>
        <v/>
      </c>
      <c r="X42" s="32">
        <f>IF($U42="",$K42,$K42*$S42)</f>
        <v/>
      </c>
      <c r="Y42" s="35">
        <f>IF($U42="",DATE(2100,12,31),$U42+1)</f>
        <v/>
      </c>
      <c r="Z42" s="35">
        <f>IF($U42="",DATE(1900,1,1),$O42)</f>
        <v/>
      </c>
      <c r="AA42" s="32">
        <f>IF($U42="",0,$K42*$T42)</f>
        <v/>
      </c>
      <c r="AB42" s="21">
        <f>IF($C42="",0,IFERROR(INDEX(Deals!$AD$2:$AD$355,MATCH($C42,Deals!$A$2:$A$355,0)),0))</f>
        <v/>
      </c>
      <c r="AC42" s="32">
        <f>IF(Settings!$B$4="Yes",$I42*$AB42,$I42)</f>
        <v/>
      </c>
      <c r="AD42" s="22">
        <f>IF($C42="","",IFERROR(IF(INDEX(Deals!$AE$2:$AE$355,MATCH($C42,Deals!$A$2:$A$355,0))=0,"",INDEX(Deals!$AE$2:$AE$355,MATCH($C42,Deals!$A$2:$A$355,0))),""))</f>
        <v/>
      </c>
      <c r="AE42" s="22">
        <f>IF($C42="","",IFERROR(IF(INDEX(Deals!$AF$2:$AF$355,MATCH($C42,Deals!$A$2:$A$355,0))=0,"",INDEX(Deals!$AF$2:$AF$355,MATCH($C42,Deals!$A$2:$A$355,0))),""))</f>
        <v/>
      </c>
      <c r="AF42" s="35">
        <f>IF($AD42="",DATE(1900,1,1),$AD42)</f>
        <v/>
      </c>
      <c r="AG42" s="35">
        <f>IF($AE42="",DATE(2100,12,31),$AE42)</f>
        <v/>
      </c>
      <c r="AH42" s="22">
        <f>IF($C42="","",IFERROR(IF(INDEX(Deals!$AG$2:$AG$355,MATCH($C42,Deals!$A$2:$A$355,0))=0,"",INDEX(Deals!$AG$2:$AG$355,MATCH($C42,Deals!$A$2:$A$355,0))),""))</f>
        <v/>
      </c>
      <c r="AI42" s="35">
        <f>IF($AH42="",DATE(1900,1,1),$AF42)</f>
        <v/>
      </c>
      <c r="AJ42" s="35">
        <f>IF($AH42="",DATE(2100,12,31),$AH42)</f>
        <v/>
      </c>
      <c r="AK42" s="32">
        <f>IF($AH42="",$AC42,$AC42*$S42)</f>
        <v/>
      </c>
      <c r="AL42" s="35">
        <f>IF($AH42="",DATE(2100,12,31),$AH42+1)</f>
        <v/>
      </c>
      <c r="AM42" s="35">
        <f>IF($AH42="",DATE(1900,1,1),$AG42)</f>
        <v/>
      </c>
      <c r="AN42" s="32">
        <f>IF($AH42="",0,$AC42*$T42)</f>
        <v/>
      </c>
    </row>
    <row r="43">
      <c r="A43" s="28" t="inlineStr">
        <is>
          <t>Tania</t>
        </is>
      </c>
      <c r="B43" s="16">
        <f>IF($A43="","",IFERROR(INDEX(Roster!$B$2:$B$40,MATCH($A43,Roster!$A$2:$A$40,0)),"?"))</f>
        <v/>
      </c>
      <c r="C43" s="28" t="inlineStr">
        <is>
          <t>Theoden_1</t>
        </is>
      </c>
      <c r="D43" s="16">
        <f>IF($C43="","",IFERROR(IF(INDEX(Deals!$C$2:$C$355,MATCH($C43,Deals!$A$2:$A$355,0))=0,"",INDEX(Deals!$C$2:$C$355,MATCH($C43,Deals!$A$2:$A$355,0))),"?"))</f>
        <v/>
      </c>
      <c r="E43" s="16">
        <f>IF($C43="","",IFERROR(INDEX(Deals!$F$2:$F$355,MATCH($C43,Deals!$A$2:$A$355,0)),"?"))</f>
        <v/>
      </c>
      <c r="F43" s="28" t="inlineStr">
        <is>
          <t>Partner</t>
        </is>
      </c>
      <c r="G43" s="28" t="inlineStr">
        <is>
          <t>Active</t>
        </is>
      </c>
      <c r="H43" s="31" t="n"/>
      <c r="I43" s="32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1">
        <f>IF($C43="",0,IFERROR(INDEX(Deals!$H$2:$H$355,MATCH($C43,Deals!$A$2:$A$355,0)),0))</f>
        <v/>
      </c>
      <c r="K43" s="32">
        <f>IF(Settings!$B$4="Yes",$I43*$J43,$I43)</f>
        <v/>
      </c>
      <c r="L43" s="22">
        <f>IF($C43="","",IFERROR(IF(INDEX(Deals!$I$2:$I$355,MATCH($C43,Deals!$A$2:$A$355,0))=0,"",INDEX(Deals!$I$2:$I$355,MATCH($C43,Deals!$A$2:$A$355,0))),""))</f>
        <v/>
      </c>
      <c r="M43" s="22">
        <f>IF($C43="","",IFERROR(IF(INDEX(Deals!$J$2:$J$355,MATCH($C43,Deals!$A$2:$A$355,0))=0,"",INDEX(Deals!$J$2:$J$355,MATCH($C43,Deals!$A$2:$A$355,0))),""))</f>
        <v/>
      </c>
      <c r="N43" s="35">
        <f>IF($L43="",DATE(1900,1,1),$L43)</f>
        <v/>
      </c>
      <c r="O43" s="35">
        <f>IF($M43="",DATE(2100,12,31),$M43)</f>
        <v/>
      </c>
      <c r="P43" s="20" t="inlineStr"/>
      <c r="Q43" s="43" t="inlineStr"/>
      <c r="R43" s="16">
        <f>IF($C43="","",IFERROR(IF(INDEX(Deals!$U$2:$U$355,MATCH($C43,Deals!$A$2:$A$355,0))=0,"",INDEX(Deals!$U$2:$U$355,MATCH($C43,Deals!$A$2:$A$355,0))),""))</f>
        <v/>
      </c>
      <c r="S43" s="34">
        <f>IFERROR(IF($U43="",1,INDEX(Deals!$V$2:$V$355,MATCH($C43,Deals!$A$2:$A$355,0))),1)</f>
        <v/>
      </c>
      <c r="T43" s="34">
        <f>IFERROR(IF($U43="",1,INDEX(Deals!$W$2:$W$355,MATCH($C43,Deals!$A$2:$A$355,0))),1)</f>
        <v/>
      </c>
      <c r="U43" s="22">
        <f>IF($C43="","",IFERROR(IF(INDEX(Deals!$Y$2:$Y$355,MATCH($C43,Deals!$A$2:$A$355,0))=0,"",INDEX(Deals!$Y$2:$Y$355,MATCH($C43,Deals!$A$2:$A$355,0))),""))</f>
        <v/>
      </c>
      <c r="V43" s="35">
        <f>IF($U43="",DATE(1900,1,1),$N43)</f>
        <v/>
      </c>
      <c r="W43" s="35">
        <f>IF($U43="",DATE(2100,12,31),$U43)</f>
        <v/>
      </c>
      <c r="X43" s="32">
        <f>IF($U43="",$K43,$K43*$S43)</f>
        <v/>
      </c>
      <c r="Y43" s="35">
        <f>IF($U43="",DATE(2100,12,31),$U43+1)</f>
        <v/>
      </c>
      <c r="Z43" s="35">
        <f>IF($U43="",DATE(1900,1,1),$O43)</f>
        <v/>
      </c>
      <c r="AA43" s="32">
        <f>IF($U43="",0,$K43*$T43)</f>
        <v/>
      </c>
      <c r="AB43" s="21">
        <f>IF($C43="",0,IFERROR(INDEX(Deals!$AD$2:$AD$355,MATCH($C43,Deals!$A$2:$A$355,0)),0))</f>
        <v/>
      </c>
      <c r="AC43" s="32">
        <f>IF(Settings!$B$4="Yes",$I43*$AB43,$I43)</f>
        <v/>
      </c>
      <c r="AD43" s="22">
        <f>IF($C43="","",IFERROR(IF(INDEX(Deals!$AE$2:$AE$355,MATCH($C43,Deals!$A$2:$A$355,0))=0,"",INDEX(Deals!$AE$2:$AE$355,MATCH($C43,Deals!$A$2:$A$355,0))),""))</f>
        <v/>
      </c>
      <c r="AE43" s="22">
        <f>IF($C43="","",IFERROR(IF(INDEX(Deals!$AF$2:$AF$355,MATCH($C43,Deals!$A$2:$A$355,0))=0,"",INDEX(Deals!$AF$2:$AF$355,MATCH($C43,Deals!$A$2:$A$355,0))),""))</f>
        <v/>
      </c>
      <c r="AF43" s="35">
        <f>IF($AD43="",DATE(1900,1,1),$AD43)</f>
        <v/>
      </c>
      <c r="AG43" s="35">
        <f>IF($AE43="",DATE(2100,12,31),$AE43)</f>
        <v/>
      </c>
      <c r="AH43" s="22">
        <f>IF($C43="","",IFERROR(IF(INDEX(Deals!$AG$2:$AG$355,MATCH($C43,Deals!$A$2:$A$355,0))=0,"",INDEX(Deals!$AG$2:$AG$355,MATCH($C43,Deals!$A$2:$A$355,0))),""))</f>
        <v/>
      </c>
      <c r="AI43" s="35">
        <f>IF($AH43="",DATE(1900,1,1),$AF43)</f>
        <v/>
      </c>
      <c r="AJ43" s="35">
        <f>IF($AH43="",DATE(2100,12,31),$AH43)</f>
        <v/>
      </c>
      <c r="AK43" s="32">
        <f>IF($AH43="",$AC43,$AC43*$S43)</f>
        <v/>
      </c>
      <c r="AL43" s="35">
        <f>IF($AH43="",DATE(2100,12,31),$AH43+1)</f>
        <v/>
      </c>
      <c r="AM43" s="35">
        <f>IF($AH43="",DATE(1900,1,1),$AG43)</f>
        <v/>
      </c>
      <c r="AN43" s="32">
        <f>IF($AH43="",0,$AC43*$T43)</f>
        <v/>
      </c>
    </row>
    <row r="44">
      <c r="A44" s="28" t="inlineStr">
        <is>
          <t>Tania</t>
        </is>
      </c>
      <c r="B44" s="16">
        <f>IF($A44="","",IFERROR(INDEX(Roster!$B$2:$B$40,MATCH($A44,Roster!$A$2:$A$40,0)),"?"))</f>
        <v/>
      </c>
      <c r="C44" s="28" t="inlineStr">
        <is>
          <t>Truman_1</t>
        </is>
      </c>
      <c r="D44" s="16">
        <f>IF($C44="","",IFERROR(IF(INDEX(Deals!$C$2:$C$355,MATCH($C44,Deals!$A$2:$A$355,0))=0,"",INDEX(Deals!$C$2:$C$355,MATCH($C44,Deals!$A$2:$A$355,0))),"?"))</f>
        <v/>
      </c>
      <c r="E44" s="16">
        <f>IF($C44="","",IFERROR(INDEX(Deals!$F$2:$F$355,MATCH($C44,Deals!$A$2:$A$355,0)),"?"))</f>
        <v/>
      </c>
      <c r="F44" s="28" t="inlineStr">
        <is>
          <t>Partner</t>
        </is>
      </c>
      <c r="G44" s="28" t="inlineStr">
        <is>
          <t>Active</t>
        </is>
      </c>
      <c r="H44" s="31" t="n"/>
      <c r="I44" s="32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1">
        <f>IF($C44="",0,IFERROR(INDEX(Deals!$H$2:$H$355,MATCH($C44,Deals!$A$2:$A$355,0)),0))</f>
        <v/>
      </c>
      <c r="K44" s="32">
        <f>IF(Settings!$B$4="Yes",$I44*$J44,$I44)</f>
        <v/>
      </c>
      <c r="L44" s="22">
        <f>IF($C44="","",IFERROR(IF(INDEX(Deals!$I$2:$I$355,MATCH($C44,Deals!$A$2:$A$355,0))=0,"",INDEX(Deals!$I$2:$I$355,MATCH($C44,Deals!$A$2:$A$355,0))),""))</f>
        <v/>
      </c>
      <c r="M44" s="22">
        <f>IF($C44="","",IFERROR(IF(INDEX(Deals!$J$2:$J$355,MATCH($C44,Deals!$A$2:$A$355,0))=0,"",INDEX(Deals!$J$2:$J$355,MATCH($C44,Deals!$A$2:$A$355,0))),""))</f>
        <v/>
      </c>
      <c r="N44" s="35">
        <f>IF($L44="",DATE(1900,1,1),$L44)</f>
        <v/>
      </c>
      <c r="O44" s="35">
        <f>IF($M44="",DATE(2100,12,31),$M44)</f>
        <v/>
      </c>
      <c r="P44" s="20" t="inlineStr"/>
      <c r="Q44" s="43" t="inlineStr"/>
      <c r="R44" s="16">
        <f>IF($C44="","",IFERROR(IF(INDEX(Deals!$U$2:$U$355,MATCH($C44,Deals!$A$2:$A$355,0))=0,"",INDEX(Deals!$U$2:$U$355,MATCH($C44,Deals!$A$2:$A$355,0))),""))</f>
        <v/>
      </c>
      <c r="S44" s="34">
        <f>IFERROR(IF($U44="",1,INDEX(Deals!$V$2:$V$355,MATCH($C44,Deals!$A$2:$A$355,0))),1)</f>
        <v/>
      </c>
      <c r="T44" s="34">
        <f>IFERROR(IF($U44="",1,INDEX(Deals!$W$2:$W$355,MATCH($C44,Deals!$A$2:$A$355,0))),1)</f>
        <v/>
      </c>
      <c r="U44" s="22">
        <f>IF($C44="","",IFERROR(IF(INDEX(Deals!$Y$2:$Y$355,MATCH($C44,Deals!$A$2:$A$355,0))=0,"",INDEX(Deals!$Y$2:$Y$355,MATCH($C44,Deals!$A$2:$A$355,0))),""))</f>
        <v/>
      </c>
      <c r="V44" s="35">
        <f>IF($U44="",DATE(1900,1,1),$N44)</f>
        <v/>
      </c>
      <c r="W44" s="35">
        <f>IF($U44="",DATE(2100,12,31),$U44)</f>
        <v/>
      </c>
      <c r="X44" s="32">
        <f>IF($U44="",$K44,$K44*$S44)</f>
        <v/>
      </c>
      <c r="Y44" s="35">
        <f>IF($U44="",DATE(2100,12,31),$U44+1)</f>
        <v/>
      </c>
      <c r="Z44" s="35">
        <f>IF($U44="",DATE(1900,1,1),$O44)</f>
        <v/>
      </c>
      <c r="AA44" s="32">
        <f>IF($U44="",0,$K44*$T44)</f>
        <v/>
      </c>
      <c r="AB44" s="21">
        <f>IF($C44="",0,IFERROR(INDEX(Deals!$AD$2:$AD$355,MATCH($C44,Deals!$A$2:$A$355,0)),0))</f>
        <v/>
      </c>
      <c r="AC44" s="32">
        <f>IF(Settings!$B$4="Yes",$I44*$AB44,$I44)</f>
        <v/>
      </c>
      <c r="AD44" s="22">
        <f>IF($C44="","",IFERROR(IF(INDEX(Deals!$AE$2:$AE$355,MATCH($C44,Deals!$A$2:$A$355,0))=0,"",INDEX(Deals!$AE$2:$AE$355,MATCH($C44,Deals!$A$2:$A$355,0))),""))</f>
        <v/>
      </c>
      <c r="AE44" s="22">
        <f>IF($C44="","",IFERROR(IF(INDEX(Deals!$AF$2:$AF$355,MATCH($C44,Deals!$A$2:$A$355,0))=0,"",INDEX(Deals!$AF$2:$AF$355,MATCH($C44,Deals!$A$2:$A$355,0))),""))</f>
        <v/>
      </c>
      <c r="AF44" s="35">
        <f>IF($AD44="",DATE(1900,1,1),$AD44)</f>
        <v/>
      </c>
      <c r="AG44" s="35">
        <f>IF($AE44="",DATE(2100,12,31),$AE44)</f>
        <v/>
      </c>
      <c r="AH44" s="22">
        <f>IF($C44="","",IFERROR(IF(INDEX(Deals!$AG$2:$AG$355,MATCH($C44,Deals!$A$2:$A$355,0))=0,"",INDEX(Deals!$AG$2:$AG$355,MATCH($C44,Deals!$A$2:$A$355,0))),""))</f>
        <v/>
      </c>
      <c r="AI44" s="35">
        <f>IF($AH44="",DATE(1900,1,1),$AF44)</f>
        <v/>
      </c>
      <c r="AJ44" s="35">
        <f>IF($AH44="",DATE(2100,12,31),$AH44)</f>
        <v/>
      </c>
      <c r="AK44" s="32">
        <f>IF($AH44="",$AC44,$AC44*$S44)</f>
        <v/>
      </c>
      <c r="AL44" s="35">
        <f>IF($AH44="",DATE(2100,12,31),$AH44+1)</f>
        <v/>
      </c>
      <c r="AM44" s="35">
        <f>IF($AH44="",DATE(1900,1,1),$AG44)</f>
        <v/>
      </c>
      <c r="AN44" s="32">
        <f>IF($AH44="",0,$AC44*$T44)</f>
        <v/>
      </c>
    </row>
    <row r="45">
      <c r="A45" s="28" t="inlineStr">
        <is>
          <t>Tania</t>
        </is>
      </c>
      <c r="B45" s="16">
        <f>IF($A45="","",IFERROR(INDEX(Roster!$B$2:$B$40,MATCH($A45,Roster!$A$2:$A$40,0)),"?"))</f>
        <v/>
      </c>
      <c r="C45" s="28" t="inlineStr">
        <is>
          <t>Twister_1</t>
        </is>
      </c>
      <c r="D45" s="16">
        <f>IF($C45="","",IFERROR(IF(INDEX(Deals!$C$2:$C$355,MATCH($C45,Deals!$A$2:$A$355,0))=0,"",INDEX(Deals!$C$2:$C$355,MATCH($C45,Deals!$A$2:$A$355,0))),"?"))</f>
        <v/>
      </c>
      <c r="E45" s="16">
        <f>IF($C45="","",IFERROR(INDEX(Deals!$F$2:$F$355,MATCH($C45,Deals!$A$2:$A$355,0)),"?"))</f>
        <v/>
      </c>
      <c r="F45" s="28" t="inlineStr">
        <is>
          <t>Partner</t>
        </is>
      </c>
      <c r="G45" s="28" t="inlineStr">
        <is>
          <t>Active</t>
        </is>
      </c>
      <c r="H45" s="31" t="n"/>
      <c r="I45" s="32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1">
        <f>IF($C45="",0,IFERROR(INDEX(Deals!$H$2:$H$355,MATCH($C45,Deals!$A$2:$A$355,0)),0))</f>
        <v/>
      </c>
      <c r="K45" s="32">
        <f>IF(Settings!$B$4="Yes",$I45*$J45,$I45)</f>
        <v/>
      </c>
      <c r="L45" s="22">
        <f>IF($C45="","",IFERROR(IF(INDEX(Deals!$I$2:$I$355,MATCH($C45,Deals!$A$2:$A$355,0))=0,"",INDEX(Deals!$I$2:$I$355,MATCH($C45,Deals!$A$2:$A$355,0))),""))</f>
        <v/>
      </c>
      <c r="M45" s="22">
        <f>IF($C45="","",IFERROR(IF(INDEX(Deals!$J$2:$J$355,MATCH($C45,Deals!$A$2:$A$355,0))=0,"",INDEX(Deals!$J$2:$J$355,MATCH($C45,Deals!$A$2:$A$355,0))),""))</f>
        <v/>
      </c>
      <c r="N45" s="35">
        <f>IF($L45="",DATE(1900,1,1),$L45)</f>
        <v/>
      </c>
      <c r="O45" s="35">
        <f>IF($M45="",DATE(2100,12,31),$M45)</f>
        <v/>
      </c>
      <c r="P45" s="20" t="inlineStr"/>
      <c r="Q45" s="43" t="inlineStr"/>
      <c r="R45" s="16">
        <f>IF($C45="","",IFERROR(IF(INDEX(Deals!$U$2:$U$355,MATCH($C45,Deals!$A$2:$A$355,0))=0,"",INDEX(Deals!$U$2:$U$355,MATCH($C45,Deals!$A$2:$A$355,0))),""))</f>
        <v/>
      </c>
      <c r="S45" s="34">
        <f>IFERROR(IF($U45="",1,INDEX(Deals!$V$2:$V$355,MATCH($C45,Deals!$A$2:$A$355,0))),1)</f>
        <v/>
      </c>
      <c r="T45" s="34">
        <f>IFERROR(IF($U45="",1,INDEX(Deals!$W$2:$W$355,MATCH($C45,Deals!$A$2:$A$355,0))),1)</f>
        <v/>
      </c>
      <c r="U45" s="22">
        <f>IF($C45="","",IFERROR(IF(INDEX(Deals!$Y$2:$Y$355,MATCH($C45,Deals!$A$2:$A$355,0))=0,"",INDEX(Deals!$Y$2:$Y$355,MATCH($C45,Deals!$A$2:$A$355,0))),""))</f>
        <v/>
      </c>
      <c r="V45" s="35">
        <f>IF($U45="",DATE(1900,1,1),$N45)</f>
        <v/>
      </c>
      <c r="W45" s="35">
        <f>IF($U45="",DATE(2100,12,31),$U45)</f>
        <v/>
      </c>
      <c r="X45" s="32">
        <f>IF($U45="",$K45,$K45*$S45)</f>
        <v/>
      </c>
      <c r="Y45" s="35">
        <f>IF($U45="",DATE(2100,12,31),$U45+1)</f>
        <v/>
      </c>
      <c r="Z45" s="35">
        <f>IF($U45="",DATE(1900,1,1),$O45)</f>
        <v/>
      </c>
      <c r="AA45" s="32">
        <f>IF($U45="",0,$K45*$T45)</f>
        <v/>
      </c>
      <c r="AB45" s="21">
        <f>IF($C45="",0,IFERROR(INDEX(Deals!$AD$2:$AD$355,MATCH($C45,Deals!$A$2:$A$355,0)),0))</f>
        <v/>
      </c>
      <c r="AC45" s="32">
        <f>IF(Settings!$B$4="Yes",$I45*$AB45,$I45)</f>
        <v/>
      </c>
      <c r="AD45" s="22">
        <f>IF($C45="","",IFERROR(IF(INDEX(Deals!$AE$2:$AE$355,MATCH($C45,Deals!$A$2:$A$355,0))=0,"",INDEX(Deals!$AE$2:$AE$355,MATCH($C45,Deals!$A$2:$A$355,0))),""))</f>
        <v/>
      </c>
      <c r="AE45" s="22">
        <f>IF($C45="","",IFERROR(IF(INDEX(Deals!$AF$2:$AF$355,MATCH($C45,Deals!$A$2:$A$355,0))=0,"",INDEX(Deals!$AF$2:$AF$355,MATCH($C45,Deals!$A$2:$A$355,0))),""))</f>
        <v/>
      </c>
      <c r="AF45" s="35">
        <f>IF($AD45="",DATE(1900,1,1),$AD45)</f>
        <v/>
      </c>
      <c r="AG45" s="35">
        <f>IF($AE45="",DATE(2100,12,31),$AE45)</f>
        <v/>
      </c>
      <c r="AH45" s="22">
        <f>IF($C45="","",IFERROR(IF(INDEX(Deals!$AG$2:$AG$355,MATCH($C45,Deals!$A$2:$A$355,0))=0,"",INDEX(Deals!$AG$2:$AG$355,MATCH($C45,Deals!$A$2:$A$355,0))),""))</f>
        <v/>
      </c>
      <c r="AI45" s="35">
        <f>IF($AH45="",DATE(1900,1,1),$AF45)</f>
        <v/>
      </c>
      <c r="AJ45" s="35">
        <f>IF($AH45="",DATE(2100,12,31),$AH45)</f>
        <v/>
      </c>
      <c r="AK45" s="32">
        <f>IF($AH45="",$AC45,$AC45*$S45)</f>
        <v/>
      </c>
      <c r="AL45" s="35">
        <f>IF($AH45="",DATE(2100,12,31),$AH45+1)</f>
        <v/>
      </c>
      <c r="AM45" s="35">
        <f>IF($AH45="",DATE(1900,1,1),$AG45)</f>
        <v/>
      </c>
      <c r="AN45" s="32">
        <f>IF($AH45="",0,$AC45*$T45)</f>
        <v/>
      </c>
    </row>
    <row r="46">
      <c r="A46" s="28" t="inlineStr">
        <is>
          <t>Tania</t>
        </is>
      </c>
      <c r="B46" s="16">
        <f>IF($A46="","",IFERROR(INDEX(Roster!$B$2:$B$40,MATCH($A46,Roster!$A$2:$A$40,0)),"?"))</f>
        <v/>
      </c>
      <c r="C46" s="28" t="inlineStr">
        <is>
          <t>Wheelhouse_2</t>
        </is>
      </c>
      <c r="D46" s="16">
        <f>IF($C46="","",IFERROR(IF(INDEX(Deals!$C$2:$C$355,MATCH($C46,Deals!$A$2:$A$355,0))=0,"",INDEX(Deals!$C$2:$C$355,MATCH($C46,Deals!$A$2:$A$355,0))),"?"))</f>
        <v/>
      </c>
      <c r="E46" s="16">
        <f>IF($C46="","",IFERROR(INDEX(Deals!$F$2:$F$355,MATCH($C46,Deals!$A$2:$A$355,0)),"?"))</f>
        <v/>
      </c>
      <c r="F46" s="28" t="inlineStr">
        <is>
          <t>Partner</t>
        </is>
      </c>
      <c r="G46" s="28" t="inlineStr">
        <is>
          <t>Inactive</t>
        </is>
      </c>
      <c r="H46" s="31" t="n"/>
      <c r="I46" s="32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1">
        <f>IF($C46="",0,IFERROR(INDEX(Deals!$H$2:$H$355,MATCH($C46,Deals!$A$2:$A$355,0)),0))</f>
        <v/>
      </c>
      <c r="K46" s="32">
        <f>IF(Settings!$B$4="Yes",$I46*$J46,$I46)</f>
        <v/>
      </c>
      <c r="L46" s="22">
        <f>IF($C46="","",IFERROR(IF(INDEX(Deals!$I$2:$I$355,MATCH($C46,Deals!$A$2:$A$355,0))=0,"",INDEX(Deals!$I$2:$I$355,MATCH($C46,Deals!$A$2:$A$355,0))),""))</f>
        <v/>
      </c>
      <c r="M46" s="22">
        <f>IF($C46="","",IFERROR(IF(INDEX(Deals!$J$2:$J$355,MATCH($C46,Deals!$A$2:$A$355,0))=0,"",INDEX(Deals!$J$2:$J$355,MATCH($C46,Deals!$A$2:$A$355,0))),""))</f>
        <v/>
      </c>
      <c r="N46" s="35">
        <f>IF($L46="",DATE(1900,1,1),$L46)</f>
        <v/>
      </c>
      <c r="O46" s="35">
        <f>IF($M46="",DATE(2100,12,31),$M46)</f>
        <v/>
      </c>
      <c r="P46" s="20" t="inlineStr"/>
      <c r="Q46" s="43" t="inlineStr">
        <is>
          <t>Deal lifecycle is Closed</t>
        </is>
      </c>
      <c r="R46" s="16">
        <f>IF($C46="","",IFERROR(IF(INDEX(Deals!$U$2:$U$355,MATCH($C46,Deals!$A$2:$A$355,0))=0,"",INDEX(Deals!$U$2:$U$355,MATCH($C46,Deals!$A$2:$A$355,0))),""))</f>
        <v/>
      </c>
      <c r="S46" s="34">
        <f>IFERROR(IF($U46="",1,INDEX(Deals!$V$2:$V$355,MATCH($C46,Deals!$A$2:$A$355,0))),1)</f>
        <v/>
      </c>
      <c r="T46" s="34">
        <f>IFERROR(IF($U46="",1,INDEX(Deals!$W$2:$W$355,MATCH($C46,Deals!$A$2:$A$355,0))),1)</f>
        <v/>
      </c>
      <c r="U46" s="22">
        <f>IF($C46="","",IFERROR(IF(INDEX(Deals!$Y$2:$Y$355,MATCH($C46,Deals!$A$2:$A$355,0))=0,"",INDEX(Deals!$Y$2:$Y$355,MATCH($C46,Deals!$A$2:$A$355,0))),""))</f>
        <v/>
      </c>
      <c r="V46" s="35">
        <f>IF($U46="",DATE(1900,1,1),$N46)</f>
        <v/>
      </c>
      <c r="W46" s="35">
        <f>IF($U46="",DATE(2100,12,31),$U46)</f>
        <v/>
      </c>
      <c r="X46" s="32">
        <f>IF($U46="",$K46,$K46*$S46)</f>
        <v/>
      </c>
      <c r="Y46" s="35">
        <f>IF($U46="",DATE(2100,12,31),$U46+1)</f>
        <v/>
      </c>
      <c r="Z46" s="35">
        <f>IF($U46="",DATE(1900,1,1),$O46)</f>
        <v/>
      </c>
      <c r="AA46" s="32">
        <f>IF($U46="",0,$K46*$T46)</f>
        <v/>
      </c>
      <c r="AB46" s="21">
        <f>IF($C46="",0,IFERROR(INDEX(Deals!$AD$2:$AD$355,MATCH($C46,Deals!$A$2:$A$355,0)),0))</f>
        <v/>
      </c>
      <c r="AC46" s="32">
        <f>IF(Settings!$B$4="Yes",$I46*$AB46,$I46)</f>
        <v/>
      </c>
      <c r="AD46" s="22">
        <f>IF($C46="","",IFERROR(IF(INDEX(Deals!$AE$2:$AE$355,MATCH($C46,Deals!$A$2:$A$355,0))=0,"",INDEX(Deals!$AE$2:$AE$355,MATCH($C46,Deals!$A$2:$A$355,0))),""))</f>
        <v/>
      </c>
      <c r="AE46" s="22">
        <f>IF($C46="","",IFERROR(IF(INDEX(Deals!$AF$2:$AF$355,MATCH($C46,Deals!$A$2:$A$355,0))=0,"",INDEX(Deals!$AF$2:$AF$355,MATCH($C46,Deals!$A$2:$A$355,0))),""))</f>
        <v/>
      </c>
      <c r="AF46" s="35">
        <f>IF($AD46="",DATE(1900,1,1),$AD46)</f>
        <v/>
      </c>
      <c r="AG46" s="35">
        <f>IF($AE46="",DATE(2100,12,31),$AE46)</f>
        <v/>
      </c>
      <c r="AH46" s="22">
        <f>IF($C46="","",IFERROR(IF(INDEX(Deals!$AG$2:$AG$355,MATCH($C46,Deals!$A$2:$A$355,0))=0,"",INDEX(Deals!$AG$2:$AG$355,MATCH($C46,Deals!$A$2:$A$355,0))),""))</f>
        <v/>
      </c>
      <c r="AI46" s="35">
        <f>IF($AH46="",DATE(1900,1,1),$AF46)</f>
        <v/>
      </c>
      <c r="AJ46" s="35">
        <f>IF($AH46="",DATE(2100,12,31),$AH46)</f>
        <v/>
      </c>
      <c r="AK46" s="32">
        <f>IF($AH46="",$AC46,$AC46*$S46)</f>
        <v/>
      </c>
      <c r="AL46" s="35">
        <f>IF($AH46="",DATE(2100,12,31),$AH46+1)</f>
        <v/>
      </c>
      <c r="AM46" s="35">
        <f>IF($AH46="",DATE(1900,1,1),$AG46)</f>
        <v/>
      </c>
      <c r="AN46" s="32">
        <f>IF($AH46="",0,$AC46*$T46)</f>
        <v/>
      </c>
    </row>
    <row r="47">
      <c r="A47" s="28" t="inlineStr">
        <is>
          <t>Tania</t>
        </is>
      </c>
      <c r="B47" s="16">
        <f>IF($A47="","",IFERROR(INDEX(Roster!$B$2:$B$40,MATCH($A47,Roster!$A$2:$A$40,0)),"?"))</f>
        <v/>
      </c>
      <c r="C47" s="28" t="inlineStr">
        <is>
          <t>Wind_3</t>
        </is>
      </c>
      <c r="D47" s="16">
        <f>IF($C47="","",IFERROR(IF(INDEX(Deals!$C$2:$C$355,MATCH($C47,Deals!$A$2:$A$355,0))=0,"",INDEX(Deals!$C$2:$C$355,MATCH($C47,Deals!$A$2:$A$355,0))),"?"))</f>
        <v/>
      </c>
      <c r="E47" s="16">
        <f>IF($C47="","",IFERROR(INDEX(Deals!$F$2:$F$355,MATCH($C47,Deals!$A$2:$A$355,0)),"?"))</f>
        <v/>
      </c>
      <c r="F47" s="28" t="inlineStr">
        <is>
          <t>Partner</t>
        </is>
      </c>
      <c r="G47" s="28" t="inlineStr">
        <is>
          <t>Active</t>
        </is>
      </c>
      <c r="H47" s="31" t="n"/>
      <c r="I47" s="32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1">
        <f>IF($C47="",0,IFERROR(INDEX(Deals!$H$2:$H$355,MATCH($C47,Deals!$A$2:$A$355,0)),0))</f>
        <v/>
      </c>
      <c r="K47" s="32">
        <f>IF(Settings!$B$4="Yes",$I47*$J47,$I47)</f>
        <v/>
      </c>
      <c r="L47" s="22">
        <f>IF($C47="","",IFERROR(IF(INDEX(Deals!$I$2:$I$355,MATCH($C47,Deals!$A$2:$A$355,0))=0,"",INDEX(Deals!$I$2:$I$355,MATCH($C47,Deals!$A$2:$A$355,0))),""))</f>
        <v/>
      </c>
      <c r="M47" s="22">
        <f>IF($C47="","",IFERROR(IF(INDEX(Deals!$J$2:$J$355,MATCH($C47,Deals!$A$2:$A$355,0))=0,"",INDEX(Deals!$J$2:$J$355,MATCH($C47,Deals!$A$2:$A$355,0))),""))</f>
        <v/>
      </c>
      <c r="N47" s="35">
        <f>IF($L47="",DATE(1900,1,1),$L47)</f>
        <v/>
      </c>
      <c r="O47" s="35">
        <f>IF($M47="",DATE(2100,12,31),$M47)</f>
        <v/>
      </c>
      <c r="P47" s="20" t="inlineStr"/>
      <c r="Q47" s="43" t="inlineStr"/>
      <c r="R47" s="16">
        <f>IF($C47="","",IFERROR(IF(INDEX(Deals!$U$2:$U$355,MATCH($C47,Deals!$A$2:$A$355,0))=0,"",INDEX(Deals!$U$2:$U$355,MATCH($C47,Deals!$A$2:$A$355,0))),""))</f>
        <v/>
      </c>
      <c r="S47" s="34">
        <f>IFERROR(IF($U47="",1,INDEX(Deals!$V$2:$V$355,MATCH($C47,Deals!$A$2:$A$355,0))),1)</f>
        <v/>
      </c>
      <c r="T47" s="34">
        <f>IFERROR(IF($U47="",1,INDEX(Deals!$W$2:$W$355,MATCH($C47,Deals!$A$2:$A$355,0))),1)</f>
        <v/>
      </c>
      <c r="U47" s="22">
        <f>IF($C47="","",IFERROR(IF(INDEX(Deals!$Y$2:$Y$355,MATCH($C47,Deals!$A$2:$A$355,0))=0,"",INDEX(Deals!$Y$2:$Y$355,MATCH($C47,Deals!$A$2:$A$355,0))),""))</f>
        <v/>
      </c>
      <c r="V47" s="35">
        <f>IF($U47="",DATE(1900,1,1),$N47)</f>
        <v/>
      </c>
      <c r="W47" s="35">
        <f>IF($U47="",DATE(2100,12,31),$U47)</f>
        <v/>
      </c>
      <c r="X47" s="32">
        <f>IF($U47="",$K47,$K47*$S47)</f>
        <v/>
      </c>
      <c r="Y47" s="35">
        <f>IF($U47="",DATE(2100,12,31),$U47+1)</f>
        <v/>
      </c>
      <c r="Z47" s="35">
        <f>IF($U47="",DATE(1900,1,1),$O47)</f>
        <v/>
      </c>
      <c r="AA47" s="32">
        <f>IF($U47="",0,$K47*$T47)</f>
        <v/>
      </c>
      <c r="AB47" s="21">
        <f>IF($C47="",0,IFERROR(INDEX(Deals!$AD$2:$AD$355,MATCH($C47,Deals!$A$2:$A$355,0)),0))</f>
        <v/>
      </c>
      <c r="AC47" s="32">
        <f>IF(Settings!$B$4="Yes",$I47*$AB47,$I47)</f>
        <v/>
      </c>
      <c r="AD47" s="22">
        <f>IF($C47="","",IFERROR(IF(INDEX(Deals!$AE$2:$AE$355,MATCH($C47,Deals!$A$2:$A$355,0))=0,"",INDEX(Deals!$AE$2:$AE$355,MATCH($C47,Deals!$A$2:$A$355,0))),""))</f>
        <v/>
      </c>
      <c r="AE47" s="22">
        <f>IF($C47="","",IFERROR(IF(INDEX(Deals!$AF$2:$AF$355,MATCH($C47,Deals!$A$2:$A$355,0))=0,"",INDEX(Deals!$AF$2:$AF$355,MATCH($C47,Deals!$A$2:$A$355,0))),""))</f>
        <v/>
      </c>
      <c r="AF47" s="35">
        <f>IF($AD47="",DATE(1900,1,1),$AD47)</f>
        <v/>
      </c>
      <c r="AG47" s="35">
        <f>IF($AE47="",DATE(2100,12,31),$AE47)</f>
        <v/>
      </c>
      <c r="AH47" s="22">
        <f>IF($C47="","",IFERROR(IF(INDEX(Deals!$AG$2:$AG$355,MATCH($C47,Deals!$A$2:$A$355,0))=0,"",INDEX(Deals!$AG$2:$AG$355,MATCH($C47,Deals!$A$2:$A$355,0))),""))</f>
        <v/>
      </c>
      <c r="AI47" s="35">
        <f>IF($AH47="",DATE(1900,1,1),$AF47)</f>
        <v/>
      </c>
      <c r="AJ47" s="35">
        <f>IF($AH47="",DATE(2100,12,31),$AH47)</f>
        <v/>
      </c>
      <c r="AK47" s="32">
        <f>IF($AH47="",$AC47,$AC47*$S47)</f>
        <v/>
      </c>
      <c r="AL47" s="35">
        <f>IF($AH47="",DATE(2100,12,31),$AH47+1)</f>
        <v/>
      </c>
      <c r="AM47" s="35">
        <f>IF($AH47="",DATE(1900,1,1),$AG47)</f>
        <v/>
      </c>
      <c r="AN47" s="32">
        <f>IF($AH47="",0,$AC47*$T47)</f>
        <v/>
      </c>
    </row>
    <row r="48">
      <c r="A48" s="28" t="inlineStr">
        <is>
          <t>Tania</t>
        </is>
      </c>
      <c r="B48" s="16">
        <f>IF($A48="","",IFERROR(INDEX(Roster!$B$2:$B$40,MATCH($A48,Roster!$A$2:$A$40,0)),"?"))</f>
        <v/>
      </c>
      <c r="C48" s="28" t="inlineStr">
        <is>
          <t>Zeus_2</t>
        </is>
      </c>
      <c r="D48" s="16">
        <f>IF($C48="","",IFERROR(IF(INDEX(Deals!$C$2:$C$355,MATCH($C48,Deals!$A$2:$A$355,0))=0,"",INDEX(Deals!$C$2:$C$355,MATCH($C48,Deals!$A$2:$A$355,0))),"?"))</f>
        <v/>
      </c>
      <c r="E48" s="16">
        <f>IF($C48="","",IFERROR(INDEX(Deals!$F$2:$F$355,MATCH($C48,Deals!$A$2:$A$355,0)),"?"))</f>
        <v/>
      </c>
      <c r="F48" s="28" t="inlineStr">
        <is>
          <t>Partner</t>
        </is>
      </c>
      <c r="G48" s="28" t="inlineStr">
        <is>
          <t>Active</t>
        </is>
      </c>
      <c r="H48" s="31" t="n"/>
      <c r="I48" s="32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1">
        <f>IF($C48="",0,IFERROR(INDEX(Deals!$H$2:$H$355,MATCH($C48,Deals!$A$2:$A$355,0)),0))</f>
        <v/>
      </c>
      <c r="K48" s="32">
        <f>IF(Settings!$B$4="Yes",$I48*$J48,$I48)</f>
        <v/>
      </c>
      <c r="L48" s="22">
        <f>IF($C48="","",IFERROR(IF(INDEX(Deals!$I$2:$I$355,MATCH($C48,Deals!$A$2:$A$355,0))=0,"",INDEX(Deals!$I$2:$I$355,MATCH($C48,Deals!$A$2:$A$355,0))),""))</f>
        <v/>
      </c>
      <c r="M48" s="22">
        <f>IF($C48="","",IFERROR(IF(INDEX(Deals!$J$2:$J$355,MATCH($C48,Deals!$A$2:$A$355,0))=0,"",INDEX(Deals!$J$2:$J$355,MATCH($C48,Deals!$A$2:$A$355,0))),""))</f>
        <v/>
      </c>
      <c r="N48" s="35">
        <f>IF($L48="",DATE(1900,1,1),$L48)</f>
        <v/>
      </c>
      <c r="O48" s="35">
        <f>IF($M48="",DATE(2100,12,31),$M48)</f>
        <v/>
      </c>
      <c r="P48" s="20" t="inlineStr"/>
      <c r="Q48" s="43" t="inlineStr"/>
      <c r="R48" s="16">
        <f>IF($C48="","",IFERROR(IF(INDEX(Deals!$U$2:$U$355,MATCH($C48,Deals!$A$2:$A$355,0))=0,"",INDEX(Deals!$U$2:$U$355,MATCH($C48,Deals!$A$2:$A$355,0))),""))</f>
        <v/>
      </c>
      <c r="S48" s="34">
        <f>IFERROR(IF($U48="",1,INDEX(Deals!$V$2:$V$355,MATCH($C48,Deals!$A$2:$A$355,0))),1)</f>
        <v/>
      </c>
      <c r="T48" s="34">
        <f>IFERROR(IF($U48="",1,INDEX(Deals!$W$2:$W$355,MATCH($C48,Deals!$A$2:$A$355,0))),1)</f>
        <v/>
      </c>
      <c r="U48" s="22">
        <f>IF($C48="","",IFERROR(IF(INDEX(Deals!$Y$2:$Y$355,MATCH($C48,Deals!$A$2:$A$355,0))=0,"",INDEX(Deals!$Y$2:$Y$355,MATCH($C48,Deals!$A$2:$A$355,0))),""))</f>
        <v/>
      </c>
      <c r="V48" s="35">
        <f>IF($U48="",DATE(1900,1,1),$N48)</f>
        <v/>
      </c>
      <c r="W48" s="35">
        <f>IF($U48="",DATE(2100,12,31),$U48)</f>
        <v/>
      </c>
      <c r="X48" s="32">
        <f>IF($U48="",$K48,$K48*$S48)</f>
        <v/>
      </c>
      <c r="Y48" s="35">
        <f>IF($U48="",DATE(2100,12,31),$U48+1)</f>
        <v/>
      </c>
      <c r="Z48" s="35">
        <f>IF($U48="",DATE(1900,1,1),$O48)</f>
        <v/>
      </c>
      <c r="AA48" s="32">
        <f>IF($U48="",0,$K48*$T48)</f>
        <v/>
      </c>
      <c r="AB48" s="21">
        <f>IF($C48="",0,IFERROR(INDEX(Deals!$AD$2:$AD$355,MATCH($C48,Deals!$A$2:$A$355,0)),0))</f>
        <v/>
      </c>
      <c r="AC48" s="32">
        <f>IF(Settings!$B$4="Yes",$I48*$AB48,$I48)</f>
        <v/>
      </c>
      <c r="AD48" s="22">
        <f>IF($C48="","",IFERROR(IF(INDEX(Deals!$AE$2:$AE$355,MATCH($C48,Deals!$A$2:$A$355,0))=0,"",INDEX(Deals!$AE$2:$AE$355,MATCH($C48,Deals!$A$2:$A$355,0))),""))</f>
        <v/>
      </c>
      <c r="AE48" s="22">
        <f>IF($C48="","",IFERROR(IF(INDEX(Deals!$AF$2:$AF$355,MATCH($C48,Deals!$A$2:$A$355,0))=0,"",INDEX(Deals!$AF$2:$AF$355,MATCH($C48,Deals!$A$2:$A$355,0))),""))</f>
        <v/>
      </c>
      <c r="AF48" s="35">
        <f>IF($AD48="",DATE(1900,1,1),$AD48)</f>
        <v/>
      </c>
      <c r="AG48" s="35">
        <f>IF($AE48="",DATE(2100,12,31),$AE48)</f>
        <v/>
      </c>
      <c r="AH48" s="22">
        <f>IF($C48="","",IFERROR(IF(INDEX(Deals!$AG$2:$AG$355,MATCH($C48,Deals!$A$2:$A$355,0))=0,"",INDEX(Deals!$AG$2:$AG$355,MATCH($C48,Deals!$A$2:$A$355,0))),""))</f>
        <v/>
      </c>
      <c r="AI48" s="35">
        <f>IF($AH48="",DATE(1900,1,1),$AF48)</f>
        <v/>
      </c>
      <c r="AJ48" s="35">
        <f>IF($AH48="",DATE(2100,12,31),$AH48)</f>
        <v/>
      </c>
      <c r="AK48" s="32">
        <f>IF($AH48="",$AC48,$AC48*$S48)</f>
        <v/>
      </c>
      <c r="AL48" s="35">
        <f>IF($AH48="",DATE(2100,12,31),$AH48+1)</f>
        <v/>
      </c>
      <c r="AM48" s="35">
        <f>IF($AH48="",DATE(1900,1,1),$AG48)</f>
        <v/>
      </c>
      <c r="AN48" s="32">
        <f>IF($AH48="",0,$AC48*$T48)</f>
        <v/>
      </c>
    </row>
    <row r="49">
      <c r="A49" s="28" t="inlineStr">
        <is>
          <t>John</t>
        </is>
      </c>
      <c r="B49" s="16">
        <f>IF($A49="","",IFERROR(INDEX(Roster!$B$2:$B$40,MATCH($A49,Roster!$A$2:$A$40,0)),"?"))</f>
        <v/>
      </c>
      <c r="C49" s="28" t="inlineStr">
        <is>
          <t>80/20 Assistance_1</t>
        </is>
      </c>
      <c r="D49" s="16">
        <f>IF($C49="","",IFERROR(IF(INDEX(Deals!$C$2:$C$355,MATCH($C49,Deals!$A$2:$A$355,0))=0,"",INDEX(Deals!$C$2:$C$355,MATCH($C49,Deals!$A$2:$A$355,0))),"?"))</f>
        <v/>
      </c>
      <c r="E49" s="16">
        <f>IF($C49="","",IFERROR(INDEX(Deals!$F$2:$F$355,MATCH($C49,Deals!$A$2:$A$355,0)),"?"))</f>
        <v/>
      </c>
      <c r="F49" s="28" t="inlineStr">
        <is>
          <t>Partner</t>
        </is>
      </c>
      <c r="G49" s="28" t="inlineStr">
        <is>
          <t>Active</t>
        </is>
      </c>
      <c r="H49" s="31" t="n"/>
      <c r="I49" s="32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1">
        <f>IF($C49="",0,IFERROR(INDEX(Deals!$H$2:$H$355,MATCH($C49,Deals!$A$2:$A$355,0)),0))</f>
        <v/>
      </c>
      <c r="K49" s="32">
        <f>IF(Settings!$B$4="Yes",$I49*$J49,$I49)</f>
        <v/>
      </c>
      <c r="L49" s="22">
        <f>IF($C49="","",IFERROR(IF(INDEX(Deals!$I$2:$I$355,MATCH($C49,Deals!$A$2:$A$355,0))=0,"",INDEX(Deals!$I$2:$I$355,MATCH($C49,Deals!$A$2:$A$355,0))),""))</f>
        <v/>
      </c>
      <c r="M49" s="22">
        <f>IF($C49="","",IFERROR(IF(INDEX(Deals!$J$2:$J$355,MATCH($C49,Deals!$A$2:$A$355,0))=0,"",INDEX(Deals!$J$2:$J$355,MATCH($C49,Deals!$A$2:$A$355,0))),""))</f>
        <v/>
      </c>
      <c r="N49" s="35">
        <f>IF($L49="",DATE(1900,1,1),$L49)</f>
        <v/>
      </c>
      <c r="O49" s="35">
        <f>IF($M49="",DATE(2100,12,31),$M49)</f>
        <v/>
      </c>
      <c r="P49" s="20" t="inlineStr"/>
      <c r="Q49" s="43" t="inlineStr"/>
      <c r="R49" s="16">
        <f>IF($C49="","",IFERROR(IF(INDEX(Deals!$U$2:$U$355,MATCH($C49,Deals!$A$2:$A$355,0))=0,"",INDEX(Deals!$U$2:$U$355,MATCH($C49,Deals!$A$2:$A$355,0))),""))</f>
        <v/>
      </c>
      <c r="S49" s="34">
        <f>IFERROR(IF($U49="",1,INDEX(Deals!$V$2:$V$355,MATCH($C49,Deals!$A$2:$A$355,0))),1)</f>
        <v/>
      </c>
      <c r="T49" s="34">
        <f>IFERROR(IF($U49="",1,INDEX(Deals!$W$2:$W$355,MATCH($C49,Deals!$A$2:$A$355,0))),1)</f>
        <v/>
      </c>
      <c r="U49" s="22">
        <f>IF($C49="","",IFERROR(IF(INDEX(Deals!$Y$2:$Y$355,MATCH($C49,Deals!$A$2:$A$355,0))=0,"",INDEX(Deals!$Y$2:$Y$355,MATCH($C49,Deals!$A$2:$A$355,0))),""))</f>
        <v/>
      </c>
      <c r="V49" s="35">
        <f>IF($U49="",DATE(1900,1,1),$N49)</f>
        <v/>
      </c>
      <c r="W49" s="35">
        <f>IF($U49="",DATE(2100,12,31),$U49)</f>
        <v/>
      </c>
      <c r="X49" s="32">
        <f>IF($U49="",$K49,$K49*$S49)</f>
        <v/>
      </c>
      <c r="Y49" s="35">
        <f>IF($U49="",DATE(2100,12,31),$U49+1)</f>
        <v/>
      </c>
      <c r="Z49" s="35">
        <f>IF($U49="",DATE(1900,1,1),$O49)</f>
        <v/>
      </c>
      <c r="AA49" s="32">
        <f>IF($U49="",0,$K49*$T49)</f>
        <v/>
      </c>
      <c r="AB49" s="21">
        <f>IF($C49="",0,IFERROR(INDEX(Deals!$AD$2:$AD$355,MATCH($C49,Deals!$A$2:$A$355,0)),0))</f>
        <v/>
      </c>
      <c r="AC49" s="32">
        <f>IF(Settings!$B$4="Yes",$I49*$AB49,$I49)</f>
        <v/>
      </c>
      <c r="AD49" s="22">
        <f>IF($C49="","",IFERROR(IF(INDEX(Deals!$AE$2:$AE$355,MATCH($C49,Deals!$A$2:$A$355,0))=0,"",INDEX(Deals!$AE$2:$AE$355,MATCH($C49,Deals!$A$2:$A$355,0))),""))</f>
        <v/>
      </c>
      <c r="AE49" s="22">
        <f>IF($C49="","",IFERROR(IF(INDEX(Deals!$AF$2:$AF$355,MATCH($C49,Deals!$A$2:$A$355,0))=0,"",INDEX(Deals!$AF$2:$AF$355,MATCH($C49,Deals!$A$2:$A$355,0))),""))</f>
        <v/>
      </c>
      <c r="AF49" s="35">
        <f>IF($AD49="",DATE(1900,1,1),$AD49)</f>
        <v/>
      </c>
      <c r="AG49" s="35">
        <f>IF($AE49="",DATE(2100,12,31),$AE49)</f>
        <v/>
      </c>
      <c r="AH49" s="22">
        <f>IF($C49="","",IFERROR(IF(INDEX(Deals!$AG$2:$AG$355,MATCH($C49,Deals!$A$2:$A$355,0))=0,"",INDEX(Deals!$AG$2:$AG$355,MATCH($C49,Deals!$A$2:$A$355,0))),""))</f>
        <v/>
      </c>
      <c r="AI49" s="35">
        <f>IF($AH49="",DATE(1900,1,1),$AF49)</f>
        <v/>
      </c>
      <c r="AJ49" s="35">
        <f>IF($AH49="",DATE(2100,12,31),$AH49)</f>
        <v/>
      </c>
      <c r="AK49" s="32">
        <f>IF($AH49="",$AC49,$AC49*$S49)</f>
        <v/>
      </c>
      <c r="AL49" s="35">
        <f>IF($AH49="",DATE(2100,12,31),$AH49+1)</f>
        <v/>
      </c>
      <c r="AM49" s="35">
        <f>IF($AH49="",DATE(1900,1,1),$AG49)</f>
        <v/>
      </c>
      <c r="AN49" s="32">
        <f>IF($AH49="",0,$AC49*$T49)</f>
        <v/>
      </c>
    </row>
    <row r="50">
      <c r="A50" s="28" t="inlineStr">
        <is>
          <t>John</t>
        </is>
      </c>
      <c r="B50" s="16">
        <f>IF($A50="","",IFERROR(INDEX(Roster!$B$2:$B$40,MATCH($A50,Roster!$A$2:$A$40,0)),"?"))</f>
        <v/>
      </c>
      <c r="C50" s="28" t="inlineStr">
        <is>
          <t>AIM_5</t>
        </is>
      </c>
      <c r="D50" s="16">
        <f>IF($C50="","",IFERROR(IF(INDEX(Deals!$C$2:$C$355,MATCH($C50,Deals!$A$2:$A$355,0))=0,"",INDEX(Deals!$C$2:$C$355,MATCH($C50,Deals!$A$2:$A$355,0))),"?"))</f>
        <v/>
      </c>
      <c r="E50" s="16">
        <f>IF($C50="","",IFERROR(INDEX(Deals!$F$2:$F$355,MATCH($C50,Deals!$A$2:$A$355,0)),"?"))</f>
        <v/>
      </c>
      <c r="F50" s="28" t="inlineStr">
        <is>
          <t>Partner</t>
        </is>
      </c>
      <c r="G50" s="28" t="inlineStr">
        <is>
          <t>Active</t>
        </is>
      </c>
      <c r="H50" s="31" t="n"/>
      <c r="I50" s="32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1">
        <f>IF($C50="",0,IFERROR(INDEX(Deals!$H$2:$H$355,MATCH($C50,Deals!$A$2:$A$355,0)),0))</f>
        <v/>
      </c>
      <c r="K50" s="32">
        <f>IF(Settings!$B$4="Yes",$I50*$J50,$I50)</f>
        <v/>
      </c>
      <c r="L50" s="22">
        <f>IF($C50="","",IFERROR(IF(INDEX(Deals!$I$2:$I$355,MATCH($C50,Deals!$A$2:$A$355,0))=0,"",INDEX(Deals!$I$2:$I$355,MATCH($C50,Deals!$A$2:$A$355,0))),""))</f>
        <v/>
      </c>
      <c r="M50" s="22">
        <f>IF($C50="","",IFERROR(IF(INDEX(Deals!$J$2:$J$355,MATCH($C50,Deals!$A$2:$A$355,0))=0,"",INDEX(Deals!$J$2:$J$355,MATCH($C50,Deals!$A$2:$A$355,0))),""))</f>
        <v/>
      </c>
      <c r="N50" s="35">
        <f>IF($L50="",DATE(1900,1,1),$L50)</f>
        <v/>
      </c>
      <c r="O50" s="35">
        <f>IF($M50="",DATE(2100,12,31),$M50)</f>
        <v/>
      </c>
      <c r="P50" s="20" t="inlineStr"/>
      <c r="Q50" s="43" t="inlineStr"/>
      <c r="R50" s="16">
        <f>IF($C50="","",IFERROR(IF(INDEX(Deals!$U$2:$U$355,MATCH($C50,Deals!$A$2:$A$355,0))=0,"",INDEX(Deals!$U$2:$U$355,MATCH($C50,Deals!$A$2:$A$355,0))),""))</f>
        <v/>
      </c>
      <c r="S50" s="34">
        <f>IFERROR(IF($U50="",1,INDEX(Deals!$V$2:$V$355,MATCH($C50,Deals!$A$2:$A$355,0))),1)</f>
        <v/>
      </c>
      <c r="T50" s="34">
        <f>IFERROR(IF($U50="",1,INDEX(Deals!$W$2:$W$355,MATCH($C50,Deals!$A$2:$A$355,0))),1)</f>
        <v/>
      </c>
      <c r="U50" s="22">
        <f>IF($C50="","",IFERROR(IF(INDEX(Deals!$Y$2:$Y$355,MATCH($C50,Deals!$A$2:$A$355,0))=0,"",INDEX(Deals!$Y$2:$Y$355,MATCH($C50,Deals!$A$2:$A$355,0))),""))</f>
        <v/>
      </c>
      <c r="V50" s="35">
        <f>IF($U50="",DATE(1900,1,1),$N50)</f>
        <v/>
      </c>
      <c r="W50" s="35">
        <f>IF($U50="",DATE(2100,12,31),$U50)</f>
        <v/>
      </c>
      <c r="X50" s="32">
        <f>IF($U50="",$K50,$K50*$S50)</f>
        <v/>
      </c>
      <c r="Y50" s="35">
        <f>IF($U50="",DATE(2100,12,31),$U50+1)</f>
        <v/>
      </c>
      <c r="Z50" s="35">
        <f>IF($U50="",DATE(1900,1,1),$O50)</f>
        <v/>
      </c>
      <c r="AA50" s="32">
        <f>IF($U50="",0,$K50*$T50)</f>
        <v/>
      </c>
      <c r="AB50" s="21">
        <f>IF($C50="",0,IFERROR(INDEX(Deals!$AD$2:$AD$355,MATCH($C50,Deals!$A$2:$A$355,0)),0))</f>
        <v/>
      </c>
      <c r="AC50" s="32">
        <f>IF(Settings!$B$4="Yes",$I50*$AB50,$I50)</f>
        <v/>
      </c>
      <c r="AD50" s="22">
        <f>IF($C50="","",IFERROR(IF(INDEX(Deals!$AE$2:$AE$355,MATCH($C50,Deals!$A$2:$A$355,0))=0,"",INDEX(Deals!$AE$2:$AE$355,MATCH($C50,Deals!$A$2:$A$355,0))),""))</f>
        <v/>
      </c>
      <c r="AE50" s="22">
        <f>IF($C50="","",IFERROR(IF(INDEX(Deals!$AF$2:$AF$355,MATCH($C50,Deals!$A$2:$A$355,0))=0,"",INDEX(Deals!$AF$2:$AF$355,MATCH($C50,Deals!$A$2:$A$355,0))),""))</f>
        <v/>
      </c>
      <c r="AF50" s="35">
        <f>IF($AD50="",DATE(1900,1,1),$AD50)</f>
        <v/>
      </c>
      <c r="AG50" s="35">
        <f>IF($AE50="",DATE(2100,12,31),$AE50)</f>
        <v/>
      </c>
      <c r="AH50" s="22">
        <f>IF($C50="","",IFERROR(IF(INDEX(Deals!$AG$2:$AG$355,MATCH($C50,Deals!$A$2:$A$355,0))=0,"",INDEX(Deals!$AG$2:$AG$355,MATCH($C50,Deals!$A$2:$A$355,0))),""))</f>
        <v/>
      </c>
      <c r="AI50" s="35">
        <f>IF($AH50="",DATE(1900,1,1),$AF50)</f>
        <v/>
      </c>
      <c r="AJ50" s="35">
        <f>IF($AH50="",DATE(2100,12,31),$AH50)</f>
        <v/>
      </c>
      <c r="AK50" s="32">
        <f>IF($AH50="",$AC50,$AC50*$S50)</f>
        <v/>
      </c>
      <c r="AL50" s="35">
        <f>IF($AH50="",DATE(2100,12,31),$AH50+1)</f>
        <v/>
      </c>
      <c r="AM50" s="35">
        <f>IF($AH50="",DATE(1900,1,1),$AG50)</f>
        <v/>
      </c>
      <c r="AN50" s="32">
        <f>IF($AH50="",0,$AC50*$T50)</f>
        <v/>
      </c>
    </row>
    <row r="51">
      <c r="A51" s="28" t="inlineStr">
        <is>
          <t>John</t>
        </is>
      </c>
      <c r="B51" s="16">
        <f>IF($A51="","",IFERROR(INDEX(Roster!$B$2:$B$40,MATCH($A51,Roster!$A$2:$A$40,0)),"?"))</f>
        <v/>
      </c>
      <c r="C51" s="28" t="inlineStr">
        <is>
          <t>Arctic_2</t>
        </is>
      </c>
      <c r="D51" s="16">
        <f>IF($C51="","",IFERROR(IF(INDEX(Deals!$C$2:$C$355,MATCH($C51,Deals!$A$2:$A$355,0))=0,"",INDEX(Deals!$C$2:$C$355,MATCH($C51,Deals!$A$2:$A$355,0))),"?"))</f>
        <v/>
      </c>
      <c r="E51" s="16">
        <f>IF($C51="","",IFERROR(INDEX(Deals!$F$2:$F$355,MATCH($C51,Deals!$A$2:$A$355,0)),"?"))</f>
        <v/>
      </c>
      <c r="F51" s="28" t="inlineStr">
        <is>
          <t>Partner</t>
        </is>
      </c>
      <c r="G51" s="28" t="inlineStr">
        <is>
          <t>Active</t>
        </is>
      </c>
      <c r="H51" s="31" t="n"/>
      <c r="I51" s="32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1">
        <f>IF($C51="",0,IFERROR(INDEX(Deals!$H$2:$H$355,MATCH($C51,Deals!$A$2:$A$355,0)),0))</f>
        <v/>
      </c>
      <c r="K51" s="32">
        <f>IF(Settings!$B$4="Yes",$I51*$J51,$I51)</f>
        <v/>
      </c>
      <c r="L51" s="22">
        <f>IF($C51="","",IFERROR(IF(INDEX(Deals!$I$2:$I$355,MATCH($C51,Deals!$A$2:$A$355,0))=0,"",INDEX(Deals!$I$2:$I$355,MATCH($C51,Deals!$A$2:$A$355,0))),""))</f>
        <v/>
      </c>
      <c r="M51" s="22">
        <f>IF($C51="","",IFERROR(IF(INDEX(Deals!$J$2:$J$355,MATCH($C51,Deals!$A$2:$A$355,0))=0,"",INDEX(Deals!$J$2:$J$355,MATCH($C51,Deals!$A$2:$A$355,0))),""))</f>
        <v/>
      </c>
      <c r="N51" s="35">
        <f>IF($L51="",DATE(1900,1,1),$L51)</f>
        <v/>
      </c>
      <c r="O51" s="35">
        <f>IF($M51="",DATE(2100,12,31),$M51)</f>
        <v/>
      </c>
      <c r="P51" s="20" t="inlineStr"/>
      <c r="Q51" s="43" t="inlineStr"/>
      <c r="R51" s="16">
        <f>IF($C51="","",IFERROR(IF(INDEX(Deals!$U$2:$U$355,MATCH($C51,Deals!$A$2:$A$355,0))=0,"",INDEX(Deals!$U$2:$U$355,MATCH($C51,Deals!$A$2:$A$355,0))),""))</f>
        <v/>
      </c>
      <c r="S51" s="34">
        <f>IFERROR(IF($U51="",1,INDEX(Deals!$V$2:$V$355,MATCH($C51,Deals!$A$2:$A$355,0))),1)</f>
        <v/>
      </c>
      <c r="T51" s="34">
        <f>IFERROR(IF($U51="",1,INDEX(Deals!$W$2:$W$355,MATCH($C51,Deals!$A$2:$A$355,0))),1)</f>
        <v/>
      </c>
      <c r="U51" s="22">
        <f>IF($C51="","",IFERROR(IF(INDEX(Deals!$Y$2:$Y$355,MATCH($C51,Deals!$A$2:$A$355,0))=0,"",INDEX(Deals!$Y$2:$Y$355,MATCH($C51,Deals!$A$2:$A$355,0))),""))</f>
        <v/>
      </c>
      <c r="V51" s="35">
        <f>IF($U51="",DATE(1900,1,1),$N51)</f>
        <v/>
      </c>
      <c r="W51" s="35">
        <f>IF($U51="",DATE(2100,12,31),$U51)</f>
        <v/>
      </c>
      <c r="X51" s="32">
        <f>IF($U51="",$K51,$K51*$S51)</f>
        <v/>
      </c>
      <c r="Y51" s="35">
        <f>IF($U51="",DATE(2100,12,31),$U51+1)</f>
        <v/>
      </c>
      <c r="Z51" s="35">
        <f>IF($U51="",DATE(1900,1,1),$O51)</f>
        <v/>
      </c>
      <c r="AA51" s="32">
        <f>IF($U51="",0,$K51*$T51)</f>
        <v/>
      </c>
      <c r="AB51" s="21">
        <f>IF($C51="",0,IFERROR(INDEX(Deals!$AD$2:$AD$355,MATCH($C51,Deals!$A$2:$A$355,0)),0))</f>
        <v/>
      </c>
      <c r="AC51" s="32">
        <f>IF(Settings!$B$4="Yes",$I51*$AB51,$I51)</f>
        <v/>
      </c>
      <c r="AD51" s="22">
        <f>IF($C51="","",IFERROR(IF(INDEX(Deals!$AE$2:$AE$355,MATCH($C51,Deals!$A$2:$A$355,0))=0,"",INDEX(Deals!$AE$2:$AE$355,MATCH($C51,Deals!$A$2:$A$355,0))),""))</f>
        <v/>
      </c>
      <c r="AE51" s="22">
        <f>IF($C51="","",IFERROR(IF(INDEX(Deals!$AF$2:$AF$355,MATCH($C51,Deals!$A$2:$A$355,0))=0,"",INDEX(Deals!$AF$2:$AF$355,MATCH($C51,Deals!$A$2:$A$355,0))),""))</f>
        <v/>
      </c>
      <c r="AF51" s="35">
        <f>IF($AD51="",DATE(1900,1,1),$AD51)</f>
        <v/>
      </c>
      <c r="AG51" s="35">
        <f>IF($AE51="",DATE(2100,12,31),$AE51)</f>
        <v/>
      </c>
      <c r="AH51" s="22">
        <f>IF($C51="","",IFERROR(IF(INDEX(Deals!$AG$2:$AG$355,MATCH($C51,Deals!$A$2:$A$355,0))=0,"",INDEX(Deals!$AG$2:$AG$355,MATCH($C51,Deals!$A$2:$A$355,0))),""))</f>
        <v/>
      </c>
      <c r="AI51" s="35">
        <f>IF($AH51="",DATE(1900,1,1),$AF51)</f>
        <v/>
      </c>
      <c r="AJ51" s="35">
        <f>IF($AH51="",DATE(2100,12,31),$AH51)</f>
        <v/>
      </c>
      <c r="AK51" s="32">
        <f>IF($AH51="",$AC51,$AC51*$S51)</f>
        <v/>
      </c>
      <c r="AL51" s="35">
        <f>IF($AH51="",DATE(2100,12,31),$AH51+1)</f>
        <v/>
      </c>
      <c r="AM51" s="35">
        <f>IF($AH51="",DATE(1900,1,1),$AG51)</f>
        <v/>
      </c>
      <c r="AN51" s="32">
        <f>IF($AH51="",0,$AC51*$T51)</f>
        <v/>
      </c>
    </row>
    <row r="52">
      <c r="A52" s="28" t="inlineStr">
        <is>
          <t>John</t>
        </is>
      </c>
      <c r="B52" s="16">
        <f>IF($A52="","",IFERROR(INDEX(Roster!$B$2:$B$40,MATCH($A52,Roster!$A$2:$A$40,0)),"?"))</f>
        <v/>
      </c>
      <c r="C52" s="28" t="inlineStr">
        <is>
          <t>Bernhard_3</t>
        </is>
      </c>
      <c r="D52" s="16">
        <f>IF($C52="","",IFERROR(IF(INDEX(Deals!$C$2:$C$355,MATCH($C52,Deals!$A$2:$A$355,0))=0,"",INDEX(Deals!$C$2:$C$355,MATCH($C52,Deals!$A$2:$A$355,0))),"?"))</f>
        <v/>
      </c>
      <c r="E52" s="16">
        <f>IF($C52="","",IFERROR(INDEX(Deals!$F$2:$F$355,MATCH($C52,Deals!$A$2:$A$355,0)),"?"))</f>
        <v/>
      </c>
      <c r="F52" s="28" t="inlineStr">
        <is>
          <t>Partner</t>
        </is>
      </c>
      <c r="G52" s="28" t="inlineStr">
        <is>
          <t>Active</t>
        </is>
      </c>
      <c r="H52" s="31" t="n"/>
      <c r="I52" s="32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1">
        <f>IF($C52="",0,IFERROR(INDEX(Deals!$H$2:$H$355,MATCH($C52,Deals!$A$2:$A$355,0)),0))</f>
        <v/>
      </c>
      <c r="K52" s="32">
        <f>IF(Settings!$B$4="Yes",$I52*$J52,$I52)</f>
        <v/>
      </c>
      <c r="L52" s="22">
        <f>IF($C52="","",IFERROR(IF(INDEX(Deals!$I$2:$I$355,MATCH($C52,Deals!$A$2:$A$355,0))=0,"",INDEX(Deals!$I$2:$I$355,MATCH($C52,Deals!$A$2:$A$355,0))),""))</f>
        <v/>
      </c>
      <c r="M52" s="22">
        <f>IF($C52="","",IFERROR(IF(INDEX(Deals!$J$2:$J$355,MATCH($C52,Deals!$A$2:$A$355,0))=0,"",INDEX(Deals!$J$2:$J$355,MATCH($C52,Deals!$A$2:$A$355,0))),""))</f>
        <v/>
      </c>
      <c r="N52" s="35">
        <f>IF($L52="",DATE(1900,1,1),$L52)</f>
        <v/>
      </c>
      <c r="O52" s="35">
        <f>IF($M52="",DATE(2100,12,31),$M52)</f>
        <v/>
      </c>
      <c r="P52" s="20" t="inlineStr"/>
      <c r="Q52" s="43" t="inlineStr"/>
      <c r="R52" s="16">
        <f>IF($C52="","",IFERROR(IF(INDEX(Deals!$U$2:$U$355,MATCH($C52,Deals!$A$2:$A$355,0))=0,"",INDEX(Deals!$U$2:$U$355,MATCH($C52,Deals!$A$2:$A$355,0))),""))</f>
        <v/>
      </c>
      <c r="S52" s="34">
        <f>IFERROR(IF($U52="",1,INDEX(Deals!$V$2:$V$355,MATCH($C52,Deals!$A$2:$A$355,0))),1)</f>
        <v/>
      </c>
      <c r="T52" s="34">
        <f>IFERROR(IF($U52="",1,INDEX(Deals!$W$2:$W$355,MATCH($C52,Deals!$A$2:$A$355,0))),1)</f>
        <v/>
      </c>
      <c r="U52" s="22">
        <f>IF($C52="","",IFERROR(IF(INDEX(Deals!$Y$2:$Y$355,MATCH($C52,Deals!$A$2:$A$355,0))=0,"",INDEX(Deals!$Y$2:$Y$355,MATCH($C52,Deals!$A$2:$A$355,0))),""))</f>
        <v/>
      </c>
      <c r="V52" s="35">
        <f>IF($U52="",DATE(1900,1,1),$N52)</f>
        <v/>
      </c>
      <c r="W52" s="35">
        <f>IF($U52="",DATE(2100,12,31),$U52)</f>
        <v/>
      </c>
      <c r="X52" s="32">
        <f>IF($U52="",$K52,$K52*$S52)</f>
        <v/>
      </c>
      <c r="Y52" s="35">
        <f>IF($U52="",DATE(2100,12,31),$U52+1)</f>
        <v/>
      </c>
      <c r="Z52" s="35">
        <f>IF($U52="",DATE(1900,1,1),$O52)</f>
        <v/>
      </c>
      <c r="AA52" s="32">
        <f>IF($U52="",0,$K52*$T52)</f>
        <v/>
      </c>
      <c r="AB52" s="21">
        <f>IF($C52="",0,IFERROR(INDEX(Deals!$AD$2:$AD$355,MATCH($C52,Deals!$A$2:$A$355,0)),0))</f>
        <v/>
      </c>
      <c r="AC52" s="32">
        <f>IF(Settings!$B$4="Yes",$I52*$AB52,$I52)</f>
        <v/>
      </c>
      <c r="AD52" s="22">
        <f>IF($C52="","",IFERROR(IF(INDEX(Deals!$AE$2:$AE$355,MATCH($C52,Deals!$A$2:$A$355,0))=0,"",INDEX(Deals!$AE$2:$AE$355,MATCH($C52,Deals!$A$2:$A$355,0))),""))</f>
        <v/>
      </c>
      <c r="AE52" s="22">
        <f>IF($C52="","",IFERROR(IF(INDEX(Deals!$AF$2:$AF$355,MATCH($C52,Deals!$A$2:$A$355,0))=0,"",INDEX(Deals!$AF$2:$AF$355,MATCH($C52,Deals!$A$2:$A$355,0))),""))</f>
        <v/>
      </c>
      <c r="AF52" s="35">
        <f>IF($AD52="",DATE(1900,1,1),$AD52)</f>
        <v/>
      </c>
      <c r="AG52" s="35">
        <f>IF($AE52="",DATE(2100,12,31),$AE52)</f>
        <v/>
      </c>
      <c r="AH52" s="22">
        <f>IF($C52="","",IFERROR(IF(INDEX(Deals!$AG$2:$AG$355,MATCH($C52,Deals!$A$2:$A$355,0))=0,"",INDEX(Deals!$AG$2:$AG$355,MATCH($C52,Deals!$A$2:$A$355,0))),""))</f>
        <v/>
      </c>
      <c r="AI52" s="35">
        <f>IF($AH52="",DATE(1900,1,1),$AF52)</f>
        <v/>
      </c>
      <c r="AJ52" s="35">
        <f>IF($AH52="",DATE(2100,12,31),$AH52)</f>
        <v/>
      </c>
      <c r="AK52" s="32">
        <f>IF($AH52="",$AC52,$AC52*$S52)</f>
        <v/>
      </c>
      <c r="AL52" s="35">
        <f>IF($AH52="",DATE(2100,12,31),$AH52+1)</f>
        <v/>
      </c>
      <c r="AM52" s="35">
        <f>IF($AH52="",DATE(1900,1,1),$AG52)</f>
        <v/>
      </c>
      <c r="AN52" s="32">
        <f>IF($AH52="",0,$AC52*$T52)</f>
        <v/>
      </c>
    </row>
    <row r="53">
      <c r="A53" s="28" t="inlineStr">
        <is>
          <t>John</t>
        </is>
      </c>
      <c r="B53" s="16">
        <f>IF($A53="","",IFERROR(INDEX(Roster!$B$2:$B$40,MATCH($A53,Roster!$A$2:$A$40,0)),"?"))</f>
        <v/>
      </c>
      <c r="C53" s="28" t="inlineStr">
        <is>
          <t>Blue_8</t>
        </is>
      </c>
      <c r="D53" s="16">
        <f>IF($C53="","",IFERROR(IF(INDEX(Deals!$C$2:$C$355,MATCH($C53,Deals!$A$2:$A$355,0))=0,"",INDEX(Deals!$C$2:$C$355,MATCH($C53,Deals!$A$2:$A$355,0))),"?"))</f>
        <v/>
      </c>
      <c r="E53" s="16">
        <f>IF($C53="","",IFERROR(INDEX(Deals!$F$2:$F$355,MATCH($C53,Deals!$A$2:$A$355,0)),"?"))</f>
        <v/>
      </c>
      <c r="F53" s="28" t="inlineStr">
        <is>
          <t>Partner</t>
        </is>
      </c>
      <c r="G53" s="28" t="inlineStr">
        <is>
          <t>Active</t>
        </is>
      </c>
      <c r="H53" s="31" t="n"/>
      <c r="I53" s="32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1">
        <f>IF($C53="",0,IFERROR(INDEX(Deals!$H$2:$H$355,MATCH($C53,Deals!$A$2:$A$355,0)),0))</f>
        <v/>
      </c>
      <c r="K53" s="32">
        <f>IF(Settings!$B$4="Yes",$I53*$J53,$I53)</f>
        <v/>
      </c>
      <c r="L53" s="22">
        <f>IF($C53="","",IFERROR(IF(INDEX(Deals!$I$2:$I$355,MATCH($C53,Deals!$A$2:$A$355,0))=0,"",INDEX(Deals!$I$2:$I$355,MATCH($C53,Deals!$A$2:$A$355,0))),""))</f>
        <v/>
      </c>
      <c r="M53" s="22">
        <f>IF($C53="","",IFERROR(IF(INDEX(Deals!$J$2:$J$355,MATCH($C53,Deals!$A$2:$A$355,0))=0,"",INDEX(Deals!$J$2:$J$355,MATCH($C53,Deals!$A$2:$A$355,0))),""))</f>
        <v/>
      </c>
      <c r="N53" s="35">
        <f>IF($L53="",DATE(1900,1,1),$L53)</f>
        <v/>
      </c>
      <c r="O53" s="35">
        <f>IF($M53="",DATE(2100,12,31),$M53)</f>
        <v/>
      </c>
      <c r="P53" s="20" t="inlineStr"/>
      <c r="Q53" s="43" t="inlineStr"/>
      <c r="R53" s="16">
        <f>IF($C53="","",IFERROR(IF(INDEX(Deals!$U$2:$U$355,MATCH($C53,Deals!$A$2:$A$355,0))=0,"",INDEX(Deals!$U$2:$U$355,MATCH($C53,Deals!$A$2:$A$355,0))),""))</f>
        <v/>
      </c>
      <c r="S53" s="34">
        <f>IFERROR(IF($U53="",1,INDEX(Deals!$V$2:$V$355,MATCH($C53,Deals!$A$2:$A$355,0))),1)</f>
        <v/>
      </c>
      <c r="T53" s="34">
        <f>IFERROR(IF($U53="",1,INDEX(Deals!$W$2:$W$355,MATCH($C53,Deals!$A$2:$A$355,0))),1)</f>
        <v/>
      </c>
      <c r="U53" s="22">
        <f>IF($C53="","",IFERROR(IF(INDEX(Deals!$Y$2:$Y$355,MATCH($C53,Deals!$A$2:$A$355,0))=0,"",INDEX(Deals!$Y$2:$Y$355,MATCH($C53,Deals!$A$2:$A$355,0))),""))</f>
        <v/>
      </c>
      <c r="V53" s="35">
        <f>IF($U53="",DATE(1900,1,1),$N53)</f>
        <v/>
      </c>
      <c r="W53" s="35">
        <f>IF($U53="",DATE(2100,12,31),$U53)</f>
        <v/>
      </c>
      <c r="X53" s="32">
        <f>IF($U53="",$K53,$K53*$S53)</f>
        <v/>
      </c>
      <c r="Y53" s="35">
        <f>IF($U53="",DATE(2100,12,31),$U53+1)</f>
        <v/>
      </c>
      <c r="Z53" s="35">
        <f>IF($U53="",DATE(1900,1,1),$O53)</f>
        <v/>
      </c>
      <c r="AA53" s="32">
        <f>IF($U53="",0,$K53*$T53)</f>
        <v/>
      </c>
      <c r="AB53" s="21">
        <f>IF($C53="",0,IFERROR(INDEX(Deals!$AD$2:$AD$355,MATCH($C53,Deals!$A$2:$A$355,0)),0))</f>
        <v/>
      </c>
      <c r="AC53" s="32">
        <f>IF(Settings!$B$4="Yes",$I53*$AB53,$I53)</f>
        <v/>
      </c>
      <c r="AD53" s="22">
        <f>IF($C53="","",IFERROR(IF(INDEX(Deals!$AE$2:$AE$355,MATCH($C53,Deals!$A$2:$A$355,0))=0,"",INDEX(Deals!$AE$2:$AE$355,MATCH($C53,Deals!$A$2:$A$355,0))),""))</f>
        <v/>
      </c>
      <c r="AE53" s="22">
        <f>IF($C53="","",IFERROR(IF(INDEX(Deals!$AF$2:$AF$355,MATCH($C53,Deals!$A$2:$A$355,0))=0,"",INDEX(Deals!$AF$2:$AF$355,MATCH($C53,Deals!$A$2:$A$355,0))),""))</f>
        <v/>
      </c>
      <c r="AF53" s="35">
        <f>IF($AD53="",DATE(1900,1,1),$AD53)</f>
        <v/>
      </c>
      <c r="AG53" s="35">
        <f>IF($AE53="",DATE(2100,12,31),$AE53)</f>
        <v/>
      </c>
      <c r="AH53" s="22">
        <f>IF($C53="","",IFERROR(IF(INDEX(Deals!$AG$2:$AG$355,MATCH($C53,Deals!$A$2:$A$355,0))=0,"",INDEX(Deals!$AG$2:$AG$355,MATCH($C53,Deals!$A$2:$A$355,0))),""))</f>
        <v/>
      </c>
      <c r="AI53" s="35">
        <f>IF($AH53="",DATE(1900,1,1),$AF53)</f>
        <v/>
      </c>
      <c r="AJ53" s="35">
        <f>IF($AH53="",DATE(2100,12,31),$AH53)</f>
        <v/>
      </c>
      <c r="AK53" s="32">
        <f>IF($AH53="",$AC53,$AC53*$S53)</f>
        <v/>
      </c>
      <c r="AL53" s="35">
        <f>IF($AH53="",DATE(2100,12,31),$AH53+1)</f>
        <v/>
      </c>
      <c r="AM53" s="35">
        <f>IF($AH53="",DATE(1900,1,1),$AG53)</f>
        <v/>
      </c>
      <c r="AN53" s="32">
        <f>IF($AH53="",0,$AC53*$T53)</f>
        <v/>
      </c>
    </row>
    <row r="54">
      <c r="A54" s="28" t="inlineStr">
        <is>
          <t>John</t>
        </is>
      </c>
      <c r="B54" s="16">
        <f>IF($A54="","",IFERROR(INDEX(Roster!$B$2:$B$40,MATCH($A54,Roster!$A$2:$A$40,0)),"?"))</f>
        <v/>
      </c>
      <c r="C54" s="28" t="inlineStr">
        <is>
          <t>CAN Rail_1</t>
        </is>
      </c>
      <c r="D54" s="16">
        <f>IF($C54="","",IFERROR(IF(INDEX(Deals!$C$2:$C$355,MATCH($C54,Deals!$A$2:$A$355,0))=0,"",INDEX(Deals!$C$2:$C$355,MATCH($C54,Deals!$A$2:$A$355,0))),"?"))</f>
        <v/>
      </c>
      <c r="E54" s="16">
        <f>IF($C54="","",IFERROR(INDEX(Deals!$F$2:$F$355,MATCH($C54,Deals!$A$2:$A$355,0)),"?"))</f>
        <v/>
      </c>
      <c r="F54" s="28" t="inlineStr">
        <is>
          <t>Partner</t>
        </is>
      </c>
      <c r="G54" s="28" t="inlineStr">
        <is>
          <t>Active</t>
        </is>
      </c>
      <c r="H54" s="31" t="n"/>
      <c r="I54" s="32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1">
        <f>IF($C54="",0,IFERROR(INDEX(Deals!$H$2:$H$355,MATCH($C54,Deals!$A$2:$A$355,0)),0))</f>
        <v/>
      </c>
      <c r="K54" s="32">
        <f>IF(Settings!$B$4="Yes",$I54*$J54,$I54)</f>
        <v/>
      </c>
      <c r="L54" s="22">
        <f>IF($C54="","",IFERROR(IF(INDEX(Deals!$I$2:$I$355,MATCH($C54,Deals!$A$2:$A$355,0))=0,"",INDEX(Deals!$I$2:$I$355,MATCH($C54,Deals!$A$2:$A$355,0))),""))</f>
        <v/>
      </c>
      <c r="M54" s="22">
        <f>IF($C54="","",IFERROR(IF(INDEX(Deals!$J$2:$J$355,MATCH($C54,Deals!$A$2:$A$355,0))=0,"",INDEX(Deals!$J$2:$J$355,MATCH($C54,Deals!$A$2:$A$355,0))),""))</f>
        <v/>
      </c>
      <c r="N54" s="35">
        <f>IF($L54="",DATE(1900,1,1),$L54)</f>
        <v/>
      </c>
      <c r="O54" s="35">
        <f>IF($M54="",DATE(2100,12,31),$M54)</f>
        <v/>
      </c>
      <c r="P54" s="20" t="inlineStr"/>
      <c r="Q54" s="43" t="inlineStr"/>
      <c r="R54" s="16">
        <f>IF($C54="","",IFERROR(IF(INDEX(Deals!$U$2:$U$355,MATCH($C54,Deals!$A$2:$A$355,0))=0,"",INDEX(Deals!$U$2:$U$355,MATCH($C54,Deals!$A$2:$A$355,0))),""))</f>
        <v/>
      </c>
      <c r="S54" s="34">
        <f>IFERROR(IF($U54="",1,INDEX(Deals!$V$2:$V$355,MATCH($C54,Deals!$A$2:$A$355,0))),1)</f>
        <v/>
      </c>
      <c r="T54" s="34">
        <f>IFERROR(IF($U54="",1,INDEX(Deals!$W$2:$W$355,MATCH($C54,Deals!$A$2:$A$355,0))),1)</f>
        <v/>
      </c>
      <c r="U54" s="22">
        <f>IF($C54="","",IFERROR(IF(INDEX(Deals!$Y$2:$Y$355,MATCH($C54,Deals!$A$2:$A$355,0))=0,"",INDEX(Deals!$Y$2:$Y$355,MATCH($C54,Deals!$A$2:$A$355,0))),""))</f>
        <v/>
      </c>
      <c r="V54" s="35">
        <f>IF($U54="",DATE(1900,1,1),$N54)</f>
        <v/>
      </c>
      <c r="W54" s="35">
        <f>IF($U54="",DATE(2100,12,31),$U54)</f>
        <v/>
      </c>
      <c r="X54" s="32">
        <f>IF($U54="",$K54,$K54*$S54)</f>
        <v/>
      </c>
      <c r="Y54" s="35">
        <f>IF($U54="",DATE(2100,12,31),$U54+1)</f>
        <v/>
      </c>
      <c r="Z54" s="35">
        <f>IF($U54="",DATE(1900,1,1),$O54)</f>
        <v/>
      </c>
      <c r="AA54" s="32">
        <f>IF($U54="",0,$K54*$T54)</f>
        <v/>
      </c>
      <c r="AB54" s="21">
        <f>IF($C54="",0,IFERROR(INDEX(Deals!$AD$2:$AD$355,MATCH($C54,Deals!$A$2:$A$355,0)),0))</f>
        <v/>
      </c>
      <c r="AC54" s="32">
        <f>IF(Settings!$B$4="Yes",$I54*$AB54,$I54)</f>
        <v/>
      </c>
      <c r="AD54" s="22">
        <f>IF($C54="","",IFERROR(IF(INDEX(Deals!$AE$2:$AE$355,MATCH($C54,Deals!$A$2:$A$355,0))=0,"",INDEX(Deals!$AE$2:$AE$355,MATCH($C54,Deals!$A$2:$A$355,0))),""))</f>
        <v/>
      </c>
      <c r="AE54" s="22">
        <f>IF($C54="","",IFERROR(IF(INDEX(Deals!$AF$2:$AF$355,MATCH($C54,Deals!$A$2:$A$355,0))=0,"",INDEX(Deals!$AF$2:$AF$355,MATCH($C54,Deals!$A$2:$A$355,0))),""))</f>
        <v/>
      </c>
      <c r="AF54" s="35">
        <f>IF($AD54="",DATE(1900,1,1),$AD54)</f>
        <v/>
      </c>
      <c r="AG54" s="35">
        <f>IF($AE54="",DATE(2100,12,31),$AE54)</f>
        <v/>
      </c>
      <c r="AH54" s="22">
        <f>IF($C54="","",IFERROR(IF(INDEX(Deals!$AG$2:$AG$355,MATCH($C54,Deals!$A$2:$A$355,0))=0,"",INDEX(Deals!$AG$2:$AG$355,MATCH($C54,Deals!$A$2:$A$355,0))),""))</f>
        <v/>
      </c>
      <c r="AI54" s="35">
        <f>IF($AH54="",DATE(1900,1,1),$AF54)</f>
        <v/>
      </c>
      <c r="AJ54" s="35">
        <f>IF($AH54="",DATE(2100,12,31),$AH54)</f>
        <v/>
      </c>
      <c r="AK54" s="32">
        <f>IF($AH54="",$AC54,$AC54*$S54)</f>
        <v/>
      </c>
      <c r="AL54" s="35">
        <f>IF($AH54="",DATE(2100,12,31),$AH54+1)</f>
        <v/>
      </c>
      <c r="AM54" s="35">
        <f>IF($AH54="",DATE(1900,1,1),$AG54)</f>
        <v/>
      </c>
      <c r="AN54" s="32">
        <f>IF($AH54="",0,$AC54*$T54)</f>
        <v/>
      </c>
    </row>
    <row r="55">
      <c r="A55" s="28" t="inlineStr">
        <is>
          <t>John</t>
        </is>
      </c>
      <c r="B55" s="16">
        <f>IF($A55="","",IFERROR(INDEX(Roster!$B$2:$B$40,MATCH($A55,Roster!$A$2:$A$40,0)),"?"))</f>
        <v/>
      </c>
      <c r="C55" s="28" t="inlineStr">
        <is>
          <t>Canyon_2</t>
        </is>
      </c>
      <c r="D55" s="16">
        <f>IF($C55="","",IFERROR(IF(INDEX(Deals!$C$2:$C$355,MATCH($C55,Deals!$A$2:$A$355,0))=0,"",INDEX(Deals!$C$2:$C$355,MATCH($C55,Deals!$A$2:$A$355,0))),"?"))</f>
        <v/>
      </c>
      <c r="E55" s="16">
        <f>IF($C55="","",IFERROR(INDEX(Deals!$F$2:$F$355,MATCH($C55,Deals!$A$2:$A$355,0)),"?"))</f>
        <v/>
      </c>
      <c r="F55" s="28" t="inlineStr">
        <is>
          <t>Partner</t>
        </is>
      </c>
      <c r="G55" s="28" t="inlineStr">
        <is>
          <t>Active</t>
        </is>
      </c>
      <c r="H55" s="31" t="n"/>
      <c r="I55" s="32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1">
        <f>IF($C55="",0,IFERROR(INDEX(Deals!$H$2:$H$355,MATCH($C55,Deals!$A$2:$A$355,0)),0))</f>
        <v/>
      </c>
      <c r="K55" s="32">
        <f>IF(Settings!$B$4="Yes",$I55*$J55,$I55)</f>
        <v/>
      </c>
      <c r="L55" s="22">
        <f>IF($C55="","",IFERROR(IF(INDEX(Deals!$I$2:$I$355,MATCH($C55,Deals!$A$2:$A$355,0))=0,"",INDEX(Deals!$I$2:$I$355,MATCH($C55,Deals!$A$2:$A$355,0))),""))</f>
        <v/>
      </c>
      <c r="M55" s="22">
        <f>IF($C55="","",IFERROR(IF(INDEX(Deals!$J$2:$J$355,MATCH($C55,Deals!$A$2:$A$355,0))=0,"",INDEX(Deals!$J$2:$J$355,MATCH($C55,Deals!$A$2:$A$355,0))),""))</f>
        <v/>
      </c>
      <c r="N55" s="35">
        <f>IF($L55="",DATE(1900,1,1),$L55)</f>
        <v/>
      </c>
      <c r="O55" s="35">
        <f>IF($M55="",DATE(2100,12,31),$M55)</f>
        <v/>
      </c>
      <c r="P55" s="20" t="inlineStr"/>
      <c r="Q55" s="43" t="inlineStr"/>
      <c r="R55" s="16">
        <f>IF($C55="","",IFERROR(IF(INDEX(Deals!$U$2:$U$355,MATCH($C55,Deals!$A$2:$A$355,0))=0,"",INDEX(Deals!$U$2:$U$355,MATCH($C55,Deals!$A$2:$A$355,0))),""))</f>
        <v/>
      </c>
      <c r="S55" s="34">
        <f>IFERROR(IF($U55="",1,INDEX(Deals!$V$2:$V$355,MATCH($C55,Deals!$A$2:$A$355,0))),1)</f>
        <v/>
      </c>
      <c r="T55" s="34">
        <f>IFERROR(IF($U55="",1,INDEX(Deals!$W$2:$W$355,MATCH($C55,Deals!$A$2:$A$355,0))),1)</f>
        <v/>
      </c>
      <c r="U55" s="22">
        <f>IF($C55="","",IFERROR(IF(INDEX(Deals!$Y$2:$Y$355,MATCH($C55,Deals!$A$2:$A$355,0))=0,"",INDEX(Deals!$Y$2:$Y$355,MATCH($C55,Deals!$A$2:$A$355,0))),""))</f>
        <v/>
      </c>
      <c r="V55" s="35">
        <f>IF($U55="",DATE(1900,1,1),$N55)</f>
        <v/>
      </c>
      <c r="W55" s="35">
        <f>IF($U55="",DATE(2100,12,31),$U55)</f>
        <v/>
      </c>
      <c r="X55" s="32">
        <f>IF($U55="",$K55,$K55*$S55)</f>
        <v/>
      </c>
      <c r="Y55" s="35">
        <f>IF($U55="",DATE(2100,12,31),$U55+1)</f>
        <v/>
      </c>
      <c r="Z55" s="35">
        <f>IF($U55="",DATE(1900,1,1),$O55)</f>
        <v/>
      </c>
      <c r="AA55" s="32">
        <f>IF($U55="",0,$K55*$T55)</f>
        <v/>
      </c>
      <c r="AB55" s="21">
        <f>IF($C55="",0,IFERROR(INDEX(Deals!$AD$2:$AD$355,MATCH($C55,Deals!$A$2:$A$355,0)),0))</f>
        <v/>
      </c>
      <c r="AC55" s="32">
        <f>IF(Settings!$B$4="Yes",$I55*$AB55,$I55)</f>
        <v/>
      </c>
      <c r="AD55" s="22">
        <f>IF($C55="","",IFERROR(IF(INDEX(Deals!$AE$2:$AE$355,MATCH($C55,Deals!$A$2:$A$355,0))=0,"",INDEX(Deals!$AE$2:$AE$355,MATCH($C55,Deals!$A$2:$A$355,0))),""))</f>
        <v/>
      </c>
      <c r="AE55" s="22">
        <f>IF($C55="","",IFERROR(IF(INDEX(Deals!$AF$2:$AF$355,MATCH($C55,Deals!$A$2:$A$355,0))=0,"",INDEX(Deals!$AF$2:$AF$355,MATCH($C55,Deals!$A$2:$A$355,0))),""))</f>
        <v/>
      </c>
      <c r="AF55" s="35">
        <f>IF($AD55="",DATE(1900,1,1),$AD55)</f>
        <v/>
      </c>
      <c r="AG55" s="35">
        <f>IF($AE55="",DATE(2100,12,31),$AE55)</f>
        <v/>
      </c>
      <c r="AH55" s="22">
        <f>IF($C55="","",IFERROR(IF(INDEX(Deals!$AG$2:$AG$355,MATCH($C55,Deals!$A$2:$A$355,0))=0,"",INDEX(Deals!$AG$2:$AG$355,MATCH($C55,Deals!$A$2:$A$355,0))),""))</f>
        <v/>
      </c>
      <c r="AI55" s="35">
        <f>IF($AH55="",DATE(1900,1,1),$AF55)</f>
        <v/>
      </c>
      <c r="AJ55" s="35">
        <f>IF($AH55="",DATE(2100,12,31),$AH55)</f>
        <v/>
      </c>
      <c r="AK55" s="32">
        <f>IF($AH55="",$AC55,$AC55*$S55)</f>
        <v/>
      </c>
      <c r="AL55" s="35">
        <f>IF($AH55="",DATE(2100,12,31),$AH55+1)</f>
        <v/>
      </c>
      <c r="AM55" s="35">
        <f>IF($AH55="",DATE(1900,1,1),$AG55)</f>
        <v/>
      </c>
      <c r="AN55" s="32">
        <f>IF($AH55="",0,$AC55*$T55)</f>
        <v/>
      </c>
    </row>
    <row r="56">
      <c r="A56" s="28" t="inlineStr">
        <is>
          <t>John</t>
        </is>
      </c>
      <c r="B56" s="16">
        <f>IF($A56="","",IFERROR(INDEX(Roster!$B$2:$B$40,MATCH($A56,Roster!$A$2:$A$40,0)),"?"))</f>
        <v/>
      </c>
      <c r="C56" s="28" t="inlineStr">
        <is>
          <t>DCLI Sellside_1</t>
        </is>
      </c>
      <c r="D56" s="16">
        <f>IF($C56="","",IFERROR(IF(INDEX(Deals!$C$2:$C$355,MATCH($C56,Deals!$A$2:$A$355,0))=0,"",INDEX(Deals!$C$2:$C$355,MATCH($C56,Deals!$A$2:$A$355,0))),"?"))</f>
        <v/>
      </c>
      <c r="E56" s="16">
        <f>IF($C56="","",IFERROR(INDEX(Deals!$F$2:$F$355,MATCH($C56,Deals!$A$2:$A$355,0)),"?"))</f>
        <v/>
      </c>
      <c r="F56" s="28" t="inlineStr">
        <is>
          <t>Partner</t>
        </is>
      </c>
      <c r="G56" s="28" t="inlineStr">
        <is>
          <t>Active</t>
        </is>
      </c>
      <c r="H56" s="31" t="n"/>
      <c r="I56" s="32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1">
        <f>IF($C56="",0,IFERROR(INDEX(Deals!$H$2:$H$355,MATCH($C56,Deals!$A$2:$A$355,0)),0))</f>
        <v/>
      </c>
      <c r="K56" s="32">
        <f>IF(Settings!$B$4="Yes",$I56*$J56,$I56)</f>
        <v/>
      </c>
      <c r="L56" s="22">
        <f>IF($C56="","",IFERROR(IF(INDEX(Deals!$I$2:$I$355,MATCH($C56,Deals!$A$2:$A$355,0))=0,"",INDEX(Deals!$I$2:$I$355,MATCH($C56,Deals!$A$2:$A$355,0))),""))</f>
        <v/>
      </c>
      <c r="M56" s="22">
        <f>IF($C56="","",IFERROR(IF(INDEX(Deals!$J$2:$J$355,MATCH($C56,Deals!$A$2:$A$355,0))=0,"",INDEX(Deals!$J$2:$J$355,MATCH($C56,Deals!$A$2:$A$355,0))),""))</f>
        <v/>
      </c>
      <c r="N56" s="35">
        <f>IF($L56="",DATE(1900,1,1),$L56)</f>
        <v/>
      </c>
      <c r="O56" s="35">
        <f>IF($M56="",DATE(2100,12,31),$M56)</f>
        <v/>
      </c>
      <c r="P56" s="20" t="inlineStr"/>
      <c r="Q56" s="43" t="inlineStr"/>
      <c r="R56" s="16">
        <f>IF($C56="","",IFERROR(IF(INDEX(Deals!$U$2:$U$355,MATCH($C56,Deals!$A$2:$A$355,0))=0,"",INDEX(Deals!$U$2:$U$355,MATCH($C56,Deals!$A$2:$A$355,0))),""))</f>
        <v/>
      </c>
      <c r="S56" s="34">
        <f>IFERROR(IF($U56="",1,INDEX(Deals!$V$2:$V$355,MATCH($C56,Deals!$A$2:$A$355,0))),1)</f>
        <v/>
      </c>
      <c r="T56" s="34">
        <f>IFERROR(IF($U56="",1,INDEX(Deals!$W$2:$W$355,MATCH($C56,Deals!$A$2:$A$355,0))),1)</f>
        <v/>
      </c>
      <c r="U56" s="22">
        <f>IF($C56="","",IFERROR(IF(INDEX(Deals!$Y$2:$Y$355,MATCH($C56,Deals!$A$2:$A$355,0))=0,"",INDEX(Deals!$Y$2:$Y$355,MATCH($C56,Deals!$A$2:$A$355,0))),""))</f>
        <v/>
      </c>
      <c r="V56" s="35">
        <f>IF($U56="",DATE(1900,1,1),$N56)</f>
        <v/>
      </c>
      <c r="W56" s="35">
        <f>IF($U56="",DATE(2100,12,31),$U56)</f>
        <v/>
      </c>
      <c r="X56" s="32">
        <f>IF($U56="",$K56,$K56*$S56)</f>
        <v/>
      </c>
      <c r="Y56" s="35">
        <f>IF($U56="",DATE(2100,12,31),$U56+1)</f>
        <v/>
      </c>
      <c r="Z56" s="35">
        <f>IF($U56="",DATE(1900,1,1),$O56)</f>
        <v/>
      </c>
      <c r="AA56" s="32">
        <f>IF($U56="",0,$K56*$T56)</f>
        <v/>
      </c>
      <c r="AB56" s="21">
        <f>IF($C56="",0,IFERROR(INDEX(Deals!$AD$2:$AD$355,MATCH($C56,Deals!$A$2:$A$355,0)),0))</f>
        <v/>
      </c>
      <c r="AC56" s="32">
        <f>IF(Settings!$B$4="Yes",$I56*$AB56,$I56)</f>
        <v/>
      </c>
      <c r="AD56" s="22">
        <f>IF($C56="","",IFERROR(IF(INDEX(Deals!$AE$2:$AE$355,MATCH($C56,Deals!$A$2:$A$355,0))=0,"",INDEX(Deals!$AE$2:$AE$355,MATCH($C56,Deals!$A$2:$A$355,0))),""))</f>
        <v/>
      </c>
      <c r="AE56" s="22">
        <f>IF($C56="","",IFERROR(IF(INDEX(Deals!$AF$2:$AF$355,MATCH($C56,Deals!$A$2:$A$355,0))=0,"",INDEX(Deals!$AF$2:$AF$355,MATCH($C56,Deals!$A$2:$A$355,0))),""))</f>
        <v/>
      </c>
      <c r="AF56" s="35">
        <f>IF($AD56="",DATE(1900,1,1),$AD56)</f>
        <v/>
      </c>
      <c r="AG56" s="35">
        <f>IF($AE56="",DATE(2100,12,31),$AE56)</f>
        <v/>
      </c>
      <c r="AH56" s="22">
        <f>IF($C56="","",IFERROR(IF(INDEX(Deals!$AG$2:$AG$355,MATCH($C56,Deals!$A$2:$A$355,0))=0,"",INDEX(Deals!$AG$2:$AG$355,MATCH($C56,Deals!$A$2:$A$355,0))),""))</f>
        <v/>
      </c>
      <c r="AI56" s="35">
        <f>IF($AH56="",DATE(1900,1,1),$AF56)</f>
        <v/>
      </c>
      <c r="AJ56" s="35">
        <f>IF($AH56="",DATE(2100,12,31),$AH56)</f>
        <v/>
      </c>
      <c r="AK56" s="32">
        <f>IF($AH56="",$AC56,$AC56*$S56)</f>
        <v/>
      </c>
      <c r="AL56" s="35">
        <f>IF($AH56="",DATE(2100,12,31),$AH56+1)</f>
        <v/>
      </c>
      <c r="AM56" s="35">
        <f>IF($AH56="",DATE(1900,1,1),$AG56)</f>
        <v/>
      </c>
      <c r="AN56" s="32">
        <f>IF($AH56="",0,$AC56*$T56)</f>
        <v/>
      </c>
    </row>
    <row r="57">
      <c r="A57" s="28" t="inlineStr">
        <is>
          <t>John</t>
        </is>
      </c>
      <c r="B57" s="16">
        <f>IF($A57="","",IFERROR(INDEX(Roster!$B$2:$B$40,MATCH($A57,Roster!$A$2:$A$40,0)),"?"))</f>
        <v/>
      </c>
      <c r="C57" s="28" t="inlineStr">
        <is>
          <t>DIF Brahms_1</t>
        </is>
      </c>
      <c r="D57" s="16">
        <f>IF($C57="","",IFERROR(IF(INDEX(Deals!$C$2:$C$355,MATCH($C57,Deals!$A$2:$A$355,0))=0,"",INDEX(Deals!$C$2:$C$355,MATCH($C57,Deals!$A$2:$A$355,0))),"?"))</f>
        <v/>
      </c>
      <c r="E57" s="16">
        <f>IF($C57="","",IFERROR(INDEX(Deals!$F$2:$F$355,MATCH($C57,Deals!$A$2:$A$355,0)),"?"))</f>
        <v/>
      </c>
      <c r="F57" s="28" t="inlineStr">
        <is>
          <t>Partner</t>
        </is>
      </c>
      <c r="G57" s="28" t="inlineStr">
        <is>
          <t>Active</t>
        </is>
      </c>
      <c r="H57" s="31" t="n"/>
      <c r="I57" s="32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1">
        <f>IF($C57="",0,IFERROR(INDEX(Deals!$H$2:$H$355,MATCH($C57,Deals!$A$2:$A$355,0)),0))</f>
        <v/>
      </c>
      <c r="K57" s="32">
        <f>IF(Settings!$B$4="Yes",$I57*$J57,$I57)</f>
        <v/>
      </c>
      <c r="L57" s="22">
        <f>IF($C57="","",IFERROR(IF(INDEX(Deals!$I$2:$I$355,MATCH($C57,Deals!$A$2:$A$355,0))=0,"",INDEX(Deals!$I$2:$I$355,MATCH($C57,Deals!$A$2:$A$355,0))),""))</f>
        <v/>
      </c>
      <c r="M57" s="22">
        <f>IF($C57="","",IFERROR(IF(INDEX(Deals!$J$2:$J$355,MATCH($C57,Deals!$A$2:$A$355,0))=0,"",INDEX(Deals!$J$2:$J$355,MATCH($C57,Deals!$A$2:$A$355,0))),""))</f>
        <v/>
      </c>
      <c r="N57" s="35">
        <f>IF($L57="",DATE(1900,1,1),$L57)</f>
        <v/>
      </c>
      <c r="O57" s="35">
        <f>IF($M57="",DATE(2100,12,31),$M57)</f>
        <v/>
      </c>
      <c r="P57" s="20" t="inlineStr"/>
      <c r="Q57" s="43" t="inlineStr"/>
      <c r="R57" s="16">
        <f>IF($C57="","",IFERROR(IF(INDEX(Deals!$U$2:$U$355,MATCH($C57,Deals!$A$2:$A$355,0))=0,"",INDEX(Deals!$U$2:$U$355,MATCH($C57,Deals!$A$2:$A$355,0))),""))</f>
        <v/>
      </c>
      <c r="S57" s="34">
        <f>IFERROR(IF($U57="",1,INDEX(Deals!$V$2:$V$355,MATCH($C57,Deals!$A$2:$A$355,0))),1)</f>
        <v/>
      </c>
      <c r="T57" s="34">
        <f>IFERROR(IF($U57="",1,INDEX(Deals!$W$2:$W$355,MATCH($C57,Deals!$A$2:$A$355,0))),1)</f>
        <v/>
      </c>
      <c r="U57" s="22">
        <f>IF($C57="","",IFERROR(IF(INDEX(Deals!$Y$2:$Y$355,MATCH($C57,Deals!$A$2:$A$355,0))=0,"",INDEX(Deals!$Y$2:$Y$355,MATCH($C57,Deals!$A$2:$A$355,0))),""))</f>
        <v/>
      </c>
      <c r="V57" s="35">
        <f>IF($U57="",DATE(1900,1,1),$N57)</f>
        <v/>
      </c>
      <c r="W57" s="35">
        <f>IF($U57="",DATE(2100,12,31),$U57)</f>
        <v/>
      </c>
      <c r="X57" s="32">
        <f>IF($U57="",$K57,$K57*$S57)</f>
        <v/>
      </c>
      <c r="Y57" s="35">
        <f>IF($U57="",DATE(2100,12,31),$U57+1)</f>
        <v/>
      </c>
      <c r="Z57" s="35">
        <f>IF($U57="",DATE(1900,1,1),$O57)</f>
        <v/>
      </c>
      <c r="AA57" s="32">
        <f>IF($U57="",0,$K57*$T57)</f>
        <v/>
      </c>
      <c r="AB57" s="21">
        <f>IF($C57="",0,IFERROR(INDEX(Deals!$AD$2:$AD$355,MATCH($C57,Deals!$A$2:$A$355,0)),0))</f>
        <v/>
      </c>
      <c r="AC57" s="32">
        <f>IF(Settings!$B$4="Yes",$I57*$AB57,$I57)</f>
        <v/>
      </c>
      <c r="AD57" s="22">
        <f>IF($C57="","",IFERROR(IF(INDEX(Deals!$AE$2:$AE$355,MATCH($C57,Deals!$A$2:$A$355,0))=0,"",INDEX(Deals!$AE$2:$AE$355,MATCH($C57,Deals!$A$2:$A$355,0))),""))</f>
        <v/>
      </c>
      <c r="AE57" s="22">
        <f>IF($C57="","",IFERROR(IF(INDEX(Deals!$AF$2:$AF$355,MATCH($C57,Deals!$A$2:$A$355,0))=0,"",INDEX(Deals!$AF$2:$AF$355,MATCH($C57,Deals!$A$2:$A$355,0))),""))</f>
        <v/>
      </c>
      <c r="AF57" s="35">
        <f>IF($AD57="",DATE(1900,1,1),$AD57)</f>
        <v/>
      </c>
      <c r="AG57" s="35">
        <f>IF($AE57="",DATE(2100,12,31),$AE57)</f>
        <v/>
      </c>
      <c r="AH57" s="22">
        <f>IF($C57="","",IFERROR(IF(INDEX(Deals!$AG$2:$AG$355,MATCH($C57,Deals!$A$2:$A$355,0))=0,"",INDEX(Deals!$AG$2:$AG$355,MATCH($C57,Deals!$A$2:$A$355,0))),""))</f>
        <v/>
      </c>
      <c r="AI57" s="35">
        <f>IF($AH57="",DATE(1900,1,1),$AF57)</f>
        <v/>
      </c>
      <c r="AJ57" s="35">
        <f>IF($AH57="",DATE(2100,12,31),$AH57)</f>
        <v/>
      </c>
      <c r="AK57" s="32">
        <f>IF($AH57="",$AC57,$AC57*$S57)</f>
        <v/>
      </c>
      <c r="AL57" s="35">
        <f>IF($AH57="",DATE(2100,12,31),$AH57+1)</f>
        <v/>
      </c>
      <c r="AM57" s="35">
        <f>IF($AH57="",DATE(1900,1,1),$AG57)</f>
        <v/>
      </c>
      <c r="AN57" s="32">
        <f>IF($AH57="",0,$AC57*$T57)</f>
        <v/>
      </c>
    </row>
    <row r="58">
      <c r="A58" s="28" t="inlineStr">
        <is>
          <t>John</t>
        </is>
      </c>
      <c r="B58" s="16">
        <f>IF($A58="","",IFERROR(INDEX(Roster!$B$2:$B$40,MATCH($A58,Roster!$A$2:$A$40,0)),"?"))</f>
        <v/>
      </c>
      <c r="C58" s="28" t="inlineStr">
        <is>
          <t>DIF Twister_2</t>
        </is>
      </c>
      <c r="D58" s="16">
        <f>IF($C58="","",IFERROR(IF(INDEX(Deals!$C$2:$C$355,MATCH($C58,Deals!$A$2:$A$355,0))=0,"",INDEX(Deals!$C$2:$C$355,MATCH($C58,Deals!$A$2:$A$355,0))),"?"))</f>
        <v/>
      </c>
      <c r="E58" s="16">
        <f>IF($C58="","",IFERROR(INDEX(Deals!$F$2:$F$355,MATCH($C58,Deals!$A$2:$A$355,0)),"?"))</f>
        <v/>
      </c>
      <c r="F58" s="28" t="inlineStr">
        <is>
          <t>Partner</t>
        </is>
      </c>
      <c r="G58" s="28" t="inlineStr">
        <is>
          <t>Active</t>
        </is>
      </c>
      <c r="H58" s="31" t="n"/>
      <c r="I58" s="32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1">
        <f>IF($C58="",0,IFERROR(INDEX(Deals!$H$2:$H$355,MATCH($C58,Deals!$A$2:$A$355,0)),0))</f>
        <v/>
      </c>
      <c r="K58" s="32">
        <f>IF(Settings!$B$4="Yes",$I58*$J58,$I58)</f>
        <v/>
      </c>
      <c r="L58" s="22">
        <f>IF($C58="","",IFERROR(IF(INDEX(Deals!$I$2:$I$355,MATCH($C58,Deals!$A$2:$A$355,0))=0,"",INDEX(Deals!$I$2:$I$355,MATCH($C58,Deals!$A$2:$A$355,0))),""))</f>
        <v/>
      </c>
      <c r="M58" s="22">
        <f>IF($C58="","",IFERROR(IF(INDEX(Deals!$J$2:$J$355,MATCH($C58,Deals!$A$2:$A$355,0))=0,"",INDEX(Deals!$J$2:$J$355,MATCH($C58,Deals!$A$2:$A$355,0))),""))</f>
        <v/>
      </c>
      <c r="N58" s="35">
        <f>IF($L58="",DATE(1900,1,1),$L58)</f>
        <v/>
      </c>
      <c r="O58" s="35">
        <f>IF($M58="",DATE(2100,12,31),$M58)</f>
        <v/>
      </c>
      <c r="P58" s="20" t="inlineStr"/>
      <c r="Q58" s="43" t="inlineStr"/>
      <c r="R58" s="16">
        <f>IF($C58="","",IFERROR(IF(INDEX(Deals!$U$2:$U$355,MATCH($C58,Deals!$A$2:$A$355,0))=0,"",INDEX(Deals!$U$2:$U$355,MATCH($C58,Deals!$A$2:$A$355,0))),""))</f>
        <v/>
      </c>
      <c r="S58" s="34">
        <f>IFERROR(IF($U58="",1,INDEX(Deals!$V$2:$V$355,MATCH($C58,Deals!$A$2:$A$355,0))),1)</f>
        <v/>
      </c>
      <c r="T58" s="34">
        <f>IFERROR(IF($U58="",1,INDEX(Deals!$W$2:$W$355,MATCH($C58,Deals!$A$2:$A$355,0))),1)</f>
        <v/>
      </c>
      <c r="U58" s="22">
        <f>IF($C58="","",IFERROR(IF(INDEX(Deals!$Y$2:$Y$355,MATCH($C58,Deals!$A$2:$A$355,0))=0,"",INDEX(Deals!$Y$2:$Y$355,MATCH($C58,Deals!$A$2:$A$355,0))),""))</f>
        <v/>
      </c>
      <c r="V58" s="35">
        <f>IF($U58="",DATE(1900,1,1),$N58)</f>
        <v/>
      </c>
      <c r="W58" s="35">
        <f>IF($U58="",DATE(2100,12,31),$U58)</f>
        <v/>
      </c>
      <c r="X58" s="32">
        <f>IF($U58="",$K58,$K58*$S58)</f>
        <v/>
      </c>
      <c r="Y58" s="35">
        <f>IF($U58="",DATE(2100,12,31),$U58+1)</f>
        <v/>
      </c>
      <c r="Z58" s="35">
        <f>IF($U58="",DATE(1900,1,1),$O58)</f>
        <v/>
      </c>
      <c r="AA58" s="32">
        <f>IF($U58="",0,$K58*$T58)</f>
        <v/>
      </c>
      <c r="AB58" s="21">
        <f>IF($C58="",0,IFERROR(INDEX(Deals!$AD$2:$AD$355,MATCH($C58,Deals!$A$2:$A$355,0)),0))</f>
        <v/>
      </c>
      <c r="AC58" s="32">
        <f>IF(Settings!$B$4="Yes",$I58*$AB58,$I58)</f>
        <v/>
      </c>
      <c r="AD58" s="22">
        <f>IF($C58="","",IFERROR(IF(INDEX(Deals!$AE$2:$AE$355,MATCH($C58,Deals!$A$2:$A$355,0))=0,"",INDEX(Deals!$AE$2:$AE$355,MATCH($C58,Deals!$A$2:$A$355,0))),""))</f>
        <v/>
      </c>
      <c r="AE58" s="22">
        <f>IF($C58="","",IFERROR(IF(INDEX(Deals!$AF$2:$AF$355,MATCH($C58,Deals!$A$2:$A$355,0))=0,"",INDEX(Deals!$AF$2:$AF$355,MATCH($C58,Deals!$A$2:$A$355,0))),""))</f>
        <v/>
      </c>
      <c r="AF58" s="35">
        <f>IF($AD58="",DATE(1900,1,1),$AD58)</f>
        <v/>
      </c>
      <c r="AG58" s="35">
        <f>IF($AE58="",DATE(2100,12,31),$AE58)</f>
        <v/>
      </c>
      <c r="AH58" s="22">
        <f>IF($C58="","",IFERROR(IF(INDEX(Deals!$AG$2:$AG$355,MATCH($C58,Deals!$A$2:$A$355,0))=0,"",INDEX(Deals!$AG$2:$AG$355,MATCH($C58,Deals!$A$2:$A$355,0))),""))</f>
        <v/>
      </c>
      <c r="AI58" s="35">
        <f>IF($AH58="",DATE(1900,1,1),$AF58)</f>
        <v/>
      </c>
      <c r="AJ58" s="35">
        <f>IF($AH58="",DATE(2100,12,31),$AH58)</f>
        <v/>
      </c>
      <c r="AK58" s="32">
        <f>IF($AH58="",$AC58,$AC58*$S58)</f>
        <v/>
      </c>
      <c r="AL58" s="35">
        <f>IF($AH58="",DATE(2100,12,31),$AH58+1)</f>
        <v/>
      </c>
      <c r="AM58" s="35">
        <f>IF($AH58="",DATE(1900,1,1),$AG58)</f>
        <v/>
      </c>
      <c r="AN58" s="32">
        <f>IF($AH58="",0,$AC58*$T58)</f>
        <v/>
      </c>
    </row>
    <row r="59">
      <c r="A59" s="28" t="inlineStr">
        <is>
          <t>John</t>
        </is>
      </c>
      <c r="B59" s="16">
        <f>IF($A59="","",IFERROR(INDEX(Roster!$B$2:$B$40,MATCH($A59,Roster!$A$2:$A$40,0)),"?"))</f>
        <v/>
      </c>
      <c r="C59" s="28" t="inlineStr">
        <is>
          <t>Dupont_1</t>
        </is>
      </c>
      <c r="D59" s="16">
        <f>IF($C59="","",IFERROR(IF(INDEX(Deals!$C$2:$C$355,MATCH($C59,Deals!$A$2:$A$355,0))=0,"",INDEX(Deals!$C$2:$C$355,MATCH($C59,Deals!$A$2:$A$355,0))),"?"))</f>
        <v/>
      </c>
      <c r="E59" s="16">
        <f>IF($C59="","",IFERROR(INDEX(Deals!$F$2:$F$355,MATCH($C59,Deals!$A$2:$A$355,0)),"?"))</f>
        <v/>
      </c>
      <c r="F59" s="28" t="inlineStr">
        <is>
          <t>Partner</t>
        </is>
      </c>
      <c r="G59" s="28" t="inlineStr">
        <is>
          <t>Active</t>
        </is>
      </c>
      <c r="H59" s="31" t="n"/>
      <c r="I59" s="32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1">
        <f>IF($C59="",0,IFERROR(INDEX(Deals!$H$2:$H$355,MATCH($C59,Deals!$A$2:$A$355,0)),0))</f>
        <v/>
      </c>
      <c r="K59" s="32">
        <f>IF(Settings!$B$4="Yes",$I59*$J59,$I59)</f>
        <v/>
      </c>
      <c r="L59" s="22">
        <f>IF($C59="","",IFERROR(IF(INDEX(Deals!$I$2:$I$355,MATCH($C59,Deals!$A$2:$A$355,0))=0,"",INDEX(Deals!$I$2:$I$355,MATCH($C59,Deals!$A$2:$A$355,0))),""))</f>
        <v/>
      </c>
      <c r="M59" s="22">
        <f>IF($C59="","",IFERROR(IF(INDEX(Deals!$J$2:$J$355,MATCH($C59,Deals!$A$2:$A$355,0))=0,"",INDEX(Deals!$J$2:$J$355,MATCH($C59,Deals!$A$2:$A$355,0))),""))</f>
        <v/>
      </c>
      <c r="N59" s="35">
        <f>IF($L59="",DATE(1900,1,1),$L59)</f>
        <v/>
      </c>
      <c r="O59" s="35">
        <f>IF($M59="",DATE(2100,12,31),$M59)</f>
        <v/>
      </c>
      <c r="P59" s="20" t="inlineStr"/>
      <c r="Q59" s="43" t="inlineStr"/>
      <c r="R59" s="16">
        <f>IF($C59="","",IFERROR(IF(INDEX(Deals!$U$2:$U$355,MATCH($C59,Deals!$A$2:$A$355,0))=0,"",INDEX(Deals!$U$2:$U$355,MATCH($C59,Deals!$A$2:$A$355,0))),""))</f>
        <v/>
      </c>
      <c r="S59" s="34">
        <f>IFERROR(IF($U59="",1,INDEX(Deals!$V$2:$V$355,MATCH($C59,Deals!$A$2:$A$355,0))),1)</f>
        <v/>
      </c>
      <c r="T59" s="34">
        <f>IFERROR(IF($U59="",1,INDEX(Deals!$W$2:$W$355,MATCH($C59,Deals!$A$2:$A$355,0))),1)</f>
        <v/>
      </c>
      <c r="U59" s="22">
        <f>IF($C59="","",IFERROR(IF(INDEX(Deals!$Y$2:$Y$355,MATCH($C59,Deals!$A$2:$A$355,0))=0,"",INDEX(Deals!$Y$2:$Y$355,MATCH($C59,Deals!$A$2:$A$355,0))),""))</f>
        <v/>
      </c>
      <c r="V59" s="35">
        <f>IF($U59="",DATE(1900,1,1),$N59)</f>
        <v/>
      </c>
      <c r="W59" s="35">
        <f>IF($U59="",DATE(2100,12,31),$U59)</f>
        <v/>
      </c>
      <c r="X59" s="32">
        <f>IF($U59="",$K59,$K59*$S59)</f>
        <v/>
      </c>
      <c r="Y59" s="35">
        <f>IF($U59="",DATE(2100,12,31),$U59+1)</f>
        <v/>
      </c>
      <c r="Z59" s="35">
        <f>IF($U59="",DATE(1900,1,1),$O59)</f>
        <v/>
      </c>
      <c r="AA59" s="32">
        <f>IF($U59="",0,$K59*$T59)</f>
        <v/>
      </c>
      <c r="AB59" s="21">
        <f>IF($C59="",0,IFERROR(INDEX(Deals!$AD$2:$AD$355,MATCH($C59,Deals!$A$2:$A$355,0)),0))</f>
        <v/>
      </c>
      <c r="AC59" s="32">
        <f>IF(Settings!$B$4="Yes",$I59*$AB59,$I59)</f>
        <v/>
      </c>
      <c r="AD59" s="22">
        <f>IF($C59="","",IFERROR(IF(INDEX(Deals!$AE$2:$AE$355,MATCH($C59,Deals!$A$2:$A$355,0))=0,"",INDEX(Deals!$AE$2:$AE$355,MATCH($C59,Deals!$A$2:$A$355,0))),""))</f>
        <v/>
      </c>
      <c r="AE59" s="22">
        <f>IF($C59="","",IFERROR(IF(INDEX(Deals!$AF$2:$AF$355,MATCH($C59,Deals!$A$2:$A$355,0))=0,"",INDEX(Deals!$AF$2:$AF$355,MATCH($C59,Deals!$A$2:$A$355,0))),""))</f>
        <v/>
      </c>
      <c r="AF59" s="35">
        <f>IF($AD59="",DATE(1900,1,1),$AD59)</f>
        <v/>
      </c>
      <c r="AG59" s="35">
        <f>IF($AE59="",DATE(2100,12,31),$AE59)</f>
        <v/>
      </c>
      <c r="AH59" s="22">
        <f>IF($C59="","",IFERROR(IF(INDEX(Deals!$AG$2:$AG$355,MATCH($C59,Deals!$A$2:$A$355,0))=0,"",INDEX(Deals!$AG$2:$AG$355,MATCH($C59,Deals!$A$2:$A$355,0))),""))</f>
        <v/>
      </c>
      <c r="AI59" s="35">
        <f>IF($AH59="",DATE(1900,1,1),$AF59)</f>
        <v/>
      </c>
      <c r="AJ59" s="35">
        <f>IF($AH59="",DATE(2100,12,31),$AH59)</f>
        <v/>
      </c>
      <c r="AK59" s="32">
        <f>IF($AH59="",$AC59,$AC59*$S59)</f>
        <v/>
      </c>
      <c r="AL59" s="35">
        <f>IF($AH59="",DATE(2100,12,31),$AH59+1)</f>
        <v/>
      </c>
      <c r="AM59" s="35">
        <f>IF($AH59="",DATE(1900,1,1),$AG59)</f>
        <v/>
      </c>
      <c r="AN59" s="32">
        <f>IF($AH59="",0,$AC59*$T59)</f>
        <v/>
      </c>
    </row>
    <row r="60">
      <c r="A60" s="28" t="inlineStr">
        <is>
          <t>John</t>
        </is>
      </c>
      <c r="B60" s="16">
        <f>IF($A60="","",IFERROR(INDEX(Roster!$B$2:$B$40,MATCH($A60,Roster!$A$2:$A$40,0)),"?"))</f>
        <v/>
      </c>
      <c r="C60" s="28" t="inlineStr">
        <is>
          <t>Elcano_1</t>
        </is>
      </c>
      <c r="D60" s="16">
        <f>IF($C60="","",IFERROR(IF(INDEX(Deals!$C$2:$C$355,MATCH($C60,Deals!$A$2:$A$355,0))=0,"",INDEX(Deals!$C$2:$C$355,MATCH($C60,Deals!$A$2:$A$355,0))),"?"))</f>
        <v/>
      </c>
      <c r="E60" s="16">
        <f>IF($C60="","",IFERROR(INDEX(Deals!$F$2:$F$355,MATCH($C60,Deals!$A$2:$A$355,0)),"?"))</f>
        <v/>
      </c>
      <c r="F60" s="28" t="inlineStr">
        <is>
          <t>Partner</t>
        </is>
      </c>
      <c r="G60" s="28" t="inlineStr">
        <is>
          <t>Active</t>
        </is>
      </c>
      <c r="H60" s="31" t="n"/>
      <c r="I60" s="32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1">
        <f>IF($C60="",0,IFERROR(INDEX(Deals!$H$2:$H$355,MATCH($C60,Deals!$A$2:$A$355,0)),0))</f>
        <v/>
      </c>
      <c r="K60" s="32">
        <f>IF(Settings!$B$4="Yes",$I60*$J60,$I60)</f>
        <v/>
      </c>
      <c r="L60" s="22">
        <f>IF($C60="","",IFERROR(IF(INDEX(Deals!$I$2:$I$355,MATCH($C60,Deals!$A$2:$A$355,0))=0,"",INDEX(Deals!$I$2:$I$355,MATCH($C60,Deals!$A$2:$A$355,0))),""))</f>
        <v/>
      </c>
      <c r="M60" s="22">
        <f>IF($C60="","",IFERROR(IF(INDEX(Deals!$J$2:$J$355,MATCH($C60,Deals!$A$2:$A$355,0))=0,"",INDEX(Deals!$J$2:$J$355,MATCH($C60,Deals!$A$2:$A$355,0))),""))</f>
        <v/>
      </c>
      <c r="N60" s="35">
        <f>IF($L60="",DATE(1900,1,1),$L60)</f>
        <v/>
      </c>
      <c r="O60" s="35">
        <f>IF($M60="",DATE(2100,12,31),$M60)</f>
        <v/>
      </c>
      <c r="P60" s="20" t="inlineStr"/>
      <c r="Q60" s="43" t="inlineStr"/>
      <c r="R60" s="16">
        <f>IF($C60="","",IFERROR(IF(INDEX(Deals!$U$2:$U$355,MATCH($C60,Deals!$A$2:$A$355,0))=0,"",INDEX(Deals!$U$2:$U$355,MATCH($C60,Deals!$A$2:$A$355,0))),""))</f>
        <v/>
      </c>
      <c r="S60" s="34">
        <f>IFERROR(IF($U60="",1,INDEX(Deals!$V$2:$V$355,MATCH($C60,Deals!$A$2:$A$355,0))),1)</f>
        <v/>
      </c>
      <c r="T60" s="34">
        <f>IFERROR(IF($U60="",1,INDEX(Deals!$W$2:$W$355,MATCH($C60,Deals!$A$2:$A$355,0))),1)</f>
        <v/>
      </c>
      <c r="U60" s="22">
        <f>IF($C60="","",IFERROR(IF(INDEX(Deals!$Y$2:$Y$355,MATCH($C60,Deals!$A$2:$A$355,0))=0,"",INDEX(Deals!$Y$2:$Y$355,MATCH($C60,Deals!$A$2:$A$355,0))),""))</f>
        <v/>
      </c>
      <c r="V60" s="35">
        <f>IF($U60="",DATE(1900,1,1),$N60)</f>
        <v/>
      </c>
      <c r="W60" s="35">
        <f>IF($U60="",DATE(2100,12,31),$U60)</f>
        <v/>
      </c>
      <c r="X60" s="32">
        <f>IF($U60="",$K60,$K60*$S60)</f>
        <v/>
      </c>
      <c r="Y60" s="35">
        <f>IF($U60="",DATE(2100,12,31),$U60+1)</f>
        <v/>
      </c>
      <c r="Z60" s="35">
        <f>IF($U60="",DATE(1900,1,1),$O60)</f>
        <v/>
      </c>
      <c r="AA60" s="32">
        <f>IF($U60="",0,$K60*$T60)</f>
        <v/>
      </c>
      <c r="AB60" s="21">
        <f>IF($C60="",0,IFERROR(INDEX(Deals!$AD$2:$AD$355,MATCH($C60,Deals!$A$2:$A$355,0)),0))</f>
        <v/>
      </c>
      <c r="AC60" s="32">
        <f>IF(Settings!$B$4="Yes",$I60*$AB60,$I60)</f>
        <v/>
      </c>
      <c r="AD60" s="22">
        <f>IF($C60="","",IFERROR(IF(INDEX(Deals!$AE$2:$AE$355,MATCH($C60,Deals!$A$2:$A$355,0))=0,"",INDEX(Deals!$AE$2:$AE$355,MATCH($C60,Deals!$A$2:$A$355,0))),""))</f>
        <v/>
      </c>
      <c r="AE60" s="22">
        <f>IF($C60="","",IFERROR(IF(INDEX(Deals!$AF$2:$AF$355,MATCH($C60,Deals!$A$2:$A$355,0))=0,"",INDEX(Deals!$AF$2:$AF$355,MATCH($C60,Deals!$A$2:$A$355,0))),""))</f>
        <v/>
      </c>
      <c r="AF60" s="35">
        <f>IF($AD60="",DATE(1900,1,1),$AD60)</f>
        <v/>
      </c>
      <c r="AG60" s="35">
        <f>IF($AE60="",DATE(2100,12,31),$AE60)</f>
        <v/>
      </c>
      <c r="AH60" s="22">
        <f>IF($C60="","",IFERROR(IF(INDEX(Deals!$AG$2:$AG$355,MATCH($C60,Deals!$A$2:$A$355,0))=0,"",INDEX(Deals!$AG$2:$AG$355,MATCH($C60,Deals!$A$2:$A$355,0))),""))</f>
        <v/>
      </c>
      <c r="AI60" s="35">
        <f>IF($AH60="",DATE(1900,1,1),$AF60)</f>
        <v/>
      </c>
      <c r="AJ60" s="35">
        <f>IF($AH60="",DATE(2100,12,31),$AH60)</f>
        <v/>
      </c>
      <c r="AK60" s="32">
        <f>IF($AH60="",$AC60,$AC60*$S60)</f>
        <v/>
      </c>
      <c r="AL60" s="35">
        <f>IF($AH60="",DATE(2100,12,31),$AH60+1)</f>
        <v/>
      </c>
      <c r="AM60" s="35">
        <f>IF($AH60="",DATE(1900,1,1),$AG60)</f>
        <v/>
      </c>
      <c r="AN60" s="32">
        <f>IF($AH60="",0,$AC60*$T60)</f>
        <v/>
      </c>
    </row>
    <row r="61">
      <c r="A61" s="28" t="inlineStr">
        <is>
          <t>John</t>
        </is>
      </c>
      <c r="B61" s="16">
        <f>IF($A61="","",IFERROR(INDEX(Roster!$B$2:$B$40,MATCH($A61,Roster!$A$2:$A$40,0)),"?"))</f>
        <v/>
      </c>
      <c r="C61" s="28" t="inlineStr">
        <is>
          <t>FIRPTA_5</t>
        </is>
      </c>
      <c r="D61" s="16">
        <f>IF($C61="","",IFERROR(IF(INDEX(Deals!$C$2:$C$355,MATCH($C61,Deals!$A$2:$A$355,0))=0,"",INDEX(Deals!$C$2:$C$355,MATCH($C61,Deals!$A$2:$A$355,0))),"?"))</f>
        <v/>
      </c>
      <c r="E61" s="16">
        <f>IF($C61="","",IFERROR(INDEX(Deals!$F$2:$F$355,MATCH($C61,Deals!$A$2:$A$355,0)),"?"))</f>
        <v/>
      </c>
      <c r="F61" s="28" t="inlineStr">
        <is>
          <t>Partner</t>
        </is>
      </c>
      <c r="G61" s="28" t="inlineStr">
        <is>
          <t>Active</t>
        </is>
      </c>
      <c r="H61" s="31" t="n"/>
      <c r="I61" s="32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1">
        <f>IF($C61="",0,IFERROR(INDEX(Deals!$H$2:$H$355,MATCH($C61,Deals!$A$2:$A$355,0)),0))</f>
        <v/>
      </c>
      <c r="K61" s="32">
        <f>IF(Settings!$B$4="Yes",$I61*$J61,$I61)</f>
        <v/>
      </c>
      <c r="L61" s="22">
        <f>IF($C61="","",IFERROR(IF(INDEX(Deals!$I$2:$I$355,MATCH($C61,Deals!$A$2:$A$355,0))=0,"",INDEX(Deals!$I$2:$I$355,MATCH($C61,Deals!$A$2:$A$355,0))),""))</f>
        <v/>
      </c>
      <c r="M61" s="22">
        <f>IF($C61="","",IFERROR(IF(INDEX(Deals!$J$2:$J$355,MATCH($C61,Deals!$A$2:$A$355,0))=0,"",INDEX(Deals!$J$2:$J$355,MATCH($C61,Deals!$A$2:$A$355,0))),""))</f>
        <v/>
      </c>
      <c r="N61" s="35">
        <f>IF($L61="",DATE(1900,1,1),$L61)</f>
        <v/>
      </c>
      <c r="O61" s="35">
        <f>IF($M61="",DATE(2100,12,31),$M61)</f>
        <v/>
      </c>
      <c r="P61" s="20" t="inlineStr"/>
      <c r="Q61" s="43" t="inlineStr"/>
      <c r="R61" s="16">
        <f>IF($C61="","",IFERROR(IF(INDEX(Deals!$U$2:$U$355,MATCH($C61,Deals!$A$2:$A$355,0))=0,"",INDEX(Deals!$U$2:$U$355,MATCH($C61,Deals!$A$2:$A$355,0))),""))</f>
        <v/>
      </c>
      <c r="S61" s="34">
        <f>IFERROR(IF($U61="",1,INDEX(Deals!$V$2:$V$355,MATCH($C61,Deals!$A$2:$A$355,0))),1)</f>
        <v/>
      </c>
      <c r="T61" s="34">
        <f>IFERROR(IF($U61="",1,INDEX(Deals!$W$2:$W$355,MATCH($C61,Deals!$A$2:$A$355,0))),1)</f>
        <v/>
      </c>
      <c r="U61" s="22">
        <f>IF($C61="","",IFERROR(IF(INDEX(Deals!$Y$2:$Y$355,MATCH($C61,Deals!$A$2:$A$355,0))=0,"",INDEX(Deals!$Y$2:$Y$355,MATCH($C61,Deals!$A$2:$A$355,0))),""))</f>
        <v/>
      </c>
      <c r="V61" s="35">
        <f>IF($U61="",DATE(1900,1,1),$N61)</f>
        <v/>
      </c>
      <c r="W61" s="35">
        <f>IF($U61="",DATE(2100,12,31),$U61)</f>
        <v/>
      </c>
      <c r="X61" s="32">
        <f>IF($U61="",$K61,$K61*$S61)</f>
        <v/>
      </c>
      <c r="Y61" s="35">
        <f>IF($U61="",DATE(2100,12,31),$U61+1)</f>
        <v/>
      </c>
      <c r="Z61" s="35">
        <f>IF($U61="",DATE(1900,1,1),$O61)</f>
        <v/>
      </c>
      <c r="AA61" s="32">
        <f>IF($U61="",0,$K61*$T61)</f>
        <v/>
      </c>
      <c r="AB61" s="21">
        <f>IF($C61="",0,IFERROR(INDEX(Deals!$AD$2:$AD$355,MATCH($C61,Deals!$A$2:$A$355,0)),0))</f>
        <v/>
      </c>
      <c r="AC61" s="32">
        <f>IF(Settings!$B$4="Yes",$I61*$AB61,$I61)</f>
        <v/>
      </c>
      <c r="AD61" s="22">
        <f>IF($C61="","",IFERROR(IF(INDEX(Deals!$AE$2:$AE$355,MATCH($C61,Deals!$A$2:$A$355,0))=0,"",INDEX(Deals!$AE$2:$AE$355,MATCH($C61,Deals!$A$2:$A$355,0))),""))</f>
        <v/>
      </c>
      <c r="AE61" s="22">
        <f>IF($C61="","",IFERROR(IF(INDEX(Deals!$AF$2:$AF$355,MATCH($C61,Deals!$A$2:$A$355,0))=0,"",INDEX(Deals!$AF$2:$AF$355,MATCH($C61,Deals!$A$2:$A$355,0))),""))</f>
        <v/>
      </c>
      <c r="AF61" s="35">
        <f>IF($AD61="",DATE(1900,1,1),$AD61)</f>
        <v/>
      </c>
      <c r="AG61" s="35">
        <f>IF($AE61="",DATE(2100,12,31),$AE61)</f>
        <v/>
      </c>
      <c r="AH61" s="22">
        <f>IF($C61="","",IFERROR(IF(INDEX(Deals!$AG$2:$AG$355,MATCH($C61,Deals!$A$2:$A$355,0))=0,"",INDEX(Deals!$AG$2:$AG$355,MATCH($C61,Deals!$A$2:$A$355,0))),""))</f>
        <v/>
      </c>
      <c r="AI61" s="35">
        <f>IF($AH61="",DATE(1900,1,1),$AF61)</f>
        <v/>
      </c>
      <c r="AJ61" s="35">
        <f>IF($AH61="",DATE(2100,12,31),$AH61)</f>
        <v/>
      </c>
      <c r="AK61" s="32">
        <f>IF($AH61="",$AC61,$AC61*$S61)</f>
        <v/>
      </c>
      <c r="AL61" s="35">
        <f>IF($AH61="",DATE(2100,12,31),$AH61+1)</f>
        <v/>
      </c>
      <c r="AM61" s="35">
        <f>IF($AH61="",DATE(1900,1,1),$AG61)</f>
        <v/>
      </c>
      <c r="AN61" s="32">
        <f>IF($AH61="",0,$AC61*$T61)</f>
        <v/>
      </c>
    </row>
    <row r="62">
      <c r="A62" s="28" t="inlineStr">
        <is>
          <t>John</t>
        </is>
      </c>
      <c r="B62" s="16">
        <f>IF($A62="","",IFERROR(INDEX(Roster!$B$2:$B$40,MATCH($A62,Roster!$A$2:$A$40,0)),"?"))</f>
        <v/>
      </c>
      <c r="C62" s="28" t="inlineStr">
        <is>
          <t>Fury_1</t>
        </is>
      </c>
      <c r="D62" s="16">
        <f>IF($C62="","",IFERROR(IF(INDEX(Deals!$C$2:$C$355,MATCH($C62,Deals!$A$2:$A$355,0))=0,"",INDEX(Deals!$C$2:$C$355,MATCH($C62,Deals!$A$2:$A$355,0))),"?"))</f>
        <v/>
      </c>
      <c r="E62" s="16">
        <f>IF($C62="","",IFERROR(INDEX(Deals!$F$2:$F$355,MATCH($C62,Deals!$A$2:$A$355,0)),"?"))</f>
        <v/>
      </c>
      <c r="F62" s="28" t="inlineStr">
        <is>
          <t>Partner</t>
        </is>
      </c>
      <c r="G62" s="28" t="inlineStr">
        <is>
          <t>Active</t>
        </is>
      </c>
      <c r="H62" s="31" t="n"/>
      <c r="I62" s="32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1">
        <f>IF($C62="",0,IFERROR(INDEX(Deals!$H$2:$H$355,MATCH($C62,Deals!$A$2:$A$355,0)),0))</f>
        <v/>
      </c>
      <c r="K62" s="32">
        <f>IF(Settings!$B$4="Yes",$I62*$J62,$I62)</f>
        <v/>
      </c>
      <c r="L62" s="22">
        <f>IF($C62="","",IFERROR(IF(INDEX(Deals!$I$2:$I$355,MATCH($C62,Deals!$A$2:$A$355,0))=0,"",INDEX(Deals!$I$2:$I$355,MATCH($C62,Deals!$A$2:$A$355,0))),""))</f>
        <v/>
      </c>
      <c r="M62" s="22">
        <f>IF($C62="","",IFERROR(IF(INDEX(Deals!$J$2:$J$355,MATCH($C62,Deals!$A$2:$A$355,0))=0,"",INDEX(Deals!$J$2:$J$355,MATCH($C62,Deals!$A$2:$A$355,0))),""))</f>
        <v/>
      </c>
      <c r="N62" s="35">
        <f>IF($L62="",DATE(1900,1,1),$L62)</f>
        <v/>
      </c>
      <c r="O62" s="35">
        <f>IF($M62="",DATE(2100,12,31),$M62)</f>
        <v/>
      </c>
      <c r="P62" s="20" t="inlineStr"/>
      <c r="Q62" s="43" t="inlineStr"/>
      <c r="R62" s="16">
        <f>IF($C62="","",IFERROR(IF(INDEX(Deals!$U$2:$U$355,MATCH($C62,Deals!$A$2:$A$355,0))=0,"",INDEX(Deals!$U$2:$U$355,MATCH($C62,Deals!$A$2:$A$355,0))),""))</f>
        <v/>
      </c>
      <c r="S62" s="34">
        <f>IFERROR(IF($U62="",1,INDEX(Deals!$V$2:$V$355,MATCH($C62,Deals!$A$2:$A$355,0))),1)</f>
        <v/>
      </c>
      <c r="T62" s="34">
        <f>IFERROR(IF($U62="",1,INDEX(Deals!$W$2:$W$355,MATCH($C62,Deals!$A$2:$A$355,0))),1)</f>
        <v/>
      </c>
      <c r="U62" s="22">
        <f>IF($C62="","",IFERROR(IF(INDEX(Deals!$Y$2:$Y$355,MATCH($C62,Deals!$A$2:$A$355,0))=0,"",INDEX(Deals!$Y$2:$Y$355,MATCH($C62,Deals!$A$2:$A$355,0))),""))</f>
        <v/>
      </c>
      <c r="V62" s="35">
        <f>IF($U62="",DATE(1900,1,1),$N62)</f>
        <v/>
      </c>
      <c r="W62" s="35">
        <f>IF($U62="",DATE(2100,12,31),$U62)</f>
        <v/>
      </c>
      <c r="X62" s="32">
        <f>IF($U62="",$K62,$K62*$S62)</f>
        <v/>
      </c>
      <c r="Y62" s="35">
        <f>IF($U62="",DATE(2100,12,31),$U62+1)</f>
        <v/>
      </c>
      <c r="Z62" s="35">
        <f>IF($U62="",DATE(1900,1,1),$O62)</f>
        <v/>
      </c>
      <c r="AA62" s="32">
        <f>IF($U62="",0,$K62*$T62)</f>
        <v/>
      </c>
      <c r="AB62" s="21">
        <f>IF($C62="",0,IFERROR(INDEX(Deals!$AD$2:$AD$355,MATCH($C62,Deals!$A$2:$A$355,0)),0))</f>
        <v/>
      </c>
      <c r="AC62" s="32">
        <f>IF(Settings!$B$4="Yes",$I62*$AB62,$I62)</f>
        <v/>
      </c>
      <c r="AD62" s="22">
        <f>IF($C62="","",IFERROR(IF(INDEX(Deals!$AE$2:$AE$355,MATCH($C62,Deals!$A$2:$A$355,0))=0,"",INDEX(Deals!$AE$2:$AE$355,MATCH($C62,Deals!$A$2:$A$355,0))),""))</f>
        <v/>
      </c>
      <c r="AE62" s="22">
        <f>IF($C62="","",IFERROR(IF(INDEX(Deals!$AF$2:$AF$355,MATCH($C62,Deals!$A$2:$A$355,0))=0,"",INDEX(Deals!$AF$2:$AF$355,MATCH($C62,Deals!$A$2:$A$355,0))),""))</f>
        <v/>
      </c>
      <c r="AF62" s="35">
        <f>IF($AD62="",DATE(1900,1,1),$AD62)</f>
        <v/>
      </c>
      <c r="AG62" s="35">
        <f>IF($AE62="",DATE(2100,12,31),$AE62)</f>
        <v/>
      </c>
      <c r="AH62" s="22">
        <f>IF($C62="","",IFERROR(IF(INDEX(Deals!$AG$2:$AG$355,MATCH($C62,Deals!$A$2:$A$355,0))=0,"",INDEX(Deals!$AG$2:$AG$355,MATCH($C62,Deals!$A$2:$A$355,0))),""))</f>
        <v/>
      </c>
      <c r="AI62" s="35">
        <f>IF($AH62="",DATE(1900,1,1),$AF62)</f>
        <v/>
      </c>
      <c r="AJ62" s="35">
        <f>IF($AH62="",DATE(2100,12,31),$AH62)</f>
        <v/>
      </c>
      <c r="AK62" s="32">
        <f>IF($AH62="",$AC62,$AC62*$S62)</f>
        <v/>
      </c>
      <c r="AL62" s="35">
        <f>IF($AH62="",DATE(2100,12,31),$AH62+1)</f>
        <v/>
      </c>
      <c r="AM62" s="35">
        <f>IF($AH62="",DATE(1900,1,1),$AG62)</f>
        <v/>
      </c>
      <c r="AN62" s="32">
        <f>IF($AH62="",0,$AC62*$T62)</f>
        <v/>
      </c>
    </row>
    <row r="63">
      <c r="A63" s="28" t="inlineStr">
        <is>
          <t>John</t>
        </is>
      </c>
      <c r="B63" s="16">
        <f>IF($A63="","",IFERROR(INDEX(Roster!$B$2:$B$40,MATCH($A63,Roster!$A$2:$A$40,0)),"?"))</f>
        <v/>
      </c>
      <c r="C63" s="28" t="inlineStr">
        <is>
          <t>Gambit_1</t>
        </is>
      </c>
      <c r="D63" s="16">
        <f>IF($C63="","",IFERROR(IF(INDEX(Deals!$C$2:$C$355,MATCH($C63,Deals!$A$2:$A$355,0))=0,"",INDEX(Deals!$C$2:$C$355,MATCH($C63,Deals!$A$2:$A$355,0))),"?"))</f>
        <v/>
      </c>
      <c r="E63" s="16">
        <f>IF($C63="","",IFERROR(INDEX(Deals!$F$2:$F$355,MATCH($C63,Deals!$A$2:$A$355,0)),"?"))</f>
        <v/>
      </c>
      <c r="F63" s="28" t="inlineStr">
        <is>
          <t>Partner</t>
        </is>
      </c>
      <c r="G63" s="28" t="inlineStr">
        <is>
          <t>Active</t>
        </is>
      </c>
      <c r="H63" s="31" t="n"/>
      <c r="I63" s="32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1">
        <f>IF($C63="",0,IFERROR(INDEX(Deals!$H$2:$H$355,MATCH($C63,Deals!$A$2:$A$355,0)),0))</f>
        <v/>
      </c>
      <c r="K63" s="32">
        <f>IF(Settings!$B$4="Yes",$I63*$J63,$I63)</f>
        <v/>
      </c>
      <c r="L63" s="22">
        <f>IF($C63="","",IFERROR(IF(INDEX(Deals!$I$2:$I$355,MATCH($C63,Deals!$A$2:$A$355,0))=0,"",INDEX(Deals!$I$2:$I$355,MATCH($C63,Deals!$A$2:$A$355,0))),""))</f>
        <v/>
      </c>
      <c r="M63" s="22">
        <f>IF($C63="","",IFERROR(IF(INDEX(Deals!$J$2:$J$355,MATCH($C63,Deals!$A$2:$A$355,0))=0,"",INDEX(Deals!$J$2:$J$355,MATCH($C63,Deals!$A$2:$A$355,0))),""))</f>
        <v/>
      </c>
      <c r="N63" s="35">
        <f>IF($L63="",DATE(1900,1,1),$L63)</f>
        <v/>
      </c>
      <c r="O63" s="35">
        <f>IF($M63="",DATE(2100,12,31),$M63)</f>
        <v/>
      </c>
      <c r="P63" s="20" t="inlineStr"/>
      <c r="Q63" s="43" t="inlineStr"/>
      <c r="R63" s="16">
        <f>IF($C63="","",IFERROR(IF(INDEX(Deals!$U$2:$U$355,MATCH($C63,Deals!$A$2:$A$355,0))=0,"",INDEX(Deals!$U$2:$U$355,MATCH($C63,Deals!$A$2:$A$355,0))),""))</f>
        <v/>
      </c>
      <c r="S63" s="34">
        <f>IFERROR(IF($U63="",1,INDEX(Deals!$V$2:$V$355,MATCH($C63,Deals!$A$2:$A$355,0))),1)</f>
        <v/>
      </c>
      <c r="T63" s="34">
        <f>IFERROR(IF($U63="",1,INDEX(Deals!$W$2:$W$355,MATCH($C63,Deals!$A$2:$A$355,0))),1)</f>
        <v/>
      </c>
      <c r="U63" s="22">
        <f>IF($C63="","",IFERROR(IF(INDEX(Deals!$Y$2:$Y$355,MATCH($C63,Deals!$A$2:$A$355,0))=0,"",INDEX(Deals!$Y$2:$Y$355,MATCH($C63,Deals!$A$2:$A$355,0))),""))</f>
        <v/>
      </c>
      <c r="V63" s="35">
        <f>IF($U63="",DATE(1900,1,1),$N63)</f>
        <v/>
      </c>
      <c r="W63" s="35">
        <f>IF($U63="",DATE(2100,12,31),$U63)</f>
        <v/>
      </c>
      <c r="X63" s="32">
        <f>IF($U63="",$K63,$K63*$S63)</f>
        <v/>
      </c>
      <c r="Y63" s="35">
        <f>IF($U63="",DATE(2100,12,31),$U63+1)</f>
        <v/>
      </c>
      <c r="Z63" s="35">
        <f>IF($U63="",DATE(1900,1,1),$O63)</f>
        <v/>
      </c>
      <c r="AA63" s="32">
        <f>IF($U63="",0,$K63*$T63)</f>
        <v/>
      </c>
      <c r="AB63" s="21">
        <f>IF($C63="",0,IFERROR(INDEX(Deals!$AD$2:$AD$355,MATCH($C63,Deals!$A$2:$A$355,0)),0))</f>
        <v/>
      </c>
      <c r="AC63" s="32">
        <f>IF(Settings!$B$4="Yes",$I63*$AB63,$I63)</f>
        <v/>
      </c>
      <c r="AD63" s="22">
        <f>IF($C63="","",IFERROR(IF(INDEX(Deals!$AE$2:$AE$355,MATCH($C63,Deals!$A$2:$A$355,0))=0,"",INDEX(Deals!$AE$2:$AE$355,MATCH($C63,Deals!$A$2:$A$355,0))),""))</f>
        <v/>
      </c>
      <c r="AE63" s="22">
        <f>IF($C63="","",IFERROR(IF(INDEX(Deals!$AF$2:$AF$355,MATCH($C63,Deals!$A$2:$A$355,0))=0,"",INDEX(Deals!$AF$2:$AF$355,MATCH($C63,Deals!$A$2:$A$355,0))),""))</f>
        <v/>
      </c>
      <c r="AF63" s="35">
        <f>IF($AD63="",DATE(1900,1,1),$AD63)</f>
        <v/>
      </c>
      <c r="AG63" s="35">
        <f>IF($AE63="",DATE(2100,12,31),$AE63)</f>
        <v/>
      </c>
      <c r="AH63" s="22">
        <f>IF($C63="","",IFERROR(IF(INDEX(Deals!$AG$2:$AG$355,MATCH($C63,Deals!$A$2:$A$355,0))=0,"",INDEX(Deals!$AG$2:$AG$355,MATCH($C63,Deals!$A$2:$A$355,0))),""))</f>
        <v/>
      </c>
      <c r="AI63" s="35">
        <f>IF($AH63="",DATE(1900,1,1),$AF63)</f>
        <v/>
      </c>
      <c r="AJ63" s="35">
        <f>IF($AH63="",DATE(2100,12,31),$AH63)</f>
        <v/>
      </c>
      <c r="AK63" s="32">
        <f>IF($AH63="",$AC63,$AC63*$S63)</f>
        <v/>
      </c>
      <c r="AL63" s="35">
        <f>IF($AH63="",DATE(2100,12,31),$AH63+1)</f>
        <v/>
      </c>
      <c r="AM63" s="35">
        <f>IF($AH63="",DATE(1900,1,1),$AG63)</f>
        <v/>
      </c>
      <c r="AN63" s="32">
        <f>IF($AH63="",0,$AC63*$T63)</f>
        <v/>
      </c>
    </row>
    <row r="64">
      <c r="A64" s="28" t="inlineStr">
        <is>
          <t>John</t>
        </is>
      </c>
      <c r="B64" s="16">
        <f>IF($A64="","",IFERROR(INDEX(Roster!$B$2:$B$40,MATCH($A64,Roster!$A$2:$A$40,0)),"?"))</f>
        <v/>
      </c>
      <c r="C64" s="28" t="inlineStr">
        <is>
          <t>Geneseo_1</t>
        </is>
      </c>
      <c r="D64" s="16">
        <f>IF($C64="","",IFERROR(IF(INDEX(Deals!$C$2:$C$355,MATCH($C64,Deals!$A$2:$A$355,0))=0,"",INDEX(Deals!$C$2:$C$355,MATCH($C64,Deals!$A$2:$A$355,0))),"?"))</f>
        <v/>
      </c>
      <c r="E64" s="16">
        <f>IF($C64="","",IFERROR(INDEX(Deals!$F$2:$F$355,MATCH($C64,Deals!$A$2:$A$355,0)),"?"))</f>
        <v/>
      </c>
      <c r="F64" s="28" t="inlineStr">
        <is>
          <t>Partner</t>
        </is>
      </c>
      <c r="G64" s="28" t="inlineStr">
        <is>
          <t>Active</t>
        </is>
      </c>
      <c r="H64" s="31" t="n"/>
      <c r="I64" s="32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1">
        <f>IF($C64="",0,IFERROR(INDEX(Deals!$H$2:$H$355,MATCH($C64,Deals!$A$2:$A$355,0)),0))</f>
        <v/>
      </c>
      <c r="K64" s="32">
        <f>IF(Settings!$B$4="Yes",$I64*$J64,$I64)</f>
        <v/>
      </c>
      <c r="L64" s="22">
        <f>IF($C64="","",IFERROR(IF(INDEX(Deals!$I$2:$I$355,MATCH($C64,Deals!$A$2:$A$355,0))=0,"",INDEX(Deals!$I$2:$I$355,MATCH($C64,Deals!$A$2:$A$355,0))),""))</f>
        <v/>
      </c>
      <c r="M64" s="22">
        <f>IF($C64="","",IFERROR(IF(INDEX(Deals!$J$2:$J$355,MATCH($C64,Deals!$A$2:$A$355,0))=0,"",INDEX(Deals!$J$2:$J$355,MATCH($C64,Deals!$A$2:$A$355,0))),""))</f>
        <v/>
      </c>
      <c r="N64" s="35">
        <f>IF($L64="",DATE(1900,1,1),$L64)</f>
        <v/>
      </c>
      <c r="O64" s="35">
        <f>IF($M64="",DATE(2100,12,31),$M64)</f>
        <v/>
      </c>
      <c r="P64" s="20" t="inlineStr"/>
      <c r="Q64" s="43" t="inlineStr"/>
      <c r="R64" s="16">
        <f>IF($C64="","",IFERROR(IF(INDEX(Deals!$U$2:$U$355,MATCH($C64,Deals!$A$2:$A$355,0))=0,"",INDEX(Deals!$U$2:$U$355,MATCH($C64,Deals!$A$2:$A$355,0))),""))</f>
        <v/>
      </c>
      <c r="S64" s="34">
        <f>IFERROR(IF($U64="",1,INDEX(Deals!$V$2:$V$355,MATCH($C64,Deals!$A$2:$A$355,0))),1)</f>
        <v/>
      </c>
      <c r="T64" s="34">
        <f>IFERROR(IF($U64="",1,INDEX(Deals!$W$2:$W$355,MATCH($C64,Deals!$A$2:$A$355,0))),1)</f>
        <v/>
      </c>
      <c r="U64" s="22">
        <f>IF($C64="","",IFERROR(IF(INDEX(Deals!$Y$2:$Y$355,MATCH($C64,Deals!$A$2:$A$355,0))=0,"",INDEX(Deals!$Y$2:$Y$355,MATCH($C64,Deals!$A$2:$A$355,0))),""))</f>
        <v/>
      </c>
      <c r="V64" s="35">
        <f>IF($U64="",DATE(1900,1,1),$N64)</f>
        <v/>
      </c>
      <c r="W64" s="35">
        <f>IF($U64="",DATE(2100,12,31),$U64)</f>
        <v/>
      </c>
      <c r="X64" s="32">
        <f>IF($U64="",$K64,$K64*$S64)</f>
        <v/>
      </c>
      <c r="Y64" s="35">
        <f>IF($U64="",DATE(2100,12,31),$U64+1)</f>
        <v/>
      </c>
      <c r="Z64" s="35">
        <f>IF($U64="",DATE(1900,1,1),$O64)</f>
        <v/>
      </c>
      <c r="AA64" s="32">
        <f>IF($U64="",0,$K64*$T64)</f>
        <v/>
      </c>
      <c r="AB64" s="21">
        <f>IF($C64="",0,IFERROR(INDEX(Deals!$AD$2:$AD$355,MATCH($C64,Deals!$A$2:$A$355,0)),0))</f>
        <v/>
      </c>
      <c r="AC64" s="32">
        <f>IF(Settings!$B$4="Yes",$I64*$AB64,$I64)</f>
        <v/>
      </c>
      <c r="AD64" s="22">
        <f>IF($C64="","",IFERROR(IF(INDEX(Deals!$AE$2:$AE$355,MATCH($C64,Deals!$A$2:$A$355,0))=0,"",INDEX(Deals!$AE$2:$AE$355,MATCH($C64,Deals!$A$2:$A$355,0))),""))</f>
        <v/>
      </c>
      <c r="AE64" s="22">
        <f>IF($C64="","",IFERROR(IF(INDEX(Deals!$AF$2:$AF$355,MATCH($C64,Deals!$A$2:$A$355,0))=0,"",INDEX(Deals!$AF$2:$AF$355,MATCH($C64,Deals!$A$2:$A$355,0))),""))</f>
        <v/>
      </c>
      <c r="AF64" s="35">
        <f>IF($AD64="",DATE(1900,1,1),$AD64)</f>
        <v/>
      </c>
      <c r="AG64" s="35">
        <f>IF($AE64="",DATE(2100,12,31),$AE64)</f>
        <v/>
      </c>
      <c r="AH64" s="22">
        <f>IF($C64="","",IFERROR(IF(INDEX(Deals!$AG$2:$AG$355,MATCH($C64,Deals!$A$2:$A$355,0))=0,"",INDEX(Deals!$AG$2:$AG$355,MATCH($C64,Deals!$A$2:$A$355,0))),""))</f>
        <v/>
      </c>
      <c r="AI64" s="35">
        <f>IF($AH64="",DATE(1900,1,1),$AF64)</f>
        <v/>
      </c>
      <c r="AJ64" s="35">
        <f>IF($AH64="",DATE(2100,12,31),$AH64)</f>
        <v/>
      </c>
      <c r="AK64" s="32">
        <f>IF($AH64="",$AC64,$AC64*$S64)</f>
        <v/>
      </c>
      <c r="AL64" s="35">
        <f>IF($AH64="",DATE(2100,12,31),$AH64+1)</f>
        <v/>
      </c>
      <c r="AM64" s="35">
        <f>IF($AH64="",DATE(1900,1,1),$AG64)</f>
        <v/>
      </c>
      <c r="AN64" s="32">
        <f>IF($AH64="",0,$AC64*$T64)</f>
        <v/>
      </c>
    </row>
    <row r="65">
      <c r="A65" s="28" t="inlineStr">
        <is>
          <t>John</t>
        </is>
      </c>
      <c r="B65" s="16">
        <f>IF($A65="","",IFERROR(INDEX(Roster!$B$2:$B$40,MATCH($A65,Roster!$A$2:$A$40,0)),"?"))</f>
        <v/>
      </c>
      <c r="C65" s="28" t="inlineStr">
        <is>
          <t>Genesis_6</t>
        </is>
      </c>
      <c r="D65" s="16">
        <f>IF($C65="","",IFERROR(IF(INDEX(Deals!$C$2:$C$355,MATCH($C65,Deals!$A$2:$A$355,0))=0,"",INDEX(Deals!$C$2:$C$355,MATCH($C65,Deals!$A$2:$A$355,0))),"?"))</f>
        <v/>
      </c>
      <c r="E65" s="16">
        <f>IF($C65="","",IFERROR(INDEX(Deals!$F$2:$F$355,MATCH($C65,Deals!$A$2:$A$355,0)),"?"))</f>
        <v/>
      </c>
      <c r="F65" s="28" t="inlineStr">
        <is>
          <t>Partner</t>
        </is>
      </c>
      <c r="G65" s="28" t="inlineStr">
        <is>
          <t>Active</t>
        </is>
      </c>
      <c r="H65" s="31" t="n"/>
      <c r="I65" s="32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1">
        <f>IF($C65="",0,IFERROR(INDEX(Deals!$H$2:$H$355,MATCH($C65,Deals!$A$2:$A$355,0)),0))</f>
        <v/>
      </c>
      <c r="K65" s="32">
        <f>IF(Settings!$B$4="Yes",$I65*$J65,$I65)</f>
        <v/>
      </c>
      <c r="L65" s="22">
        <f>IF($C65="","",IFERROR(IF(INDEX(Deals!$I$2:$I$355,MATCH($C65,Deals!$A$2:$A$355,0))=0,"",INDEX(Deals!$I$2:$I$355,MATCH($C65,Deals!$A$2:$A$355,0))),""))</f>
        <v/>
      </c>
      <c r="M65" s="22">
        <f>IF($C65="","",IFERROR(IF(INDEX(Deals!$J$2:$J$355,MATCH($C65,Deals!$A$2:$A$355,0))=0,"",INDEX(Deals!$J$2:$J$355,MATCH($C65,Deals!$A$2:$A$355,0))),""))</f>
        <v/>
      </c>
      <c r="N65" s="35">
        <f>IF($L65="",DATE(1900,1,1),$L65)</f>
        <v/>
      </c>
      <c r="O65" s="35">
        <f>IF($M65="",DATE(2100,12,31),$M65)</f>
        <v/>
      </c>
      <c r="P65" s="20" t="inlineStr"/>
      <c r="Q65" s="43" t="inlineStr"/>
      <c r="R65" s="16">
        <f>IF($C65="","",IFERROR(IF(INDEX(Deals!$U$2:$U$355,MATCH($C65,Deals!$A$2:$A$355,0))=0,"",INDEX(Deals!$U$2:$U$355,MATCH($C65,Deals!$A$2:$A$355,0))),""))</f>
        <v/>
      </c>
      <c r="S65" s="34">
        <f>IFERROR(IF($U65="",1,INDEX(Deals!$V$2:$V$355,MATCH($C65,Deals!$A$2:$A$355,0))),1)</f>
        <v/>
      </c>
      <c r="T65" s="34">
        <f>IFERROR(IF($U65="",1,INDEX(Deals!$W$2:$W$355,MATCH($C65,Deals!$A$2:$A$355,0))),1)</f>
        <v/>
      </c>
      <c r="U65" s="22">
        <f>IF($C65="","",IFERROR(IF(INDEX(Deals!$Y$2:$Y$355,MATCH($C65,Deals!$A$2:$A$355,0))=0,"",INDEX(Deals!$Y$2:$Y$355,MATCH($C65,Deals!$A$2:$A$355,0))),""))</f>
        <v/>
      </c>
      <c r="V65" s="35">
        <f>IF($U65="",DATE(1900,1,1),$N65)</f>
        <v/>
      </c>
      <c r="W65" s="35">
        <f>IF($U65="",DATE(2100,12,31),$U65)</f>
        <v/>
      </c>
      <c r="X65" s="32">
        <f>IF($U65="",$K65,$K65*$S65)</f>
        <v/>
      </c>
      <c r="Y65" s="35">
        <f>IF($U65="",DATE(2100,12,31),$U65+1)</f>
        <v/>
      </c>
      <c r="Z65" s="35">
        <f>IF($U65="",DATE(1900,1,1),$O65)</f>
        <v/>
      </c>
      <c r="AA65" s="32">
        <f>IF($U65="",0,$K65*$T65)</f>
        <v/>
      </c>
      <c r="AB65" s="21">
        <f>IF($C65="",0,IFERROR(INDEX(Deals!$AD$2:$AD$355,MATCH($C65,Deals!$A$2:$A$355,0)),0))</f>
        <v/>
      </c>
      <c r="AC65" s="32">
        <f>IF(Settings!$B$4="Yes",$I65*$AB65,$I65)</f>
        <v/>
      </c>
      <c r="AD65" s="22">
        <f>IF($C65="","",IFERROR(IF(INDEX(Deals!$AE$2:$AE$355,MATCH($C65,Deals!$A$2:$A$355,0))=0,"",INDEX(Deals!$AE$2:$AE$355,MATCH($C65,Deals!$A$2:$A$355,0))),""))</f>
        <v/>
      </c>
      <c r="AE65" s="22">
        <f>IF($C65="","",IFERROR(IF(INDEX(Deals!$AF$2:$AF$355,MATCH($C65,Deals!$A$2:$A$355,0))=0,"",INDEX(Deals!$AF$2:$AF$355,MATCH($C65,Deals!$A$2:$A$355,0))),""))</f>
        <v/>
      </c>
      <c r="AF65" s="35">
        <f>IF($AD65="",DATE(1900,1,1),$AD65)</f>
        <v/>
      </c>
      <c r="AG65" s="35">
        <f>IF($AE65="",DATE(2100,12,31),$AE65)</f>
        <v/>
      </c>
      <c r="AH65" s="22">
        <f>IF($C65="","",IFERROR(IF(INDEX(Deals!$AG$2:$AG$355,MATCH($C65,Deals!$A$2:$A$355,0))=0,"",INDEX(Deals!$AG$2:$AG$355,MATCH($C65,Deals!$A$2:$A$355,0))),""))</f>
        <v/>
      </c>
      <c r="AI65" s="35">
        <f>IF($AH65="",DATE(1900,1,1),$AF65)</f>
        <v/>
      </c>
      <c r="AJ65" s="35">
        <f>IF($AH65="",DATE(2100,12,31),$AH65)</f>
        <v/>
      </c>
      <c r="AK65" s="32">
        <f>IF($AH65="",$AC65,$AC65*$S65)</f>
        <v/>
      </c>
      <c r="AL65" s="35">
        <f>IF($AH65="",DATE(2100,12,31),$AH65+1)</f>
        <v/>
      </c>
      <c r="AM65" s="35">
        <f>IF($AH65="",DATE(1900,1,1),$AG65)</f>
        <v/>
      </c>
      <c r="AN65" s="32">
        <f>IF($AH65="",0,$AC65*$T65)</f>
        <v/>
      </c>
    </row>
    <row r="66">
      <c r="A66" s="28" t="inlineStr">
        <is>
          <t>John</t>
        </is>
      </c>
      <c r="B66" s="16">
        <f>IF($A66="","",IFERROR(INDEX(Roster!$B$2:$B$40,MATCH($A66,Roster!$A$2:$A$40,0)),"?"))</f>
        <v/>
      </c>
      <c r="C66" s="28" t="inlineStr">
        <is>
          <t>Georgia_3</t>
        </is>
      </c>
      <c r="D66" s="16">
        <f>IF($C66="","",IFERROR(IF(INDEX(Deals!$C$2:$C$355,MATCH($C66,Deals!$A$2:$A$355,0))=0,"",INDEX(Deals!$C$2:$C$355,MATCH($C66,Deals!$A$2:$A$355,0))),"?"))</f>
        <v/>
      </c>
      <c r="E66" s="16">
        <f>IF($C66="","",IFERROR(INDEX(Deals!$F$2:$F$355,MATCH($C66,Deals!$A$2:$A$355,0)),"?"))</f>
        <v/>
      </c>
      <c r="F66" s="28" t="inlineStr">
        <is>
          <t>Partner</t>
        </is>
      </c>
      <c r="G66" s="28" t="inlineStr">
        <is>
          <t>Active</t>
        </is>
      </c>
      <c r="H66" s="31" t="n"/>
      <c r="I66" s="32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1">
        <f>IF($C66="",0,IFERROR(INDEX(Deals!$H$2:$H$355,MATCH($C66,Deals!$A$2:$A$355,0)),0))</f>
        <v/>
      </c>
      <c r="K66" s="32">
        <f>IF(Settings!$B$4="Yes",$I66*$J66,$I66)</f>
        <v/>
      </c>
      <c r="L66" s="22">
        <f>IF($C66="","",IFERROR(IF(INDEX(Deals!$I$2:$I$355,MATCH($C66,Deals!$A$2:$A$355,0))=0,"",INDEX(Deals!$I$2:$I$355,MATCH($C66,Deals!$A$2:$A$355,0))),""))</f>
        <v/>
      </c>
      <c r="M66" s="22">
        <f>IF($C66="","",IFERROR(IF(INDEX(Deals!$J$2:$J$355,MATCH($C66,Deals!$A$2:$A$355,0))=0,"",INDEX(Deals!$J$2:$J$355,MATCH($C66,Deals!$A$2:$A$355,0))),""))</f>
        <v/>
      </c>
      <c r="N66" s="35">
        <f>IF($L66="",DATE(1900,1,1),$L66)</f>
        <v/>
      </c>
      <c r="O66" s="35">
        <f>IF($M66="",DATE(2100,12,31),$M66)</f>
        <v/>
      </c>
      <c r="P66" s="20" t="inlineStr"/>
      <c r="Q66" s="43" t="inlineStr"/>
      <c r="R66" s="16">
        <f>IF($C66="","",IFERROR(IF(INDEX(Deals!$U$2:$U$355,MATCH($C66,Deals!$A$2:$A$355,0))=0,"",INDEX(Deals!$U$2:$U$355,MATCH($C66,Deals!$A$2:$A$355,0))),""))</f>
        <v/>
      </c>
      <c r="S66" s="34">
        <f>IFERROR(IF($U66="",1,INDEX(Deals!$V$2:$V$355,MATCH($C66,Deals!$A$2:$A$355,0))),1)</f>
        <v/>
      </c>
      <c r="T66" s="34">
        <f>IFERROR(IF($U66="",1,INDEX(Deals!$W$2:$W$355,MATCH($C66,Deals!$A$2:$A$355,0))),1)</f>
        <v/>
      </c>
      <c r="U66" s="22">
        <f>IF($C66="","",IFERROR(IF(INDEX(Deals!$Y$2:$Y$355,MATCH($C66,Deals!$A$2:$A$355,0))=0,"",INDEX(Deals!$Y$2:$Y$355,MATCH($C66,Deals!$A$2:$A$355,0))),""))</f>
        <v/>
      </c>
      <c r="V66" s="35">
        <f>IF($U66="",DATE(1900,1,1),$N66)</f>
        <v/>
      </c>
      <c r="W66" s="35">
        <f>IF($U66="",DATE(2100,12,31),$U66)</f>
        <v/>
      </c>
      <c r="X66" s="32">
        <f>IF($U66="",$K66,$K66*$S66)</f>
        <v/>
      </c>
      <c r="Y66" s="35">
        <f>IF($U66="",DATE(2100,12,31),$U66+1)</f>
        <v/>
      </c>
      <c r="Z66" s="35">
        <f>IF($U66="",DATE(1900,1,1),$O66)</f>
        <v/>
      </c>
      <c r="AA66" s="32">
        <f>IF($U66="",0,$K66*$T66)</f>
        <v/>
      </c>
      <c r="AB66" s="21">
        <f>IF($C66="",0,IFERROR(INDEX(Deals!$AD$2:$AD$355,MATCH($C66,Deals!$A$2:$A$355,0)),0))</f>
        <v/>
      </c>
      <c r="AC66" s="32">
        <f>IF(Settings!$B$4="Yes",$I66*$AB66,$I66)</f>
        <v/>
      </c>
      <c r="AD66" s="22">
        <f>IF($C66="","",IFERROR(IF(INDEX(Deals!$AE$2:$AE$355,MATCH($C66,Deals!$A$2:$A$355,0))=0,"",INDEX(Deals!$AE$2:$AE$355,MATCH($C66,Deals!$A$2:$A$355,0))),""))</f>
        <v/>
      </c>
      <c r="AE66" s="22">
        <f>IF($C66="","",IFERROR(IF(INDEX(Deals!$AF$2:$AF$355,MATCH($C66,Deals!$A$2:$A$355,0))=0,"",INDEX(Deals!$AF$2:$AF$355,MATCH($C66,Deals!$A$2:$A$355,0))),""))</f>
        <v/>
      </c>
      <c r="AF66" s="35">
        <f>IF($AD66="",DATE(1900,1,1),$AD66)</f>
        <v/>
      </c>
      <c r="AG66" s="35">
        <f>IF($AE66="",DATE(2100,12,31),$AE66)</f>
        <v/>
      </c>
      <c r="AH66" s="22">
        <f>IF($C66="","",IFERROR(IF(INDEX(Deals!$AG$2:$AG$355,MATCH($C66,Deals!$A$2:$A$355,0))=0,"",INDEX(Deals!$AG$2:$AG$355,MATCH($C66,Deals!$A$2:$A$355,0))),""))</f>
        <v/>
      </c>
      <c r="AI66" s="35">
        <f>IF($AH66="",DATE(1900,1,1),$AF66)</f>
        <v/>
      </c>
      <c r="AJ66" s="35">
        <f>IF($AH66="",DATE(2100,12,31),$AH66)</f>
        <v/>
      </c>
      <c r="AK66" s="32">
        <f>IF($AH66="",$AC66,$AC66*$S66)</f>
        <v/>
      </c>
      <c r="AL66" s="35">
        <f>IF($AH66="",DATE(2100,12,31),$AH66+1)</f>
        <v/>
      </c>
      <c r="AM66" s="35">
        <f>IF($AH66="",DATE(1900,1,1),$AG66)</f>
        <v/>
      </c>
      <c r="AN66" s="32">
        <f>IF($AH66="",0,$AC66*$T66)</f>
        <v/>
      </c>
    </row>
    <row r="67">
      <c r="A67" s="28" t="inlineStr">
        <is>
          <t>John</t>
        </is>
      </c>
      <c r="B67" s="16">
        <f>IF($A67="","",IFERROR(INDEX(Roster!$B$2:$B$40,MATCH($A67,Roster!$A$2:$A$40,0)),"?"))</f>
        <v/>
      </c>
      <c r="C67" s="28" t="inlineStr">
        <is>
          <t>Goose_1</t>
        </is>
      </c>
      <c r="D67" s="16">
        <f>IF($C67="","",IFERROR(IF(INDEX(Deals!$C$2:$C$355,MATCH($C67,Deals!$A$2:$A$355,0))=0,"",INDEX(Deals!$C$2:$C$355,MATCH($C67,Deals!$A$2:$A$355,0))),"?"))</f>
        <v/>
      </c>
      <c r="E67" s="16">
        <f>IF($C67="","",IFERROR(INDEX(Deals!$F$2:$F$355,MATCH($C67,Deals!$A$2:$A$355,0)),"?"))</f>
        <v/>
      </c>
      <c r="F67" s="28" t="inlineStr">
        <is>
          <t>Partner</t>
        </is>
      </c>
      <c r="G67" s="28" t="inlineStr">
        <is>
          <t>Active</t>
        </is>
      </c>
      <c r="H67" s="31" t="n"/>
      <c r="I67" s="32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1">
        <f>IF($C67="",0,IFERROR(INDEX(Deals!$H$2:$H$355,MATCH($C67,Deals!$A$2:$A$355,0)),0))</f>
        <v/>
      </c>
      <c r="K67" s="32">
        <f>IF(Settings!$B$4="Yes",$I67*$J67,$I67)</f>
        <v/>
      </c>
      <c r="L67" s="22">
        <f>IF($C67="","",IFERROR(IF(INDEX(Deals!$I$2:$I$355,MATCH($C67,Deals!$A$2:$A$355,0))=0,"",INDEX(Deals!$I$2:$I$355,MATCH($C67,Deals!$A$2:$A$355,0))),""))</f>
        <v/>
      </c>
      <c r="M67" s="22">
        <f>IF($C67="","",IFERROR(IF(INDEX(Deals!$J$2:$J$355,MATCH($C67,Deals!$A$2:$A$355,0))=0,"",INDEX(Deals!$J$2:$J$355,MATCH($C67,Deals!$A$2:$A$355,0))),""))</f>
        <v/>
      </c>
      <c r="N67" s="35">
        <f>IF($L67="",DATE(1900,1,1),$L67)</f>
        <v/>
      </c>
      <c r="O67" s="35">
        <f>IF($M67="",DATE(2100,12,31),$M67)</f>
        <v/>
      </c>
      <c r="P67" s="20" t="inlineStr"/>
      <c r="Q67" s="43" t="inlineStr"/>
      <c r="R67" s="16">
        <f>IF($C67="","",IFERROR(IF(INDEX(Deals!$U$2:$U$355,MATCH($C67,Deals!$A$2:$A$355,0))=0,"",INDEX(Deals!$U$2:$U$355,MATCH($C67,Deals!$A$2:$A$355,0))),""))</f>
        <v/>
      </c>
      <c r="S67" s="34">
        <f>IFERROR(IF($U67="",1,INDEX(Deals!$V$2:$V$355,MATCH($C67,Deals!$A$2:$A$355,0))),1)</f>
        <v/>
      </c>
      <c r="T67" s="34">
        <f>IFERROR(IF($U67="",1,INDEX(Deals!$W$2:$W$355,MATCH($C67,Deals!$A$2:$A$355,0))),1)</f>
        <v/>
      </c>
      <c r="U67" s="22">
        <f>IF($C67="","",IFERROR(IF(INDEX(Deals!$Y$2:$Y$355,MATCH($C67,Deals!$A$2:$A$355,0))=0,"",INDEX(Deals!$Y$2:$Y$355,MATCH($C67,Deals!$A$2:$A$355,0))),""))</f>
        <v/>
      </c>
      <c r="V67" s="35">
        <f>IF($U67="",DATE(1900,1,1),$N67)</f>
        <v/>
      </c>
      <c r="W67" s="35">
        <f>IF($U67="",DATE(2100,12,31),$U67)</f>
        <v/>
      </c>
      <c r="X67" s="32">
        <f>IF($U67="",$K67,$K67*$S67)</f>
        <v/>
      </c>
      <c r="Y67" s="35">
        <f>IF($U67="",DATE(2100,12,31),$U67+1)</f>
        <v/>
      </c>
      <c r="Z67" s="35">
        <f>IF($U67="",DATE(1900,1,1),$O67)</f>
        <v/>
      </c>
      <c r="AA67" s="32">
        <f>IF($U67="",0,$K67*$T67)</f>
        <v/>
      </c>
      <c r="AB67" s="21">
        <f>IF($C67="",0,IFERROR(INDEX(Deals!$AD$2:$AD$355,MATCH($C67,Deals!$A$2:$A$355,0)),0))</f>
        <v/>
      </c>
      <c r="AC67" s="32">
        <f>IF(Settings!$B$4="Yes",$I67*$AB67,$I67)</f>
        <v/>
      </c>
      <c r="AD67" s="22">
        <f>IF($C67="","",IFERROR(IF(INDEX(Deals!$AE$2:$AE$355,MATCH($C67,Deals!$A$2:$A$355,0))=0,"",INDEX(Deals!$AE$2:$AE$355,MATCH($C67,Deals!$A$2:$A$355,0))),""))</f>
        <v/>
      </c>
      <c r="AE67" s="22">
        <f>IF($C67="","",IFERROR(IF(INDEX(Deals!$AF$2:$AF$355,MATCH($C67,Deals!$A$2:$A$355,0))=0,"",INDEX(Deals!$AF$2:$AF$355,MATCH($C67,Deals!$A$2:$A$355,0))),""))</f>
        <v/>
      </c>
      <c r="AF67" s="35">
        <f>IF($AD67="",DATE(1900,1,1),$AD67)</f>
        <v/>
      </c>
      <c r="AG67" s="35">
        <f>IF($AE67="",DATE(2100,12,31),$AE67)</f>
        <v/>
      </c>
      <c r="AH67" s="22">
        <f>IF($C67="","",IFERROR(IF(INDEX(Deals!$AG$2:$AG$355,MATCH($C67,Deals!$A$2:$A$355,0))=0,"",INDEX(Deals!$AG$2:$AG$355,MATCH($C67,Deals!$A$2:$A$355,0))),""))</f>
        <v/>
      </c>
      <c r="AI67" s="35">
        <f>IF($AH67="",DATE(1900,1,1),$AF67)</f>
        <v/>
      </c>
      <c r="AJ67" s="35">
        <f>IF($AH67="",DATE(2100,12,31),$AH67)</f>
        <v/>
      </c>
      <c r="AK67" s="32">
        <f>IF($AH67="",$AC67,$AC67*$S67)</f>
        <v/>
      </c>
      <c r="AL67" s="35">
        <f>IF($AH67="",DATE(2100,12,31),$AH67+1)</f>
        <v/>
      </c>
      <c r="AM67" s="35">
        <f>IF($AH67="",DATE(1900,1,1),$AG67)</f>
        <v/>
      </c>
      <c r="AN67" s="32">
        <f>IF($AH67="",0,$AC67*$T67)</f>
        <v/>
      </c>
    </row>
    <row r="68">
      <c r="A68" s="28" t="inlineStr">
        <is>
          <t>John</t>
        </is>
      </c>
      <c r="B68" s="16">
        <f>IF($A68="","",IFERROR(INDEX(Roster!$B$2:$B$40,MATCH($A68,Roster!$A$2:$A$40,0)),"?"))</f>
        <v/>
      </c>
      <c r="C68" s="28" t="inlineStr">
        <is>
          <t>Heartland_2</t>
        </is>
      </c>
      <c r="D68" s="16">
        <f>IF($C68="","",IFERROR(IF(INDEX(Deals!$C$2:$C$355,MATCH($C68,Deals!$A$2:$A$355,0))=0,"",INDEX(Deals!$C$2:$C$355,MATCH($C68,Deals!$A$2:$A$355,0))),"?"))</f>
        <v/>
      </c>
      <c r="E68" s="16">
        <f>IF($C68="","",IFERROR(INDEX(Deals!$F$2:$F$355,MATCH($C68,Deals!$A$2:$A$355,0)),"?"))</f>
        <v/>
      </c>
      <c r="F68" s="28" t="inlineStr">
        <is>
          <t>Partner</t>
        </is>
      </c>
      <c r="G68" s="28" t="inlineStr">
        <is>
          <t>Active</t>
        </is>
      </c>
      <c r="H68" s="31" t="n"/>
      <c r="I68" s="32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1">
        <f>IF($C68="",0,IFERROR(INDEX(Deals!$H$2:$H$355,MATCH($C68,Deals!$A$2:$A$355,0)),0))</f>
        <v/>
      </c>
      <c r="K68" s="32">
        <f>IF(Settings!$B$4="Yes",$I68*$J68,$I68)</f>
        <v/>
      </c>
      <c r="L68" s="22">
        <f>IF($C68="","",IFERROR(IF(INDEX(Deals!$I$2:$I$355,MATCH($C68,Deals!$A$2:$A$355,0))=0,"",INDEX(Deals!$I$2:$I$355,MATCH($C68,Deals!$A$2:$A$355,0))),""))</f>
        <v/>
      </c>
      <c r="M68" s="22">
        <f>IF($C68="","",IFERROR(IF(INDEX(Deals!$J$2:$J$355,MATCH($C68,Deals!$A$2:$A$355,0))=0,"",INDEX(Deals!$J$2:$J$355,MATCH($C68,Deals!$A$2:$A$355,0))),""))</f>
        <v/>
      </c>
      <c r="N68" s="35">
        <f>IF($L68="",DATE(1900,1,1),$L68)</f>
        <v/>
      </c>
      <c r="O68" s="35">
        <f>IF($M68="",DATE(2100,12,31),$M68)</f>
        <v/>
      </c>
      <c r="P68" s="20" t="inlineStr"/>
      <c r="Q68" s="43" t="inlineStr"/>
      <c r="R68" s="16">
        <f>IF($C68="","",IFERROR(IF(INDEX(Deals!$U$2:$U$355,MATCH($C68,Deals!$A$2:$A$355,0))=0,"",INDEX(Deals!$U$2:$U$355,MATCH($C68,Deals!$A$2:$A$355,0))),""))</f>
        <v/>
      </c>
      <c r="S68" s="34">
        <f>IFERROR(IF($U68="",1,INDEX(Deals!$V$2:$V$355,MATCH($C68,Deals!$A$2:$A$355,0))),1)</f>
        <v/>
      </c>
      <c r="T68" s="34">
        <f>IFERROR(IF($U68="",1,INDEX(Deals!$W$2:$W$355,MATCH($C68,Deals!$A$2:$A$355,0))),1)</f>
        <v/>
      </c>
      <c r="U68" s="22">
        <f>IF($C68="","",IFERROR(IF(INDEX(Deals!$Y$2:$Y$355,MATCH($C68,Deals!$A$2:$A$355,0))=0,"",INDEX(Deals!$Y$2:$Y$355,MATCH($C68,Deals!$A$2:$A$355,0))),""))</f>
        <v/>
      </c>
      <c r="V68" s="35">
        <f>IF($U68="",DATE(1900,1,1),$N68)</f>
        <v/>
      </c>
      <c r="W68" s="35">
        <f>IF($U68="",DATE(2100,12,31),$U68)</f>
        <v/>
      </c>
      <c r="X68" s="32">
        <f>IF($U68="",$K68,$K68*$S68)</f>
        <v/>
      </c>
      <c r="Y68" s="35">
        <f>IF($U68="",DATE(2100,12,31),$U68+1)</f>
        <v/>
      </c>
      <c r="Z68" s="35">
        <f>IF($U68="",DATE(1900,1,1),$O68)</f>
        <v/>
      </c>
      <c r="AA68" s="32">
        <f>IF($U68="",0,$K68*$T68)</f>
        <v/>
      </c>
      <c r="AB68" s="21">
        <f>IF($C68="",0,IFERROR(INDEX(Deals!$AD$2:$AD$355,MATCH($C68,Deals!$A$2:$A$355,0)),0))</f>
        <v/>
      </c>
      <c r="AC68" s="32">
        <f>IF(Settings!$B$4="Yes",$I68*$AB68,$I68)</f>
        <v/>
      </c>
      <c r="AD68" s="22">
        <f>IF($C68="","",IFERROR(IF(INDEX(Deals!$AE$2:$AE$355,MATCH($C68,Deals!$A$2:$A$355,0))=0,"",INDEX(Deals!$AE$2:$AE$355,MATCH($C68,Deals!$A$2:$A$355,0))),""))</f>
        <v/>
      </c>
      <c r="AE68" s="22">
        <f>IF($C68="","",IFERROR(IF(INDEX(Deals!$AF$2:$AF$355,MATCH($C68,Deals!$A$2:$A$355,0))=0,"",INDEX(Deals!$AF$2:$AF$355,MATCH($C68,Deals!$A$2:$A$355,0))),""))</f>
        <v/>
      </c>
      <c r="AF68" s="35">
        <f>IF($AD68="",DATE(1900,1,1),$AD68)</f>
        <v/>
      </c>
      <c r="AG68" s="35">
        <f>IF($AE68="",DATE(2100,12,31),$AE68)</f>
        <v/>
      </c>
      <c r="AH68" s="22">
        <f>IF($C68="","",IFERROR(IF(INDEX(Deals!$AG$2:$AG$355,MATCH($C68,Deals!$A$2:$A$355,0))=0,"",INDEX(Deals!$AG$2:$AG$355,MATCH($C68,Deals!$A$2:$A$355,0))),""))</f>
        <v/>
      </c>
      <c r="AI68" s="35">
        <f>IF($AH68="",DATE(1900,1,1),$AF68)</f>
        <v/>
      </c>
      <c r="AJ68" s="35">
        <f>IF($AH68="",DATE(2100,12,31),$AH68)</f>
        <v/>
      </c>
      <c r="AK68" s="32">
        <f>IF($AH68="",$AC68,$AC68*$S68)</f>
        <v/>
      </c>
      <c r="AL68" s="35">
        <f>IF($AH68="",DATE(2100,12,31),$AH68+1)</f>
        <v/>
      </c>
      <c r="AM68" s="35">
        <f>IF($AH68="",DATE(1900,1,1),$AG68)</f>
        <v/>
      </c>
      <c r="AN68" s="32">
        <f>IF($AH68="",0,$AC68*$T68)</f>
        <v/>
      </c>
    </row>
    <row r="69">
      <c r="A69" s="28" t="inlineStr">
        <is>
          <t>John</t>
        </is>
      </c>
      <c r="B69" s="16">
        <f>IF($A69="","",IFERROR(INDEX(Roster!$B$2:$B$40,MATCH($A69,Roster!$A$2:$A$40,0)),"?"))</f>
        <v/>
      </c>
      <c r="C69" s="28" t="inlineStr">
        <is>
          <t>Horizon_3</t>
        </is>
      </c>
      <c r="D69" s="16">
        <f>IF($C69="","",IFERROR(IF(INDEX(Deals!$C$2:$C$355,MATCH($C69,Deals!$A$2:$A$355,0))=0,"",INDEX(Deals!$C$2:$C$355,MATCH($C69,Deals!$A$2:$A$355,0))),"?"))</f>
        <v/>
      </c>
      <c r="E69" s="16">
        <f>IF($C69="","",IFERROR(INDEX(Deals!$F$2:$F$355,MATCH($C69,Deals!$A$2:$A$355,0)),"?"))</f>
        <v/>
      </c>
      <c r="F69" s="28" t="inlineStr">
        <is>
          <t>Partner</t>
        </is>
      </c>
      <c r="G69" s="28" t="inlineStr">
        <is>
          <t>Active</t>
        </is>
      </c>
      <c r="H69" s="31" t="n"/>
      <c r="I69" s="32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1">
        <f>IF($C69="",0,IFERROR(INDEX(Deals!$H$2:$H$355,MATCH($C69,Deals!$A$2:$A$355,0)),0))</f>
        <v/>
      </c>
      <c r="K69" s="32">
        <f>IF(Settings!$B$4="Yes",$I69*$J69,$I69)</f>
        <v/>
      </c>
      <c r="L69" s="22">
        <f>IF($C69="","",IFERROR(IF(INDEX(Deals!$I$2:$I$355,MATCH($C69,Deals!$A$2:$A$355,0))=0,"",INDEX(Deals!$I$2:$I$355,MATCH($C69,Deals!$A$2:$A$355,0))),""))</f>
        <v/>
      </c>
      <c r="M69" s="22">
        <f>IF($C69="","",IFERROR(IF(INDEX(Deals!$J$2:$J$355,MATCH($C69,Deals!$A$2:$A$355,0))=0,"",INDEX(Deals!$J$2:$J$355,MATCH($C69,Deals!$A$2:$A$355,0))),""))</f>
        <v/>
      </c>
      <c r="N69" s="35">
        <f>IF($L69="",DATE(1900,1,1),$L69)</f>
        <v/>
      </c>
      <c r="O69" s="35">
        <f>IF($M69="",DATE(2100,12,31),$M69)</f>
        <v/>
      </c>
      <c r="P69" s="20" t="inlineStr"/>
      <c r="Q69" s="43" t="inlineStr"/>
      <c r="R69" s="16">
        <f>IF($C69="","",IFERROR(IF(INDEX(Deals!$U$2:$U$355,MATCH($C69,Deals!$A$2:$A$355,0))=0,"",INDEX(Deals!$U$2:$U$355,MATCH($C69,Deals!$A$2:$A$355,0))),""))</f>
        <v/>
      </c>
      <c r="S69" s="34">
        <f>IFERROR(IF($U69="",1,INDEX(Deals!$V$2:$V$355,MATCH($C69,Deals!$A$2:$A$355,0))),1)</f>
        <v/>
      </c>
      <c r="T69" s="34">
        <f>IFERROR(IF($U69="",1,INDEX(Deals!$W$2:$W$355,MATCH($C69,Deals!$A$2:$A$355,0))),1)</f>
        <v/>
      </c>
      <c r="U69" s="22">
        <f>IF($C69="","",IFERROR(IF(INDEX(Deals!$Y$2:$Y$355,MATCH($C69,Deals!$A$2:$A$355,0))=0,"",INDEX(Deals!$Y$2:$Y$355,MATCH($C69,Deals!$A$2:$A$355,0))),""))</f>
        <v/>
      </c>
      <c r="V69" s="35">
        <f>IF($U69="",DATE(1900,1,1),$N69)</f>
        <v/>
      </c>
      <c r="W69" s="35">
        <f>IF($U69="",DATE(2100,12,31),$U69)</f>
        <v/>
      </c>
      <c r="X69" s="32">
        <f>IF($U69="",$K69,$K69*$S69)</f>
        <v/>
      </c>
      <c r="Y69" s="35">
        <f>IF($U69="",DATE(2100,12,31),$U69+1)</f>
        <v/>
      </c>
      <c r="Z69" s="35">
        <f>IF($U69="",DATE(1900,1,1),$O69)</f>
        <v/>
      </c>
      <c r="AA69" s="32">
        <f>IF($U69="",0,$K69*$T69)</f>
        <v/>
      </c>
      <c r="AB69" s="21">
        <f>IF($C69="",0,IFERROR(INDEX(Deals!$AD$2:$AD$355,MATCH($C69,Deals!$A$2:$A$355,0)),0))</f>
        <v/>
      </c>
      <c r="AC69" s="32">
        <f>IF(Settings!$B$4="Yes",$I69*$AB69,$I69)</f>
        <v/>
      </c>
      <c r="AD69" s="22">
        <f>IF($C69="","",IFERROR(IF(INDEX(Deals!$AE$2:$AE$355,MATCH($C69,Deals!$A$2:$A$355,0))=0,"",INDEX(Deals!$AE$2:$AE$355,MATCH($C69,Deals!$A$2:$A$355,0))),""))</f>
        <v/>
      </c>
      <c r="AE69" s="22">
        <f>IF($C69="","",IFERROR(IF(INDEX(Deals!$AF$2:$AF$355,MATCH($C69,Deals!$A$2:$A$355,0))=0,"",INDEX(Deals!$AF$2:$AF$355,MATCH($C69,Deals!$A$2:$A$355,0))),""))</f>
        <v/>
      </c>
      <c r="AF69" s="35">
        <f>IF($AD69="",DATE(1900,1,1),$AD69)</f>
        <v/>
      </c>
      <c r="AG69" s="35">
        <f>IF($AE69="",DATE(2100,12,31),$AE69)</f>
        <v/>
      </c>
      <c r="AH69" s="22">
        <f>IF($C69="","",IFERROR(IF(INDEX(Deals!$AG$2:$AG$355,MATCH($C69,Deals!$A$2:$A$355,0))=0,"",INDEX(Deals!$AG$2:$AG$355,MATCH($C69,Deals!$A$2:$A$355,0))),""))</f>
        <v/>
      </c>
      <c r="AI69" s="35">
        <f>IF($AH69="",DATE(1900,1,1),$AF69)</f>
        <v/>
      </c>
      <c r="AJ69" s="35">
        <f>IF($AH69="",DATE(2100,12,31),$AH69)</f>
        <v/>
      </c>
      <c r="AK69" s="32">
        <f>IF($AH69="",$AC69,$AC69*$S69)</f>
        <v/>
      </c>
      <c r="AL69" s="35">
        <f>IF($AH69="",DATE(2100,12,31),$AH69+1)</f>
        <v/>
      </c>
      <c r="AM69" s="35">
        <f>IF($AH69="",DATE(1900,1,1),$AG69)</f>
        <v/>
      </c>
      <c r="AN69" s="32">
        <f>IF($AH69="",0,$AC69*$T69)</f>
        <v/>
      </c>
    </row>
    <row r="70">
      <c r="A70" s="28" t="inlineStr">
        <is>
          <t>John</t>
        </is>
      </c>
      <c r="B70" s="16">
        <f>IF($A70="","",IFERROR(INDEX(Roster!$B$2:$B$40,MATCH($A70,Roster!$A$2:$A$40,0)),"?"))</f>
        <v/>
      </c>
      <c r="C70" s="28" t="inlineStr">
        <is>
          <t>i3 Broadband _1</t>
        </is>
      </c>
      <c r="D70" s="16">
        <f>IF($C70="","",IFERROR(IF(INDEX(Deals!$C$2:$C$355,MATCH($C70,Deals!$A$2:$A$355,0))=0,"",INDEX(Deals!$C$2:$C$355,MATCH($C70,Deals!$A$2:$A$355,0))),"?"))</f>
        <v/>
      </c>
      <c r="E70" s="16">
        <f>IF($C70="","",IFERROR(INDEX(Deals!$F$2:$F$355,MATCH($C70,Deals!$A$2:$A$355,0)),"?"))</f>
        <v/>
      </c>
      <c r="F70" s="28" t="inlineStr">
        <is>
          <t>Partner</t>
        </is>
      </c>
      <c r="G70" s="28" t="inlineStr">
        <is>
          <t>Active</t>
        </is>
      </c>
      <c r="H70" s="31" t="n"/>
      <c r="I70" s="32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1">
        <f>IF($C70="",0,IFERROR(INDEX(Deals!$H$2:$H$355,MATCH($C70,Deals!$A$2:$A$355,0)),0))</f>
        <v/>
      </c>
      <c r="K70" s="32">
        <f>IF(Settings!$B$4="Yes",$I70*$J70,$I70)</f>
        <v/>
      </c>
      <c r="L70" s="22">
        <f>IF($C70="","",IFERROR(IF(INDEX(Deals!$I$2:$I$355,MATCH($C70,Deals!$A$2:$A$355,0))=0,"",INDEX(Deals!$I$2:$I$355,MATCH($C70,Deals!$A$2:$A$355,0))),""))</f>
        <v/>
      </c>
      <c r="M70" s="22">
        <f>IF($C70="","",IFERROR(IF(INDEX(Deals!$J$2:$J$355,MATCH($C70,Deals!$A$2:$A$355,0))=0,"",INDEX(Deals!$J$2:$J$355,MATCH($C70,Deals!$A$2:$A$355,0))),""))</f>
        <v/>
      </c>
      <c r="N70" s="35">
        <f>IF($L70="",DATE(1900,1,1),$L70)</f>
        <v/>
      </c>
      <c r="O70" s="35">
        <f>IF($M70="",DATE(2100,12,31),$M70)</f>
        <v/>
      </c>
      <c r="P70" s="20" t="inlineStr"/>
      <c r="Q70" s="43" t="inlineStr"/>
      <c r="R70" s="16">
        <f>IF($C70="","",IFERROR(IF(INDEX(Deals!$U$2:$U$355,MATCH($C70,Deals!$A$2:$A$355,0))=0,"",INDEX(Deals!$U$2:$U$355,MATCH($C70,Deals!$A$2:$A$355,0))),""))</f>
        <v/>
      </c>
      <c r="S70" s="34">
        <f>IFERROR(IF($U70="",1,INDEX(Deals!$V$2:$V$355,MATCH($C70,Deals!$A$2:$A$355,0))),1)</f>
        <v/>
      </c>
      <c r="T70" s="34">
        <f>IFERROR(IF($U70="",1,INDEX(Deals!$W$2:$W$355,MATCH($C70,Deals!$A$2:$A$355,0))),1)</f>
        <v/>
      </c>
      <c r="U70" s="22">
        <f>IF($C70="","",IFERROR(IF(INDEX(Deals!$Y$2:$Y$355,MATCH($C70,Deals!$A$2:$A$355,0))=0,"",INDEX(Deals!$Y$2:$Y$355,MATCH($C70,Deals!$A$2:$A$355,0))),""))</f>
        <v/>
      </c>
      <c r="V70" s="35">
        <f>IF($U70="",DATE(1900,1,1),$N70)</f>
        <v/>
      </c>
      <c r="W70" s="35">
        <f>IF($U70="",DATE(2100,12,31),$U70)</f>
        <v/>
      </c>
      <c r="X70" s="32">
        <f>IF($U70="",$K70,$K70*$S70)</f>
        <v/>
      </c>
      <c r="Y70" s="35">
        <f>IF($U70="",DATE(2100,12,31),$U70+1)</f>
        <v/>
      </c>
      <c r="Z70" s="35">
        <f>IF($U70="",DATE(1900,1,1),$O70)</f>
        <v/>
      </c>
      <c r="AA70" s="32">
        <f>IF($U70="",0,$K70*$T70)</f>
        <v/>
      </c>
      <c r="AB70" s="21">
        <f>IF($C70="",0,IFERROR(INDEX(Deals!$AD$2:$AD$355,MATCH($C70,Deals!$A$2:$A$355,0)),0))</f>
        <v/>
      </c>
      <c r="AC70" s="32">
        <f>IF(Settings!$B$4="Yes",$I70*$AB70,$I70)</f>
        <v/>
      </c>
      <c r="AD70" s="22">
        <f>IF($C70="","",IFERROR(IF(INDEX(Deals!$AE$2:$AE$355,MATCH($C70,Deals!$A$2:$A$355,0))=0,"",INDEX(Deals!$AE$2:$AE$355,MATCH($C70,Deals!$A$2:$A$355,0))),""))</f>
        <v/>
      </c>
      <c r="AE70" s="22">
        <f>IF($C70="","",IFERROR(IF(INDEX(Deals!$AF$2:$AF$355,MATCH($C70,Deals!$A$2:$A$355,0))=0,"",INDEX(Deals!$AF$2:$AF$355,MATCH($C70,Deals!$A$2:$A$355,0))),""))</f>
        <v/>
      </c>
      <c r="AF70" s="35">
        <f>IF($AD70="",DATE(1900,1,1),$AD70)</f>
        <v/>
      </c>
      <c r="AG70" s="35">
        <f>IF($AE70="",DATE(2100,12,31),$AE70)</f>
        <v/>
      </c>
      <c r="AH70" s="22">
        <f>IF($C70="","",IFERROR(IF(INDEX(Deals!$AG$2:$AG$355,MATCH($C70,Deals!$A$2:$A$355,0))=0,"",INDEX(Deals!$AG$2:$AG$355,MATCH($C70,Deals!$A$2:$A$355,0))),""))</f>
        <v/>
      </c>
      <c r="AI70" s="35">
        <f>IF($AH70="",DATE(1900,1,1),$AF70)</f>
        <v/>
      </c>
      <c r="AJ70" s="35">
        <f>IF($AH70="",DATE(2100,12,31),$AH70)</f>
        <v/>
      </c>
      <c r="AK70" s="32">
        <f>IF($AH70="",$AC70,$AC70*$S70)</f>
        <v/>
      </c>
      <c r="AL70" s="35">
        <f>IF($AH70="",DATE(2100,12,31),$AH70+1)</f>
        <v/>
      </c>
      <c r="AM70" s="35">
        <f>IF($AH70="",DATE(1900,1,1),$AG70)</f>
        <v/>
      </c>
      <c r="AN70" s="32">
        <f>IF($AH70="",0,$AC70*$T70)</f>
        <v/>
      </c>
    </row>
    <row r="71">
      <c r="A71" s="28" t="inlineStr">
        <is>
          <t>John</t>
        </is>
      </c>
      <c r="B71" s="16">
        <f>IF($A71="","",IFERROR(INDEX(Roster!$B$2:$B$40,MATCH($A71,Roster!$A$2:$A$40,0)),"?"))</f>
        <v/>
      </c>
      <c r="C71" s="28" t="inlineStr">
        <is>
          <t>Lafayette_2</t>
        </is>
      </c>
      <c r="D71" s="16">
        <f>IF($C71="","",IFERROR(IF(INDEX(Deals!$C$2:$C$355,MATCH($C71,Deals!$A$2:$A$355,0))=0,"",INDEX(Deals!$C$2:$C$355,MATCH($C71,Deals!$A$2:$A$355,0))),"?"))</f>
        <v/>
      </c>
      <c r="E71" s="16">
        <f>IF($C71="","",IFERROR(INDEX(Deals!$F$2:$F$355,MATCH($C71,Deals!$A$2:$A$355,0)),"?"))</f>
        <v/>
      </c>
      <c r="F71" s="28" t="inlineStr">
        <is>
          <t>Partner</t>
        </is>
      </c>
      <c r="G71" s="28" t="inlineStr">
        <is>
          <t>Active</t>
        </is>
      </c>
      <c r="H71" s="31" t="n"/>
      <c r="I71" s="32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1">
        <f>IF($C71="",0,IFERROR(INDEX(Deals!$H$2:$H$355,MATCH($C71,Deals!$A$2:$A$355,0)),0))</f>
        <v/>
      </c>
      <c r="K71" s="32">
        <f>IF(Settings!$B$4="Yes",$I71*$J71,$I71)</f>
        <v/>
      </c>
      <c r="L71" s="22">
        <f>IF($C71="","",IFERROR(IF(INDEX(Deals!$I$2:$I$355,MATCH($C71,Deals!$A$2:$A$355,0))=0,"",INDEX(Deals!$I$2:$I$355,MATCH($C71,Deals!$A$2:$A$355,0))),""))</f>
        <v/>
      </c>
      <c r="M71" s="22">
        <f>IF($C71="","",IFERROR(IF(INDEX(Deals!$J$2:$J$355,MATCH($C71,Deals!$A$2:$A$355,0))=0,"",INDEX(Deals!$J$2:$J$355,MATCH($C71,Deals!$A$2:$A$355,0))),""))</f>
        <v/>
      </c>
      <c r="N71" s="35">
        <f>IF($L71="",DATE(1900,1,1),$L71)</f>
        <v/>
      </c>
      <c r="O71" s="35">
        <f>IF($M71="",DATE(2100,12,31),$M71)</f>
        <v/>
      </c>
      <c r="P71" s="20" t="inlineStr"/>
      <c r="Q71" s="43" t="inlineStr"/>
      <c r="R71" s="16">
        <f>IF($C71="","",IFERROR(IF(INDEX(Deals!$U$2:$U$355,MATCH($C71,Deals!$A$2:$A$355,0))=0,"",INDEX(Deals!$U$2:$U$355,MATCH($C71,Deals!$A$2:$A$355,0))),""))</f>
        <v/>
      </c>
      <c r="S71" s="34">
        <f>IFERROR(IF($U71="",1,INDEX(Deals!$V$2:$V$355,MATCH($C71,Deals!$A$2:$A$355,0))),1)</f>
        <v/>
      </c>
      <c r="T71" s="34">
        <f>IFERROR(IF($U71="",1,INDEX(Deals!$W$2:$W$355,MATCH($C71,Deals!$A$2:$A$355,0))),1)</f>
        <v/>
      </c>
      <c r="U71" s="22">
        <f>IF($C71="","",IFERROR(IF(INDEX(Deals!$Y$2:$Y$355,MATCH($C71,Deals!$A$2:$A$355,0))=0,"",INDEX(Deals!$Y$2:$Y$355,MATCH($C71,Deals!$A$2:$A$355,0))),""))</f>
        <v/>
      </c>
      <c r="V71" s="35">
        <f>IF($U71="",DATE(1900,1,1),$N71)</f>
        <v/>
      </c>
      <c r="W71" s="35">
        <f>IF($U71="",DATE(2100,12,31),$U71)</f>
        <v/>
      </c>
      <c r="X71" s="32">
        <f>IF($U71="",$K71,$K71*$S71)</f>
        <v/>
      </c>
      <c r="Y71" s="35">
        <f>IF($U71="",DATE(2100,12,31),$U71+1)</f>
        <v/>
      </c>
      <c r="Z71" s="35">
        <f>IF($U71="",DATE(1900,1,1),$O71)</f>
        <v/>
      </c>
      <c r="AA71" s="32">
        <f>IF($U71="",0,$K71*$T71)</f>
        <v/>
      </c>
      <c r="AB71" s="21">
        <f>IF($C71="",0,IFERROR(INDEX(Deals!$AD$2:$AD$355,MATCH($C71,Deals!$A$2:$A$355,0)),0))</f>
        <v/>
      </c>
      <c r="AC71" s="32">
        <f>IF(Settings!$B$4="Yes",$I71*$AB71,$I71)</f>
        <v/>
      </c>
      <c r="AD71" s="22">
        <f>IF($C71="","",IFERROR(IF(INDEX(Deals!$AE$2:$AE$355,MATCH($C71,Deals!$A$2:$A$355,0))=0,"",INDEX(Deals!$AE$2:$AE$355,MATCH($C71,Deals!$A$2:$A$355,0))),""))</f>
        <v/>
      </c>
      <c r="AE71" s="22">
        <f>IF($C71="","",IFERROR(IF(INDEX(Deals!$AF$2:$AF$355,MATCH($C71,Deals!$A$2:$A$355,0))=0,"",INDEX(Deals!$AF$2:$AF$355,MATCH($C71,Deals!$A$2:$A$355,0))),""))</f>
        <v/>
      </c>
      <c r="AF71" s="35">
        <f>IF($AD71="",DATE(1900,1,1),$AD71)</f>
        <v/>
      </c>
      <c r="AG71" s="35">
        <f>IF($AE71="",DATE(2100,12,31),$AE71)</f>
        <v/>
      </c>
      <c r="AH71" s="22">
        <f>IF($C71="","",IFERROR(IF(INDEX(Deals!$AG$2:$AG$355,MATCH($C71,Deals!$A$2:$A$355,0))=0,"",INDEX(Deals!$AG$2:$AG$355,MATCH($C71,Deals!$A$2:$A$355,0))),""))</f>
        <v/>
      </c>
      <c r="AI71" s="35">
        <f>IF($AH71="",DATE(1900,1,1),$AF71)</f>
        <v/>
      </c>
      <c r="AJ71" s="35">
        <f>IF($AH71="",DATE(2100,12,31),$AH71)</f>
        <v/>
      </c>
      <c r="AK71" s="32">
        <f>IF($AH71="",$AC71,$AC71*$S71)</f>
        <v/>
      </c>
      <c r="AL71" s="35">
        <f>IF($AH71="",DATE(2100,12,31),$AH71+1)</f>
        <v/>
      </c>
      <c r="AM71" s="35">
        <f>IF($AH71="",DATE(1900,1,1),$AG71)</f>
        <v/>
      </c>
      <c r="AN71" s="32">
        <f>IF($AH71="",0,$AC71*$T71)</f>
        <v/>
      </c>
    </row>
    <row r="72">
      <c r="A72" s="28" t="inlineStr">
        <is>
          <t>John</t>
        </is>
      </c>
      <c r="B72" s="16">
        <f>IF($A72="","",IFERROR(INDEX(Roster!$B$2:$B$40,MATCH($A72,Roster!$A$2:$A$40,0)),"?"))</f>
        <v/>
      </c>
      <c r="C72" s="28" t="inlineStr">
        <is>
          <t>MIF_1</t>
        </is>
      </c>
      <c r="D72" s="16">
        <f>IF($C72="","",IFERROR(IF(INDEX(Deals!$C$2:$C$355,MATCH($C72,Deals!$A$2:$A$355,0))=0,"",INDEX(Deals!$C$2:$C$355,MATCH($C72,Deals!$A$2:$A$355,0))),"?"))</f>
        <v/>
      </c>
      <c r="E72" s="16">
        <f>IF($C72="","",IFERROR(INDEX(Deals!$F$2:$F$355,MATCH($C72,Deals!$A$2:$A$355,0)),"?"))</f>
        <v/>
      </c>
      <c r="F72" s="28" t="inlineStr">
        <is>
          <t>Partner</t>
        </is>
      </c>
      <c r="G72" s="28" t="inlineStr">
        <is>
          <t>Active</t>
        </is>
      </c>
      <c r="H72" s="31" t="n"/>
      <c r="I72" s="32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1">
        <f>IF($C72="",0,IFERROR(INDEX(Deals!$H$2:$H$355,MATCH($C72,Deals!$A$2:$A$355,0)),0))</f>
        <v/>
      </c>
      <c r="K72" s="32">
        <f>IF(Settings!$B$4="Yes",$I72*$J72,$I72)</f>
        <v/>
      </c>
      <c r="L72" s="22">
        <f>IF($C72="","",IFERROR(IF(INDEX(Deals!$I$2:$I$355,MATCH($C72,Deals!$A$2:$A$355,0))=0,"",INDEX(Deals!$I$2:$I$355,MATCH($C72,Deals!$A$2:$A$355,0))),""))</f>
        <v/>
      </c>
      <c r="M72" s="22">
        <f>IF($C72="","",IFERROR(IF(INDEX(Deals!$J$2:$J$355,MATCH($C72,Deals!$A$2:$A$355,0))=0,"",INDEX(Deals!$J$2:$J$355,MATCH($C72,Deals!$A$2:$A$355,0))),""))</f>
        <v/>
      </c>
      <c r="N72" s="35">
        <f>IF($L72="",DATE(1900,1,1),$L72)</f>
        <v/>
      </c>
      <c r="O72" s="35">
        <f>IF($M72="",DATE(2100,12,31),$M72)</f>
        <v/>
      </c>
      <c r="P72" s="20" t="inlineStr"/>
      <c r="Q72" s="43" t="inlineStr"/>
      <c r="R72" s="16">
        <f>IF($C72="","",IFERROR(IF(INDEX(Deals!$U$2:$U$355,MATCH($C72,Deals!$A$2:$A$355,0))=0,"",INDEX(Deals!$U$2:$U$355,MATCH($C72,Deals!$A$2:$A$355,0))),""))</f>
        <v/>
      </c>
      <c r="S72" s="34">
        <f>IFERROR(IF($U72="",1,INDEX(Deals!$V$2:$V$355,MATCH($C72,Deals!$A$2:$A$355,0))),1)</f>
        <v/>
      </c>
      <c r="T72" s="34">
        <f>IFERROR(IF($U72="",1,INDEX(Deals!$W$2:$W$355,MATCH($C72,Deals!$A$2:$A$355,0))),1)</f>
        <v/>
      </c>
      <c r="U72" s="22">
        <f>IF($C72="","",IFERROR(IF(INDEX(Deals!$Y$2:$Y$355,MATCH($C72,Deals!$A$2:$A$355,0))=0,"",INDEX(Deals!$Y$2:$Y$355,MATCH($C72,Deals!$A$2:$A$355,0))),""))</f>
        <v/>
      </c>
      <c r="V72" s="35">
        <f>IF($U72="",DATE(1900,1,1),$N72)</f>
        <v/>
      </c>
      <c r="W72" s="35">
        <f>IF($U72="",DATE(2100,12,31),$U72)</f>
        <v/>
      </c>
      <c r="X72" s="32">
        <f>IF($U72="",$K72,$K72*$S72)</f>
        <v/>
      </c>
      <c r="Y72" s="35">
        <f>IF($U72="",DATE(2100,12,31),$U72+1)</f>
        <v/>
      </c>
      <c r="Z72" s="35">
        <f>IF($U72="",DATE(1900,1,1),$O72)</f>
        <v/>
      </c>
      <c r="AA72" s="32">
        <f>IF($U72="",0,$K72*$T72)</f>
        <v/>
      </c>
      <c r="AB72" s="21">
        <f>IF($C72="",0,IFERROR(INDEX(Deals!$AD$2:$AD$355,MATCH($C72,Deals!$A$2:$A$355,0)),0))</f>
        <v/>
      </c>
      <c r="AC72" s="32">
        <f>IF(Settings!$B$4="Yes",$I72*$AB72,$I72)</f>
        <v/>
      </c>
      <c r="AD72" s="22">
        <f>IF($C72="","",IFERROR(IF(INDEX(Deals!$AE$2:$AE$355,MATCH($C72,Deals!$A$2:$A$355,0))=0,"",INDEX(Deals!$AE$2:$AE$355,MATCH($C72,Deals!$A$2:$A$355,0))),""))</f>
        <v/>
      </c>
      <c r="AE72" s="22">
        <f>IF($C72="","",IFERROR(IF(INDEX(Deals!$AF$2:$AF$355,MATCH($C72,Deals!$A$2:$A$355,0))=0,"",INDEX(Deals!$AF$2:$AF$355,MATCH($C72,Deals!$A$2:$A$355,0))),""))</f>
        <v/>
      </c>
      <c r="AF72" s="35">
        <f>IF($AD72="",DATE(1900,1,1),$AD72)</f>
        <v/>
      </c>
      <c r="AG72" s="35">
        <f>IF($AE72="",DATE(2100,12,31),$AE72)</f>
        <v/>
      </c>
      <c r="AH72" s="22">
        <f>IF($C72="","",IFERROR(IF(INDEX(Deals!$AG$2:$AG$355,MATCH($C72,Deals!$A$2:$A$355,0))=0,"",INDEX(Deals!$AG$2:$AG$355,MATCH($C72,Deals!$A$2:$A$355,0))),""))</f>
        <v/>
      </c>
      <c r="AI72" s="35">
        <f>IF($AH72="",DATE(1900,1,1),$AF72)</f>
        <v/>
      </c>
      <c r="AJ72" s="35">
        <f>IF($AH72="",DATE(2100,12,31),$AH72)</f>
        <v/>
      </c>
      <c r="AK72" s="32">
        <f>IF($AH72="",$AC72,$AC72*$S72)</f>
        <v/>
      </c>
      <c r="AL72" s="35">
        <f>IF($AH72="",DATE(2100,12,31),$AH72+1)</f>
        <v/>
      </c>
      <c r="AM72" s="35">
        <f>IF($AH72="",DATE(1900,1,1),$AG72)</f>
        <v/>
      </c>
      <c r="AN72" s="32">
        <f>IF($AH72="",0,$AC72*$T72)</f>
        <v/>
      </c>
    </row>
    <row r="73">
      <c r="A73" s="28" t="inlineStr">
        <is>
          <t>John</t>
        </is>
      </c>
      <c r="B73" s="16">
        <f>IF($A73="","",IFERROR(INDEX(Roster!$B$2:$B$40,MATCH($A73,Roster!$A$2:$A$40,0)),"?"))</f>
        <v/>
      </c>
      <c r="C73" s="28" t="inlineStr">
        <is>
          <t>MIP_1</t>
        </is>
      </c>
      <c r="D73" s="16">
        <f>IF($C73="","",IFERROR(IF(INDEX(Deals!$C$2:$C$355,MATCH($C73,Deals!$A$2:$A$355,0))=0,"",INDEX(Deals!$C$2:$C$355,MATCH($C73,Deals!$A$2:$A$355,0))),"?"))</f>
        <v/>
      </c>
      <c r="E73" s="16">
        <f>IF($C73="","",IFERROR(INDEX(Deals!$F$2:$F$355,MATCH($C73,Deals!$A$2:$A$355,0)),"?"))</f>
        <v/>
      </c>
      <c r="F73" s="28" t="inlineStr">
        <is>
          <t>Partner</t>
        </is>
      </c>
      <c r="G73" s="28" t="inlineStr">
        <is>
          <t>Active</t>
        </is>
      </c>
      <c r="H73" s="31" t="n"/>
      <c r="I73" s="32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1">
        <f>IF($C73="",0,IFERROR(INDEX(Deals!$H$2:$H$355,MATCH($C73,Deals!$A$2:$A$355,0)),0))</f>
        <v/>
      </c>
      <c r="K73" s="32">
        <f>IF(Settings!$B$4="Yes",$I73*$J73,$I73)</f>
        <v/>
      </c>
      <c r="L73" s="22">
        <f>IF($C73="","",IFERROR(IF(INDEX(Deals!$I$2:$I$355,MATCH($C73,Deals!$A$2:$A$355,0))=0,"",INDEX(Deals!$I$2:$I$355,MATCH($C73,Deals!$A$2:$A$355,0))),""))</f>
        <v/>
      </c>
      <c r="M73" s="22">
        <f>IF($C73="","",IFERROR(IF(INDEX(Deals!$J$2:$J$355,MATCH($C73,Deals!$A$2:$A$355,0))=0,"",INDEX(Deals!$J$2:$J$355,MATCH($C73,Deals!$A$2:$A$355,0))),""))</f>
        <v/>
      </c>
      <c r="N73" s="35">
        <f>IF($L73="",DATE(1900,1,1),$L73)</f>
        <v/>
      </c>
      <c r="O73" s="35">
        <f>IF($M73="",DATE(2100,12,31),$M73)</f>
        <v/>
      </c>
      <c r="P73" s="20" t="inlineStr"/>
      <c r="Q73" s="43" t="inlineStr"/>
      <c r="R73" s="16">
        <f>IF($C73="","",IFERROR(IF(INDEX(Deals!$U$2:$U$355,MATCH($C73,Deals!$A$2:$A$355,0))=0,"",INDEX(Deals!$U$2:$U$355,MATCH($C73,Deals!$A$2:$A$355,0))),""))</f>
        <v/>
      </c>
      <c r="S73" s="34">
        <f>IFERROR(IF($U73="",1,INDEX(Deals!$V$2:$V$355,MATCH($C73,Deals!$A$2:$A$355,0))),1)</f>
        <v/>
      </c>
      <c r="T73" s="34">
        <f>IFERROR(IF($U73="",1,INDEX(Deals!$W$2:$W$355,MATCH($C73,Deals!$A$2:$A$355,0))),1)</f>
        <v/>
      </c>
      <c r="U73" s="22">
        <f>IF($C73="","",IFERROR(IF(INDEX(Deals!$Y$2:$Y$355,MATCH($C73,Deals!$A$2:$A$355,0))=0,"",INDEX(Deals!$Y$2:$Y$355,MATCH($C73,Deals!$A$2:$A$355,0))),""))</f>
        <v/>
      </c>
      <c r="V73" s="35">
        <f>IF($U73="",DATE(1900,1,1),$N73)</f>
        <v/>
      </c>
      <c r="W73" s="35">
        <f>IF($U73="",DATE(2100,12,31),$U73)</f>
        <v/>
      </c>
      <c r="X73" s="32">
        <f>IF($U73="",$K73,$K73*$S73)</f>
        <v/>
      </c>
      <c r="Y73" s="35">
        <f>IF($U73="",DATE(2100,12,31),$U73+1)</f>
        <v/>
      </c>
      <c r="Z73" s="35">
        <f>IF($U73="",DATE(1900,1,1),$O73)</f>
        <v/>
      </c>
      <c r="AA73" s="32">
        <f>IF($U73="",0,$K73*$T73)</f>
        <v/>
      </c>
      <c r="AB73" s="21">
        <f>IF($C73="",0,IFERROR(INDEX(Deals!$AD$2:$AD$355,MATCH($C73,Deals!$A$2:$A$355,0)),0))</f>
        <v/>
      </c>
      <c r="AC73" s="32">
        <f>IF(Settings!$B$4="Yes",$I73*$AB73,$I73)</f>
        <v/>
      </c>
      <c r="AD73" s="22">
        <f>IF($C73="","",IFERROR(IF(INDEX(Deals!$AE$2:$AE$355,MATCH($C73,Deals!$A$2:$A$355,0))=0,"",INDEX(Deals!$AE$2:$AE$355,MATCH($C73,Deals!$A$2:$A$355,0))),""))</f>
        <v/>
      </c>
      <c r="AE73" s="22">
        <f>IF($C73="","",IFERROR(IF(INDEX(Deals!$AF$2:$AF$355,MATCH($C73,Deals!$A$2:$A$355,0))=0,"",INDEX(Deals!$AF$2:$AF$355,MATCH($C73,Deals!$A$2:$A$355,0))),""))</f>
        <v/>
      </c>
      <c r="AF73" s="35">
        <f>IF($AD73="",DATE(1900,1,1),$AD73)</f>
        <v/>
      </c>
      <c r="AG73" s="35">
        <f>IF($AE73="",DATE(2100,12,31),$AE73)</f>
        <v/>
      </c>
      <c r="AH73" s="22">
        <f>IF($C73="","",IFERROR(IF(INDEX(Deals!$AG$2:$AG$355,MATCH($C73,Deals!$A$2:$A$355,0))=0,"",INDEX(Deals!$AG$2:$AG$355,MATCH($C73,Deals!$A$2:$A$355,0))),""))</f>
        <v/>
      </c>
      <c r="AI73" s="35">
        <f>IF($AH73="",DATE(1900,1,1),$AF73)</f>
        <v/>
      </c>
      <c r="AJ73" s="35">
        <f>IF($AH73="",DATE(2100,12,31),$AH73)</f>
        <v/>
      </c>
      <c r="AK73" s="32">
        <f>IF($AH73="",$AC73,$AC73*$S73)</f>
        <v/>
      </c>
      <c r="AL73" s="35">
        <f>IF($AH73="",DATE(2100,12,31),$AH73+1)</f>
        <v/>
      </c>
      <c r="AM73" s="35">
        <f>IF($AH73="",DATE(1900,1,1),$AG73)</f>
        <v/>
      </c>
      <c r="AN73" s="32">
        <f>IF($AH73="",0,$AC73*$T73)</f>
        <v/>
      </c>
    </row>
    <row r="74">
      <c r="A74" s="28" t="inlineStr">
        <is>
          <t>John</t>
        </is>
      </c>
      <c r="B74" s="16">
        <f>IF($A74="","",IFERROR(INDEX(Roster!$B$2:$B$40,MATCH($A74,Roster!$A$2:$A$40,0)),"?"))</f>
        <v/>
      </c>
      <c r="C74" s="28" t="inlineStr">
        <is>
          <t>Mozart_2</t>
        </is>
      </c>
      <c r="D74" s="16">
        <f>IF($C74="","",IFERROR(IF(INDEX(Deals!$C$2:$C$355,MATCH($C74,Deals!$A$2:$A$355,0))=0,"",INDEX(Deals!$C$2:$C$355,MATCH($C74,Deals!$A$2:$A$355,0))),"?"))</f>
        <v/>
      </c>
      <c r="E74" s="16">
        <f>IF($C74="","",IFERROR(INDEX(Deals!$F$2:$F$355,MATCH($C74,Deals!$A$2:$A$355,0)),"?"))</f>
        <v/>
      </c>
      <c r="F74" s="28" t="inlineStr">
        <is>
          <t>Partner</t>
        </is>
      </c>
      <c r="G74" s="28" t="inlineStr">
        <is>
          <t>Active</t>
        </is>
      </c>
      <c r="H74" s="31" t="n"/>
      <c r="I74" s="32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1">
        <f>IF($C74="",0,IFERROR(INDEX(Deals!$H$2:$H$355,MATCH($C74,Deals!$A$2:$A$355,0)),0))</f>
        <v/>
      </c>
      <c r="K74" s="32">
        <f>IF(Settings!$B$4="Yes",$I74*$J74,$I74)</f>
        <v/>
      </c>
      <c r="L74" s="22">
        <f>IF($C74="","",IFERROR(IF(INDEX(Deals!$I$2:$I$355,MATCH($C74,Deals!$A$2:$A$355,0))=0,"",INDEX(Deals!$I$2:$I$355,MATCH($C74,Deals!$A$2:$A$355,0))),""))</f>
        <v/>
      </c>
      <c r="M74" s="22">
        <f>IF($C74="","",IFERROR(IF(INDEX(Deals!$J$2:$J$355,MATCH($C74,Deals!$A$2:$A$355,0))=0,"",INDEX(Deals!$J$2:$J$355,MATCH($C74,Deals!$A$2:$A$355,0))),""))</f>
        <v/>
      </c>
      <c r="N74" s="35">
        <f>IF($L74="",DATE(1900,1,1),$L74)</f>
        <v/>
      </c>
      <c r="O74" s="35">
        <f>IF($M74="",DATE(2100,12,31),$M74)</f>
        <v/>
      </c>
      <c r="P74" s="20" t="inlineStr"/>
      <c r="Q74" s="43" t="inlineStr"/>
      <c r="R74" s="16">
        <f>IF($C74="","",IFERROR(IF(INDEX(Deals!$U$2:$U$355,MATCH($C74,Deals!$A$2:$A$355,0))=0,"",INDEX(Deals!$U$2:$U$355,MATCH($C74,Deals!$A$2:$A$355,0))),""))</f>
        <v/>
      </c>
      <c r="S74" s="34">
        <f>IFERROR(IF($U74="",1,INDEX(Deals!$V$2:$V$355,MATCH($C74,Deals!$A$2:$A$355,0))),1)</f>
        <v/>
      </c>
      <c r="T74" s="34">
        <f>IFERROR(IF($U74="",1,INDEX(Deals!$W$2:$W$355,MATCH($C74,Deals!$A$2:$A$355,0))),1)</f>
        <v/>
      </c>
      <c r="U74" s="22">
        <f>IF($C74="","",IFERROR(IF(INDEX(Deals!$Y$2:$Y$355,MATCH($C74,Deals!$A$2:$A$355,0))=0,"",INDEX(Deals!$Y$2:$Y$355,MATCH($C74,Deals!$A$2:$A$355,0))),""))</f>
        <v/>
      </c>
      <c r="V74" s="35">
        <f>IF($U74="",DATE(1900,1,1),$N74)</f>
        <v/>
      </c>
      <c r="W74" s="35">
        <f>IF($U74="",DATE(2100,12,31),$U74)</f>
        <v/>
      </c>
      <c r="X74" s="32">
        <f>IF($U74="",$K74,$K74*$S74)</f>
        <v/>
      </c>
      <c r="Y74" s="35">
        <f>IF($U74="",DATE(2100,12,31),$U74+1)</f>
        <v/>
      </c>
      <c r="Z74" s="35">
        <f>IF($U74="",DATE(1900,1,1),$O74)</f>
        <v/>
      </c>
      <c r="AA74" s="32">
        <f>IF($U74="",0,$K74*$T74)</f>
        <v/>
      </c>
      <c r="AB74" s="21">
        <f>IF($C74="",0,IFERROR(INDEX(Deals!$AD$2:$AD$355,MATCH($C74,Deals!$A$2:$A$355,0)),0))</f>
        <v/>
      </c>
      <c r="AC74" s="32">
        <f>IF(Settings!$B$4="Yes",$I74*$AB74,$I74)</f>
        <v/>
      </c>
      <c r="AD74" s="22">
        <f>IF($C74="","",IFERROR(IF(INDEX(Deals!$AE$2:$AE$355,MATCH($C74,Deals!$A$2:$A$355,0))=0,"",INDEX(Deals!$AE$2:$AE$355,MATCH($C74,Deals!$A$2:$A$355,0))),""))</f>
        <v/>
      </c>
      <c r="AE74" s="22">
        <f>IF($C74="","",IFERROR(IF(INDEX(Deals!$AF$2:$AF$355,MATCH($C74,Deals!$A$2:$A$355,0))=0,"",INDEX(Deals!$AF$2:$AF$355,MATCH($C74,Deals!$A$2:$A$355,0))),""))</f>
        <v/>
      </c>
      <c r="AF74" s="35">
        <f>IF($AD74="",DATE(1900,1,1),$AD74)</f>
        <v/>
      </c>
      <c r="AG74" s="35">
        <f>IF($AE74="",DATE(2100,12,31),$AE74)</f>
        <v/>
      </c>
      <c r="AH74" s="22">
        <f>IF($C74="","",IFERROR(IF(INDEX(Deals!$AG$2:$AG$355,MATCH($C74,Deals!$A$2:$A$355,0))=0,"",INDEX(Deals!$AG$2:$AG$355,MATCH($C74,Deals!$A$2:$A$355,0))),""))</f>
        <v/>
      </c>
      <c r="AI74" s="35">
        <f>IF($AH74="",DATE(1900,1,1),$AF74)</f>
        <v/>
      </c>
      <c r="AJ74" s="35">
        <f>IF($AH74="",DATE(2100,12,31),$AH74)</f>
        <v/>
      </c>
      <c r="AK74" s="32">
        <f>IF($AH74="",$AC74,$AC74*$S74)</f>
        <v/>
      </c>
      <c r="AL74" s="35">
        <f>IF($AH74="",DATE(2100,12,31),$AH74+1)</f>
        <v/>
      </c>
      <c r="AM74" s="35">
        <f>IF($AH74="",DATE(1900,1,1),$AG74)</f>
        <v/>
      </c>
      <c r="AN74" s="32">
        <f>IF($AH74="",0,$AC74*$T74)</f>
        <v/>
      </c>
    </row>
    <row r="75">
      <c r="A75" s="28" t="inlineStr">
        <is>
          <t>John</t>
        </is>
      </c>
      <c r="B75" s="16">
        <f>IF($A75="","",IFERROR(INDEX(Roster!$B$2:$B$40,MATCH($A75,Roster!$A$2:$A$40,0)),"?"))</f>
        <v/>
      </c>
      <c r="C75" s="28" t="inlineStr">
        <is>
          <t>Odysee/Atlas_2</t>
        </is>
      </c>
      <c r="D75" s="16">
        <f>IF($C75="","",IFERROR(IF(INDEX(Deals!$C$2:$C$355,MATCH($C75,Deals!$A$2:$A$355,0))=0,"",INDEX(Deals!$C$2:$C$355,MATCH($C75,Deals!$A$2:$A$355,0))),"?"))</f>
        <v/>
      </c>
      <c r="E75" s="16">
        <f>IF($C75="","",IFERROR(INDEX(Deals!$F$2:$F$355,MATCH($C75,Deals!$A$2:$A$355,0)),"?"))</f>
        <v/>
      </c>
      <c r="F75" s="28" t="inlineStr">
        <is>
          <t>Partner</t>
        </is>
      </c>
      <c r="G75" s="28" t="inlineStr">
        <is>
          <t>Active</t>
        </is>
      </c>
      <c r="H75" s="31" t="n"/>
      <c r="I75" s="32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1">
        <f>IF($C75="",0,IFERROR(INDEX(Deals!$H$2:$H$355,MATCH($C75,Deals!$A$2:$A$355,0)),0))</f>
        <v/>
      </c>
      <c r="K75" s="32">
        <f>IF(Settings!$B$4="Yes",$I75*$J75,$I75)</f>
        <v/>
      </c>
      <c r="L75" s="22">
        <f>IF($C75="","",IFERROR(IF(INDEX(Deals!$I$2:$I$355,MATCH($C75,Deals!$A$2:$A$355,0))=0,"",INDEX(Deals!$I$2:$I$355,MATCH($C75,Deals!$A$2:$A$355,0))),""))</f>
        <v/>
      </c>
      <c r="M75" s="22">
        <f>IF($C75="","",IFERROR(IF(INDEX(Deals!$J$2:$J$355,MATCH($C75,Deals!$A$2:$A$355,0))=0,"",INDEX(Deals!$J$2:$J$355,MATCH($C75,Deals!$A$2:$A$355,0))),""))</f>
        <v/>
      </c>
      <c r="N75" s="35">
        <f>IF($L75="",DATE(1900,1,1),$L75)</f>
        <v/>
      </c>
      <c r="O75" s="35">
        <f>IF($M75="",DATE(2100,12,31),$M75)</f>
        <v/>
      </c>
      <c r="P75" s="20" t="inlineStr"/>
      <c r="Q75" s="43" t="inlineStr"/>
      <c r="R75" s="16">
        <f>IF($C75="","",IFERROR(IF(INDEX(Deals!$U$2:$U$355,MATCH($C75,Deals!$A$2:$A$355,0))=0,"",INDEX(Deals!$U$2:$U$355,MATCH($C75,Deals!$A$2:$A$355,0))),""))</f>
        <v/>
      </c>
      <c r="S75" s="34">
        <f>IFERROR(IF($U75="",1,INDEX(Deals!$V$2:$V$355,MATCH($C75,Deals!$A$2:$A$355,0))),1)</f>
        <v/>
      </c>
      <c r="T75" s="34">
        <f>IFERROR(IF($U75="",1,INDEX(Deals!$W$2:$W$355,MATCH($C75,Deals!$A$2:$A$355,0))),1)</f>
        <v/>
      </c>
      <c r="U75" s="22">
        <f>IF($C75="","",IFERROR(IF(INDEX(Deals!$Y$2:$Y$355,MATCH($C75,Deals!$A$2:$A$355,0))=0,"",INDEX(Deals!$Y$2:$Y$355,MATCH($C75,Deals!$A$2:$A$355,0))),""))</f>
        <v/>
      </c>
      <c r="V75" s="35">
        <f>IF($U75="",DATE(1900,1,1),$N75)</f>
        <v/>
      </c>
      <c r="W75" s="35">
        <f>IF($U75="",DATE(2100,12,31),$U75)</f>
        <v/>
      </c>
      <c r="X75" s="32">
        <f>IF($U75="",$K75,$K75*$S75)</f>
        <v/>
      </c>
      <c r="Y75" s="35">
        <f>IF($U75="",DATE(2100,12,31),$U75+1)</f>
        <v/>
      </c>
      <c r="Z75" s="35">
        <f>IF($U75="",DATE(1900,1,1),$O75)</f>
        <v/>
      </c>
      <c r="AA75" s="32">
        <f>IF($U75="",0,$K75*$T75)</f>
        <v/>
      </c>
      <c r="AB75" s="21">
        <f>IF($C75="",0,IFERROR(INDEX(Deals!$AD$2:$AD$355,MATCH($C75,Deals!$A$2:$A$355,0)),0))</f>
        <v/>
      </c>
      <c r="AC75" s="32">
        <f>IF(Settings!$B$4="Yes",$I75*$AB75,$I75)</f>
        <v/>
      </c>
      <c r="AD75" s="22">
        <f>IF($C75="","",IFERROR(IF(INDEX(Deals!$AE$2:$AE$355,MATCH($C75,Deals!$A$2:$A$355,0))=0,"",INDEX(Deals!$AE$2:$AE$355,MATCH($C75,Deals!$A$2:$A$355,0))),""))</f>
        <v/>
      </c>
      <c r="AE75" s="22">
        <f>IF($C75="","",IFERROR(IF(INDEX(Deals!$AF$2:$AF$355,MATCH($C75,Deals!$A$2:$A$355,0))=0,"",INDEX(Deals!$AF$2:$AF$355,MATCH($C75,Deals!$A$2:$A$355,0))),""))</f>
        <v/>
      </c>
      <c r="AF75" s="35">
        <f>IF($AD75="",DATE(1900,1,1),$AD75)</f>
        <v/>
      </c>
      <c r="AG75" s="35">
        <f>IF($AE75="",DATE(2100,12,31),$AE75)</f>
        <v/>
      </c>
      <c r="AH75" s="22">
        <f>IF($C75="","",IFERROR(IF(INDEX(Deals!$AG$2:$AG$355,MATCH($C75,Deals!$A$2:$A$355,0))=0,"",INDEX(Deals!$AG$2:$AG$355,MATCH($C75,Deals!$A$2:$A$355,0))),""))</f>
        <v/>
      </c>
      <c r="AI75" s="35">
        <f>IF($AH75="",DATE(1900,1,1),$AF75)</f>
        <v/>
      </c>
      <c r="AJ75" s="35">
        <f>IF($AH75="",DATE(2100,12,31),$AH75)</f>
        <v/>
      </c>
      <c r="AK75" s="32">
        <f>IF($AH75="",$AC75,$AC75*$S75)</f>
        <v/>
      </c>
      <c r="AL75" s="35">
        <f>IF($AH75="",DATE(2100,12,31),$AH75+1)</f>
        <v/>
      </c>
      <c r="AM75" s="35">
        <f>IF($AH75="",DATE(1900,1,1),$AG75)</f>
        <v/>
      </c>
      <c r="AN75" s="32">
        <f>IF($AH75="",0,$AC75*$T75)</f>
        <v/>
      </c>
    </row>
    <row r="76">
      <c r="A76" s="28" t="inlineStr">
        <is>
          <t>John</t>
        </is>
      </c>
      <c r="B76" s="16">
        <f>IF($A76="","",IFERROR(INDEX(Roster!$B$2:$B$40,MATCH($A76,Roster!$A$2:$A$40,0)),"?"))</f>
        <v/>
      </c>
      <c r="C76" s="28" t="inlineStr">
        <is>
          <t>Orange_4</t>
        </is>
      </c>
      <c r="D76" s="16">
        <f>IF($C76="","",IFERROR(IF(INDEX(Deals!$C$2:$C$355,MATCH($C76,Deals!$A$2:$A$355,0))=0,"",INDEX(Deals!$C$2:$C$355,MATCH($C76,Deals!$A$2:$A$355,0))),"?"))</f>
        <v/>
      </c>
      <c r="E76" s="16">
        <f>IF($C76="","",IFERROR(INDEX(Deals!$F$2:$F$355,MATCH($C76,Deals!$A$2:$A$355,0)),"?"))</f>
        <v/>
      </c>
      <c r="F76" s="28" t="inlineStr">
        <is>
          <t>Partner</t>
        </is>
      </c>
      <c r="G76" s="28" t="inlineStr">
        <is>
          <t>Active</t>
        </is>
      </c>
      <c r="H76" s="31" t="n"/>
      <c r="I76" s="32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1">
        <f>IF($C76="",0,IFERROR(INDEX(Deals!$H$2:$H$355,MATCH($C76,Deals!$A$2:$A$355,0)),0))</f>
        <v/>
      </c>
      <c r="K76" s="32">
        <f>IF(Settings!$B$4="Yes",$I76*$J76,$I76)</f>
        <v/>
      </c>
      <c r="L76" s="22">
        <f>IF($C76="","",IFERROR(IF(INDEX(Deals!$I$2:$I$355,MATCH($C76,Deals!$A$2:$A$355,0))=0,"",INDEX(Deals!$I$2:$I$355,MATCH($C76,Deals!$A$2:$A$355,0))),""))</f>
        <v/>
      </c>
      <c r="M76" s="22">
        <f>IF($C76="","",IFERROR(IF(INDEX(Deals!$J$2:$J$355,MATCH($C76,Deals!$A$2:$A$355,0))=0,"",INDEX(Deals!$J$2:$J$355,MATCH($C76,Deals!$A$2:$A$355,0))),""))</f>
        <v/>
      </c>
      <c r="N76" s="35">
        <f>IF($L76="",DATE(1900,1,1),$L76)</f>
        <v/>
      </c>
      <c r="O76" s="35">
        <f>IF($M76="",DATE(2100,12,31),$M76)</f>
        <v/>
      </c>
      <c r="P76" s="20" t="inlineStr"/>
      <c r="Q76" s="43" t="inlineStr"/>
      <c r="R76" s="16">
        <f>IF($C76="","",IFERROR(IF(INDEX(Deals!$U$2:$U$355,MATCH($C76,Deals!$A$2:$A$355,0))=0,"",INDEX(Deals!$U$2:$U$355,MATCH($C76,Deals!$A$2:$A$355,0))),""))</f>
        <v/>
      </c>
      <c r="S76" s="34">
        <f>IFERROR(IF($U76="",1,INDEX(Deals!$V$2:$V$355,MATCH($C76,Deals!$A$2:$A$355,0))),1)</f>
        <v/>
      </c>
      <c r="T76" s="34">
        <f>IFERROR(IF($U76="",1,INDEX(Deals!$W$2:$W$355,MATCH($C76,Deals!$A$2:$A$355,0))),1)</f>
        <v/>
      </c>
      <c r="U76" s="22">
        <f>IF($C76="","",IFERROR(IF(INDEX(Deals!$Y$2:$Y$355,MATCH($C76,Deals!$A$2:$A$355,0))=0,"",INDEX(Deals!$Y$2:$Y$355,MATCH($C76,Deals!$A$2:$A$355,0))),""))</f>
        <v/>
      </c>
      <c r="V76" s="35">
        <f>IF($U76="",DATE(1900,1,1),$N76)</f>
        <v/>
      </c>
      <c r="W76" s="35">
        <f>IF($U76="",DATE(2100,12,31),$U76)</f>
        <v/>
      </c>
      <c r="X76" s="32">
        <f>IF($U76="",$K76,$K76*$S76)</f>
        <v/>
      </c>
      <c r="Y76" s="35">
        <f>IF($U76="",DATE(2100,12,31),$U76+1)</f>
        <v/>
      </c>
      <c r="Z76" s="35">
        <f>IF($U76="",DATE(1900,1,1),$O76)</f>
        <v/>
      </c>
      <c r="AA76" s="32">
        <f>IF($U76="",0,$K76*$T76)</f>
        <v/>
      </c>
      <c r="AB76" s="21">
        <f>IF($C76="",0,IFERROR(INDEX(Deals!$AD$2:$AD$355,MATCH($C76,Deals!$A$2:$A$355,0)),0))</f>
        <v/>
      </c>
      <c r="AC76" s="32">
        <f>IF(Settings!$B$4="Yes",$I76*$AB76,$I76)</f>
        <v/>
      </c>
      <c r="AD76" s="22">
        <f>IF($C76="","",IFERROR(IF(INDEX(Deals!$AE$2:$AE$355,MATCH($C76,Deals!$A$2:$A$355,0))=0,"",INDEX(Deals!$AE$2:$AE$355,MATCH($C76,Deals!$A$2:$A$355,0))),""))</f>
        <v/>
      </c>
      <c r="AE76" s="22">
        <f>IF($C76="","",IFERROR(IF(INDEX(Deals!$AF$2:$AF$355,MATCH($C76,Deals!$A$2:$A$355,0))=0,"",INDEX(Deals!$AF$2:$AF$355,MATCH($C76,Deals!$A$2:$A$355,0))),""))</f>
        <v/>
      </c>
      <c r="AF76" s="35">
        <f>IF($AD76="",DATE(1900,1,1),$AD76)</f>
        <v/>
      </c>
      <c r="AG76" s="35">
        <f>IF($AE76="",DATE(2100,12,31),$AE76)</f>
        <v/>
      </c>
      <c r="AH76" s="22">
        <f>IF($C76="","",IFERROR(IF(INDEX(Deals!$AG$2:$AG$355,MATCH($C76,Deals!$A$2:$A$355,0))=0,"",INDEX(Deals!$AG$2:$AG$355,MATCH($C76,Deals!$A$2:$A$355,0))),""))</f>
        <v/>
      </c>
      <c r="AI76" s="35">
        <f>IF($AH76="",DATE(1900,1,1),$AF76)</f>
        <v/>
      </c>
      <c r="AJ76" s="35">
        <f>IF($AH76="",DATE(2100,12,31),$AH76)</f>
        <v/>
      </c>
      <c r="AK76" s="32">
        <f>IF($AH76="",$AC76,$AC76*$S76)</f>
        <v/>
      </c>
      <c r="AL76" s="35">
        <f>IF($AH76="",DATE(2100,12,31),$AH76+1)</f>
        <v/>
      </c>
      <c r="AM76" s="35">
        <f>IF($AH76="",DATE(1900,1,1),$AG76)</f>
        <v/>
      </c>
      <c r="AN76" s="32">
        <f>IF($AH76="",0,$AC76*$T76)</f>
        <v/>
      </c>
    </row>
    <row r="77">
      <c r="A77" s="28" t="inlineStr">
        <is>
          <t>John</t>
        </is>
      </c>
      <c r="B77" s="16">
        <f>IF($A77="","",IFERROR(INDEX(Roster!$B$2:$B$40,MATCH($A77,Roster!$A$2:$A$40,0)),"?"))</f>
        <v/>
      </c>
      <c r="C77" s="28" t="inlineStr">
        <is>
          <t>Orca_1</t>
        </is>
      </c>
      <c r="D77" s="16">
        <f>IF($C77="","",IFERROR(IF(INDEX(Deals!$C$2:$C$355,MATCH($C77,Deals!$A$2:$A$355,0))=0,"",INDEX(Deals!$C$2:$C$355,MATCH($C77,Deals!$A$2:$A$355,0))),"?"))</f>
        <v/>
      </c>
      <c r="E77" s="16">
        <f>IF($C77="","",IFERROR(INDEX(Deals!$F$2:$F$355,MATCH($C77,Deals!$A$2:$A$355,0)),"?"))</f>
        <v/>
      </c>
      <c r="F77" s="28" t="inlineStr">
        <is>
          <t>Partner</t>
        </is>
      </c>
      <c r="G77" s="28" t="inlineStr">
        <is>
          <t>Active</t>
        </is>
      </c>
      <c r="H77" s="31" t="n"/>
      <c r="I77" s="32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1">
        <f>IF($C77="",0,IFERROR(INDEX(Deals!$H$2:$H$355,MATCH($C77,Deals!$A$2:$A$355,0)),0))</f>
        <v/>
      </c>
      <c r="K77" s="32">
        <f>IF(Settings!$B$4="Yes",$I77*$J77,$I77)</f>
        <v/>
      </c>
      <c r="L77" s="22">
        <f>IF($C77="","",IFERROR(IF(INDEX(Deals!$I$2:$I$355,MATCH($C77,Deals!$A$2:$A$355,0))=0,"",INDEX(Deals!$I$2:$I$355,MATCH($C77,Deals!$A$2:$A$355,0))),""))</f>
        <v/>
      </c>
      <c r="M77" s="22">
        <f>IF($C77="","",IFERROR(IF(INDEX(Deals!$J$2:$J$355,MATCH($C77,Deals!$A$2:$A$355,0))=0,"",INDEX(Deals!$J$2:$J$355,MATCH($C77,Deals!$A$2:$A$355,0))),""))</f>
        <v/>
      </c>
      <c r="N77" s="35">
        <f>IF($L77="",DATE(1900,1,1),$L77)</f>
        <v/>
      </c>
      <c r="O77" s="35">
        <f>IF($M77="",DATE(2100,12,31),$M77)</f>
        <v/>
      </c>
      <c r="P77" s="20" t="inlineStr"/>
      <c r="Q77" s="43" t="inlineStr"/>
      <c r="R77" s="16">
        <f>IF($C77="","",IFERROR(IF(INDEX(Deals!$U$2:$U$355,MATCH($C77,Deals!$A$2:$A$355,0))=0,"",INDEX(Deals!$U$2:$U$355,MATCH($C77,Deals!$A$2:$A$355,0))),""))</f>
        <v/>
      </c>
      <c r="S77" s="34">
        <f>IFERROR(IF($U77="",1,INDEX(Deals!$V$2:$V$355,MATCH($C77,Deals!$A$2:$A$355,0))),1)</f>
        <v/>
      </c>
      <c r="T77" s="34">
        <f>IFERROR(IF($U77="",1,INDEX(Deals!$W$2:$W$355,MATCH($C77,Deals!$A$2:$A$355,0))),1)</f>
        <v/>
      </c>
      <c r="U77" s="22">
        <f>IF($C77="","",IFERROR(IF(INDEX(Deals!$Y$2:$Y$355,MATCH($C77,Deals!$A$2:$A$355,0))=0,"",INDEX(Deals!$Y$2:$Y$355,MATCH($C77,Deals!$A$2:$A$355,0))),""))</f>
        <v/>
      </c>
      <c r="V77" s="35">
        <f>IF($U77="",DATE(1900,1,1),$N77)</f>
        <v/>
      </c>
      <c r="W77" s="35">
        <f>IF($U77="",DATE(2100,12,31),$U77)</f>
        <v/>
      </c>
      <c r="X77" s="32">
        <f>IF($U77="",$K77,$K77*$S77)</f>
        <v/>
      </c>
      <c r="Y77" s="35">
        <f>IF($U77="",DATE(2100,12,31),$U77+1)</f>
        <v/>
      </c>
      <c r="Z77" s="35">
        <f>IF($U77="",DATE(1900,1,1),$O77)</f>
        <v/>
      </c>
      <c r="AA77" s="32">
        <f>IF($U77="",0,$K77*$T77)</f>
        <v/>
      </c>
      <c r="AB77" s="21">
        <f>IF($C77="",0,IFERROR(INDEX(Deals!$AD$2:$AD$355,MATCH($C77,Deals!$A$2:$A$355,0)),0))</f>
        <v/>
      </c>
      <c r="AC77" s="32">
        <f>IF(Settings!$B$4="Yes",$I77*$AB77,$I77)</f>
        <v/>
      </c>
      <c r="AD77" s="22">
        <f>IF($C77="","",IFERROR(IF(INDEX(Deals!$AE$2:$AE$355,MATCH($C77,Deals!$A$2:$A$355,0))=0,"",INDEX(Deals!$AE$2:$AE$355,MATCH($C77,Deals!$A$2:$A$355,0))),""))</f>
        <v/>
      </c>
      <c r="AE77" s="22">
        <f>IF($C77="","",IFERROR(IF(INDEX(Deals!$AF$2:$AF$355,MATCH($C77,Deals!$A$2:$A$355,0))=0,"",INDEX(Deals!$AF$2:$AF$355,MATCH($C77,Deals!$A$2:$A$355,0))),""))</f>
        <v/>
      </c>
      <c r="AF77" s="35">
        <f>IF($AD77="",DATE(1900,1,1),$AD77)</f>
        <v/>
      </c>
      <c r="AG77" s="35">
        <f>IF($AE77="",DATE(2100,12,31),$AE77)</f>
        <v/>
      </c>
      <c r="AH77" s="22">
        <f>IF($C77="","",IFERROR(IF(INDEX(Deals!$AG$2:$AG$355,MATCH($C77,Deals!$A$2:$A$355,0))=0,"",INDEX(Deals!$AG$2:$AG$355,MATCH($C77,Deals!$A$2:$A$355,0))),""))</f>
        <v/>
      </c>
      <c r="AI77" s="35">
        <f>IF($AH77="",DATE(1900,1,1),$AF77)</f>
        <v/>
      </c>
      <c r="AJ77" s="35">
        <f>IF($AH77="",DATE(2100,12,31),$AH77)</f>
        <v/>
      </c>
      <c r="AK77" s="32">
        <f>IF($AH77="",$AC77,$AC77*$S77)</f>
        <v/>
      </c>
      <c r="AL77" s="35">
        <f>IF($AH77="",DATE(2100,12,31),$AH77+1)</f>
        <v/>
      </c>
      <c r="AM77" s="35">
        <f>IF($AH77="",DATE(1900,1,1),$AG77)</f>
        <v/>
      </c>
      <c r="AN77" s="32">
        <f>IF($AH77="",0,$AC77*$T77)</f>
        <v/>
      </c>
    </row>
    <row r="78">
      <c r="A78" s="28" t="inlineStr">
        <is>
          <t>John</t>
        </is>
      </c>
      <c r="B78" s="16">
        <f>IF($A78="","",IFERROR(INDEX(Roster!$B$2:$B$40,MATCH($A78,Roster!$A$2:$A$40,0)),"?"))</f>
        <v/>
      </c>
      <c r="C78" s="28" t="inlineStr">
        <is>
          <t>Pennsylvania_1</t>
        </is>
      </c>
      <c r="D78" s="16">
        <f>IF($C78="","",IFERROR(IF(INDEX(Deals!$C$2:$C$355,MATCH($C78,Deals!$A$2:$A$355,0))=0,"",INDEX(Deals!$C$2:$C$355,MATCH($C78,Deals!$A$2:$A$355,0))),"?"))</f>
        <v/>
      </c>
      <c r="E78" s="16">
        <f>IF($C78="","",IFERROR(INDEX(Deals!$F$2:$F$355,MATCH($C78,Deals!$A$2:$A$355,0)),"?"))</f>
        <v/>
      </c>
      <c r="F78" s="28" t="inlineStr">
        <is>
          <t>Partner</t>
        </is>
      </c>
      <c r="G78" s="28" t="inlineStr">
        <is>
          <t>Active</t>
        </is>
      </c>
      <c r="H78" s="31" t="n"/>
      <c r="I78" s="32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1">
        <f>IF($C78="",0,IFERROR(INDEX(Deals!$H$2:$H$355,MATCH($C78,Deals!$A$2:$A$355,0)),0))</f>
        <v/>
      </c>
      <c r="K78" s="32">
        <f>IF(Settings!$B$4="Yes",$I78*$J78,$I78)</f>
        <v/>
      </c>
      <c r="L78" s="22">
        <f>IF($C78="","",IFERROR(IF(INDEX(Deals!$I$2:$I$355,MATCH($C78,Deals!$A$2:$A$355,0))=0,"",INDEX(Deals!$I$2:$I$355,MATCH($C78,Deals!$A$2:$A$355,0))),""))</f>
        <v/>
      </c>
      <c r="M78" s="22">
        <f>IF($C78="","",IFERROR(IF(INDEX(Deals!$J$2:$J$355,MATCH($C78,Deals!$A$2:$A$355,0))=0,"",INDEX(Deals!$J$2:$J$355,MATCH($C78,Deals!$A$2:$A$355,0))),""))</f>
        <v/>
      </c>
      <c r="N78" s="35">
        <f>IF($L78="",DATE(1900,1,1),$L78)</f>
        <v/>
      </c>
      <c r="O78" s="35">
        <f>IF($M78="",DATE(2100,12,31),$M78)</f>
        <v/>
      </c>
      <c r="P78" s="20" t="inlineStr"/>
      <c r="Q78" s="43" t="inlineStr"/>
      <c r="R78" s="16">
        <f>IF($C78="","",IFERROR(IF(INDEX(Deals!$U$2:$U$355,MATCH($C78,Deals!$A$2:$A$355,0))=0,"",INDEX(Deals!$U$2:$U$355,MATCH($C78,Deals!$A$2:$A$355,0))),""))</f>
        <v/>
      </c>
      <c r="S78" s="34">
        <f>IFERROR(IF($U78="",1,INDEX(Deals!$V$2:$V$355,MATCH($C78,Deals!$A$2:$A$355,0))),1)</f>
        <v/>
      </c>
      <c r="T78" s="34">
        <f>IFERROR(IF($U78="",1,INDEX(Deals!$W$2:$W$355,MATCH($C78,Deals!$A$2:$A$355,0))),1)</f>
        <v/>
      </c>
      <c r="U78" s="22">
        <f>IF($C78="","",IFERROR(IF(INDEX(Deals!$Y$2:$Y$355,MATCH($C78,Deals!$A$2:$A$355,0))=0,"",INDEX(Deals!$Y$2:$Y$355,MATCH($C78,Deals!$A$2:$A$355,0))),""))</f>
        <v/>
      </c>
      <c r="V78" s="35">
        <f>IF($U78="",DATE(1900,1,1),$N78)</f>
        <v/>
      </c>
      <c r="W78" s="35">
        <f>IF($U78="",DATE(2100,12,31),$U78)</f>
        <v/>
      </c>
      <c r="X78" s="32">
        <f>IF($U78="",$K78,$K78*$S78)</f>
        <v/>
      </c>
      <c r="Y78" s="35">
        <f>IF($U78="",DATE(2100,12,31),$U78+1)</f>
        <v/>
      </c>
      <c r="Z78" s="35">
        <f>IF($U78="",DATE(1900,1,1),$O78)</f>
        <v/>
      </c>
      <c r="AA78" s="32">
        <f>IF($U78="",0,$K78*$T78)</f>
        <v/>
      </c>
      <c r="AB78" s="21">
        <f>IF($C78="",0,IFERROR(INDEX(Deals!$AD$2:$AD$355,MATCH($C78,Deals!$A$2:$A$355,0)),0))</f>
        <v/>
      </c>
      <c r="AC78" s="32">
        <f>IF(Settings!$B$4="Yes",$I78*$AB78,$I78)</f>
        <v/>
      </c>
      <c r="AD78" s="22">
        <f>IF($C78="","",IFERROR(IF(INDEX(Deals!$AE$2:$AE$355,MATCH($C78,Deals!$A$2:$A$355,0))=0,"",INDEX(Deals!$AE$2:$AE$355,MATCH($C78,Deals!$A$2:$A$355,0))),""))</f>
        <v/>
      </c>
      <c r="AE78" s="22">
        <f>IF($C78="","",IFERROR(IF(INDEX(Deals!$AF$2:$AF$355,MATCH($C78,Deals!$A$2:$A$355,0))=0,"",INDEX(Deals!$AF$2:$AF$355,MATCH($C78,Deals!$A$2:$A$355,0))),""))</f>
        <v/>
      </c>
      <c r="AF78" s="35">
        <f>IF($AD78="",DATE(1900,1,1),$AD78)</f>
        <v/>
      </c>
      <c r="AG78" s="35">
        <f>IF($AE78="",DATE(2100,12,31),$AE78)</f>
        <v/>
      </c>
      <c r="AH78" s="22">
        <f>IF($C78="","",IFERROR(IF(INDEX(Deals!$AG$2:$AG$355,MATCH($C78,Deals!$A$2:$A$355,0))=0,"",INDEX(Deals!$AG$2:$AG$355,MATCH($C78,Deals!$A$2:$A$355,0))),""))</f>
        <v/>
      </c>
      <c r="AI78" s="35">
        <f>IF($AH78="",DATE(1900,1,1),$AF78)</f>
        <v/>
      </c>
      <c r="AJ78" s="35">
        <f>IF($AH78="",DATE(2100,12,31),$AH78)</f>
        <v/>
      </c>
      <c r="AK78" s="32">
        <f>IF($AH78="",$AC78,$AC78*$S78)</f>
        <v/>
      </c>
      <c r="AL78" s="35">
        <f>IF($AH78="",DATE(2100,12,31),$AH78+1)</f>
        <v/>
      </c>
      <c r="AM78" s="35">
        <f>IF($AH78="",DATE(1900,1,1),$AG78)</f>
        <v/>
      </c>
      <c r="AN78" s="32">
        <f>IF($AH78="",0,$AC78*$T78)</f>
        <v/>
      </c>
    </row>
    <row r="79">
      <c r="A79" s="28" t="inlineStr">
        <is>
          <t>John</t>
        </is>
      </c>
      <c r="B79" s="16">
        <f>IF($A79="","",IFERROR(INDEX(Roster!$B$2:$B$40,MATCH($A79,Roster!$A$2:$A$40,0)),"?"))</f>
        <v/>
      </c>
      <c r="C79" s="28" t="inlineStr">
        <is>
          <t>Pocket_1</t>
        </is>
      </c>
      <c r="D79" s="16">
        <f>IF($C79="","",IFERROR(IF(INDEX(Deals!$C$2:$C$355,MATCH($C79,Deals!$A$2:$A$355,0))=0,"",INDEX(Deals!$C$2:$C$355,MATCH($C79,Deals!$A$2:$A$355,0))),"?"))</f>
        <v/>
      </c>
      <c r="E79" s="16">
        <f>IF($C79="","",IFERROR(INDEX(Deals!$F$2:$F$355,MATCH($C79,Deals!$A$2:$A$355,0)),"?"))</f>
        <v/>
      </c>
      <c r="F79" s="28" t="inlineStr">
        <is>
          <t>Partner</t>
        </is>
      </c>
      <c r="G79" s="28" t="inlineStr">
        <is>
          <t>Active</t>
        </is>
      </c>
      <c r="H79" s="31" t="n"/>
      <c r="I79" s="32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1">
        <f>IF($C79="",0,IFERROR(INDEX(Deals!$H$2:$H$355,MATCH($C79,Deals!$A$2:$A$355,0)),0))</f>
        <v/>
      </c>
      <c r="K79" s="32">
        <f>IF(Settings!$B$4="Yes",$I79*$J79,$I79)</f>
        <v/>
      </c>
      <c r="L79" s="22">
        <f>IF($C79="","",IFERROR(IF(INDEX(Deals!$I$2:$I$355,MATCH($C79,Deals!$A$2:$A$355,0))=0,"",INDEX(Deals!$I$2:$I$355,MATCH($C79,Deals!$A$2:$A$355,0))),""))</f>
        <v/>
      </c>
      <c r="M79" s="22">
        <f>IF($C79="","",IFERROR(IF(INDEX(Deals!$J$2:$J$355,MATCH($C79,Deals!$A$2:$A$355,0))=0,"",INDEX(Deals!$J$2:$J$355,MATCH($C79,Deals!$A$2:$A$355,0))),""))</f>
        <v/>
      </c>
      <c r="N79" s="35">
        <f>IF($L79="",DATE(1900,1,1),$L79)</f>
        <v/>
      </c>
      <c r="O79" s="35">
        <f>IF($M79="",DATE(2100,12,31),$M79)</f>
        <v/>
      </c>
      <c r="P79" s="20" t="inlineStr"/>
      <c r="Q79" s="43" t="inlineStr"/>
      <c r="R79" s="16">
        <f>IF($C79="","",IFERROR(IF(INDEX(Deals!$U$2:$U$355,MATCH($C79,Deals!$A$2:$A$355,0))=0,"",INDEX(Deals!$U$2:$U$355,MATCH($C79,Deals!$A$2:$A$355,0))),""))</f>
        <v/>
      </c>
      <c r="S79" s="34">
        <f>IFERROR(IF($U79="",1,INDEX(Deals!$V$2:$V$355,MATCH($C79,Deals!$A$2:$A$355,0))),1)</f>
        <v/>
      </c>
      <c r="T79" s="34">
        <f>IFERROR(IF($U79="",1,INDEX(Deals!$W$2:$W$355,MATCH($C79,Deals!$A$2:$A$355,0))),1)</f>
        <v/>
      </c>
      <c r="U79" s="22">
        <f>IF($C79="","",IFERROR(IF(INDEX(Deals!$Y$2:$Y$355,MATCH($C79,Deals!$A$2:$A$355,0))=0,"",INDEX(Deals!$Y$2:$Y$355,MATCH($C79,Deals!$A$2:$A$355,0))),""))</f>
        <v/>
      </c>
      <c r="V79" s="35">
        <f>IF($U79="",DATE(1900,1,1),$N79)</f>
        <v/>
      </c>
      <c r="W79" s="35">
        <f>IF($U79="",DATE(2100,12,31),$U79)</f>
        <v/>
      </c>
      <c r="X79" s="32">
        <f>IF($U79="",$K79,$K79*$S79)</f>
        <v/>
      </c>
      <c r="Y79" s="35">
        <f>IF($U79="",DATE(2100,12,31),$U79+1)</f>
        <v/>
      </c>
      <c r="Z79" s="35">
        <f>IF($U79="",DATE(1900,1,1),$O79)</f>
        <v/>
      </c>
      <c r="AA79" s="32">
        <f>IF($U79="",0,$K79*$T79)</f>
        <v/>
      </c>
      <c r="AB79" s="21">
        <f>IF($C79="",0,IFERROR(INDEX(Deals!$AD$2:$AD$355,MATCH($C79,Deals!$A$2:$A$355,0)),0))</f>
        <v/>
      </c>
      <c r="AC79" s="32">
        <f>IF(Settings!$B$4="Yes",$I79*$AB79,$I79)</f>
        <v/>
      </c>
      <c r="AD79" s="22">
        <f>IF($C79="","",IFERROR(IF(INDEX(Deals!$AE$2:$AE$355,MATCH($C79,Deals!$A$2:$A$355,0))=0,"",INDEX(Deals!$AE$2:$AE$355,MATCH($C79,Deals!$A$2:$A$355,0))),""))</f>
        <v/>
      </c>
      <c r="AE79" s="22">
        <f>IF($C79="","",IFERROR(IF(INDEX(Deals!$AF$2:$AF$355,MATCH($C79,Deals!$A$2:$A$355,0))=0,"",INDEX(Deals!$AF$2:$AF$355,MATCH($C79,Deals!$A$2:$A$355,0))),""))</f>
        <v/>
      </c>
      <c r="AF79" s="35">
        <f>IF($AD79="",DATE(1900,1,1),$AD79)</f>
        <v/>
      </c>
      <c r="AG79" s="35">
        <f>IF($AE79="",DATE(2100,12,31),$AE79)</f>
        <v/>
      </c>
      <c r="AH79" s="22">
        <f>IF($C79="","",IFERROR(IF(INDEX(Deals!$AG$2:$AG$355,MATCH($C79,Deals!$A$2:$A$355,0))=0,"",INDEX(Deals!$AG$2:$AG$355,MATCH($C79,Deals!$A$2:$A$355,0))),""))</f>
        <v/>
      </c>
      <c r="AI79" s="35">
        <f>IF($AH79="",DATE(1900,1,1),$AF79)</f>
        <v/>
      </c>
      <c r="AJ79" s="35">
        <f>IF($AH79="",DATE(2100,12,31),$AH79)</f>
        <v/>
      </c>
      <c r="AK79" s="32">
        <f>IF($AH79="",$AC79,$AC79*$S79)</f>
        <v/>
      </c>
      <c r="AL79" s="35">
        <f>IF($AH79="",DATE(2100,12,31),$AH79+1)</f>
        <v/>
      </c>
      <c r="AM79" s="35">
        <f>IF($AH79="",DATE(1900,1,1),$AG79)</f>
        <v/>
      </c>
      <c r="AN79" s="32">
        <f>IF($AH79="",0,$AC79*$T79)</f>
        <v/>
      </c>
    </row>
    <row r="80">
      <c r="A80" s="28" t="inlineStr">
        <is>
          <t>John</t>
        </is>
      </c>
      <c r="B80" s="16">
        <f>IF($A80="","",IFERROR(INDEX(Roster!$B$2:$B$40,MATCH($A80,Roster!$A$2:$A$40,0)),"?"))</f>
        <v/>
      </c>
      <c r="C80" s="28" t="inlineStr">
        <is>
          <t>Railcar_1</t>
        </is>
      </c>
      <c r="D80" s="16">
        <f>IF($C80="","",IFERROR(IF(INDEX(Deals!$C$2:$C$355,MATCH($C80,Deals!$A$2:$A$355,0))=0,"",INDEX(Deals!$C$2:$C$355,MATCH($C80,Deals!$A$2:$A$355,0))),"?"))</f>
        <v/>
      </c>
      <c r="E80" s="16">
        <f>IF($C80="","",IFERROR(INDEX(Deals!$F$2:$F$355,MATCH($C80,Deals!$A$2:$A$355,0)),"?"))</f>
        <v/>
      </c>
      <c r="F80" s="28" t="inlineStr">
        <is>
          <t>Partner</t>
        </is>
      </c>
      <c r="G80" s="28" t="inlineStr">
        <is>
          <t>Active</t>
        </is>
      </c>
      <c r="H80" s="31" t="n"/>
      <c r="I80" s="32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1">
        <f>IF($C80="",0,IFERROR(INDEX(Deals!$H$2:$H$355,MATCH($C80,Deals!$A$2:$A$355,0)),0))</f>
        <v/>
      </c>
      <c r="K80" s="32">
        <f>IF(Settings!$B$4="Yes",$I80*$J80,$I80)</f>
        <v/>
      </c>
      <c r="L80" s="22">
        <f>IF($C80="","",IFERROR(IF(INDEX(Deals!$I$2:$I$355,MATCH($C80,Deals!$A$2:$A$355,0))=0,"",INDEX(Deals!$I$2:$I$355,MATCH($C80,Deals!$A$2:$A$355,0))),""))</f>
        <v/>
      </c>
      <c r="M80" s="22">
        <f>IF($C80="","",IFERROR(IF(INDEX(Deals!$J$2:$J$355,MATCH($C80,Deals!$A$2:$A$355,0))=0,"",INDEX(Deals!$J$2:$J$355,MATCH($C80,Deals!$A$2:$A$355,0))),""))</f>
        <v/>
      </c>
      <c r="N80" s="35">
        <f>IF($L80="",DATE(1900,1,1),$L80)</f>
        <v/>
      </c>
      <c r="O80" s="35">
        <f>IF($M80="",DATE(2100,12,31),$M80)</f>
        <v/>
      </c>
      <c r="P80" s="20" t="inlineStr"/>
      <c r="Q80" s="43" t="inlineStr"/>
      <c r="R80" s="16">
        <f>IF($C80="","",IFERROR(IF(INDEX(Deals!$U$2:$U$355,MATCH($C80,Deals!$A$2:$A$355,0))=0,"",INDEX(Deals!$U$2:$U$355,MATCH($C80,Deals!$A$2:$A$355,0))),""))</f>
        <v/>
      </c>
      <c r="S80" s="34">
        <f>IFERROR(IF($U80="",1,INDEX(Deals!$V$2:$V$355,MATCH($C80,Deals!$A$2:$A$355,0))),1)</f>
        <v/>
      </c>
      <c r="T80" s="34">
        <f>IFERROR(IF($U80="",1,INDEX(Deals!$W$2:$W$355,MATCH($C80,Deals!$A$2:$A$355,0))),1)</f>
        <v/>
      </c>
      <c r="U80" s="22">
        <f>IF($C80="","",IFERROR(IF(INDEX(Deals!$Y$2:$Y$355,MATCH($C80,Deals!$A$2:$A$355,0))=0,"",INDEX(Deals!$Y$2:$Y$355,MATCH($C80,Deals!$A$2:$A$355,0))),""))</f>
        <v/>
      </c>
      <c r="V80" s="35">
        <f>IF($U80="",DATE(1900,1,1),$N80)</f>
        <v/>
      </c>
      <c r="W80" s="35">
        <f>IF($U80="",DATE(2100,12,31),$U80)</f>
        <v/>
      </c>
      <c r="X80" s="32">
        <f>IF($U80="",$K80,$K80*$S80)</f>
        <v/>
      </c>
      <c r="Y80" s="35">
        <f>IF($U80="",DATE(2100,12,31),$U80+1)</f>
        <v/>
      </c>
      <c r="Z80" s="35">
        <f>IF($U80="",DATE(1900,1,1),$O80)</f>
        <v/>
      </c>
      <c r="AA80" s="32">
        <f>IF($U80="",0,$K80*$T80)</f>
        <v/>
      </c>
      <c r="AB80" s="21">
        <f>IF($C80="",0,IFERROR(INDEX(Deals!$AD$2:$AD$355,MATCH($C80,Deals!$A$2:$A$355,0)),0))</f>
        <v/>
      </c>
      <c r="AC80" s="32">
        <f>IF(Settings!$B$4="Yes",$I80*$AB80,$I80)</f>
        <v/>
      </c>
      <c r="AD80" s="22">
        <f>IF($C80="","",IFERROR(IF(INDEX(Deals!$AE$2:$AE$355,MATCH($C80,Deals!$A$2:$A$355,0))=0,"",INDEX(Deals!$AE$2:$AE$355,MATCH($C80,Deals!$A$2:$A$355,0))),""))</f>
        <v/>
      </c>
      <c r="AE80" s="22">
        <f>IF($C80="","",IFERROR(IF(INDEX(Deals!$AF$2:$AF$355,MATCH($C80,Deals!$A$2:$A$355,0))=0,"",INDEX(Deals!$AF$2:$AF$355,MATCH($C80,Deals!$A$2:$A$355,0))),""))</f>
        <v/>
      </c>
      <c r="AF80" s="35">
        <f>IF($AD80="",DATE(1900,1,1),$AD80)</f>
        <v/>
      </c>
      <c r="AG80" s="35">
        <f>IF($AE80="",DATE(2100,12,31),$AE80)</f>
        <v/>
      </c>
      <c r="AH80" s="22">
        <f>IF($C80="","",IFERROR(IF(INDEX(Deals!$AG$2:$AG$355,MATCH($C80,Deals!$A$2:$A$355,0))=0,"",INDEX(Deals!$AG$2:$AG$355,MATCH($C80,Deals!$A$2:$A$355,0))),""))</f>
        <v/>
      </c>
      <c r="AI80" s="35">
        <f>IF($AH80="",DATE(1900,1,1),$AF80)</f>
        <v/>
      </c>
      <c r="AJ80" s="35">
        <f>IF($AH80="",DATE(2100,12,31),$AH80)</f>
        <v/>
      </c>
      <c r="AK80" s="32">
        <f>IF($AH80="",$AC80,$AC80*$S80)</f>
        <v/>
      </c>
      <c r="AL80" s="35">
        <f>IF($AH80="",DATE(2100,12,31),$AH80+1)</f>
        <v/>
      </c>
      <c r="AM80" s="35">
        <f>IF($AH80="",DATE(1900,1,1),$AG80)</f>
        <v/>
      </c>
      <c r="AN80" s="32">
        <f>IF($AH80="",0,$AC80*$T80)</f>
        <v/>
      </c>
    </row>
    <row r="81">
      <c r="A81" s="28" t="inlineStr">
        <is>
          <t>John</t>
        </is>
      </c>
      <c r="B81" s="16">
        <f>IF($A81="","",IFERROR(INDEX(Roster!$B$2:$B$40,MATCH($A81,Roster!$A$2:$A$40,0)),"?"))</f>
        <v/>
      </c>
      <c r="C81" s="28" t="inlineStr">
        <is>
          <t>Rosa_1</t>
        </is>
      </c>
      <c r="D81" s="16">
        <f>IF($C81="","",IFERROR(IF(INDEX(Deals!$C$2:$C$355,MATCH($C81,Deals!$A$2:$A$355,0))=0,"",INDEX(Deals!$C$2:$C$355,MATCH($C81,Deals!$A$2:$A$355,0))),"?"))</f>
        <v/>
      </c>
      <c r="E81" s="16">
        <f>IF($C81="","",IFERROR(INDEX(Deals!$F$2:$F$355,MATCH($C81,Deals!$A$2:$A$355,0)),"?"))</f>
        <v/>
      </c>
      <c r="F81" s="28" t="inlineStr">
        <is>
          <t>Partner</t>
        </is>
      </c>
      <c r="G81" s="28" t="inlineStr">
        <is>
          <t>Active</t>
        </is>
      </c>
      <c r="H81" s="31" t="n"/>
      <c r="I81" s="32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1">
        <f>IF($C81="",0,IFERROR(INDEX(Deals!$H$2:$H$355,MATCH($C81,Deals!$A$2:$A$355,0)),0))</f>
        <v/>
      </c>
      <c r="K81" s="32">
        <f>IF(Settings!$B$4="Yes",$I81*$J81,$I81)</f>
        <v/>
      </c>
      <c r="L81" s="22">
        <f>IF($C81="","",IFERROR(IF(INDEX(Deals!$I$2:$I$355,MATCH($C81,Deals!$A$2:$A$355,0))=0,"",INDEX(Deals!$I$2:$I$355,MATCH($C81,Deals!$A$2:$A$355,0))),""))</f>
        <v/>
      </c>
      <c r="M81" s="22">
        <f>IF($C81="","",IFERROR(IF(INDEX(Deals!$J$2:$J$355,MATCH($C81,Deals!$A$2:$A$355,0))=0,"",INDEX(Deals!$J$2:$J$355,MATCH($C81,Deals!$A$2:$A$355,0))),""))</f>
        <v/>
      </c>
      <c r="N81" s="35">
        <f>IF($L81="",DATE(1900,1,1),$L81)</f>
        <v/>
      </c>
      <c r="O81" s="35">
        <f>IF($M81="",DATE(2100,12,31),$M81)</f>
        <v/>
      </c>
      <c r="P81" s="20" t="inlineStr"/>
      <c r="Q81" s="43" t="inlineStr"/>
      <c r="R81" s="16">
        <f>IF($C81="","",IFERROR(IF(INDEX(Deals!$U$2:$U$355,MATCH($C81,Deals!$A$2:$A$355,0))=0,"",INDEX(Deals!$U$2:$U$355,MATCH($C81,Deals!$A$2:$A$355,0))),""))</f>
        <v/>
      </c>
      <c r="S81" s="34">
        <f>IFERROR(IF($U81="",1,INDEX(Deals!$V$2:$V$355,MATCH($C81,Deals!$A$2:$A$355,0))),1)</f>
        <v/>
      </c>
      <c r="T81" s="34">
        <f>IFERROR(IF($U81="",1,INDEX(Deals!$W$2:$W$355,MATCH($C81,Deals!$A$2:$A$355,0))),1)</f>
        <v/>
      </c>
      <c r="U81" s="22">
        <f>IF($C81="","",IFERROR(IF(INDEX(Deals!$Y$2:$Y$355,MATCH($C81,Deals!$A$2:$A$355,0))=0,"",INDEX(Deals!$Y$2:$Y$355,MATCH($C81,Deals!$A$2:$A$355,0))),""))</f>
        <v/>
      </c>
      <c r="V81" s="35">
        <f>IF($U81="",DATE(1900,1,1),$N81)</f>
        <v/>
      </c>
      <c r="W81" s="35">
        <f>IF($U81="",DATE(2100,12,31),$U81)</f>
        <v/>
      </c>
      <c r="X81" s="32">
        <f>IF($U81="",$K81,$K81*$S81)</f>
        <v/>
      </c>
      <c r="Y81" s="35">
        <f>IF($U81="",DATE(2100,12,31),$U81+1)</f>
        <v/>
      </c>
      <c r="Z81" s="35">
        <f>IF($U81="",DATE(1900,1,1),$O81)</f>
        <v/>
      </c>
      <c r="AA81" s="32">
        <f>IF($U81="",0,$K81*$T81)</f>
        <v/>
      </c>
      <c r="AB81" s="21">
        <f>IF($C81="",0,IFERROR(INDEX(Deals!$AD$2:$AD$355,MATCH($C81,Deals!$A$2:$A$355,0)),0))</f>
        <v/>
      </c>
      <c r="AC81" s="32">
        <f>IF(Settings!$B$4="Yes",$I81*$AB81,$I81)</f>
        <v/>
      </c>
      <c r="AD81" s="22">
        <f>IF($C81="","",IFERROR(IF(INDEX(Deals!$AE$2:$AE$355,MATCH($C81,Deals!$A$2:$A$355,0))=0,"",INDEX(Deals!$AE$2:$AE$355,MATCH($C81,Deals!$A$2:$A$355,0))),""))</f>
        <v/>
      </c>
      <c r="AE81" s="22">
        <f>IF($C81="","",IFERROR(IF(INDEX(Deals!$AF$2:$AF$355,MATCH($C81,Deals!$A$2:$A$355,0))=0,"",INDEX(Deals!$AF$2:$AF$355,MATCH($C81,Deals!$A$2:$A$355,0))),""))</f>
        <v/>
      </c>
      <c r="AF81" s="35">
        <f>IF($AD81="",DATE(1900,1,1),$AD81)</f>
        <v/>
      </c>
      <c r="AG81" s="35">
        <f>IF($AE81="",DATE(2100,12,31),$AE81)</f>
        <v/>
      </c>
      <c r="AH81" s="22">
        <f>IF($C81="","",IFERROR(IF(INDEX(Deals!$AG$2:$AG$355,MATCH($C81,Deals!$A$2:$A$355,0))=0,"",INDEX(Deals!$AG$2:$AG$355,MATCH($C81,Deals!$A$2:$A$355,0))),""))</f>
        <v/>
      </c>
      <c r="AI81" s="35">
        <f>IF($AH81="",DATE(1900,1,1),$AF81)</f>
        <v/>
      </c>
      <c r="AJ81" s="35">
        <f>IF($AH81="",DATE(2100,12,31),$AH81)</f>
        <v/>
      </c>
      <c r="AK81" s="32">
        <f>IF($AH81="",$AC81,$AC81*$S81)</f>
        <v/>
      </c>
      <c r="AL81" s="35">
        <f>IF($AH81="",DATE(2100,12,31),$AH81+1)</f>
        <v/>
      </c>
      <c r="AM81" s="35">
        <f>IF($AH81="",DATE(1900,1,1),$AG81)</f>
        <v/>
      </c>
      <c r="AN81" s="32">
        <f>IF($AH81="",0,$AC81*$T81)</f>
        <v/>
      </c>
    </row>
    <row r="82">
      <c r="A82" s="28" t="inlineStr">
        <is>
          <t>John</t>
        </is>
      </c>
      <c r="B82" s="16">
        <f>IF($A82="","",IFERROR(INDEX(Roster!$B$2:$B$40,MATCH($A82,Roster!$A$2:$A$40,0)),"?"))</f>
        <v/>
      </c>
      <c r="C82" s="28" t="inlineStr">
        <is>
          <t>Rover_3</t>
        </is>
      </c>
      <c r="D82" s="16">
        <f>IF($C82="","",IFERROR(IF(INDEX(Deals!$C$2:$C$355,MATCH($C82,Deals!$A$2:$A$355,0))=0,"",INDEX(Deals!$C$2:$C$355,MATCH($C82,Deals!$A$2:$A$355,0))),"?"))</f>
        <v/>
      </c>
      <c r="E82" s="16">
        <f>IF($C82="","",IFERROR(INDEX(Deals!$F$2:$F$355,MATCH($C82,Deals!$A$2:$A$355,0)),"?"))</f>
        <v/>
      </c>
      <c r="F82" s="28" t="inlineStr">
        <is>
          <t>Partner</t>
        </is>
      </c>
      <c r="G82" s="28" t="inlineStr">
        <is>
          <t>Active</t>
        </is>
      </c>
      <c r="H82" s="31" t="n"/>
      <c r="I82" s="32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1">
        <f>IF($C82="",0,IFERROR(INDEX(Deals!$H$2:$H$355,MATCH($C82,Deals!$A$2:$A$355,0)),0))</f>
        <v/>
      </c>
      <c r="K82" s="32">
        <f>IF(Settings!$B$4="Yes",$I82*$J82,$I82)</f>
        <v/>
      </c>
      <c r="L82" s="22">
        <f>IF($C82="","",IFERROR(IF(INDEX(Deals!$I$2:$I$355,MATCH($C82,Deals!$A$2:$A$355,0))=0,"",INDEX(Deals!$I$2:$I$355,MATCH($C82,Deals!$A$2:$A$355,0))),""))</f>
        <v/>
      </c>
      <c r="M82" s="22">
        <f>IF($C82="","",IFERROR(IF(INDEX(Deals!$J$2:$J$355,MATCH($C82,Deals!$A$2:$A$355,0))=0,"",INDEX(Deals!$J$2:$J$355,MATCH($C82,Deals!$A$2:$A$355,0))),""))</f>
        <v/>
      </c>
      <c r="N82" s="35">
        <f>IF($L82="",DATE(1900,1,1),$L82)</f>
        <v/>
      </c>
      <c r="O82" s="35">
        <f>IF($M82="",DATE(2100,12,31),$M82)</f>
        <v/>
      </c>
      <c r="P82" s="20" t="inlineStr"/>
      <c r="Q82" s="43" t="inlineStr"/>
      <c r="R82" s="16">
        <f>IF($C82="","",IFERROR(IF(INDEX(Deals!$U$2:$U$355,MATCH($C82,Deals!$A$2:$A$355,0))=0,"",INDEX(Deals!$U$2:$U$355,MATCH($C82,Deals!$A$2:$A$355,0))),""))</f>
        <v/>
      </c>
      <c r="S82" s="34">
        <f>IFERROR(IF($U82="",1,INDEX(Deals!$V$2:$V$355,MATCH($C82,Deals!$A$2:$A$355,0))),1)</f>
        <v/>
      </c>
      <c r="T82" s="34">
        <f>IFERROR(IF($U82="",1,INDEX(Deals!$W$2:$W$355,MATCH($C82,Deals!$A$2:$A$355,0))),1)</f>
        <v/>
      </c>
      <c r="U82" s="22">
        <f>IF($C82="","",IFERROR(IF(INDEX(Deals!$Y$2:$Y$355,MATCH($C82,Deals!$A$2:$A$355,0))=0,"",INDEX(Deals!$Y$2:$Y$355,MATCH($C82,Deals!$A$2:$A$355,0))),""))</f>
        <v/>
      </c>
      <c r="V82" s="35">
        <f>IF($U82="",DATE(1900,1,1),$N82)</f>
        <v/>
      </c>
      <c r="W82" s="35">
        <f>IF($U82="",DATE(2100,12,31),$U82)</f>
        <v/>
      </c>
      <c r="X82" s="32">
        <f>IF($U82="",$K82,$K82*$S82)</f>
        <v/>
      </c>
      <c r="Y82" s="35">
        <f>IF($U82="",DATE(2100,12,31),$U82+1)</f>
        <v/>
      </c>
      <c r="Z82" s="35">
        <f>IF($U82="",DATE(1900,1,1),$O82)</f>
        <v/>
      </c>
      <c r="AA82" s="32">
        <f>IF($U82="",0,$K82*$T82)</f>
        <v/>
      </c>
      <c r="AB82" s="21">
        <f>IF($C82="",0,IFERROR(INDEX(Deals!$AD$2:$AD$355,MATCH($C82,Deals!$A$2:$A$355,0)),0))</f>
        <v/>
      </c>
      <c r="AC82" s="32">
        <f>IF(Settings!$B$4="Yes",$I82*$AB82,$I82)</f>
        <v/>
      </c>
      <c r="AD82" s="22">
        <f>IF($C82="","",IFERROR(IF(INDEX(Deals!$AE$2:$AE$355,MATCH($C82,Deals!$A$2:$A$355,0))=0,"",INDEX(Deals!$AE$2:$AE$355,MATCH($C82,Deals!$A$2:$A$355,0))),""))</f>
        <v/>
      </c>
      <c r="AE82" s="22">
        <f>IF($C82="","",IFERROR(IF(INDEX(Deals!$AF$2:$AF$355,MATCH($C82,Deals!$A$2:$A$355,0))=0,"",INDEX(Deals!$AF$2:$AF$355,MATCH($C82,Deals!$A$2:$A$355,0))),""))</f>
        <v/>
      </c>
      <c r="AF82" s="35">
        <f>IF($AD82="",DATE(1900,1,1),$AD82)</f>
        <v/>
      </c>
      <c r="AG82" s="35">
        <f>IF($AE82="",DATE(2100,12,31),$AE82)</f>
        <v/>
      </c>
      <c r="AH82" s="22">
        <f>IF($C82="","",IFERROR(IF(INDEX(Deals!$AG$2:$AG$355,MATCH($C82,Deals!$A$2:$A$355,0))=0,"",INDEX(Deals!$AG$2:$AG$355,MATCH($C82,Deals!$A$2:$A$355,0))),""))</f>
        <v/>
      </c>
      <c r="AI82" s="35">
        <f>IF($AH82="",DATE(1900,1,1),$AF82)</f>
        <v/>
      </c>
      <c r="AJ82" s="35">
        <f>IF($AH82="",DATE(2100,12,31),$AH82)</f>
        <v/>
      </c>
      <c r="AK82" s="32">
        <f>IF($AH82="",$AC82,$AC82*$S82)</f>
        <v/>
      </c>
      <c r="AL82" s="35">
        <f>IF($AH82="",DATE(2100,12,31),$AH82+1)</f>
        <v/>
      </c>
      <c r="AM82" s="35">
        <f>IF($AH82="",DATE(1900,1,1),$AG82)</f>
        <v/>
      </c>
      <c r="AN82" s="32">
        <f>IF($AH82="",0,$AC82*$T82)</f>
        <v/>
      </c>
    </row>
    <row r="83">
      <c r="A83" s="28" t="inlineStr">
        <is>
          <t>John</t>
        </is>
      </c>
      <c r="B83" s="16">
        <f>IF($A83="","",IFERROR(INDEX(Roster!$B$2:$B$40,MATCH($A83,Roster!$A$2:$A$40,0)),"?"))</f>
        <v/>
      </c>
      <c r="C83" s="28" t="inlineStr">
        <is>
          <t>Scion_1</t>
        </is>
      </c>
      <c r="D83" s="16">
        <f>IF($C83="","",IFERROR(IF(INDEX(Deals!$C$2:$C$355,MATCH($C83,Deals!$A$2:$A$355,0))=0,"",INDEX(Deals!$C$2:$C$355,MATCH($C83,Deals!$A$2:$A$355,0))),"?"))</f>
        <v/>
      </c>
      <c r="E83" s="16">
        <f>IF($C83="","",IFERROR(INDEX(Deals!$F$2:$F$355,MATCH($C83,Deals!$A$2:$A$355,0)),"?"))</f>
        <v/>
      </c>
      <c r="F83" s="28" t="inlineStr">
        <is>
          <t>Partner</t>
        </is>
      </c>
      <c r="G83" s="28" t="inlineStr">
        <is>
          <t>Active</t>
        </is>
      </c>
      <c r="H83" s="31" t="n"/>
      <c r="I83" s="32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1">
        <f>IF($C83="",0,IFERROR(INDEX(Deals!$H$2:$H$355,MATCH($C83,Deals!$A$2:$A$355,0)),0))</f>
        <v/>
      </c>
      <c r="K83" s="32">
        <f>IF(Settings!$B$4="Yes",$I83*$J83,$I83)</f>
        <v/>
      </c>
      <c r="L83" s="22">
        <f>IF($C83="","",IFERROR(IF(INDEX(Deals!$I$2:$I$355,MATCH($C83,Deals!$A$2:$A$355,0))=0,"",INDEX(Deals!$I$2:$I$355,MATCH($C83,Deals!$A$2:$A$355,0))),""))</f>
        <v/>
      </c>
      <c r="M83" s="22">
        <f>IF($C83="","",IFERROR(IF(INDEX(Deals!$J$2:$J$355,MATCH($C83,Deals!$A$2:$A$355,0))=0,"",INDEX(Deals!$J$2:$J$355,MATCH($C83,Deals!$A$2:$A$355,0))),""))</f>
        <v/>
      </c>
      <c r="N83" s="35">
        <f>IF($L83="",DATE(1900,1,1),$L83)</f>
        <v/>
      </c>
      <c r="O83" s="35">
        <f>IF($M83="",DATE(2100,12,31),$M83)</f>
        <v/>
      </c>
      <c r="P83" s="20" t="inlineStr"/>
      <c r="Q83" s="43" t="inlineStr"/>
      <c r="R83" s="16">
        <f>IF($C83="","",IFERROR(IF(INDEX(Deals!$U$2:$U$355,MATCH($C83,Deals!$A$2:$A$355,0))=0,"",INDEX(Deals!$U$2:$U$355,MATCH($C83,Deals!$A$2:$A$355,0))),""))</f>
        <v/>
      </c>
      <c r="S83" s="34">
        <f>IFERROR(IF($U83="",1,INDEX(Deals!$V$2:$V$355,MATCH($C83,Deals!$A$2:$A$355,0))),1)</f>
        <v/>
      </c>
      <c r="T83" s="34">
        <f>IFERROR(IF($U83="",1,INDEX(Deals!$W$2:$W$355,MATCH($C83,Deals!$A$2:$A$355,0))),1)</f>
        <v/>
      </c>
      <c r="U83" s="22">
        <f>IF($C83="","",IFERROR(IF(INDEX(Deals!$Y$2:$Y$355,MATCH($C83,Deals!$A$2:$A$355,0))=0,"",INDEX(Deals!$Y$2:$Y$355,MATCH($C83,Deals!$A$2:$A$355,0))),""))</f>
        <v/>
      </c>
      <c r="V83" s="35">
        <f>IF($U83="",DATE(1900,1,1),$N83)</f>
        <v/>
      </c>
      <c r="W83" s="35">
        <f>IF($U83="",DATE(2100,12,31),$U83)</f>
        <v/>
      </c>
      <c r="X83" s="32">
        <f>IF($U83="",$K83,$K83*$S83)</f>
        <v/>
      </c>
      <c r="Y83" s="35">
        <f>IF($U83="",DATE(2100,12,31),$U83+1)</f>
        <v/>
      </c>
      <c r="Z83" s="35">
        <f>IF($U83="",DATE(1900,1,1),$O83)</f>
        <v/>
      </c>
      <c r="AA83" s="32">
        <f>IF($U83="",0,$K83*$T83)</f>
        <v/>
      </c>
      <c r="AB83" s="21">
        <f>IF($C83="",0,IFERROR(INDEX(Deals!$AD$2:$AD$355,MATCH($C83,Deals!$A$2:$A$355,0)),0))</f>
        <v/>
      </c>
      <c r="AC83" s="32">
        <f>IF(Settings!$B$4="Yes",$I83*$AB83,$I83)</f>
        <v/>
      </c>
      <c r="AD83" s="22">
        <f>IF($C83="","",IFERROR(IF(INDEX(Deals!$AE$2:$AE$355,MATCH($C83,Deals!$A$2:$A$355,0))=0,"",INDEX(Deals!$AE$2:$AE$355,MATCH($C83,Deals!$A$2:$A$355,0))),""))</f>
        <v/>
      </c>
      <c r="AE83" s="22">
        <f>IF($C83="","",IFERROR(IF(INDEX(Deals!$AF$2:$AF$355,MATCH($C83,Deals!$A$2:$A$355,0))=0,"",INDEX(Deals!$AF$2:$AF$355,MATCH($C83,Deals!$A$2:$A$355,0))),""))</f>
        <v/>
      </c>
      <c r="AF83" s="35">
        <f>IF($AD83="",DATE(1900,1,1),$AD83)</f>
        <v/>
      </c>
      <c r="AG83" s="35">
        <f>IF($AE83="",DATE(2100,12,31),$AE83)</f>
        <v/>
      </c>
      <c r="AH83" s="22">
        <f>IF($C83="","",IFERROR(IF(INDEX(Deals!$AG$2:$AG$355,MATCH($C83,Deals!$A$2:$A$355,0))=0,"",INDEX(Deals!$AG$2:$AG$355,MATCH($C83,Deals!$A$2:$A$355,0))),""))</f>
        <v/>
      </c>
      <c r="AI83" s="35">
        <f>IF($AH83="",DATE(1900,1,1),$AF83)</f>
        <v/>
      </c>
      <c r="AJ83" s="35">
        <f>IF($AH83="",DATE(2100,12,31),$AH83)</f>
        <v/>
      </c>
      <c r="AK83" s="32">
        <f>IF($AH83="",$AC83,$AC83*$S83)</f>
        <v/>
      </c>
      <c r="AL83" s="35">
        <f>IF($AH83="",DATE(2100,12,31),$AH83+1)</f>
        <v/>
      </c>
      <c r="AM83" s="35">
        <f>IF($AH83="",DATE(1900,1,1),$AG83)</f>
        <v/>
      </c>
      <c r="AN83" s="32">
        <f>IF($AH83="",0,$AC83*$T83)</f>
        <v/>
      </c>
    </row>
    <row r="84">
      <c r="A84" s="28" t="inlineStr">
        <is>
          <t>John</t>
        </is>
      </c>
      <c r="B84" s="16">
        <f>IF($A84="","",IFERROR(INDEX(Roster!$B$2:$B$40,MATCH($A84,Roster!$A$2:$A$40,0)),"?"))</f>
        <v/>
      </c>
      <c r="C84" s="28" t="inlineStr">
        <is>
          <t>Sunrise_5</t>
        </is>
      </c>
      <c r="D84" s="16">
        <f>IF($C84="","",IFERROR(IF(INDEX(Deals!$C$2:$C$355,MATCH($C84,Deals!$A$2:$A$355,0))=0,"",INDEX(Deals!$C$2:$C$355,MATCH($C84,Deals!$A$2:$A$355,0))),"?"))</f>
        <v/>
      </c>
      <c r="E84" s="16">
        <f>IF($C84="","",IFERROR(INDEX(Deals!$F$2:$F$355,MATCH($C84,Deals!$A$2:$A$355,0)),"?"))</f>
        <v/>
      </c>
      <c r="F84" s="28" t="inlineStr">
        <is>
          <t>Partner</t>
        </is>
      </c>
      <c r="G84" s="28" t="inlineStr">
        <is>
          <t>Active</t>
        </is>
      </c>
      <c r="H84" s="31" t="n"/>
      <c r="I84" s="32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1">
        <f>IF($C84="",0,IFERROR(INDEX(Deals!$H$2:$H$355,MATCH($C84,Deals!$A$2:$A$355,0)),0))</f>
        <v/>
      </c>
      <c r="K84" s="32">
        <f>IF(Settings!$B$4="Yes",$I84*$J84,$I84)</f>
        <v/>
      </c>
      <c r="L84" s="22">
        <f>IF($C84="","",IFERROR(IF(INDEX(Deals!$I$2:$I$355,MATCH($C84,Deals!$A$2:$A$355,0))=0,"",INDEX(Deals!$I$2:$I$355,MATCH($C84,Deals!$A$2:$A$355,0))),""))</f>
        <v/>
      </c>
      <c r="M84" s="22">
        <f>IF($C84="","",IFERROR(IF(INDEX(Deals!$J$2:$J$355,MATCH($C84,Deals!$A$2:$A$355,0))=0,"",INDEX(Deals!$J$2:$J$355,MATCH($C84,Deals!$A$2:$A$355,0))),""))</f>
        <v/>
      </c>
      <c r="N84" s="35">
        <f>IF($L84="",DATE(1900,1,1),$L84)</f>
        <v/>
      </c>
      <c r="O84" s="35">
        <f>IF($M84="",DATE(2100,12,31),$M84)</f>
        <v/>
      </c>
      <c r="P84" s="20" t="inlineStr"/>
      <c r="Q84" s="43" t="inlineStr"/>
      <c r="R84" s="16">
        <f>IF($C84="","",IFERROR(IF(INDEX(Deals!$U$2:$U$355,MATCH($C84,Deals!$A$2:$A$355,0))=0,"",INDEX(Deals!$U$2:$U$355,MATCH($C84,Deals!$A$2:$A$355,0))),""))</f>
        <v/>
      </c>
      <c r="S84" s="34">
        <f>IFERROR(IF($U84="",1,INDEX(Deals!$V$2:$V$355,MATCH($C84,Deals!$A$2:$A$355,0))),1)</f>
        <v/>
      </c>
      <c r="T84" s="34">
        <f>IFERROR(IF($U84="",1,INDEX(Deals!$W$2:$W$355,MATCH($C84,Deals!$A$2:$A$355,0))),1)</f>
        <v/>
      </c>
      <c r="U84" s="22">
        <f>IF($C84="","",IFERROR(IF(INDEX(Deals!$Y$2:$Y$355,MATCH($C84,Deals!$A$2:$A$355,0))=0,"",INDEX(Deals!$Y$2:$Y$355,MATCH($C84,Deals!$A$2:$A$355,0))),""))</f>
        <v/>
      </c>
      <c r="V84" s="35">
        <f>IF($U84="",DATE(1900,1,1),$N84)</f>
        <v/>
      </c>
      <c r="W84" s="35">
        <f>IF($U84="",DATE(2100,12,31),$U84)</f>
        <v/>
      </c>
      <c r="X84" s="32">
        <f>IF($U84="",$K84,$K84*$S84)</f>
        <v/>
      </c>
      <c r="Y84" s="35">
        <f>IF($U84="",DATE(2100,12,31),$U84+1)</f>
        <v/>
      </c>
      <c r="Z84" s="35">
        <f>IF($U84="",DATE(1900,1,1),$O84)</f>
        <v/>
      </c>
      <c r="AA84" s="32">
        <f>IF($U84="",0,$K84*$T84)</f>
        <v/>
      </c>
      <c r="AB84" s="21">
        <f>IF($C84="",0,IFERROR(INDEX(Deals!$AD$2:$AD$355,MATCH($C84,Deals!$A$2:$A$355,0)),0))</f>
        <v/>
      </c>
      <c r="AC84" s="32">
        <f>IF(Settings!$B$4="Yes",$I84*$AB84,$I84)</f>
        <v/>
      </c>
      <c r="AD84" s="22">
        <f>IF($C84="","",IFERROR(IF(INDEX(Deals!$AE$2:$AE$355,MATCH($C84,Deals!$A$2:$A$355,0))=0,"",INDEX(Deals!$AE$2:$AE$355,MATCH($C84,Deals!$A$2:$A$355,0))),""))</f>
        <v/>
      </c>
      <c r="AE84" s="22">
        <f>IF($C84="","",IFERROR(IF(INDEX(Deals!$AF$2:$AF$355,MATCH($C84,Deals!$A$2:$A$355,0))=0,"",INDEX(Deals!$AF$2:$AF$355,MATCH($C84,Deals!$A$2:$A$355,0))),""))</f>
        <v/>
      </c>
      <c r="AF84" s="35">
        <f>IF($AD84="",DATE(1900,1,1),$AD84)</f>
        <v/>
      </c>
      <c r="AG84" s="35">
        <f>IF($AE84="",DATE(2100,12,31),$AE84)</f>
        <v/>
      </c>
      <c r="AH84" s="22">
        <f>IF($C84="","",IFERROR(IF(INDEX(Deals!$AG$2:$AG$355,MATCH($C84,Deals!$A$2:$A$355,0))=0,"",INDEX(Deals!$AG$2:$AG$355,MATCH($C84,Deals!$A$2:$A$355,0))),""))</f>
        <v/>
      </c>
      <c r="AI84" s="35">
        <f>IF($AH84="",DATE(1900,1,1),$AF84)</f>
        <v/>
      </c>
      <c r="AJ84" s="35">
        <f>IF($AH84="",DATE(2100,12,31),$AH84)</f>
        <v/>
      </c>
      <c r="AK84" s="32">
        <f>IF($AH84="",$AC84,$AC84*$S84)</f>
        <v/>
      </c>
      <c r="AL84" s="35">
        <f>IF($AH84="",DATE(2100,12,31),$AH84+1)</f>
        <v/>
      </c>
      <c r="AM84" s="35">
        <f>IF($AH84="",DATE(1900,1,1),$AG84)</f>
        <v/>
      </c>
      <c r="AN84" s="32">
        <f>IF($AH84="",0,$AC84*$T84)</f>
        <v/>
      </c>
    </row>
    <row r="85">
      <c r="A85" s="28" t="inlineStr">
        <is>
          <t>John</t>
        </is>
      </c>
      <c r="B85" s="16">
        <f>IF($A85="","",IFERROR(INDEX(Roster!$B$2:$B$40,MATCH($A85,Roster!$A$2:$A$40,0)),"?"))</f>
        <v/>
      </c>
      <c r="C85" s="28" t="inlineStr">
        <is>
          <t>Sunshine_4</t>
        </is>
      </c>
      <c r="D85" s="16">
        <f>IF($C85="","",IFERROR(IF(INDEX(Deals!$C$2:$C$355,MATCH($C85,Deals!$A$2:$A$355,0))=0,"",INDEX(Deals!$C$2:$C$355,MATCH($C85,Deals!$A$2:$A$355,0))),"?"))</f>
        <v/>
      </c>
      <c r="E85" s="16">
        <f>IF($C85="","",IFERROR(INDEX(Deals!$F$2:$F$355,MATCH($C85,Deals!$A$2:$A$355,0)),"?"))</f>
        <v/>
      </c>
      <c r="F85" s="28" t="inlineStr">
        <is>
          <t>Partner</t>
        </is>
      </c>
      <c r="G85" s="28" t="inlineStr">
        <is>
          <t>Active</t>
        </is>
      </c>
      <c r="H85" s="31" t="n"/>
      <c r="I85" s="32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1">
        <f>IF($C85="",0,IFERROR(INDEX(Deals!$H$2:$H$355,MATCH($C85,Deals!$A$2:$A$355,0)),0))</f>
        <v/>
      </c>
      <c r="K85" s="32">
        <f>IF(Settings!$B$4="Yes",$I85*$J85,$I85)</f>
        <v/>
      </c>
      <c r="L85" s="22">
        <f>IF($C85="","",IFERROR(IF(INDEX(Deals!$I$2:$I$355,MATCH($C85,Deals!$A$2:$A$355,0))=0,"",INDEX(Deals!$I$2:$I$355,MATCH($C85,Deals!$A$2:$A$355,0))),""))</f>
        <v/>
      </c>
      <c r="M85" s="22">
        <f>IF($C85="","",IFERROR(IF(INDEX(Deals!$J$2:$J$355,MATCH($C85,Deals!$A$2:$A$355,0))=0,"",INDEX(Deals!$J$2:$J$355,MATCH($C85,Deals!$A$2:$A$355,0))),""))</f>
        <v/>
      </c>
      <c r="N85" s="35">
        <f>IF($L85="",DATE(1900,1,1),$L85)</f>
        <v/>
      </c>
      <c r="O85" s="35">
        <f>IF($M85="",DATE(2100,12,31),$M85)</f>
        <v/>
      </c>
      <c r="P85" s="20" t="inlineStr"/>
      <c r="Q85" s="43" t="inlineStr"/>
      <c r="R85" s="16">
        <f>IF($C85="","",IFERROR(IF(INDEX(Deals!$U$2:$U$355,MATCH($C85,Deals!$A$2:$A$355,0))=0,"",INDEX(Deals!$U$2:$U$355,MATCH($C85,Deals!$A$2:$A$355,0))),""))</f>
        <v/>
      </c>
      <c r="S85" s="34">
        <f>IFERROR(IF($U85="",1,INDEX(Deals!$V$2:$V$355,MATCH($C85,Deals!$A$2:$A$355,0))),1)</f>
        <v/>
      </c>
      <c r="T85" s="34">
        <f>IFERROR(IF($U85="",1,INDEX(Deals!$W$2:$W$355,MATCH($C85,Deals!$A$2:$A$355,0))),1)</f>
        <v/>
      </c>
      <c r="U85" s="22">
        <f>IF($C85="","",IFERROR(IF(INDEX(Deals!$Y$2:$Y$355,MATCH($C85,Deals!$A$2:$A$355,0))=0,"",INDEX(Deals!$Y$2:$Y$355,MATCH($C85,Deals!$A$2:$A$355,0))),""))</f>
        <v/>
      </c>
      <c r="V85" s="35">
        <f>IF($U85="",DATE(1900,1,1),$N85)</f>
        <v/>
      </c>
      <c r="W85" s="35">
        <f>IF($U85="",DATE(2100,12,31),$U85)</f>
        <v/>
      </c>
      <c r="X85" s="32">
        <f>IF($U85="",$K85,$K85*$S85)</f>
        <v/>
      </c>
      <c r="Y85" s="35">
        <f>IF($U85="",DATE(2100,12,31),$U85+1)</f>
        <v/>
      </c>
      <c r="Z85" s="35">
        <f>IF($U85="",DATE(1900,1,1),$O85)</f>
        <v/>
      </c>
      <c r="AA85" s="32">
        <f>IF($U85="",0,$K85*$T85)</f>
        <v/>
      </c>
      <c r="AB85" s="21">
        <f>IF($C85="",0,IFERROR(INDEX(Deals!$AD$2:$AD$355,MATCH($C85,Deals!$A$2:$A$355,0)),0))</f>
        <v/>
      </c>
      <c r="AC85" s="32">
        <f>IF(Settings!$B$4="Yes",$I85*$AB85,$I85)</f>
        <v/>
      </c>
      <c r="AD85" s="22">
        <f>IF($C85="","",IFERROR(IF(INDEX(Deals!$AE$2:$AE$355,MATCH($C85,Deals!$A$2:$A$355,0))=0,"",INDEX(Deals!$AE$2:$AE$355,MATCH($C85,Deals!$A$2:$A$355,0))),""))</f>
        <v/>
      </c>
      <c r="AE85" s="22">
        <f>IF($C85="","",IFERROR(IF(INDEX(Deals!$AF$2:$AF$355,MATCH($C85,Deals!$A$2:$A$355,0))=0,"",INDEX(Deals!$AF$2:$AF$355,MATCH($C85,Deals!$A$2:$A$355,0))),""))</f>
        <v/>
      </c>
      <c r="AF85" s="35">
        <f>IF($AD85="",DATE(1900,1,1),$AD85)</f>
        <v/>
      </c>
      <c r="AG85" s="35">
        <f>IF($AE85="",DATE(2100,12,31),$AE85)</f>
        <v/>
      </c>
      <c r="AH85" s="22">
        <f>IF($C85="","",IFERROR(IF(INDEX(Deals!$AG$2:$AG$355,MATCH($C85,Deals!$A$2:$A$355,0))=0,"",INDEX(Deals!$AG$2:$AG$355,MATCH($C85,Deals!$A$2:$A$355,0))),""))</f>
        <v/>
      </c>
      <c r="AI85" s="35">
        <f>IF($AH85="",DATE(1900,1,1),$AF85)</f>
        <v/>
      </c>
      <c r="AJ85" s="35">
        <f>IF($AH85="",DATE(2100,12,31),$AH85)</f>
        <v/>
      </c>
      <c r="AK85" s="32">
        <f>IF($AH85="",$AC85,$AC85*$S85)</f>
        <v/>
      </c>
      <c r="AL85" s="35">
        <f>IF($AH85="",DATE(2100,12,31),$AH85+1)</f>
        <v/>
      </c>
      <c r="AM85" s="35">
        <f>IF($AH85="",DATE(1900,1,1),$AG85)</f>
        <v/>
      </c>
      <c r="AN85" s="32">
        <f>IF($AH85="",0,$AC85*$T85)</f>
        <v/>
      </c>
    </row>
    <row r="86">
      <c r="A86" s="28" t="inlineStr">
        <is>
          <t>John</t>
        </is>
      </c>
      <c r="B86" s="16">
        <f>IF($A86="","",IFERROR(INDEX(Roster!$B$2:$B$40,MATCH($A86,Roster!$A$2:$A$40,0)),"?"))</f>
        <v/>
      </c>
      <c r="C86" s="28" t="inlineStr">
        <is>
          <t>Ursa_1</t>
        </is>
      </c>
      <c r="D86" s="16">
        <f>IF($C86="","",IFERROR(IF(INDEX(Deals!$C$2:$C$355,MATCH($C86,Deals!$A$2:$A$355,0))=0,"",INDEX(Deals!$C$2:$C$355,MATCH($C86,Deals!$A$2:$A$355,0))),"?"))</f>
        <v/>
      </c>
      <c r="E86" s="16">
        <f>IF($C86="","",IFERROR(INDEX(Deals!$F$2:$F$355,MATCH($C86,Deals!$A$2:$A$355,0)),"?"))</f>
        <v/>
      </c>
      <c r="F86" s="28" t="inlineStr">
        <is>
          <t>Partner</t>
        </is>
      </c>
      <c r="G86" s="28" t="inlineStr">
        <is>
          <t>Active</t>
        </is>
      </c>
      <c r="H86" s="31" t="n"/>
      <c r="I86" s="32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1">
        <f>IF($C86="",0,IFERROR(INDEX(Deals!$H$2:$H$355,MATCH($C86,Deals!$A$2:$A$355,0)),0))</f>
        <v/>
      </c>
      <c r="K86" s="32">
        <f>IF(Settings!$B$4="Yes",$I86*$J86,$I86)</f>
        <v/>
      </c>
      <c r="L86" s="22">
        <f>IF($C86="","",IFERROR(IF(INDEX(Deals!$I$2:$I$355,MATCH($C86,Deals!$A$2:$A$355,0))=0,"",INDEX(Deals!$I$2:$I$355,MATCH($C86,Deals!$A$2:$A$355,0))),""))</f>
        <v/>
      </c>
      <c r="M86" s="22">
        <f>IF($C86="","",IFERROR(IF(INDEX(Deals!$J$2:$J$355,MATCH($C86,Deals!$A$2:$A$355,0))=0,"",INDEX(Deals!$J$2:$J$355,MATCH($C86,Deals!$A$2:$A$355,0))),""))</f>
        <v/>
      </c>
      <c r="N86" s="35">
        <f>IF($L86="",DATE(1900,1,1),$L86)</f>
        <v/>
      </c>
      <c r="O86" s="35">
        <f>IF($M86="",DATE(2100,12,31),$M86)</f>
        <v/>
      </c>
      <c r="P86" s="20" t="inlineStr"/>
      <c r="Q86" s="43" t="inlineStr"/>
      <c r="R86" s="16">
        <f>IF($C86="","",IFERROR(IF(INDEX(Deals!$U$2:$U$355,MATCH($C86,Deals!$A$2:$A$355,0))=0,"",INDEX(Deals!$U$2:$U$355,MATCH($C86,Deals!$A$2:$A$355,0))),""))</f>
        <v/>
      </c>
      <c r="S86" s="34">
        <f>IFERROR(IF($U86="",1,INDEX(Deals!$V$2:$V$355,MATCH($C86,Deals!$A$2:$A$355,0))),1)</f>
        <v/>
      </c>
      <c r="T86" s="34">
        <f>IFERROR(IF($U86="",1,INDEX(Deals!$W$2:$W$355,MATCH($C86,Deals!$A$2:$A$355,0))),1)</f>
        <v/>
      </c>
      <c r="U86" s="22">
        <f>IF($C86="","",IFERROR(IF(INDEX(Deals!$Y$2:$Y$355,MATCH($C86,Deals!$A$2:$A$355,0))=0,"",INDEX(Deals!$Y$2:$Y$355,MATCH($C86,Deals!$A$2:$A$355,0))),""))</f>
        <v/>
      </c>
      <c r="V86" s="35">
        <f>IF($U86="",DATE(1900,1,1),$N86)</f>
        <v/>
      </c>
      <c r="W86" s="35">
        <f>IF($U86="",DATE(2100,12,31),$U86)</f>
        <v/>
      </c>
      <c r="X86" s="32">
        <f>IF($U86="",$K86,$K86*$S86)</f>
        <v/>
      </c>
      <c r="Y86" s="35">
        <f>IF($U86="",DATE(2100,12,31),$U86+1)</f>
        <v/>
      </c>
      <c r="Z86" s="35">
        <f>IF($U86="",DATE(1900,1,1),$O86)</f>
        <v/>
      </c>
      <c r="AA86" s="32">
        <f>IF($U86="",0,$K86*$T86)</f>
        <v/>
      </c>
      <c r="AB86" s="21">
        <f>IF($C86="",0,IFERROR(INDEX(Deals!$AD$2:$AD$355,MATCH($C86,Deals!$A$2:$A$355,0)),0))</f>
        <v/>
      </c>
      <c r="AC86" s="32">
        <f>IF(Settings!$B$4="Yes",$I86*$AB86,$I86)</f>
        <v/>
      </c>
      <c r="AD86" s="22">
        <f>IF($C86="","",IFERROR(IF(INDEX(Deals!$AE$2:$AE$355,MATCH($C86,Deals!$A$2:$A$355,0))=0,"",INDEX(Deals!$AE$2:$AE$355,MATCH($C86,Deals!$A$2:$A$355,0))),""))</f>
        <v/>
      </c>
      <c r="AE86" s="22">
        <f>IF($C86="","",IFERROR(IF(INDEX(Deals!$AF$2:$AF$355,MATCH($C86,Deals!$A$2:$A$355,0))=0,"",INDEX(Deals!$AF$2:$AF$355,MATCH($C86,Deals!$A$2:$A$355,0))),""))</f>
        <v/>
      </c>
      <c r="AF86" s="35">
        <f>IF($AD86="",DATE(1900,1,1),$AD86)</f>
        <v/>
      </c>
      <c r="AG86" s="35">
        <f>IF($AE86="",DATE(2100,12,31),$AE86)</f>
        <v/>
      </c>
      <c r="AH86" s="22">
        <f>IF($C86="","",IFERROR(IF(INDEX(Deals!$AG$2:$AG$355,MATCH($C86,Deals!$A$2:$A$355,0))=0,"",INDEX(Deals!$AG$2:$AG$355,MATCH($C86,Deals!$A$2:$A$355,0))),""))</f>
        <v/>
      </c>
      <c r="AI86" s="35">
        <f>IF($AH86="",DATE(1900,1,1),$AF86)</f>
        <v/>
      </c>
      <c r="AJ86" s="35">
        <f>IF($AH86="",DATE(2100,12,31),$AH86)</f>
        <v/>
      </c>
      <c r="AK86" s="32">
        <f>IF($AH86="",$AC86,$AC86*$S86)</f>
        <v/>
      </c>
      <c r="AL86" s="35">
        <f>IF($AH86="",DATE(2100,12,31),$AH86+1)</f>
        <v/>
      </c>
      <c r="AM86" s="35">
        <f>IF($AH86="",DATE(1900,1,1),$AG86)</f>
        <v/>
      </c>
      <c r="AN86" s="32">
        <f>IF($AH86="",0,$AC86*$T86)</f>
        <v/>
      </c>
    </row>
    <row r="87">
      <c r="A87" s="28" t="inlineStr">
        <is>
          <t>John</t>
        </is>
      </c>
      <c r="B87" s="16">
        <f>IF($A87="","",IFERROR(INDEX(Roster!$B$2:$B$40,MATCH($A87,Roster!$A$2:$A$40,0)),"?"))</f>
        <v/>
      </c>
      <c r="C87" s="28" t="inlineStr">
        <is>
          <t>ValorC3_1</t>
        </is>
      </c>
      <c r="D87" s="16">
        <f>IF($C87="","",IFERROR(IF(INDEX(Deals!$C$2:$C$355,MATCH($C87,Deals!$A$2:$A$355,0))=0,"",INDEX(Deals!$C$2:$C$355,MATCH($C87,Deals!$A$2:$A$355,0))),"?"))</f>
        <v/>
      </c>
      <c r="E87" s="16">
        <f>IF($C87="","",IFERROR(INDEX(Deals!$F$2:$F$355,MATCH($C87,Deals!$A$2:$A$355,0)),"?"))</f>
        <v/>
      </c>
      <c r="F87" s="28" t="inlineStr">
        <is>
          <t>Partner</t>
        </is>
      </c>
      <c r="G87" s="28" t="inlineStr">
        <is>
          <t>Active</t>
        </is>
      </c>
      <c r="H87" s="31" t="n"/>
      <c r="I87" s="32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1">
        <f>IF($C87="",0,IFERROR(INDEX(Deals!$H$2:$H$355,MATCH($C87,Deals!$A$2:$A$355,0)),0))</f>
        <v/>
      </c>
      <c r="K87" s="32">
        <f>IF(Settings!$B$4="Yes",$I87*$J87,$I87)</f>
        <v/>
      </c>
      <c r="L87" s="22">
        <f>IF($C87="","",IFERROR(IF(INDEX(Deals!$I$2:$I$355,MATCH($C87,Deals!$A$2:$A$355,0))=0,"",INDEX(Deals!$I$2:$I$355,MATCH($C87,Deals!$A$2:$A$355,0))),""))</f>
        <v/>
      </c>
      <c r="M87" s="22">
        <f>IF($C87="","",IFERROR(IF(INDEX(Deals!$J$2:$J$355,MATCH($C87,Deals!$A$2:$A$355,0))=0,"",INDEX(Deals!$J$2:$J$355,MATCH($C87,Deals!$A$2:$A$355,0))),""))</f>
        <v/>
      </c>
      <c r="N87" s="35">
        <f>IF($L87="",DATE(1900,1,1),$L87)</f>
        <v/>
      </c>
      <c r="O87" s="35">
        <f>IF($M87="",DATE(2100,12,31),$M87)</f>
        <v/>
      </c>
      <c r="P87" s="20" t="inlineStr"/>
      <c r="Q87" s="43" t="inlineStr"/>
      <c r="R87" s="16">
        <f>IF($C87="","",IFERROR(IF(INDEX(Deals!$U$2:$U$355,MATCH($C87,Deals!$A$2:$A$355,0))=0,"",INDEX(Deals!$U$2:$U$355,MATCH($C87,Deals!$A$2:$A$355,0))),""))</f>
        <v/>
      </c>
      <c r="S87" s="34">
        <f>IFERROR(IF($U87="",1,INDEX(Deals!$V$2:$V$355,MATCH($C87,Deals!$A$2:$A$355,0))),1)</f>
        <v/>
      </c>
      <c r="T87" s="34">
        <f>IFERROR(IF($U87="",1,INDEX(Deals!$W$2:$W$355,MATCH($C87,Deals!$A$2:$A$355,0))),1)</f>
        <v/>
      </c>
      <c r="U87" s="22">
        <f>IF($C87="","",IFERROR(IF(INDEX(Deals!$Y$2:$Y$355,MATCH($C87,Deals!$A$2:$A$355,0))=0,"",INDEX(Deals!$Y$2:$Y$355,MATCH($C87,Deals!$A$2:$A$355,0))),""))</f>
        <v/>
      </c>
      <c r="V87" s="35">
        <f>IF($U87="",DATE(1900,1,1),$N87)</f>
        <v/>
      </c>
      <c r="W87" s="35">
        <f>IF($U87="",DATE(2100,12,31),$U87)</f>
        <v/>
      </c>
      <c r="X87" s="32">
        <f>IF($U87="",$K87,$K87*$S87)</f>
        <v/>
      </c>
      <c r="Y87" s="35">
        <f>IF($U87="",DATE(2100,12,31),$U87+1)</f>
        <v/>
      </c>
      <c r="Z87" s="35">
        <f>IF($U87="",DATE(1900,1,1),$O87)</f>
        <v/>
      </c>
      <c r="AA87" s="32">
        <f>IF($U87="",0,$K87*$T87)</f>
        <v/>
      </c>
      <c r="AB87" s="21">
        <f>IF($C87="",0,IFERROR(INDEX(Deals!$AD$2:$AD$355,MATCH($C87,Deals!$A$2:$A$355,0)),0))</f>
        <v/>
      </c>
      <c r="AC87" s="32">
        <f>IF(Settings!$B$4="Yes",$I87*$AB87,$I87)</f>
        <v/>
      </c>
      <c r="AD87" s="22">
        <f>IF($C87="","",IFERROR(IF(INDEX(Deals!$AE$2:$AE$355,MATCH($C87,Deals!$A$2:$A$355,0))=0,"",INDEX(Deals!$AE$2:$AE$355,MATCH($C87,Deals!$A$2:$A$355,0))),""))</f>
        <v/>
      </c>
      <c r="AE87" s="22">
        <f>IF($C87="","",IFERROR(IF(INDEX(Deals!$AF$2:$AF$355,MATCH($C87,Deals!$A$2:$A$355,0))=0,"",INDEX(Deals!$AF$2:$AF$355,MATCH($C87,Deals!$A$2:$A$355,0))),""))</f>
        <v/>
      </c>
      <c r="AF87" s="35">
        <f>IF($AD87="",DATE(1900,1,1),$AD87)</f>
        <v/>
      </c>
      <c r="AG87" s="35">
        <f>IF($AE87="",DATE(2100,12,31),$AE87)</f>
        <v/>
      </c>
      <c r="AH87" s="22">
        <f>IF($C87="","",IFERROR(IF(INDEX(Deals!$AG$2:$AG$355,MATCH($C87,Deals!$A$2:$A$355,0))=0,"",INDEX(Deals!$AG$2:$AG$355,MATCH($C87,Deals!$A$2:$A$355,0))),""))</f>
        <v/>
      </c>
      <c r="AI87" s="35">
        <f>IF($AH87="",DATE(1900,1,1),$AF87)</f>
        <v/>
      </c>
      <c r="AJ87" s="35">
        <f>IF($AH87="",DATE(2100,12,31),$AH87)</f>
        <v/>
      </c>
      <c r="AK87" s="32">
        <f>IF($AH87="",$AC87,$AC87*$S87)</f>
        <v/>
      </c>
      <c r="AL87" s="35">
        <f>IF($AH87="",DATE(2100,12,31),$AH87+1)</f>
        <v/>
      </c>
      <c r="AM87" s="35">
        <f>IF($AH87="",DATE(1900,1,1),$AG87)</f>
        <v/>
      </c>
      <c r="AN87" s="32">
        <f>IF($AH87="",0,$AC87*$T87)</f>
        <v/>
      </c>
    </row>
    <row r="88">
      <c r="A88" s="28" t="inlineStr">
        <is>
          <t>John</t>
        </is>
      </c>
      <c r="B88" s="16">
        <f>IF($A88="","",IFERROR(INDEX(Roster!$B$2:$B$40,MATCH($A88,Roster!$A$2:$A$40,0)),"?"))</f>
        <v/>
      </c>
      <c r="C88" s="28" t="inlineStr">
        <is>
          <t>Voyager_1</t>
        </is>
      </c>
      <c r="D88" s="16">
        <f>IF($C88="","",IFERROR(IF(INDEX(Deals!$C$2:$C$355,MATCH($C88,Deals!$A$2:$A$355,0))=0,"",INDEX(Deals!$C$2:$C$355,MATCH($C88,Deals!$A$2:$A$355,0))),"?"))</f>
        <v/>
      </c>
      <c r="E88" s="16">
        <f>IF($C88="","",IFERROR(INDEX(Deals!$F$2:$F$355,MATCH($C88,Deals!$A$2:$A$355,0)),"?"))</f>
        <v/>
      </c>
      <c r="F88" s="28" t="inlineStr">
        <is>
          <t>Partner</t>
        </is>
      </c>
      <c r="G88" s="28" t="inlineStr">
        <is>
          <t>Active</t>
        </is>
      </c>
      <c r="H88" s="31" t="n"/>
      <c r="I88" s="32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1">
        <f>IF($C88="",0,IFERROR(INDEX(Deals!$H$2:$H$355,MATCH($C88,Deals!$A$2:$A$355,0)),0))</f>
        <v/>
      </c>
      <c r="K88" s="32">
        <f>IF(Settings!$B$4="Yes",$I88*$J88,$I88)</f>
        <v/>
      </c>
      <c r="L88" s="22">
        <f>IF($C88="","",IFERROR(IF(INDEX(Deals!$I$2:$I$355,MATCH($C88,Deals!$A$2:$A$355,0))=0,"",INDEX(Deals!$I$2:$I$355,MATCH($C88,Deals!$A$2:$A$355,0))),""))</f>
        <v/>
      </c>
      <c r="M88" s="22">
        <f>IF($C88="","",IFERROR(IF(INDEX(Deals!$J$2:$J$355,MATCH($C88,Deals!$A$2:$A$355,0))=0,"",INDEX(Deals!$J$2:$J$355,MATCH($C88,Deals!$A$2:$A$355,0))),""))</f>
        <v/>
      </c>
      <c r="N88" s="35">
        <f>IF($L88="",DATE(1900,1,1),$L88)</f>
        <v/>
      </c>
      <c r="O88" s="35">
        <f>IF($M88="",DATE(2100,12,31),$M88)</f>
        <v/>
      </c>
      <c r="P88" s="20" t="inlineStr"/>
      <c r="Q88" s="43" t="inlineStr"/>
      <c r="R88" s="16">
        <f>IF($C88="","",IFERROR(IF(INDEX(Deals!$U$2:$U$355,MATCH($C88,Deals!$A$2:$A$355,0))=0,"",INDEX(Deals!$U$2:$U$355,MATCH($C88,Deals!$A$2:$A$355,0))),""))</f>
        <v/>
      </c>
      <c r="S88" s="34">
        <f>IFERROR(IF($U88="",1,INDEX(Deals!$V$2:$V$355,MATCH($C88,Deals!$A$2:$A$355,0))),1)</f>
        <v/>
      </c>
      <c r="T88" s="34">
        <f>IFERROR(IF($U88="",1,INDEX(Deals!$W$2:$W$355,MATCH($C88,Deals!$A$2:$A$355,0))),1)</f>
        <v/>
      </c>
      <c r="U88" s="22">
        <f>IF($C88="","",IFERROR(IF(INDEX(Deals!$Y$2:$Y$355,MATCH($C88,Deals!$A$2:$A$355,0))=0,"",INDEX(Deals!$Y$2:$Y$355,MATCH($C88,Deals!$A$2:$A$355,0))),""))</f>
        <v/>
      </c>
      <c r="V88" s="35">
        <f>IF($U88="",DATE(1900,1,1),$N88)</f>
        <v/>
      </c>
      <c r="W88" s="35">
        <f>IF($U88="",DATE(2100,12,31),$U88)</f>
        <v/>
      </c>
      <c r="X88" s="32">
        <f>IF($U88="",$K88,$K88*$S88)</f>
        <v/>
      </c>
      <c r="Y88" s="35">
        <f>IF($U88="",DATE(2100,12,31),$U88+1)</f>
        <v/>
      </c>
      <c r="Z88" s="35">
        <f>IF($U88="",DATE(1900,1,1),$O88)</f>
        <v/>
      </c>
      <c r="AA88" s="32">
        <f>IF($U88="",0,$K88*$T88)</f>
        <v/>
      </c>
      <c r="AB88" s="21">
        <f>IF($C88="",0,IFERROR(INDEX(Deals!$AD$2:$AD$355,MATCH($C88,Deals!$A$2:$A$355,0)),0))</f>
        <v/>
      </c>
      <c r="AC88" s="32">
        <f>IF(Settings!$B$4="Yes",$I88*$AB88,$I88)</f>
        <v/>
      </c>
      <c r="AD88" s="22">
        <f>IF($C88="","",IFERROR(IF(INDEX(Deals!$AE$2:$AE$355,MATCH($C88,Deals!$A$2:$A$355,0))=0,"",INDEX(Deals!$AE$2:$AE$355,MATCH($C88,Deals!$A$2:$A$355,0))),""))</f>
        <v/>
      </c>
      <c r="AE88" s="22">
        <f>IF($C88="","",IFERROR(IF(INDEX(Deals!$AF$2:$AF$355,MATCH($C88,Deals!$A$2:$A$355,0))=0,"",INDEX(Deals!$AF$2:$AF$355,MATCH($C88,Deals!$A$2:$A$355,0))),""))</f>
        <v/>
      </c>
      <c r="AF88" s="35">
        <f>IF($AD88="",DATE(1900,1,1),$AD88)</f>
        <v/>
      </c>
      <c r="AG88" s="35">
        <f>IF($AE88="",DATE(2100,12,31),$AE88)</f>
        <v/>
      </c>
      <c r="AH88" s="22">
        <f>IF($C88="","",IFERROR(IF(INDEX(Deals!$AG$2:$AG$355,MATCH($C88,Deals!$A$2:$A$355,0))=0,"",INDEX(Deals!$AG$2:$AG$355,MATCH($C88,Deals!$A$2:$A$355,0))),""))</f>
        <v/>
      </c>
      <c r="AI88" s="35">
        <f>IF($AH88="",DATE(1900,1,1),$AF88)</f>
        <v/>
      </c>
      <c r="AJ88" s="35">
        <f>IF($AH88="",DATE(2100,12,31),$AH88)</f>
        <v/>
      </c>
      <c r="AK88" s="32">
        <f>IF($AH88="",$AC88,$AC88*$S88)</f>
        <v/>
      </c>
      <c r="AL88" s="35">
        <f>IF($AH88="",DATE(2100,12,31),$AH88+1)</f>
        <v/>
      </c>
      <c r="AM88" s="35">
        <f>IF($AH88="",DATE(1900,1,1),$AG88)</f>
        <v/>
      </c>
      <c r="AN88" s="32">
        <f>IF($AH88="",0,$AC88*$T88)</f>
        <v/>
      </c>
    </row>
    <row r="89">
      <c r="A89" s="28" t="inlineStr">
        <is>
          <t>John</t>
        </is>
      </c>
      <c r="B89" s="16">
        <f>IF($A89="","",IFERROR(INDEX(Roster!$B$2:$B$40,MATCH($A89,Roster!$A$2:$A$40,0)),"?"))</f>
        <v/>
      </c>
      <c r="C89" s="28" t="inlineStr">
        <is>
          <t>Zora_1</t>
        </is>
      </c>
      <c r="D89" s="16">
        <f>IF($C89="","",IFERROR(IF(INDEX(Deals!$C$2:$C$355,MATCH($C89,Deals!$A$2:$A$355,0))=0,"",INDEX(Deals!$C$2:$C$355,MATCH($C89,Deals!$A$2:$A$355,0))),"?"))</f>
        <v/>
      </c>
      <c r="E89" s="16">
        <f>IF($C89="","",IFERROR(INDEX(Deals!$F$2:$F$355,MATCH($C89,Deals!$A$2:$A$355,0)),"?"))</f>
        <v/>
      </c>
      <c r="F89" s="28" t="inlineStr">
        <is>
          <t>Partner</t>
        </is>
      </c>
      <c r="G89" s="28" t="inlineStr">
        <is>
          <t>Active</t>
        </is>
      </c>
      <c r="H89" s="31" t="n"/>
      <c r="I89" s="32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1">
        <f>IF($C89="",0,IFERROR(INDEX(Deals!$H$2:$H$355,MATCH($C89,Deals!$A$2:$A$355,0)),0))</f>
        <v/>
      </c>
      <c r="K89" s="32">
        <f>IF(Settings!$B$4="Yes",$I89*$J89,$I89)</f>
        <v/>
      </c>
      <c r="L89" s="22">
        <f>IF($C89="","",IFERROR(IF(INDEX(Deals!$I$2:$I$355,MATCH($C89,Deals!$A$2:$A$355,0))=0,"",INDEX(Deals!$I$2:$I$355,MATCH($C89,Deals!$A$2:$A$355,0))),""))</f>
        <v/>
      </c>
      <c r="M89" s="22">
        <f>IF($C89="","",IFERROR(IF(INDEX(Deals!$J$2:$J$355,MATCH($C89,Deals!$A$2:$A$355,0))=0,"",INDEX(Deals!$J$2:$J$355,MATCH($C89,Deals!$A$2:$A$355,0))),""))</f>
        <v/>
      </c>
      <c r="N89" s="35">
        <f>IF($L89="",DATE(1900,1,1),$L89)</f>
        <v/>
      </c>
      <c r="O89" s="35">
        <f>IF($M89="",DATE(2100,12,31),$M89)</f>
        <v/>
      </c>
      <c r="P89" s="20" t="inlineStr"/>
      <c r="Q89" s="43" t="inlineStr"/>
      <c r="R89" s="16">
        <f>IF($C89="","",IFERROR(IF(INDEX(Deals!$U$2:$U$355,MATCH($C89,Deals!$A$2:$A$355,0))=0,"",INDEX(Deals!$U$2:$U$355,MATCH($C89,Deals!$A$2:$A$355,0))),""))</f>
        <v/>
      </c>
      <c r="S89" s="34">
        <f>IFERROR(IF($U89="",1,INDEX(Deals!$V$2:$V$355,MATCH($C89,Deals!$A$2:$A$355,0))),1)</f>
        <v/>
      </c>
      <c r="T89" s="34">
        <f>IFERROR(IF($U89="",1,INDEX(Deals!$W$2:$W$355,MATCH($C89,Deals!$A$2:$A$355,0))),1)</f>
        <v/>
      </c>
      <c r="U89" s="22">
        <f>IF($C89="","",IFERROR(IF(INDEX(Deals!$Y$2:$Y$355,MATCH($C89,Deals!$A$2:$A$355,0))=0,"",INDEX(Deals!$Y$2:$Y$355,MATCH($C89,Deals!$A$2:$A$355,0))),""))</f>
        <v/>
      </c>
      <c r="V89" s="35">
        <f>IF($U89="",DATE(1900,1,1),$N89)</f>
        <v/>
      </c>
      <c r="W89" s="35">
        <f>IF($U89="",DATE(2100,12,31),$U89)</f>
        <v/>
      </c>
      <c r="X89" s="32">
        <f>IF($U89="",$K89,$K89*$S89)</f>
        <v/>
      </c>
      <c r="Y89" s="35">
        <f>IF($U89="",DATE(2100,12,31),$U89+1)</f>
        <v/>
      </c>
      <c r="Z89" s="35">
        <f>IF($U89="",DATE(1900,1,1),$O89)</f>
        <v/>
      </c>
      <c r="AA89" s="32">
        <f>IF($U89="",0,$K89*$T89)</f>
        <v/>
      </c>
      <c r="AB89" s="21">
        <f>IF($C89="",0,IFERROR(INDEX(Deals!$AD$2:$AD$355,MATCH($C89,Deals!$A$2:$A$355,0)),0))</f>
        <v/>
      </c>
      <c r="AC89" s="32">
        <f>IF(Settings!$B$4="Yes",$I89*$AB89,$I89)</f>
        <v/>
      </c>
      <c r="AD89" s="22">
        <f>IF($C89="","",IFERROR(IF(INDEX(Deals!$AE$2:$AE$355,MATCH($C89,Deals!$A$2:$A$355,0))=0,"",INDEX(Deals!$AE$2:$AE$355,MATCH($C89,Deals!$A$2:$A$355,0))),""))</f>
        <v/>
      </c>
      <c r="AE89" s="22">
        <f>IF($C89="","",IFERROR(IF(INDEX(Deals!$AF$2:$AF$355,MATCH($C89,Deals!$A$2:$A$355,0))=0,"",INDEX(Deals!$AF$2:$AF$355,MATCH($C89,Deals!$A$2:$A$355,0))),""))</f>
        <v/>
      </c>
      <c r="AF89" s="35">
        <f>IF($AD89="",DATE(1900,1,1),$AD89)</f>
        <v/>
      </c>
      <c r="AG89" s="35">
        <f>IF($AE89="",DATE(2100,12,31),$AE89)</f>
        <v/>
      </c>
      <c r="AH89" s="22">
        <f>IF($C89="","",IFERROR(IF(INDEX(Deals!$AG$2:$AG$355,MATCH($C89,Deals!$A$2:$A$355,0))=0,"",INDEX(Deals!$AG$2:$AG$355,MATCH($C89,Deals!$A$2:$A$355,0))),""))</f>
        <v/>
      </c>
      <c r="AI89" s="35">
        <f>IF($AH89="",DATE(1900,1,1),$AF89)</f>
        <v/>
      </c>
      <c r="AJ89" s="35">
        <f>IF($AH89="",DATE(2100,12,31),$AH89)</f>
        <v/>
      </c>
      <c r="AK89" s="32">
        <f>IF($AH89="",$AC89,$AC89*$S89)</f>
        <v/>
      </c>
      <c r="AL89" s="35">
        <f>IF($AH89="",DATE(2100,12,31),$AH89+1)</f>
        <v/>
      </c>
      <c r="AM89" s="35">
        <f>IF($AH89="",DATE(1900,1,1),$AG89)</f>
        <v/>
      </c>
      <c r="AN89" s="32">
        <f>IF($AH89="",0,$AC89*$T89)</f>
        <v/>
      </c>
    </row>
    <row r="90">
      <c r="A90" s="28" t="inlineStr">
        <is>
          <t>Will B. W.</t>
        </is>
      </c>
      <c r="B90" s="16">
        <f>IF($A90="","",IFERROR(INDEX(Roster!$B$2:$B$40,MATCH($A90,Roster!$A$2:$A$40,0)),"?"))</f>
        <v/>
      </c>
      <c r="C90" s="28" t="inlineStr">
        <is>
          <t>Apple_2</t>
        </is>
      </c>
      <c r="D90" s="16">
        <f>IF($C90="","",IFERROR(IF(INDEX(Deals!$C$2:$C$355,MATCH($C90,Deals!$A$2:$A$355,0))=0,"",INDEX(Deals!$C$2:$C$355,MATCH($C90,Deals!$A$2:$A$355,0))),"?"))</f>
        <v/>
      </c>
      <c r="E90" s="16">
        <f>IF($C90="","",IFERROR(INDEX(Deals!$F$2:$F$355,MATCH($C90,Deals!$A$2:$A$355,0)),"?"))</f>
        <v/>
      </c>
      <c r="F90" s="28" t="inlineStr">
        <is>
          <t>Partner</t>
        </is>
      </c>
      <c r="G90" s="28" t="inlineStr">
        <is>
          <t>Active</t>
        </is>
      </c>
      <c r="H90" s="31" t="n"/>
      <c r="I90" s="32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1">
        <f>IF($C90="",0,IFERROR(INDEX(Deals!$H$2:$H$355,MATCH($C90,Deals!$A$2:$A$355,0)),0))</f>
        <v/>
      </c>
      <c r="K90" s="32">
        <f>IF(Settings!$B$4="Yes",$I90*$J90,$I90)</f>
        <v/>
      </c>
      <c r="L90" s="22">
        <f>IF($C90="","",IFERROR(IF(INDEX(Deals!$I$2:$I$355,MATCH($C90,Deals!$A$2:$A$355,0))=0,"",INDEX(Deals!$I$2:$I$355,MATCH($C90,Deals!$A$2:$A$355,0))),""))</f>
        <v/>
      </c>
      <c r="M90" s="22">
        <f>IF($C90="","",IFERROR(IF(INDEX(Deals!$J$2:$J$355,MATCH($C90,Deals!$A$2:$A$355,0))=0,"",INDEX(Deals!$J$2:$J$355,MATCH($C90,Deals!$A$2:$A$355,0))),""))</f>
        <v/>
      </c>
      <c r="N90" s="35">
        <f>IF($L90="",DATE(1900,1,1),$L90)</f>
        <v/>
      </c>
      <c r="O90" s="35">
        <f>IF($M90="",DATE(2100,12,31),$M90)</f>
        <v/>
      </c>
      <c r="P90" s="20" t="inlineStr"/>
      <c r="Q90" s="43" t="inlineStr"/>
      <c r="R90" s="16">
        <f>IF($C90="","",IFERROR(IF(INDEX(Deals!$U$2:$U$355,MATCH($C90,Deals!$A$2:$A$355,0))=0,"",INDEX(Deals!$U$2:$U$355,MATCH($C90,Deals!$A$2:$A$355,0))),""))</f>
        <v/>
      </c>
      <c r="S90" s="34">
        <f>IFERROR(IF($U90="",1,INDEX(Deals!$V$2:$V$355,MATCH($C90,Deals!$A$2:$A$355,0))),1)</f>
        <v/>
      </c>
      <c r="T90" s="34">
        <f>IFERROR(IF($U90="",1,INDEX(Deals!$W$2:$W$355,MATCH($C90,Deals!$A$2:$A$355,0))),1)</f>
        <v/>
      </c>
      <c r="U90" s="22">
        <f>IF($C90="","",IFERROR(IF(INDEX(Deals!$Y$2:$Y$355,MATCH($C90,Deals!$A$2:$A$355,0))=0,"",INDEX(Deals!$Y$2:$Y$355,MATCH($C90,Deals!$A$2:$A$355,0))),""))</f>
        <v/>
      </c>
      <c r="V90" s="35">
        <f>IF($U90="",DATE(1900,1,1),$N90)</f>
        <v/>
      </c>
      <c r="W90" s="35">
        <f>IF($U90="",DATE(2100,12,31),$U90)</f>
        <v/>
      </c>
      <c r="X90" s="32">
        <f>IF($U90="",$K90,$K90*$S90)</f>
        <v/>
      </c>
      <c r="Y90" s="35">
        <f>IF($U90="",DATE(2100,12,31),$U90+1)</f>
        <v/>
      </c>
      <c r="Z90" s="35">
        <f>IF($U90="",DATE(1900,1,1),$O90)</f>
        <v/>
      </c>
      <c r="AA90" s="32">
        <f>IF($U90="",0,$K90*$T90)</f>
        <v/>
      </c>
      <c r="AB90" s="21">
        <f>IF($C90="",0,IFERROR(INDEX(Deals!$AD$2:$AD$355,MATCH($C90,Deals!$A$2:$A$355,0)),0))</f>
        <v/>
      </c>
      <c r="AC90" s="32">
        <f>IF(Settings!$B$4="Yes",$I90*$AB90,$I90)</f>
        <v/>
      </c>
      <c r="AD90" s="22">
        <f>IF($C90="","",IFERROR(IF(INDEX(Deals!$AE$2:$AE$355,MATCH($C90,Deals!$A$2:$A$355,0))=0,"",INDEX(Deals!$AE$2:$AE$355,MATCH($C90,Deals!$A$2:$A$355,0))),""))</f>
        <v/>
      </c>
      <c r="AE90" s="22">
        <f>IF($C90="","",IFERROR(IF(INDEX(Deals!$AF$2:$AF$355,MATCH($C90,Deals!$A$2:$A$355,0))=0,"",INDEX(Deals!$AF$2:$AF$355,MATCH($C90,Deals!$A$2:$A$355,0))),""))</f>
        <v/>
      </c>
      <c r="AF90" s="35">
        <f>IF($AD90="",DATE(1900,1,1),$AD90)</f>
        <v/>
      </c>
      <c r="AG90" s="35">
        <f>IF($AE90="",DATE(2100,12,31),$AE90)</f>
        <v/>
      </c>
      <c r="AH90" s="22">
        <f>IF($C90="","",IFERROR(IF(INDEX(Deals!$AG$2:$AG$355,MATCH($C90,Deals!$A$2:$A$355,0))=0,"",INDEX(Deals!$AG$2:$AG$355,MATCH($C90,Deals!$A$2:$A$355,0))),""))</f>
        <v/>
      </c>
      <c r="AI90" s="35">
        <f>IF($AH90="",DATE(1900,1,1),$AF90)</f>
        <v/>
      </c>
      <c r="AJ90" s="35">
        <f>IF($AH90="",DATE(2100,12,31),$AH90)</f>
        <v/>
      </c>
      <c r="AK90" s="32">
        <f>IF($AH90="",$AC90,$AC90*$S90)</f>
        <v/>
      </c>
      <c r="AL90" s="35">
        <f>IF($AH90="",DATE(2100,12,31),$AH90+1)</f>
        <v/>
      </c>
      <c r="AM90" s="35">
        <f>IF($AH90="",DATE(1900,1,1),$AG90)</f>
        <v/>
      </c>
      <c r="AN90" s="32">
        <f>IF($AH90="",0,$AC90*$T90)</f>
        <v/>
      </c>
    </row>
    <row r="91">
      <c r="A91" s="28" t="inlineStr">
        <is>
          <t>Will B. W.</t>
        </is>
      </c>
      <c r="B91" s="16">
        <f>IF($A91="","",IFERROR(INDEX(Roster!$B$2:$B$40,MATCH($A91,Roster!$A$2:$A$40,0)),"?"))</f>
        <v/>
      </c>
      <c r="C91" s="28" t="inlineStr">
        <is>
          <t>DCLI Sellside_1</t>
        </is>
      </c>
      <c r="D91" s="16">
        <f>IF($C91="","",IFERROR(IF(INDEX(Deals!$C$2:$C$355,MATCH($C91,Deals!$A$2:$A$355,0))=0,"",INDEX(Deals!$C$2:$C$355,MATCH($C91,Deals!$A$2:$A$355,0))),"?"))</f>
        <v/>
      </c>
      <c r="E91" s="16">
        <f>IF($C91="","",IFERROR(INDEX(Deals!$F$2:$F$355,MATCH($C91,Deals!$A$2:$A$355,0)),"?"))</f>
        <v/>
      </c>
      <c r="F91" s="28" t="inlineStr">
        <is>
          <t>Partner</t>
        </is>
      </c>
      <c r="G91" s="28" t="inlineStr">
        <is>
          <t>Active</t>
        </is>
      </c>
      <c r="H91" s="31" t="n"/>
      <c r="I91" s="32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1">
        <f>IF($C91="",0,IFERROR(INDEX(Deals!$H$2:$H$355,MATCH($C91,Deals!$A$2:$A$355,0)),0))</f>
        <v/>
      </c>
      <c r="K91" s="32">
        <f>IF(Settings!$B$4="Yes",$I91*$J91,$I91)</f>
        <v/>
      </c>
      <c r="L91" s="22">
        <f>IF($C91="","",IFERROR(IF(INDEX(Deals!$I$2:$I$355,MATCH($C91,Deals!$A$2:$A$355,0))=0,"",INDEX(Deals!$I$2:$I$355,MATCH($C91,Deals!$A$2:$A$355,0))),""))</f>
        <v/>
      </c>
      <c r="M91" s="22">
        <f>IF($C91="","",IFERROR(IF(INDEX(Deals!$J$2:$J$355,MATCH($C91,Deals!$A$2:$A$355,0))=0,"",INDEX(Deals!$J$2:$J$355,MATCH($C91,Deals!$A$2:$A$355,0))),""))</f>
        <v/>
      </c>
      <c r="N91" s="35">
        <f>IF($L91="",DATE(1900,1,1),$L91)</f>
        <v/>
      </c>
      <c r="O91" s="35">
        <f>IF($M91="",DATE(2100,12,31),$M91)</f>
        <v/>
      </c>
      <c r="P91" s="20" t="inlineStr"/>
      <c r="Q91" s="43" t="inlineStr"/>
      <c r="R91" s="16">
        <f>IF($C91="","",IFERROR(IF(INDEX(Deals!$U$2:$U$355,MATCH($C91,Deals!$A$2:$A$355,0))=0,"",INDEX(Deals!$U$2:$U$355,MATCH($C91,Deals!$A$2:$A$355,0))),""))</f>
        <v/>
      </c>
      <c r="S91" s="34">
        <f>IFERROR(IF($U91="",1,INDEX(Deals!$V$2:$V$355,MATCH($C91,Deals!$A$2:$A$355,0))),1)</f>
        <v/>
      </c>
      <c r="T91" s="34">
        <f>IFERROR(IF($U91="",1,INDEX(Deals!$W$2:$W$355,MATCH($C91,Deals!$A$2:$A$355,0))),1)</f>
        <v/>
      </c>
      <c r="U91" s="22">
        <f>IF($C91="","",IFERROR(IF(INDEX(Deals!$Y$2:$Y$355,MATCH($C91,Deals!$A$2:$A$355,0))=0,"",INDEX(Deals!$Y$2:$Y$355,MATCH($C91,Deals!$A$2:$A$355,0))),""))</f>
        <v/>
      </c>
      <c r="V91" s="35">
        <f>IF($U91="",DATE(1900,1,1),$N91)</f>
        <v/>
      </c>
      <c r="W91" s="35">
        <f>IF($U91="",DATE(2100,12,31),$U91)</f>
        <v/>
      </c>
      <c r="X91" s="32">
        <f>IF($U91="",$K91,$K91*$S91)</f>
        <v/>
      </c>
      <c r="Y91" s="35">
        <f>IF($U91="",DATE(2100,12,31),$U91+1)</f>
        <v/>
      </c>
      <c r="Z91" s="35">
        <f>IF($U91="",DATE(1900,1,1),$O91)</f>
        <v/>
      </c>
      <c r="AA91" s="32">
        <f>IF($U91="",0,$K91*$T91)</f>
        <v/>
      </c>
      <c r="AB91" s="21">
        <f>IF($C91="",0,IFERROR(INDEX(Deals!$AD$2:$AD$355,MATCH($C91,Deals!$A$2:$A$355,0)),0))</f>
        <v/>
      </c>
      <c r="AC91" s="32">
        <f>IF(Settings!$B$4="Yes",$I91*$AB91,$I91)</f>
        <v/>
      </c>
      <c r="AD91" s="22">
        <f>IF($C91="","",IFERROR(IF(INDEX(Deals!$AE$2:$AE$355,MATCH($C91,Deals!$A$2:$A$355,0))=0,"",INDEX(Deals!$AE$2:$AE$355,MATCH($C91,Deals!$A$2:$A$355,0))),""))</f>
        <v/>
      </c>
      <c r="AE91" s="22">
        <f>IF($C91="","",IFERROR(IF(INDEX(Deals!$AF$2:$AF$355,MATCH($C91,Deals!$A$2:$A$355,0))=0,"",INDEX(Deals!$AF$2:$AF$355,MATCH($C91,Deals!$A$2:$A$355,0))),""))</f>
        <v/>
      </c>
      <c r="AF91" s="35">
        <f>IF($AD91="",DATE(1900,1,1),$AD91)</f>
        <v/>
      </c>
      <c r="AG91" s="35">
        <f>IF($AE91="",DATE(2100,12,31),$AE91)</f>
        <v/>
      </c>
      <c r="AH91" s="22">
        <f>IF($C91="","",IFERROR(IF(INDEX(Deals!$AG$2:$AG$355,MATCH($C91,Deals!$A$2:$A$355,0))=0,"",INDEX(Deals!$AG$2:$AG$355,MATCH($C91,Deals!$A$2:$A$355,0))),""))</f>
        <v/>
      </c>
      <c r="AI91" s="35">
        <f>IF($AH91="",DATE(1900,1,1),$AF91)</f>
        <v/>
      </c>
      <c r="AJ91" s="35">
        <f>IF($AH91="",DATE(2100,12,31),$AH91)</f>
        <v/>
      </c>
      <c r="AK91" s="32">
        <f>IF($AH91="",$AC91,$AC91*$S91)</f>
        <v/>
      </c>
      <c r="AL91" s="35">
        <f>IF($AH91="",DATE(2100,12,31),$AH91+1)</f>
        <v/>
      </c>
      <c r="AM91" s="35">
        <f>IF($AH91="",DATE(1900,1,1),$AG91)</f>
        <v/>
      </c>
      <c r="AN91" s="32">
        <f>IF($AH91="",0,$AC91*$T91)</f>
        <v/>
      </c>
    </row>
    <row r="92">
      <c r="A92" s="28" t="inlineStr">
        <is>
          <t>Will B. W.</t>
        </is>
      </c>
      <c r="B92" s="16">
        <f>IF($A92="","",IFERROR(INDEX(Roster!$B$2:$B$40,MATCH($A92,Roster!$A$2:$A$40,0)),"?"))</f>
        <v/>
      </c>
      <c r="C92" s="28" t="inlineStr">
        <is>
          <t>Gemini</t>
        </is>
      </c>
      <c r="D92" s="16">
        <f>IF($C92="","",IFERROR(IF(INDEX(Deals!$C$2:$C$355,MATCH($C92,Deals!$A$2:$A$355,0))=0,"",INDEX(Deals!$C$2:$C$355,MATCH($C92,Deals!$A$2:$A$355,0))),"?"))</f>
        <v/>
      </c>
      <c r="E92" s="16">
        <f>IF($C92="","",IFERROR(INDEX(Deals!$F$2:$F$355,MATCH($C92,Deals!$A$2:$A$355,0)),"?"))</f>
        <v/>
      </c>
      <c r="F92" s="28" t="inlineStr">
        <is>
          <t>Partner</t>
        </is>
      </c>
      <c r="G92" s="28" t="inlineStr">
        <is>
          <t>Active</t>
        </is>
      </c>
      <c r="H92" s="31" t="n"/>
      <c r="I92" s="32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1">
        <f>IF($C92="",0,IFERROR(INDEX(Deals!$H$2:$H$355,MATCH($C92,Deals!$A$2:$A$355,0)),0))</f>
        <v/>
      </c>
      <c r="K92" s="32">
        <f>IF(Settings!$B$4="Yes",$I92*$J92,$I92)</f>
        <v/>
      </c>
      <c r="L92" s="22">
        <f>IF($C92="","",IFERROR(IF(INDEX(Deals!$I$2:$I$355,MATCH($C92,Deals!$A$2:$A$355,0))=0,"",INDEX(Deals!$I$2:$I$355,MATCH($C92,Deals!$A$2:$A$355,0))),""))</f>
        <v/>
      </c>
      <c r="M92" s="22">
        <f>IF($C92="","",IFERROR(IF(INDEX(Deals!$J$2:$J$355,MATCH($C92,Deals!$A$2:$A$355,0))=0,"",INDEX(Deals!$J$2:$J$355,MATCH($C92,Deals!$A$2:$A$355,0))),""))</f>
        <v/>
      </c>
      <c r="N92" s="35">
        <f>IF($L92="",DATE(1900,1,1),$L92)</f>
        <v/>
      </c>
      <c r="O92" s="35">
        <f>IF($M92="",DATE(2100,12,31),$M92)</f>
        <v/>
      </c>
      <c r="P92" s="20" t="inlineStr"/>
      <c r="Q92" s="43" t="inlineStr"/>
      <c r="R92" s="16">
        <f>IF($C92="","",IFERROR(IF(INDEX(Deals!$U$2:$U$355,MATCH($C92,Deals!$A$2:$A$355,0))=0,"",INDEX(Deals!$U$2:$U$355,MATCH($C92,Deals!$A$2:$A$355,0))),""))</f>
        <v/>
      </c>
      <c r="S92" s="34">
        <f>IFERROR(IF($U92="",1,INDEX(Deals!$V$2:$V$355,MATCH($C92,Deals!$A$2:$A$355,0))),1)</f>
        <v/>
      </c>
      <c r="T92" s="34">
        <f>IFERROR(IF($U92="",1,INDEX(Deals!$W$2:$W$355,MATCH($C92,Deals!$A$2:$A$355,0))),1)</f>
        <v/>
      </c>
      <c r="U92" s="22">
        <f>IF($C92="","",IFERROR(IF(INDEX(Deals!$Y$2:$Y$355,MATCH($C92,Deals!$A$2:$A$355,0))=0,"",INDEX(Deals!$Y$2:$Y$355,MATCH($C92,Deals!$A$2:$A$355,0))),""))</f>
        <v/>
      </c>
      <c r="V92" s="35">
        <f>IF($U92="",DATE(1900,1,1),$N92)</f>
        <v/>
      </c>
      <c r="W92" s="35">
        <f>IF($U92="",DATE(2100,12,31),$U92)</f>
        <v/>
      </c>
      <c r="X92" s="32">
        <f>IF($U92="",$K92,$K92*$S92)</f>
        <v/>
      </c>
      <c r="Y92" s="35">
        <f>IF($U92="",DATE(2100,12,31),$U92+1)</f>
        <v/>
      </c>
      <c r="Z92" s="35">
        <f>IF($U92="",DATE(1900,1,1),$O92)</f>
        <v/>
      </c>
      <c r="AA92" s="32">
        <f>IF($U92="",0,$K92*$T92)</f>
        <v/>
      </c>
      <c r="AB92" s="21">
        <f>IF($C92="",0,IFERROR(INDEX(Deals!$AD$2:$AD$355,MATCH($C92,Deals!$A$2:$A$355,0)),0))</f>
        <v/>
      </c>
      <c r="AC92" s="32">
        <f>IF(Settings!$B$4="Yes",$I92*$AB92,$I92)</f>
        <v/>
      </c>
      <c r="AD92" s="22">
        <f>IF($C92="","",IFERROR(IF(INDEX(Deals!$AE$2:$AE$355,MATCH($C92,Deals!$A$2:$A$355,0))=0,"",INDEX(Deals!$AE$2:$AE$355,MATCH($C92,Deals!$A$2:$A$355,0))),""))</f>
        <v/>
      </c>
      <c r="AE92" s="22">
        <f>IF($C92="","",IFERROR(IF(INDEX(Deals!$AF$2:$AF$355,MATCH($C92,Deals!$A$2:$A$355,0))=0,"",INDEX(Deals!$AF$2:$AF$355,MATCH($C92,Deals!$A$2:$A$355,0))),""))</f>
        <v/>
      </c>
      <c r="AF92" s="35">
        <f>IF($AD92="",DATE(1900,1,1),$AD92)</f>
        <v/>
      </c>
      <c r="AG92" s="35">
        <f>IF($AE92="",DATE(2100,12,31),$AE92)</f>
        <v/>
      </c>
      <c r="AH92" s="22">
        <f>IF($C92="","",IFERROR(IF(INDEX(Deals!$AG$2:$AG$355,MATCH($C92,Deals!$A$2:$A$355,0))=0,"",INDEX(Deals!$AG$2:$AG$355,MATCH($C92,Deals!$A$2:$A$355,0))),""))</f>
        <v/>
      </c>
      <c r="AI92" s="35">
        <f>IF($AH92="",DATE(1900,1,1),$AF92)</f>
        <v/>
      </c>
      <c r="AJ92" s="35">
        <f>IF($AH92="",DATE(2100,12,31),$AH92)</f>
        <v/>
      </c>
      <c r="AK92" s="32">
        <f>IF($AH92="",$AC92,$AC92*$S92)</f>
        <v/>
      </c>
      <c r="AL92" s="35">
        <f>IF($AH92="",DATE(2100,12,31),$AH92+1)</f>
        <v/>
      </c>
      <c r="AM92" s="35">
        <f>IF($AH92="",DATE(1900,1,1),$AG92)</f>
        <v/>
      </c>
      <c r="AN92" s="32">
        <f>IF($AH92="",0,$AC92*$T92)</f>
        <v/>
      </c>
    </row>
    <row r="93">
      <c r="A93" s="28" t="inlineStr">
        <is>
          <t>Will B. W.</t>
        </is>
      </c>
      <c r="B93" s="16">
        <f>IF($A93="","",IFERROR(INDEX(Roster!$B$2:$B$40,MATCH($A93,Roster!$A$2:$A$40,0)),"?"))</f>
        <v/>
      </c>
      <c r="C93" s="28" t="inlineStr">
        <is>
          <t>Graitec Reorg_2</t>
        </is>
      </c>
      <c r="D93" s="16">
        <f>IF($C93="","",IFERROR(IF(INDEX(Deals!$C$2:$C$355,MATCH($C93,Deals!$A$2:$A$355,0))=0,"",INDEX(Deals!$C$2:$C$355,MATCH($C93,Deals!$A$2:$A$355,0))),"?"))</f>
        <v/>
      </c>
      <c r="E93" s="16">
        <f>IF($C93="","",IFERROR(INDEX(Deals!$F$2:$F$355,MATCH($C93,Deals!$A$2:$A$355,0)),"?"))</f>
        <v/>
      </c>
      <c r="F93" s="28" t="inlineStr">
        <is>
          <t>Partner</t>
        </is>
      </c>
      <c r="G93" s="28" t="inlineStr">
        <is>
          <t>Active</t>
        </is>
      </c>
      <c r="H93" s="31" t="n"/>
      <c r="I93" s="32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1">
        <f>IF($C93="",0,IFERROR(INDEX(Deals!$H$2:$H$355,MATCH($C93,Deals!$A$2:$A$355,0)),0))</f>
        <v/>
      </c>
      <c r="K93" s="32">
        <f>IF(Settings!$B$4="Yes",$I93*$J93,$I93)</f>
        <v/>
      </c>
      <c r="L93" s="22">
        <f>IF($C93="","",IFERROR(IF(INDEX(Deals!$I$2:$I$355,MATCH($C93,Deals!$A$2:$A$355,0))=0,"",INDEX(Deals!$I$2:$I$355,MATCH($C93,Deals!$A$2:$A$355,0))),""))</f>
        <v/>
      </c>
      <c r="M93" s="22">
        <f>IF($C93="","",IFERROR(IF(INDEX(Deals!$J$2:$J$355,MATCH($C93,Deals!$A$2:$A$355,0))=0,"",INDEX(Deals!$J$2:$J$355,MATCH($C93,Deals!$A$2:$A$355,0))),""))</f>
        <v/>
      </c>
      <c r="N93" s="35">
        <f>IF($L93="",DATE(1900,1,1),$L93)</f>
        <v/>
      </c>
      <c r="O93" s="35">
        <f>IF($M93="",DATE(2100,12,31),$M93)</f>
        <v/>
      </c>
      <c r="P93" s="20" t="inlineStr"/>
      <c r="Q93" s="43" t="inlineStr"/>
      <c r="R93" s="16">
        <f>IF($C93="","",IFERROR(IF(INDEX(Deals!$U$2:$U$355,MATCH($C93,Deals!$A$2:$A$355,0))=0,"",INDEX(Deals!$U$2:$U$355,MATCH($C93,Deals!$A$2:$A$355,0))),""))</f>
        <v/>
      </c>
      <c r="S93" s="34">
        <f>IFERROR(IF($U93="",1,INDEX(Deals!$V$2:$V$355,MATCH($C93,Deals!$A$2:$A$355,0))),1)</f>
        <v/>
      </c>
      <c r="T93" s="34">
        <f>IFERROR(IF($U93="",1,INDEX(Deals!$W$2:$W$355,MATCH($C93,Deals!$A$2:$A$355,0))),1)</f>
        <v/>
      </c>
      <c r="U93" s="22">
        <f>IF($C93="","",IFERROR(IF(INDEX(Deals!$Y$2:$Y$355,MATCH($C93,Deals!$A$2:$A$355,0))=0,"",INDEX(Deals!$Y$2:$Y$355,MATCH($C93,Deals!$A$2:$A$355,0))),""))</f>
        <v/>
      </c>
      <c r="V93" s="35">
        <f>IF($U93="",DATE(1900,1,1),$N93)</f>
        <v/>
      </c>
      <c r="W93" s="35">
        <f>IF($U93="",DATE(2100,12,31),$U93)</f>
        <v/>
      </c>
      <c r="X93" s="32">
        <f>IF($U93="",$K93,$K93*$S93)</f>
        <v/>
      </c>
      <c r="Y93" s="35">
        <f>IF($U93="",DATE(2100,12,31),$U93+1)</f>
        <v/>
      </c>
      <c r="Z93" s="35">
        <f>IF($U93="",DATE(1900,1,1),$O93)</f>
        <v/>
      </c>
      <c r="AA93" s="32">
        <f>IF($U93="",0,$K93*$T93)</f>
        <v/>
      </c>
      <c r="AB93" s="21">
        <f>IF($C93="",0,IFERROR(INDEX(Deals!$AD$2:$AD$355,MATCH($C93,Deals!$A$2:$A$355,0)),0))</f>
        <v/>
      </c>
      <c r="AC93" s="32">
        <f>IF(Settings!$B$4="Yes",$I93*$AB93,$I93)</f>
        <v/>
      </c>
      <c r="AD93" s="22">
        <f>IF($C93="","",IFERROR(IF(INDEX(Deals!$AE$2:$AE$355,MATCH($C93,Deals!$A$2:$A$355,0))=0,"",INDEX(Deals!$AE$2:$AE$355,MATCH($C93,Deals!$A$2:$A$355,0))),""))</f>
        <v/>
      </c>
      <c r="AE93" s="22">
        <f>IF($C93="","",IFERROR(IF(INDEX(Deals!$AF$2:$AF$355,MATCH($C93,Deals!$A$2:$A$355,0))=0,"",INDEX(Deals!$AF$2:$AF$355,MATCH($C93,Deals!$A$2:$A$355,0))),""))</f>
        <v/>
      </c>
      <c r="AF93" s="35">
        <f>IF($AD93="",DATE(1900,1,1),$AD93)</f>
        <v/>
      </c>
      <c r="AG93" s="35">
        <f>IF($AE93="",DATE(2100,12,31),$AE93)</f>
        <v/>
      </c>
      <c r="AH93" s="22">
        <f>IF($C93="","",IFERROR(IF(INDEX(Deals!$AG$2:$AG$355,MATCH($C93,Deals!$A$2:$A$355,0))=0,"",INDEX(Deals!$AG$2:$AG$355,MATCH($C93,Deals!$A$2:$A$355,0))),""))</f>
        <v/>
      </c>
      <c r="AI93" s="35">
        <f>IF($AH93="",DATE(1900,1,1),$AF93)</f>
        <v/>
      </c>
      <c r="AJ93" s="35">
        <f>IF($AH93="",DATE(2100,12,31),$AH93)</f>
        <v/>
      </c>
      <c r="AK93" s="32">
        <f>IF($AH93="",$AC93,$AC93*$S93)</f>
        <v/>
      </c>
      <c r="AL93" s="35">
        <f>IF($AH93="",DATE(2100,12,31),$AH93+1)</f>
        <v/>
      </c>
      <c r="AM93" s="35">
        <f>IF($AH93="",DATE(1900,1,1),$AG93)</f>
        <v/>
      </c>
      <c r="AN93" s="32">
        <f>IF($AH93="",0,$AC93*$T93)</f>
        <v/>
      </c>
    </row>
    <row r="94">
      <c r="A94" s="28" t="inlineStr">
        <is>
          <t>Will B. W.</t>
        </is>
      </c>
      <c r="B94" s="16">
        <f>IF($A94="","",IFERROR(INDEX(Roster!$B$2:$B$40,MATCH($A94,Roster!$A$2:$A$40,0)),"?"))</f>
        <v/>
      </c>
      <c r="C94" s="28" t="inlineStr">
        <is>
          <t>Kentucky_1</t>
        </is>
      </c>
      <c r="D94" s="16">
        <f>IF($C94="","",IFERROR(IF(INDEX(Deals!$C$2:$C$355,MATCH($C94,Deals!$A$2:$A$355,0))=0,"",INDEX(Deals!$C$2:$C$355,MATCH($C94,Deals!$A$2:$A$355,0))),"?"))</f>
        <v/>
      </c>
      <c r="E94" s="16">
        <f>IF($C94="","",IFERROR(INDEX(Deals!$F$2:$F$355,MATCH($C94,Deals!$A$2:$A$355,0)),"?"))</f>
        <v/>
      </c>
      <c r="F94" s="28" t="inlineStr">
        <is>
          <t>Partner</t>
        </is>
      </c>
      <c r="G94" s="28" t="inlineStr">
        <is>
          <t>Active</t>
        </is>
      </c>
      <c r="H94" s="31" t="n"/>
      <c r="I94" s="32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1">
        <f>IF($C94="",0,IFERROR(INDEX(Deals!$H$2:$H$355,MATCH($C94,Deals!$A$2:$A$355,0)),0))</f>
        <v/>
      </c>
      <c r="K94" s="32">
        <f>IF(Settings!$B$4="Yes",$I94*$J94,$I94)</f>
        <v/>
      </c>
      <c r="L94" s="22">
        <f>IF($C94="","",IFERROR(IF(INDEX(Deals!$I$2:$I$355,MATCH($C94,Deals!$A$2:$A$355,0))=0,"",INDEX(Deals!$I$2:$I$355,MATCH($C94,Deals!$A$2:$A$355,0))),""))</f>
        <v/>
      </c>
      <c r="M94" s="22">
        <f>IF($C94="","",IFERROR(IF(INDEX(Deals!$J$2:$J$355,MATCH($C94,Deals!$A$2:$A$355,0))=0,"",INDEX(Deals!$J$2:$J$355,MATCH($C94,Deals!$A$2:$A$355,0))),""))</f>
        <v/>
      </c>
      <c r="N94" s="35">
        <f>IF($L94="",DATE(1900,1,1),$L94)</f>
        <v/>
      </c>
      <c r="O94" s="35">
        <f>IF($M94="",DATE(2100,12,31),$M94)</f>
        <v/>
      </c>
      <c r="P94" s="20" t="inlineStr"/>
      <c r="Q94" s="43" t="inlineStr"/>
      <c r="R94" s="16">
        <f>IF($C94="","",IFERROR(IF(INDEX(Deals!$U$2:$U$355,MATCH($C94,Deals!$A$2:$A$355,0))=0,"",INDEX(Deals!$U$2:$U$355,MATCH($C94,Deals!$A$2:$A$355,0))),""))</f>
        <v/>
      </c>
      <c r="S94" s="34">
        <f>IFERROR(IF($U94="",1,INDEX(Deals!$V$2:$V$355,MATCH($C94,Deals!$A$2:$A$355,0))),1)</f>
        <v/>
      </c>
      <c r="T94" s="34">
        <f>IFERROR(IF($U94="",1,INDEX(Deals!$W$2:$W$355,MATCH($C94,Deals!$A$2:$A$355,0))),1)</f>
        <v/>
      </c>
      <c r="U94" s="22">
        <f>IF($C94="","",IFERROR(IF(INDEX(Deals!$Y$2:$Y$355,MATCH($C94,Deals!$A$2:$A$355,0))=0,"",INDEX(Deals!$Y$2:$Y$355,MATCH($C94,Deals!$A$2:$A$355,0))),""))</f>
        <v/>
      </c>
      <c r="V94" s="35">
        <f>IF($U94="",DATE(1900,1,1),$N94)</f>
        <v/>
      </c>
      <c r="W94" s="35">
        <f>IF($U94="",DATE(2100,12,31),$U94)</f>
        <v/>
      </c>
      <c r="X94" s="32">
        <f>IF($U94="",$K94,$K94*$S94)</f>
        <v/>
      </c>
      <c r="Y94" s="35">
        <f>IF($U94="",DATE(2100,12,31),$U94+1)</f>
        <v/>
      </c>
      <c r="Z94" s="35">
        <f>IF($U94="",DATE(1900,1,1),$O94)</f>
        <v/>
      </c>
      <c r="AA94" s="32">
        <f>IF($U94="",0,$K94*$T94)</f>
        <v/>
      </c>
      <c r="AB94" s="21">
        <f>IF($C94="",0,IFERROR(INDEX(Deals!$AD$2:$AD$355,MATCH($C94,Deals!$A$2:$A$355,0)),0))</f>
        <v/>
      </c>
      <c r="AC94" s="32">
        <f>IF(Settings!$B$4="Yes",$I94*$AB94,$I94)</f>
        <v/>
      </c>
      <c r="AD94" s="22">
        <f>IF($C94="","",IFERROR(IF(INDEX(Deals!$AE$2:$AE$355,MATCH($C94,Deals!$A$2:$A$355,0))=0,"",INDEX(Deals!$AE$2:$AE$355,MATCH($C94,Deals!$A$2:$A$355,0))),""))</f>
        <v/>
      </c>
      <c r="AE94" s="22">
        <f>IF($C94="","",IFERROR(IF(INDEX(Deals!$AF$2:$AF$355,MATCH($C94,Deals!$A$2:$A$355,0))=0,"",INDEX(Deals!$AF$2:$AF$355,MATCH($C94,Deals!$A$2:$A$355,0))),""))</f>
        <v/>
      </c>
      <c r="AF94" s="35">
        <f>IF($AD94="",DATE(1900,1,1),$AD94)</f>
        <v/>
      </c>
      <c r="AG94" s="35">
        <f>IF($AE94="",DATE(2100,12,31),$AE94)</f>
        <v/>
      </c>
      <c r="AH94" s="22">
        <f>IF($C94="","",IFERROR(IF(INDEX(Deals!$AG$2:$AG$355,MATCH($C94,Deals!$A$2:$A$355,0))=0,"",INDEX(Deals!$AG$2:$AG$355,MATCH($C94,Deals!$A$2:$A$355,0))),""))</f>
        <v/>
      </c>
      <c r="AI94" s="35">
        <f>IF($AH94="",DATE(1900,1,1),$AF94)</f>
        <v/>
      </c>
      <c r="AJ94" s="35">
        <f>IF($AH94="",DATE(2100,12,31),$AH94)</f>
        <v/>
      </c>
      <c r="AK94" s="32">
        <f>IF($AH94="",$AC94,$AC94*$S94)</f>
        <v/>
      </c>
      <c r="AL94" s="35">
        <f>IF($AH94="",DATE(2100,12,31),$AH94+1)</f>
        <v/>
      </c>
      <c r="AM94" s="35">
        <f>IF($AH94="",DATE(1900,1,1),$AG94)</f>
        <v/>
      </c>
      <c r="AN94" s="32">
        <f>IF($AH94="",0,$AC94*$T94)</f>
        <v/>
      </c>
    </row>
    <row r="95">
      <c r="A95" s="28" t="inlineStr">
        <is>
          <t>Will B. W.</t>
        </is>
      </c>
      <c r="B95" s="16">
        <f>IF($A95="","",IFERROR(INDEX(Roster!$B$2:$B$40,MATCH($A95,Roster!$A$2:$A$40,0)),"?"))</f>
        <v/>
      </c>
      <c r="C95" s="28" t="inlineStr">
        <is>
          <t>Nexus_6</t>
        </is>
      </c>
      <c r="D95" s="16">
        <f>IF($C95="","",IFERROR(IF(INDEX(Deals!$C$2:$C$355,MATCH($C95,Deals!$A$2:$A$355,0))=0,"",INDEX(Deals!$C$2:$C$355,MATCH($C95,Deals!$A$2:$A$355,0))),"?"))</f>
        <v/>
      </c>
      <c r="E95" s="16">
        <f>IF($C95="","",IFERROR(INDEX(Deals!$F$2:$F$355,MATCH($C95,Deals!$A$2:$A$355,0)),"?"))</f>
        <v/>
      </c>
      <c r="F95" s="28" t="inlineStr">
        <is>
          <t>Partner</t>
        </is>
      </c>
      <c r="G95" s="28" t="inlineStr">
        <is>
          <t>Active</t>
        </is>
      </c>
      <c r="H95" s="31" t="n"/>
      <c r="I95" s="32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1">
        <f>IF($C95="",0,IFERROR(INDEX(Deals!$H$2:$H$355,MATCH($C95,Deals!$A$2:$A$355,0)),0))</f>
        <v/>
      </c>
      <c r="K95" s="32">
        <f>IF(Settings!$B$4="Yes",$I95*$J95,$I95)</f>
        <v/>
      </c>
      <c r="L95" s="22">
        <f>IF($C95="","",IFERROR(IF(INDEX(Deals!$I$2:$I$355,MATCH($C95,Deals!$A$2:$A$355,0))=0,"",INDEX(Deals!$I$2:$I$355,MATCH($C95,Deals!$A$2:$A$355,0))),""))</f>
        <v/>
      </c>
      <c r="M95" s="22">
        <f>IF($C95="","",IFERROR(IF(INDEX(Deals!$J$2:$J$355,MATCH($C95,Deals!$A$2:$A$355,0))=0,"",INDEX(Deals!$J$2:$J$355,MATCH($C95,Deals!$A$2:$A$355,0))),""))</f>
        <v/>
      </c>
      <c r="N95" s="35">
        <f>IF($L95="",DATE(1900,1,1),$L95)</f>
        <v/>
      </c>
      <c r="O95" s="35">
        <f>IF($M95="",DATE(2100,12,31),$M95)</f>
        <v/>
      </c>
      <c r="P95" s="20" t="inlineStr"/>
      <c r="Q95" s="43" t="inlineStr"/>
      <c r="R95" s="16">
        <f>IF($C95="","",IFERROR(IF(INDEX(Deals!$U$2:$U$355,MATCH($C95,Deals!$A$2:$A$355,0))=0,"",INDEX(Deals!$U$2:$U$355,MATCH($C95,Deals!$A$2:$A$355,0))),""))</f>
        <v/>
      </c>
      <c r="S95" s="34">
        <f>IFERROR(IF($U95="",1,INDEX(Deals!$V$2:$V$355,MATCH($C95,Deals!$A$2:$A$355,0))),1)</f>
        <v/>
      </c>
      <c r="T95" s="34">
        <f>IFERROR(IF($U95="",1,INDEX(Deals!$W$2:$W$355,MATCH($C95,Deals!$A$2:$A$355,0))),1)</f>
        <v/>
      </c>
      <c r="U95" s="22">
        <f>IF($C95="","",IFERROR(IF(INDEX(Deals!$Y$2:$Y$355,MATCH($C95,Deals!$A$2:$A$355,0))=0,"",INDEX(Deals!$Y$2:$Y$355,MATCH($C95,Deals!$A$2:$A$355,0))),""))</f>
        <v/>
      </c>
      <c r="V95" s="35">
        <f>IF($U95="",DATE(1900,1,1),$N95)</f>
        <v/>
      </c>
      <c r="W95" s="35">
        <f>IF($U95="",DATE(2100,12,31),$U95)</f>
        <v/>
      </c>
      <c r="X95" s="32">
        <f>IF($U95="",$K95,$K95*$S95)</f>
        <v/>
      </c>
      <c r="Y95" s="35">
        <f>IF($U95="",DATE(2100,12,31),$U95+1)</f>
        <v/>
      </c>
      <c r="Z95" s="35">
        <f>IF($U95="",DATE(1900,1,1),$O95)</f>
        <v/>
      </c>
      <c r="AA95" s="32">
        <f>IF($U95="",0,$K95*$T95)</f>
        <v/>
      </c>
      <c r="AB95" s="21">
        <f>IF($C95="",0,IFERROR(INDEX(Deals!$AD$2:$AD$355,MATCH($C95,Deals!$A$2:$A$355,0)),0))</f>
        <v/>
      </c>
      <c r="AC95" s="32">
        <f>IF(Settings!$B$4="Yes",$I95*$AB95,$I95)</f>
        <v/>
      </c>
      <c r="AD95" s="22">
        <f>IF($C95="","",IFERROR(IF(INDEX(Deals!$AE$2:$AE$355,MATCH($C95,Deals!$A$2:$A$355,0))=0,"",INDEX(Deals!$AE$2:$AE$355,MATCH($C95,Deals!$A$2:$A$355,0))),""))</f>
        <v/>
      </c>
      <c r="AE95" s="22">
        <f>IF($C95="","",IFERROR(IF(INDEX(Deals!$AF$2:$AF$355,MATCH($C95,Deals!$A$2:$A$355,0))=0,"",INDEX(Deals!$AF$2:$AF$355,MATCH($C95,Deals!$A$2:$A$355,0))),""))</f>
        <v/>
      </c>
      <c r="AF95" s="35">
        <f>IF($AD95="",DATE(1900,1,1),$AD95)</f>
        <v/>
      </c>
      <c r="AG95" s="35">
        <f>IF($AE95="",DATE(2100,12,31),$AE95)</f>
        <v/>
      </c>
      <c r="AH95" s="22">
        <f>IF($C95="","",IFERROR(IF(INDEX(Deals!$AG$2:$AG$355,MATCH($C95,Deals!$A$2:$A$355,0))=0,"",INDEX(Deals!$AG$2:$AG$355,MATCH($C95,Deals!$A$2:$A$355,0))),""))</f>
        <v/>
      </c>
      <c r="AI95" s="35">
        <f>IF($AH95="",DATE(1900,1,1),$AF95)</f>
        <v/>
      </c>
      <c r="AJ95" s="35">
        <f>IF($AH95="",DATE(2100,12,31),$AH95)</f>
        <v/>
      </c>
      <c r="AK95" s="32">
        <f>IF($AH95="",$AC95,$AC95*$S95)</f>
        <v/>
      </c>
      <c r="AL95" s="35">
        <f>IF($AH95="",DATE(2100,12,31),$AH95+1)</f>
        <v/>
      </c>
      <c r="AM95" s="35">
        <f>IF($AH95="",DATE(1900,1,1),$AG95)</f>
        <v/>
      </c>
      <c r="AN95" s="32">
        <f>IF($AH95="",0,$AC95*$T95)</f>
        <v/>
      </c>
    </row>
    <row r="96">
      <c r="A96" s="28" t="inlineStr">
        <is>
          <t>Will B. W.</t>
        </is>
      </c>
      <c r="B96" s="16">
        <f>IF($A96="","",IFERROR(INDEX(Roster!$B$2:$B$40,MATCH($A96,Roster!$A$2:$A$40,0)),"?"))</f>
        <v/>
      </c>
      <c r="C96" s="28" t="inlineStr">
        <is>
          <t>Pisces 2_1</t>
        </is>
      </c>
      <c r="D96" s="16">
        <f>IF($C96="","",IFERROR(IF(INDEX(Deals!$C$2:$C$355,MATCH($C96,Deals!$A$2:$A$355,0))=0,"",INDEX(Deals!$C$2:$C$355,MATCH($C96,Deals!$A$2:$A$355,0))),"?"))</f>
        <v/>
      </c>
      <c r="E96" s="16">
        <f>IF($C96="","",IFERROR(INDEX(Deals!$F$2:$F$355,MATCH($C96,Deals!$A$2:$A$355,0)),"?"))</f>
        <v/>
      </c>
      <c r="F96" s="28" t="inlineStr">
        <is>
          <t>Partner</t>
        </is>
      </c>
      <c r="G96" s="28" t="inlineStr">
        <is>
          <t>Active</t>
        </is>
      </c>
      <c r="H96" s="31" t="n"/>
      <c r="I96" s="32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1">
        <f>IF($C96="",0,IFERROR(INDEX(Deals!$H$2:$H$355,MATCH($C96,Deals!$A$2:$A$355,0)),0))</f>
        <v/>
      </c>
      <c r="K96" s="32">
        <f>IF(Settings!$B$4="Yes",$I96*$J96,$I96)</f>
        <v/>
      </c>
      <c r="L96" s="22">
        <f>IF($C96="","",IFERROR(IF(INDEX(Deals!$I$2:$I$355,MATCH($C96,Deals!$A$2:$A$355,0))=0,"",INDEX(Deals!$I$2:$I$355,MATCH($C96,Deals!$A$2:$A$355,0))),""))</f>
        <v/>
      </c>
      <c r="M96" s="22">
        <f>IF($C96="","",IFERROR(IF(INDEX(Deals!$J$2:$J$355,MATCH($C96,Deals!$A$2:$A$355,0))=0,"",INDEX(Deals!$J$2:$J$355,MATCH($C96,Deals!$A$2:$A$355,0))),""))</f>
        <v/>
      </c>
      <c r="N96" s="35">
        <f>IF($L96="",DATE(1900,1,1),$L96)</f>
        <v/>
      </c>
      <c r="O96" s="35">
        <f>IF($M96="",DATE(2100,12,31),$M96)</f>
        <v/>
      </c>
      <c r="P96" s="20" t="inlineStr"/>
      <c r="Q96" s="43" t="inlineStr"/>
      <c r="R96" s="16">
        <f>IF($C96="","",IFERROR(IF(INDEX(Deals!$U$2:$U$355,MATCH($C96,Deals!$A$2:$A$355,0))=0,"",INDEX(Deals!$U$2:$U$355,MATCH($C96,Deals!$A$2:$A$355,0))),""))</f>
        <v/>
      </c>
      <c r="S96" s="34">
        <f>IFERROR(IF($U96="",1,INDEX(Deals!$V$2:$V$355,MATCH($C96,Deals!$A$2:$A$355,0))),1)</f>
        <v/>
      </c>
      <c r="T96" s="34">
        <f>IFERROR(IF($U96="",1,INDEX(Deals!$W$2:$W$355,MATCH($C96,Deals!$A$2:$A$355,0))),1)</f>
        <v/>
      </c>
      <c r="U96" s="22">
        <f>IF($C96="","",IFERROR(IF(INDEX(Deals!$Y$2:$Y$355,MATCH($C96,Deals!$A$2:$A$355,0))=0,"",INDEX(Deals!$Y$2:$Y$355,MATCH($C96,Deals!$A$2:$A$355,0))),""))</f>
        <v/>
      </c>
      <c r="V96" s="35">
        <f>IF($U96="",DATE(1900,1,1),$N96)</f>
        <v/>
      </c>
      <c r="W96" s="35">
        <f>IF($U96="",DATE(2100,12,31),$U96)</f>
        <v/>
      </c>
      <c r="X96" s="32">
        <f>IF($U96="",$K96,$K96*$S96)</f>
        <v/>
      </c>
      <c r="Y96" s="35">
        <f>IF($U96="",DATE(2100,12,31),$U96+1)</f>
        <v/>
      </c>
      <c r="Z96" s="35">
        <f>IF($U96="",DATE(1900,1,1),$O96)</f>
        <v/>
      </c>
      <c r="AA96" s="32">
        <f>IF($U96="",0,$K96*$T96)</f>
        <v/>
      </c>
      <c r="AB96" s="21">
        <f>IF($C96="",0,IFERROR(INDEX(Deals!$AD$2:$AD$355,MATCH($C96,Deals!$A$2:$A$355,0)),0))</f>
        <v/>
      </c>
      <c r="AC96" s="32">
        <f>IF(Settings!$B$4="Yes",$I96*$AB96,$I96)</f>
        <v/>
      </c>
      <c r="AD96" s="22">
        <f>IF($C96="","",IFERROR(IF(INDEX(Deals!$AE$2:$AE$355,MATCH($C96,Deals!$A$2:$A$355,0))=0,"",INDEX(Deals!$AE$2:$AE$355,MATCH($C96,Deals!$A$2:$A$355,0))),""))</f>
        <v/>
      </c>
      <c r="AE96" s="22">
        <f>IF($C96="","",IFERROR(IF(INDEX(Deals!$AF$2:$AF$355,MATCH($C96,Deals!$A$2:$A$355,0))=0,"",INDEX(Deals!$AF$2:$AF$355,MATCH($C96,Deals!$A$2:$A$355,0))),""))</f>
        <v/>
      </c>
      <c r="AF96" s="35">
        <f>IF($AD96="",DATE(1900,1,1),$AD96)</f>
        <v/>
      </c>
      <c r="AG96" s="35">
        <f>IF($AE96="",DATE(2100,12,31),$AE96)</f>
        <v/>
      </c>
      <c r="AH96" s="22">
        <f>IF($C96="","",IFERROR(IF(INDEX(Deals!$AG$2:$AG$355,MATCH($C96,Deals!$A$2:$A$355,0))=0,"",INDEX(Deals!$AG$2:$AG$355,MATCH($C96,Deals!$A$2:$A$355,0))),""))</f>
        <v/>
      </c>
      <c r="AI96" s="35">
        <f>IF($AH96="",DATE(1900,1,1),$AF96)</f>
        <v/>
      </c>
      <c r="AJ96" s="35">
        <f>IF($AH96="",DATE(2100,12,31),$AH96)</f>
        <v/>
      </c>
      <c r="AK96" s="32">
        <f>IF($AH96="",$AC96,$AC96*$S96)</f>
        <v/>
      </c>
      <c r="AL96" s="35">
        <f>IF($AH96="",DATE(2100,12,31),$AH96+1)</f>
        <v/>
      </c>
      <c r="AM96" s="35">
        <f>IF($AH96="",DATE(1900,1,1),$AG96)</f>
        <v/>
      </c>
      <c r="AN96" s="32">
        <f>IF($AH96="",0,$AC96*$T96)</f>
        <v/>
      </c>
    </row>
    <row r="97">
      <c r="A97" s="28" t="inlineStr">
        <is>
          <t>Will B. W.</t>
        </is>
      </c>
      <c r="B97" s="16">
        <f>IF($A97="","",IFERROR(INDEX(Roster!$B$2:$B$40,MATCH($A97,Roster!$A$2:$A$40,0)),"?"))</f>
        <v/>
      </c>
      <c r="C97" s="28" t="inlineStr">
        <is>
          <t>PMD_1</t>
        </is>
      </c>
      <c r="D97" s="16">
        <f>IF($C97="","",IFERROR(IF(INDEX(Deals!$C$2:$C$355,MATCH($C97,Deals!$A$2:$A$355,0))=0,"",INDEX(Deals!$C$2:$C$355,MATCH($C97,Deals!$A$2:$A$355,0))),"?"))</f>
        <v/>
      </c>
      <c r="E97" s="16">
        <f>IF($C97="","",IFERROR(INDEX(Deals!$F$2:$F$355,MATCH($C97,Deals!$A$2:$A$355,0)),"?"))</f>
        <v/>
      </c>
      <c r="F97" s="28" t="inlineStr">
        <is>
          <t>Partner</t>
        </is>
      </c>
      <c r="G97" s="28" t="inlineStr">
        <is>
          <t>Active</t>
        </is>
      </c>
      <c r="H97" s="31" t="n"/>
      <c r="I97" s="32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1">
        <f>IF($C97="",0,IFERROR(INDEX(Deals!$H$2:$H$355,MATCH($C97,Deals!$A$2:$A$355,0)),0))</f>
        <v/>
      </c>
      <c r="K97" s="32">
        <f>IF(Settings!$B$4="Yes",$I97*$J97,$I97)</f>
        <v/>
      </c>
      <c r="L97" s="22">
        <f>IF($C97="","",IFERROR(IF(INDEX(Deals!$I$2:$I$355,MATCH($C97,Deals!$A$2:$A$355,0))=0,"",INDEX(Deals!$I$2:$I$355,MATCH($C97,Deals!$A$2:$A$355,0))),""))</f>
        <v/>
      </c>
      <c r="M97" s="22">
        <f>IF($C97="","",IFERROR(IF(INDEX(Deals!$J$2:$J$355,MATCH($C97,Deals!$A$2:$A$355,0))=0,"",INDEX(Deals!$J$2:$J$355,MATCH($C97,Deals!$A$2:$A$355,0))),""))</f>
        <v/>
      </c>
      <c r="N97" s="35">
        <f>IF($L97="",DATE(1900,1,1),$L97)</f>
        <v/>
      </c>
      <c r="O97" s="35">
        <f>IF($M97="",DATE(2100,12,31),$M97)</f>
        <v/>
      </c>
      <c r="P97" s="20" t="inlineStr"/>
      <c r="Q97" s="43" t="inlineStr"/>
      <c r="R97" s="16">
        <f>IF($C97="","",IFERROR(IF(INDEX(Deals!$U$2:$U$355,MATCH($C97,Deals!$A$2:$A$355,0))=0,"",INDEX(Deals!$U$2:$U$355,MATCH($C97,Deals!$A$2:$A$355,0))),""))</f>
        <v/>
      </c>
      <c r="S97" s="34">
        <f>IFERROR(IF($U97="",1,INDEX(Deals!$V$2:$V$355,MATCH($C97,Deals!$A$2:$A$355,0))),1)</f>
        <v/>
      </c>
      <c r="T97" s="34">
        <f>IFERROR(IF($U97="",1,INDEX(Deals!$W$2:$W$355,MATCH($C97,Deals!$A$2:$A$355,0))),1)</f>
        <v/>
      </c>
      <c r="U97" s="22">
        <f>IF($C97="","",IFERROR(IF(INDEX(Deals!$Y$2:$Y$355,MATCH($C97,Deals!$A$2:$A$355,0))=0,"",INDEX(Deals!$Y$2:$Y$355,MATCH($C97,Deals!$A$2:$A$355,0))),""))</f>
        <v/>
      </c>
      <c r="V97" s="35">
        <f>IF($U97="",DATE(1900,1,1),$N97)</f>
        <v/>
      </c>
      <c r="W97" s="35">
        <f>IF($U97="",DATE(2100,12,31),$U97)</f>
        <v/>
      </c>
      <c r="X97" s="32">
        <f>IF($U97="",$K97,$K97*$S97)</f>
        <v/>
      </c>
      <c r="Y97" s="35">
        <f>IF($U97="",DATE(2100,12,31),$U97+1)</f>
        <v/>
      </c>
      <c r="Z97" s="35">
        <f>IF($U97="",DATE(1900,1,1),$O97)</f>
        <v/>
      </c>
      <c r="AA97" s="32">
        <f>IF($U97="",0,$K97*$T97)</f>
        <v/>
      </c>
      <c r="AB97" s="21">
        <f>IF($C97="",0,IFERROR(INDEX(Deals!$AD$2:$AD$355,MATCH($C97,Deals!$A$2:$A$355,0)),0))</f>
        <v/>
      </c>
      <c r="AC97" s="32">
        <f>IF(Settings!$B$4="Yes",$I97*$AB97,$I97)</f>
        <v/>
      </c>
      <c r="AD97" s="22">
        <f>IF($C97="","",IFERROR(IF(INDEX(Deals!$AE$2:$AE$355,MATCH($C97,Deals!$A$2:$A$355,0))=0,"",INDEX(Deals!$AE$2:$AE$355,MATCH($C97,Deals!$A$2:$A$355,0))),""))</f>
        <v/>
      </c>
      <c r="AE97" s="22">
        <f>IF($C97="","",IFERROR(IF(INDEX(Deals!$AF$2:$AF$355,MATCH($C97,Deals!$A$2:$A$355,0))=0,"",INDEX(Deals!$AF$2:$AF$355,MATCH($C97,Deals!$A$2:$A$355,0))),""))</f>
        <v/>
      </c>
      <c r="AF97" s="35">
        <f>IF($AD97="",DATE(1900,1,1),$AD97)</f>
        <v/>
      </c>
      <c r="AG97" s="35">
        <f>IF($AE97="",DATE(2100,12,31),$AE97)</f>
        <v/>
      </c>
      <c r="AH97" s="22">
        <f>IF($C97="","",IFERROR(IF(INDEX(Deals!$AG$2:$AG$355,MATCH($C97,Deals!$A$2:$A$355,0))=0,"",INDEX(Deals!$AG$2:$AG$355,MATCH($C97,Deals!$A$2:$A$355,0))),""))</f>
        <v/>
      </c>
      <c r="AI97" s="35">
        <f>IF($AH97="",DATE(1900,1,1),$AF97)</f>
        <v/>
      </c>
      <c r="AJ97" s="35">
        <f>IF($AH97="",DATE(2100,12,31),$AH97)</f>
        <v/>
      </c>
      <c r="AK97" s="32">
        <f>IF($AH97="",$AC97,$AC97*$S97)</f>
        <v/>
      </c>
      <c r="AL97" s="35">
        <f>IF($AH97="",DATE(2100,12,31),$AH97+1)</f>
        <v/>
      </c>
      <c r="AM97" s="35">
        <f>IF($AH97="",DATE(1900,1,1),$AG97)</f>
        <v/>
      </c>
      <c r="AN97" s="32">
        <f>IF($AH97="",0,$AC97*$T97)</f>
        <v/>
      </c>
    </row>
    <row r="98">
      <c r="A98" s="28" t="inlineStr">
        <is>
          <t>Will B. W.</t>
        </is>
      </c>
      <c r="B98" s="16">
        <f>IF($A98="","",IFERROR(INDEX(Roster!$B$2:$B$40,MATCH($A98,Roster!$A$2:$A$40,0)),"?"))</f>
        <v/>
      </c>
      <c r="C98" s="28" t="inlineStr">
        <is>
          <t>Prolydian_1</t>
        </is>
      </c>
      <c r="D98" s="16">
        <f>IF($C98="","",IFERROR(IF(INDEX(Deals!$C$2:$C$355,MATCH($C98,Deals!$A$2:$A$355,0))=0,"",INDEX(Deals!$C$2:$C$355,MATCH($C98,Deals!$A$2:$A$355,0))),"?"))</f>
        <v/>
      </c>
      <c r="E98" s="16">
        <f>IF($C98="","",IFERROR(INDEX(Deals!$F$2:$F$355,MATCH($C98,Deals!$A$2:$A$355,0)),"?"))</f>
        <v/>
      </c>
      <c r="F98" s="28" t="inlineStr">
        <is>
          <t>Partner</t>
        </is>
      </c>
      <c r="G98" s="28" t="inlineStr">
        <is>
          <t>Active</t>
        </is>
      </c>
      <c r="H98" s="31" t="n"/>
      <c r="I98" s="32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1">
        <f>IF($C98="",0,IFERROR(INDEX(Deals!$H$2:$H$355,MATCH($C98,Deals!$A$2:$A$355,0)),0))</f>
        <v/>
      </c>
      <c r="K98" s="32">
        <f>IF(Settings!$B$4="Yes",$I98*$J98,$I98)</f>
        <v/>
      </c>
      <c r="L98" s="22">
        <f>IF($C98="","",IFERROR(IF(INDEX(Deals!$I$2:$I$355,MATCH($C98,Deals!$A$2:$A$355,0))=0,"",INDEX(Deals!$I$2:$I$355,MATCH($C98,Deals!$A$2:$A$355,0))),""))</f>
        <v/>
      </c>
      <c r="M98" s="22">
        <f>IF($C98="","",IFERROR(IF(INDEX(Deals!$J$2:$J$355,MATCH($C98,Deals!$A$2:$A$355,0))=0,"",INDEX(Deals!$J$2:$J$355,MATCH($C98,Deals!$A$2:$A$355,0))),""))</f>
        <v/>
      </c>
      <c r="N98" s="35">
        <f>IF($L98="",DATE(1900,1,1),$L98)</f>
        <v/>
      </c>
      <c r="O98" s="35">
        <f>IF($M98="",DATE(2100,12,31),$M98)</f>
        <v/>
      </c>
      <c r="P98" s="20" t="inlineStr"/>
      <c r="Q98" s="43" t="inlineStr"/>
      <c r="R98" s="16">
        <f>IF($C98="","",IFERROR(IF(INDEX(Deals!$U$2:$U$355,MATCH($C98,Deals!$A$2:$A$355,0))=0,"",INDEX(Deals!$U$2:$U$355,MATCH($C98,Deals!$A$2:$A$355,0))),""))</f>
        <v/>
      </c>
      <c r="S98" s="34">
        <f>IFERROR(IF($U98="",1,INDEX(Deals!$V$2:$V$355,MATCH($C98,Deals!$A$2:$A$355,0))),1)</f>
        <v/>
      </c>
      <c r="T98" s="34">
        <f>IFERROR(IF($U98="",1,INDEX(Deals!$W$2:$W$355,MATCH($C98,Deals!$A$2:$A$355,0))),1)</f>
        <v/>
      </c>
      <c r="U98" s="22">
        <f>IF($C98="","",IFERROR(IF(INDEX(Deals!$Y$2:$Y$355,MATCH($C98,Deals!$A$2:$A$355,0))=0,"",INDEX(Deals!$Y$2:$Y$355,MATCH($C98,Deals!$A$2:$A$355,0))),""))</f>
        <v/>
      </c>
      <c r="V98" s="35">
        <f>IF($U98="",DATE(1900,1,1),$N98)</f>
        <v/>
      </c>
      <c r="W98" s="35">
        <f>IF($U98="",DATE(2100,12,31),$U98)</f>
        <v/>
      </c>
      <c r="X98" s="32">
        <f>IF($U98="",$K98,$K98*$S98)</f>
        <v/>
      </c>
      <c r="Y98" s="35">
        <f>IF($U98="",DATE(2100,12,31),$U98+1)</f>
        <v/>
      </c>
      <c r="Z98" s="35">
        <f>IF($U98="",DATE(1900,1,1),$O98)</f>
        <v/>
      </c>
      <c r="AA98" s="32">
        <f>IF($U98="",0,$K98*$T98)</f>
        <v/>
      </c>
      <c r="AB98" s="21">
        <f>IF($C98="",0,IFERROR(INDEX(Deals!$AD$2:$AD$355,MATCH($C98,Deals!$A$2:$A$355,0)),0))</f>
        <v/>
      </c>
      <c r="AC98" s="32">
        <f>IF(Settings!$B$4="Yes",$I98*$AB98,$I98)</f>
        <v/>
      </c>
      <c r="AD98" s="22">
        <f>IF($C98="","",IFERROR(IF(INDEX(Deals!$AE$2:$AE$355,MATCH($C98,Deals!$A$2:$A$355,0))=0,"",INDEX(Deals!$AE$2:$AE$355,MATCH($C98,Deals!$A$2:$A$355,0))),""))</f>
        <v/>
      </c>
      <c r="AE98" s="22">
        <f>IF($C98="","",IFERROR(IF(INDEX(Deals!$AF$2:$AF$355,MATCH($C98,Deals!$A$2:$A$355,0))=0,"",INDEX(Deals!$AF$2:$AF$355,MATCH($C98,Deals!$A$2:$A$355,0))),""))</f>
        <v/>
      </c>
      <c r="AF98" s="35">
        <f>IF($AD98="",DATE(1900,1,1),$AD98)</f>
        <v/>
      </c>
      <c r="AG98" s="35">
        <f>IF($AE98="",DATE(2100,12,31),$AE98)</f>
        <v/>
      </c>
      <c r="AH98" s="22">
        <f>IF($C98="","",IFERROR(IF(INDEX(Deals!$AG$2:$AG$355,MATCH($C98,Deals!$A$2:$A$355,0))=0,"",INDEX(Deals!$AG$2:$AG$355,MATCH($C98,Deals!$A$2:$A$355,0))),""))</f>
        <v/>
      </c>
      <c r="AI98" s="35">
        <f>IF($AH98="",DATE(1900,1,1),$AF98)</f>
        <v/>
      </c>
      <c r="AJ98" s="35">
        <f>IF($AH98="",DATE(2100,12,31),$AH98)</f>
        <v/>
      </c>
      <c r="AK98" s="32">
        <f>IF($AH98="",$AC98,$AC98*$S98)</f>
        <v/>
      </c>
      <c r="AL98" s="35">
        <f>IF($AH98="",DATE(2100,12,31),$AH98+1)</f>
        <v/>
      </c>
      <c r="AM98" s="35">
        <f>IF($AH98="",DATE(1900,1,1),$AG98)</f>
        <v/>
      </c>
      <c r="AN98" s="32">
        <f>IF($AH98="",0,$AC98*$T98)</f>
        <v/>
      </c>
    </row>
    <row r="99">
      <c r="A99" s="28" t="inlineStr">
        <is>
          <t>Will B. W.</t>
        </is>
      </c>
      <c r="B99" s="16">
        <f>IF($A99="","",IFERROR(INDEX(Roster!$B$2:$B$40,MATCH($A99,Roster!$A$2:$A$40,0)),"?"))</f>
        <v/>
      </c>
      <c r="C99" s="28" t="inlineStr">
        <is>
          <t>Scale_4</t>
        </is>
      </c>
      <c r="D99" s="16">
        <f>IF($C99="","",IFERROR(IF(INDEX(Deals!$C$2:$C$355,MATCH($C99,Deals!$A$2:$A$355,0))=0,"",INDEX(Deals!$C$2:$C$355,MATCH($C99,Deals!$A$2:$A$355,0))),"?"))</f>
        <v/>
      </c>
      <c r="E99" s="16">
        <f>IF($C99="","",IFERROR(INDEX(Deals!$F$2:$F$355,MATCH($C99,Deals!$A$2:$A$355,0)),"?"))</f>
        <v/>
      </c>
      <c r="F99" s="28" t="inlineStr">
        <is>
          <t>Partner</t>
        </is>
      </c>
      <c r="G99" s="28" t="inlineStr">
        <is>
          <t>Active</t>
        </is>
      </c>
      <c r="H99" s="31" t="n"/>
      <c r="I99" s="32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1">
        <f>IF($C99="",0,IFERROR(INDEX(Deals!$H$2:$H$355,MATCH($C99,Deals!$A$2:$A$355,0)),0))</f>
        <v/>
      </c>
      <c r="K99" s="32">
        <f>IF(Settings!$B$4="Yes",$I99*$J99,$I99)</f>
        <v/>
      </c>
      <c r="L99" s="22">
        <f>IF($C99="","",IFERROR(IF(INDEX(Deals!$I$2:$I$355,MATCH($C99,Deals!$A$2:$A$355,0))=0,"",INDEX(Deals!$I$2:$I$355,MATCH($C99,Deals!$A$2:$A$355,0))),""))</f>
        <v/>
      </c>
      <c r="M99" s="22">
        <f>IF($C99="","",IFERROR(IF(INDEX(Deals!$J$2:$J$355,MATCH($C99,Deals!$A$2:$A$355,0))=0,"",INDEX(Deals!$J$2:$J$355,MATCH($C99,Deals!$A$2:$A$355,0))),""))</f>
        <v/>
      </c>
      <c r="N99" s="35">
        <f>IF($L99="",DATE(1900,1,1),$L99)</f>
        <v/>
      </c>
      <c r="O99" s="35">
        <f>IF($M99="",DATE(2100,12,31),$M99)</f>
        <v/>
      </c>
      <c r="P99" s="20" t="inlineStr"/>
      <c r="Q99" s="43" t="inlineStr"/>
      <c r="R99" s="16">
        <f>IF($C99="","",IFERROR(IF(INDEX(Deals!$U$2:$U$355,MATCH($C99,Deals!$A$2:$A$355,0))=0,"",INDEX(Deals!$U$2:$U$355,MATCH($C99,Deals!$A$2:$A$355,0))),""))</f>
        <v/>
      </c>
      <c r="S99" s="34">
        <f>IFERROR(IF($U99="",1,INDEX(Deals!$V$2:$V$355,MATCH($C99,Deals!$A$2:$A$355,0))),1)</f>
        <v/>
      </c>
      <c r="T99" s="34">
        <f>IFERROR(IF($U99="",1,INDEX(Deals!$W$2:$W$355,MATCH($C99,Deals!$A$2:$A$355,0))),1)</f>
        <v/>
      </c>
      <c r="U99" s="22">
        <f>IF($C99="","",IFERROR(IF(INDEX(Deals!$Y$2:$Y$355,MATCH($C99,Deals!$A$2:$A$355,0))=0,"",INDEX(Deals!$Y$2:$Y$355,MATCH($C99,Deals!$A$2:$A$355,0))),""))</f>
        <v/>
      </c>
      <c r="V99" s="35">
        <f>IF($U99="",DATE(1900,1,1),$N99)</f>
        <v/>
      </c>
      <c r="W99" s="35">
        <f>IF($U99="",DATE(2100,12,31),$U99)</f>
        <v/>
      </c>
      <c r="X99" s="32">
        <f>IF($U99="",$K99,$K99*$S99)</f>
        <v/>
      </c>
      <c r="Y99" s="35">
        <f>IF($U99="",DATE(2100,12,31),$U99+1)</f>
        <v/>
      </c>
      <c r="Z99" s="35">
        <f>IF($U99="",DATE(1900,1,1),$O99)</f>
        <v/>
      </c>
      <c r="AA99" s="32">
        <f>IF($U99="",0,$K99*$T99)</f>
        <v/>
      </c>
      <c r="AB99" s="21">
        <f>IF($C99="",0,IFERROR(INDEX(Deals!$AD$2:$AD$355,MATCH($C99,Deals!$A$2:$A$355,0)),0))</f>
        <v/>
      </c>
      <c r="AC99" s="32">
        <f>IF(Settings!$B$4="Yes",$I99*$AB99,$I99)</f>
        <v/>
      </c>
      <c r="AD99" s="22">
        <f>IF($C99="","",IFERROR(IF(INDEX(Deals!$AE$2:$AE$355,MATCH($C99,Deals!$A$2:$A$355,0))=0,"",INDEX(Deals!$AE$2:$AE$355,MATCH($C99,Deals!$A$2:$A$355,0))),""))</f>
        <v/>
      </c>
      <c r="AE99" s="22">
        <f>IF($C99="","",IFERROR(IF(INDEX(Deals!$AF$2:$AF$355,MATCH($C99,Deals!$A$2:$A$355,0))=0,"",INDEX(Deals!$AF$2:$AF$355,MATCH($C99,Deals!$A$2:$A$355,0))),""))</f>
        <v/>
      </c>
      <c r="AF99" s="35">
        <f>IF($AD99="",DATE(1900,1,1),$AD99)</f>
        <v/>
      </c>
      <c r="AG99" s="35">
        <f>IF($AE99="",DATE(2100,12,31),$AE99)</f>
        <v/>
      </c>
      <c r="AH99" s="22">
        <f>IF($C99="","",IFERROR(IF(INDEX(Deals!$AG$2:$AG$355,MATCH($C99,Deals!$A$2:$A$355,0))=0,"",INDEX(Deals!$AG$2:$AG$355,MATCH($C99,Deals!$A$2:$A$355,0))),""))</f>
        <v/>
      </c>
      <c r="AI99" s="35">
        <f>IF($AH99="",DATE(1900,1,1),$AF99)</f>
        <v/>
      </c>
      <c r="AJ99" s="35">
        <f>IF($AH99="",DATE(2100,12,31),$AH99)</f>
        <v/>
      </c>
      <c r="AK99" s="32">
        <f>IF($AH99="",$AC99,$AC99*$S99)</f>
        <v/>
      </c>
      <c r="AL99" s="35">
        <f>IF($AH99="",DATE(2100,12,31),$AH99+1)</f>
        <v/>
      </c>
      <c r="AM99" s="35">
        <f>IF($AH99="",DATE(1900,1,1),$AG99)</f>
        <v/>
      </c>
      <c r="AN99" s="32">
        <f>IF($AH99="",0,$AC99*$T99)</f>
        <v/>
      </c>
    </row>
    <row r="100">
      <c r="A100" s="28" t="inlineStr">
        <is>
          <t>Will B. W.</t>
        </is>
      </c>
      <c r="B100" s="16">
        <f>IF($A100="","",IFERROR(INDEX(Roster!$B$2:$B$40,MATCH($A100,Roster!$A$2:$A$40,0)),"?"))</f>
        <v/>
      </c>
      <c r="C100" s="28" t="inlineStr">
        <is>
          <t>Scan_1</t>
        </is>
      </c>
      <c r="D100" s="16">
        <f>IF($C100="","",IFERROR(IF(INDEX(Deals!$C$2:$C$355,MATCH($C100,Deals!$A$2:$A$355,0))=0,"",INDEX(Deals!$C$2:$C$355,MATCH($C100,Deals!$A$2:$A$355,0))),"?"))</f>
        <v/>
      </c>
      <c r="E100" s="16">
        <f>IF($C100="","",IFERROR(INDEX(Deals!$F$2:$F$355,MATCH($C100,Deals!$A$2:$A$355,0)),"?"))</f>
        <v/>
      </c>
      <c r="F100" s="28" t="inlineStr">
        <is>
          <t>Partner</t>
        </is>
      </c>
      <c r="G100" s="28" t="inlineStr">
        <is>
          <t>Active</t>
        </is>
      </c>
      <c r="H100" s="31" t="n"/>
      <c r="I100" s="32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1">
        <f>IF($C100="",0,IFERROR(INDEX(Deals!$H$2:$H$355,MATCH($C100,Deals!$A$2:$A$355,0)),0))</f>
        <v/>
      </c>
      <c r="K100" s="32">
        <f>IF(Settings!$B$4="Yes",$I100*$J100,$I100)</f>
        <v/>
      </c>
      <c r="L100" s="22">
        <f>IF($C100="","",IFERROR(IF(INDEX(Deals!$I$2:$I$355,MATCH($C100,Deals!$A$2:$A$355,0))=0,"",INDEX(Deals!$I$2:$I$355,MATCH($C100,Deals!$A$2:$A$355,0))),""))</f>
        <v/>
      </c>
      <c r="M100" s="22">
        <f>IF($C100="","",IFERROR(IF(INDEX(Deals!$J$2:$J$355,MATCH($C100,Deals!$A$2:$A$355,0))=0,"",INDEX(Deals!$J$2:$J$355,MATCH($C100,Deals!$A$2:$A$355,0))),""))</f>
        <v/>
      </c>
      <c r="N100" s="35">
        <f>IF($L100="",DATE(1900,1,1),$L100)</f>
        <v/>
      </c>
      <c r="O100" s="35">
        <f>IF($M100="",DATE(2100,12,31),$M100)</f>
        <v/>
      </c>
      <c r="P100" s="20" t="inlineStr"/>
      <c r="Q100" s="43" t="inlineStr"/>
      <c r="R100" s="16">
        <f>IF($C100="","",IFERROR(IF(INDEX(Deals!$U$2:$U$355,MATCH($C100,Deals!$A$2:$A$355,0))=0,"",INDEX(Deals!$U$2:$U$355,MATCH($C100,Deals!$A$2:$A$355,0))),""))</f>
        <v/>
      </c>
      <c r="S100" s="34">
        <f>IFERROR(IF($U100="",1,INDEX(Deals!$V$2:$V$355,MATCH($C100,Deals!$A$2:$A$355,0))),1)</f>
        <v/>
      </c>
      <c r="T100" s="34">
        <f>IFERROR(IF($U100="",1,INDEX(Deals!$W$2:$W$355,MATCH($C100,Deals!$A$2:$A$355,0))),1)</f>
        <v/>
      </c>
      <c r="U100" s="22">
        <f>IF($C100="","",IFERROR(IF(INDEX(Deals!$Y$2:$Y$355,MATCH($C100,Deals!$A$2:$A$355,0))=0,"",INDEX(Deals!$Y$2:$Y$355,MATCH($C100,Deals!$A$2:$A$355,0))),""))</f>
        <v/>
      </c>
      <c r="V100" s="35">
        <f>IF($U100="",DATE(1900,1,1),$N100)</f>
        <v/>
      </c>
      <c r="W100" s="35">
        <f>IF($U100="",DATE(2100,12,31),$U100)</f>
        <v/>
      </c>
      <c r="X100" s="32">
        <f>IF($U100="",$K100,$K100*$S100)</f>
        <v/>
      </c>
      <c r="Y100" s="35">
        <f>IF($U100="",DATE(2100,12,31),$U100+1)</f>
        <v/>
      </c>
      <c r="Z100" s="35">
        <f>IF($U100="",DATE(1900,1,1),$O100)</f>
        <v/>
      </c>
      <c r="AA100" s="32">
        <f>IF($U100="",0,$K100*$T100)</f>
        <v/>
      </c>
      <c r="AB100" s="21">
        <f>IF($C100="",0,IFERROR(INDEX(Deals!$AD$2:$AD$355,MATCH($C100,Deals!$A$2:$A$355,0)),0))</f>
        <v/>
      </c>
      <c r="AC100" s="32">
        <f>IF(Settings!$B$4="Yes",$I100*$AB100,$I100)</f>
        <v/>
      </c>
      <c r="AD100" s="22">
        <f>IF($C100="","",IFERROR(IF(INDEX(Deals!$AE$2:$AE$355,MATCH($C100,Deals!$A$2:$A$355,0))=0,"",INDEX(Deals!$AE$2:$AE$355,MATCH($C100,Deals!$A$2:$A$355,0))),""))</f>
        <v/>
      </c>
      <c r="AE100" s="22">
        <f>IF($C100="","",IFERROR(IF(INDEX(Deals!$AF$2:$AF$355,MATCH($C100,Deals!$A$2:$A$355,0))=0,"",INDEX(Deals!$AF$2:$AF$355,MATCH($C100,Deals!$A$2:$A$355,0))),""))</f>
        <v/>
      </c>
      <c r="AF100" s="35">
        <f>IF($AD100="",DATE(1900,1,1),$AD100)</f>
        <v/>
      </c>
      <c r="AG100" s="35">
        <f>IF($AE100="",DATE(2100,12,31),$AE100)</f>
        <v/>
      </c>
      <c r="AH100" s="22">
        <f>IF($C100="","",IFERROR(IF(INDEX(Deals!$AG$2:$AG$355,MATCH($C100,Deals!$A$2:$A$355,0))=0,"",INDEX(Deals!$AG$2:$AG$355,MATCH($C100,Deals!$A$2:$A$355,0))),""))</f>
        <v/>
      </c>
      <c r="AI100" s="35">
        <f>IF($AH100="",DATE(1900,1,1),$AF100)</f>
        <v/>
      </c>
      <c r="AJ100" s="35">
        <f>IF($AH100="",DATE(2100,12,31),$AH100)</f>
        <v/>
      </c>
      <c r="AK100" s="32">
        <f>IF($AH100="",$AC100,$AC100*$S100)</f>
        <v/>
      </c>
      <c r="AL100" s="35">
        <f>IF($AH100="",DATE(2100,12,31),$AH100+1)</f>
        <v/>
      </c>
      <c r="AM100" s="35">
        <f>IF($AH100="",DATE(1900,1,1),$AG100)</f>
        <v/>
      </c>
      <c r="AN100" s="32">
        <f>IF($AH100="",0,$AC100*$T100)</f>
        <v/>
      </c>
    </row>
    <row r="101">
      <c r="A101" s="28" t="inlineStr">
        <is>
          <t>Will B. W.</t>
        </is>
      </c>
      <c r="B101" s="16">
        <f>IF($A101="","",IFERROR(INDEX(Roster!$B$2:$B$40,MATCH($A101,Roster!$A$2:$A$40,0)),"?"))</f>
        <v/>
      </c>
      <c r="C101" s="28" t="inlineStr">
        <is>
          <t>Spark_1</t>
        </is>
      </c>
      <c r="D101" s="16">
        <f>IF($C101="","",IFERROR(IF(INDEX(Deals!$C$2:$C$355,MATCH($C101,Deals!$A$2:$A$355,0))=0,"",INDEX(Deals!$C$2:$C$355,MATCH($C101,Deals!$A$2:$A$355,0))),"?"))</f>
        <v/>
      </c>
      <c r="E101" s="16">
        <f>IF($C101="","",IFERROR(INDEX(Deals!$F$2:$F$355,MATCH($C101,Deals!$A$2:$A$355,0)),"?"))</f>
        <v/>
      </c>
      <c r="F101" s="28" t="inlineStr">
        <is>
          <t>Partner</t>
        </is>
      </c>
      <c r="G101" s="28" t="inlineStr">
        <is>
          <t>Active</t>
        </is>
      </c>
      <c r="H101" s="31" t="n"/>
      <c r="I101" s="32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1">
        <f>IF($C101="",0,IFERROR(INDEX(Deals!$H$2:$H$355,MATCH($C101,Deals!$A$2:$A$355,0)),0))</f>
        <v/>
      </c>
      <c r="K101" s="32">
        <f>IF(Settings!$B$4="Yes",$I101*$J101,$I101)</f>
        <v/>
      </c>
      <c r="L101" s="22">
        <f>IF($C101="","",IFERROR(IF(INDEX(Deals!$I$2:$I$355,MATCH($C101,Deals!$A$2:$A$355,0))=0,"",INDEX(Deals!$I$2:$I$355,MATCH($C101,Deals!$A$2:$A$355,0))),""))</f>
        <v/>
      </c>
      <c r="M101" s="22">
        <f>IF($C101="","",IFERROR(IF(INDEX(Deals!$J$2:$J$355,MATCH($C101,Deals!$A$2:$A$355,0))=0,"",INDEX(Deals!$J$2:$J$355,MATCH($C101,Deals!$A$2:$A$355,0))),""))</f>
        <v/>
      </c>
      <c r="N101" s="35">
        <f>IF($L101="",DATE(1900,1,1),$L101)</f>
        <v/>
      </c>
      <c r="O101" s="35">
        <f>IF($M101="",DATE(2100,12,31),$M101)</f>
        <v/>
      </c>
      <c r="P101" s="20" t="inlineStr"/>
      <c r="Q101" s="43" t="inlineStr"/>
      <c r="R101" s="16">
        <f>IF($C101="","",IFERROR(IF(INDEX(Deals!$U$2:$U$355,MATCH($C101,Deals!$A$2:$A$355,0))=0,"",INDEX(Deals!$U$2:$U$355,MATCH($C101,Deals!$A$2:$A$355,0))),""))</f>
        <v/>
      </c>
      <c r="S101" s="34">
        <f>IFERROR(IF($U101="",1,INDEX(Deals!$V$2:$V$355,MATCH($C101,Deals!$A$2:$A$355,0))),1)</f>
        <v/>
      </c>
      <c r="T101" s="34">
        <f>IFERROR(IF($U101="",1,INDEX(Deals!$W$2:$W$355,MATCH($C101,Deals!$A$2:$A$355,0))),1)</f>
        <v/>
      </c>
      <c r="U101" s="22">
        <f>IF($C101="","",IFERROR(IF(INDEX(Deals!$Y$2:$Y$355,MATCH($C101,Deals!$A$2:$A$355,0))=0,"",INDEX(Deals!$Y$2:$Y$355,MATCH($C101,Deals!$A$2:$A$355,0))),""))</f>
        <v/>
      </c>
      <c r="V101" s="35">
        <f>IF($U101="",DATE(1900,1,1),$N101)</f>
        <v/>
      </c>
      <c r="W101" s="35">
        <f>IF($U101="",DATE(2100,12,31),$U101)</f>
        <v/>
      </c>
      <c r="X101" s="32">
        <f>IF($U101="",$K101,$K101*$S101)</f>
        <v/>
      </c>
      <c r="Y101" s="35">
        <f>IF($U101="",DATE(2100,12,31),$U101+1)</f>
        <v/>
      </c>
      <c r="Z101" s="35">
        <f>IF($U101="",DATE(1900,1,1),$O101)</f>
        <v/>
      </c>
      <c r="AA101" s="32">
        <f>IF($U101="",0,$K101*$T101)</f>
        <v/>
      </c>
      <c r="AB101" s="21">
        <f>IF($C101="",0,IFERROR(INDEX(Deals!$AD$2:$AD$355,MATCH($C101,Deals!$A$2:$A$355,0)),0))</f>
        <v/>
      </c>
      <c r="AC101" s="32">
        <f>IF(Settings!$B$4="Yes",$I101*$AB101,$I101)</f>
        <v/>
      </c>
      <c r="AD101" s="22">
        <f>IF($C101="","",IFERROR(IF(INDEX(Deals!$AE$2:$AE$355,MATCH($C101,Deals!$A$2:$A$355,0))=0,"",INDEX(Deals!$AE$2:$AE$355,MATCH($C101,Deals!$A$2:$A$355,0))),""))</f>
        <v/>
      </c>
      <c r="AE101" s="22">
        <f>IF($C101="","",IFERROR(IF(INDEX(Deals!$AF$2:$AF$355,MATCH($C101,Deals!$A$2:$A$355,0))=0,"",INDEX(Deals!$AF$2:$AF$355,MATCH($C101,Deals!$A$2:$A$355,0))),""))</f>
        <v/>
      </c>
      <c r="AF101" s="35">
        <f>IF($AD101="",DATE(1900,1,1),$AD101)</f>
        <v/>
      </c>
      <c r="AG101" s="35">
        <f>IF($AE101="",DATE(2100,12,31),$AE101)</f>
        <v/>
      </c>
      <c r="AH101" s="22">
        <f>IF($C101="","",IFERROR(IF(INDEX(Deals!$AG$2:$AG$355,MATCH($C101,Deals!$A$2:$A$355,0))=0,"",INDEX(Deals!$AG$2:$AG$355,MATCH($C101,Deals!$A$2:$A$355,0))),""))</f>
        <v/>
      </c>
      <c r="AI101" s="35">
        <f>IF($AH101="",DATE(1900,1,1),$AF101)</f>
        <v/>
      </c>
      <c r="AJ101" s="35">
        <f>IF($AH101="",DATE(2100,12,31),$AH101)</f>
        <v/>
      </c>
      <c r="AK101" s="32">
        <f>IF($AH101="",$AC101,$AC101*$S101)</f>
        <v/>
      </c>
      <c r="AL101" s="35">
        <f>IF($AH101="",DATE(2100,12,31),$AH101+1)</f>
        <v/>
      </c>
      <c r="AM101" s="35">
        <f>IF($AH101="",DATE(1900,1,1),$AG101)</f>
        <v/>
      </c>
      <c r="AN101" s="32">
        <f>IF($AH101="",0,$AC101*$T101)</f>
        <v/>
      </c>
    </row>
    <row r="102">
      <c r="A102" s="28" t="inlineStr">
        <is>
          <t>Kyle Kidd</t>
        </is>
      </c>
      <c r="B102" s="16">
        <f>IF($A102="","",IFERROR(INDEX(Roster!$B$2:$B$40,MATCH($A102,Roster!$A$2:$A$40,0)),"?"))</f>
        <v/>
      </c>
      <c r="C102" s="28" t="inlineStr">
        <is>
          <t>5C Ocean_1</t>
        </is>
      </c>
      <c r="D102" s="16">
        <f>IF($C102="","",IFERROR(IF(INDEX(Deals!$C$2:$C$355,MATCH($C102,Deals!$A$2:$A$355,0))=0,"",INDEX(Deals!$C$2:$C$355,MATCH($C102,Deals!$A$2:$A$355,0))),"?"))</f>
        <v/>
      </c>
      <c r="E102" s="16">
        <f>IF($C102="","",IFERROR(INDEX(Deals!$F$2:$F$355,MATCH($C102,Deals!$A$2:$A$355,0)),"?"))</f>
        <v/>
      </c>
      <c r="F102" s="28" t="inlineStr">
        <is>
          <t>Partner</t>
        </is>
      </c>
      <c r="G102" s="28" t="inlineStr">
        <is>
          <t>Active</t>
        </is>
      </c>
      <c r="H102" s="31" t="n"/>
      <c r="I102" s="32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1">
        <f>IF($C102="",0,IFERROR(INDEX(Deals!$H$2:$H$355,MATCH($C102,Deals!$A$2:$A$355,0)),0))</f>
        <v/>
      </c>
      <c r="K102" s="32">
        <f>IF(Settings!$B$4="Yes",$I102*$J102,$I102)</f>
        <v/>
      </c>
      <c r="L102" s="22">
        <f>IF($C102="","",IFERROR(IF(INDEX(Deals!$I$2:$I$355,MATCH($C102,Deals!$A$2:$A$355,0))=0,"",INDEX(Deals!$I$2:$I$355,MATCH($C102,Deals!$A$2:$A$355,0))),""))</f>
        <v/>
      </c>
      <c r="M102" s="22">
        <f>IF($C102="","",IFERROR(IF(INDEX(Deals!$J$2:$J$355,MATCH($C102,Deals!$A$2:$A$355,0))=0,"",INDEX(Deals!$J$2:$J$355,MATCH($C102,Deals!$A$2:$A$355,0))),""))</f>
        <v/>
      </c>
      <c r="N102" s="35">
        <f>IF($L102="",DATE(1900,1,1),$L102)</f>
        <v/>
      </c>
      <c r="O102" s="35">
        <f>IF($M102="",DATE(2100,12,31),$M102)</f>
        <v/>
      </c>
      <c r="P102" s="20" t="inlineStr"/>
      <c r="Q102" s="43" t="inlineStr"/>
      <c r="R102" s="16">
        <f>IF($C102="","",IFERROR(IF(INDEX(Deals!$U$2:$U$355,MATCH($C102,Deals!$A$2:$A$355,0))=0,"",INDEX(Deals!$U$2:$U$355,MATCH($C102,Deals!$A$2:$A$355,0))),""))</f>
        <v/>
      </c>
      <c r="S102" s="34">
        <f>IFERROR(IF($U102="",1,INDEX(Deals!$V$2:$V$355,MATCH($C102,Deals!$A$2:$A$355,0))),1)</f>
        <v/>
      </c>
      <c r="T102" s="34">
        <f>IFERROR(IF($U102="",1,INDEX(Deals!$W$2:$W$355,MATCH($C102,Deals!$A$2:$A$355,0))),1)</f>
        <v/>
      </c>
      <c r="U102" s="22">
        <f>IF($C102="","",IFERROR(IF(INDEX(Deals!$Y$2:$Y$355,MATCH($C102,Deals!$A$2:$A$355,0))=0,"",INDEX(Deals!$Y$2:$Y$355,MATCH($C102,Deals!$A$2:$A$355,0))),""))</f>
        <v/>
      </c>
      <c r="V102" s="35">
        <f>IF($U102="",DATE(1900,1,1),$N102)</f>
        <v/>
      </c>
      <c r="W102" s="35">
        <f>IF($U102="",DATE(2100,12,31),$U102)</f>
        <v/>
      </c>
      <c r="X102" s="32">
        <f>IF($U102="",$K102,$K102*$S102)</f>
        <v/>
      </c>
      <c r="Y102" s="35">
        <f>IF($U102="",DATE(2100,12,31),$U102+1)</f>
        <v/>
      </c>
      <c r="Z102" s="35">
        <f>IF($U102="",DATE(1900,1,1),$O102)</f>
        <v/>
      </c>
      <c r="AA102" s="32">
        <f>IF($U102="",0,$K102*$T102)</f>
        <v/>
      </c>
      <c r="AB102" s="21">
        <f>IF($C102="",0,IFERROR(INDEX(Deals!$AD$2:$AD$355,MATCH($C102,Deals!$A$2:$A$355,0)),0))</f>
        <v/>
      </c>
      <c r="AC102" s="32">
        <f>IF(Settings!$B$4="Yes",$I102*$AB102,$I102)</f>
        <v/>
      </c>
      <c r="AD102" s="22">
        <f>IF($C102="","",IFERROR(IF(INDEX(Deals!$AE$2:$AE$355,MATCH($C102,Deals!$A$2:$A$355,0))=0,"",INDEX(Deals!$AE$2:$AE$355,MATCH($C102,Deals!$A$2:$A$355,0))),""))</f>
        <v/>
      </c>
      <c r="AE102" s="22">
        <f>IF($C102="","",IFERROR(IF(INDEX(Deals!$AF$2:$AF$355,MATCH($C102,Deals!$A$2:$A$355,0))=0,"",INDEX(Deals!$AF$2:$AF$355,MATCH($C102,Deals!$A$2:$A$355,0))),""))</f>
        <v/>
      </c>
      <c r="AF102" s="35">
        <f>IF($AD102="",DATE(1900,1,1),$AD102)</f>
        <v/>
      </c>
      <c r="AG102" s="35">
        <f>IF($AE102="",DATE(2100,12,31),$AE102)</f>
        <v/>
      </c>
      <c r="AH102" s="22">
        <f>IF($C102="","",IFERROR(IF(INDEX(Deals!$AG$2:$AG$355,MATCH($C102,Deals!$A$2:$A$355,0))=0,"",INDEX(Deals!$AG$2:$AG$355,MATCH($C102,Deals!$A$2:$A$355,0))),""))</f>
        <v/>
      </c>
      <c r="AI102" s="35">
        <f>IF($AH102="",DATE(1900,1,1),$AF102)</f>
        <v/>
      </c>
      <c r="AJ102" s="35">
        <f>IF($AH102="",DATE(2100,12,31),$AH102)</f>
        <v/>
      </c>
      <c r="AK102" s="32">
        <f>IF($AH102="",$AC102,$AC102*$S102)</f>
        <v/>
      </c>
      <c r="AL102" s="35">
        <f>IF($AH102="",DATE(2100,12,31),$AH102+1)</f>
        <v/>
      </c>
      <c r="AM102" s="35">
        <f>IF($AH102="",DATE(1900,1,1),$AG102)</f>
        <v/>
      </c>
      <c r="AN102" s="32">
        <f>IF($AH102="",0,$AC102*$T102)</f>
        <v/>
      </c>
    </row>
    <row r="103">
      <c r="A103" s="28" t="inlineStr">
        <is>
          <t>Kyle Kidd</t>
        </is>
      </c>
      <c r="B103" s="16">
        <f>IF($A103="","",IFERROR(INDEX(Roster!$B$2:$B$40,MATCH($A103,Roster!$A$2:$A$40,0)),"?"))</f>
        <v/>
      </c>
      <c r="C103" s="28" t="inlineStr">
        <is>
          <t>Ad-Hoc_1</t>
        </is>
      </c>
      <c r="D103" s="16">
        <f>IF($C103="","",IFERROR(IF(INDEX(Deals!$C$2:$C$355,MATCH($C103,Deals!$A$2:$A$355,0))=0,"",INDEX(Deals!$C$2:$C$355,MATCH($C103,Deals!$A$2:$A$355,0))),"?"))</f>
        <v/>
      </c>
      <c r="E103" s="16">
        <f>IF($C103="","",IFERROR(INDEX(Deals!$F$2:$F$355,MATCH($C103,Deals!$A$2:$A$355,0)),"?"))</f>
        <v/>
      </c>
      <c r="F103" s="28" t="inlineStr">
        <is>
          <t>Partner</t>
        </is>
      </c>
      <c r="G103" s="28" t="inlineStr">
        <is>
          <t>Active</t>
        </is>
      </c>
      <c r="H103" s="31" t="n"/>
      <c r="I103" s="32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1">
        <f>IF($C103="",0,IFERROR(INDEX(Deals!$H$2:$H$355,MATCH($C103,Deals!$A$2:$A$355,0)),0))</f>
        <v/>
      </c>
      <c r="K103" s="32">
        <f>IF(Settings!$B$4="Yes",$I103*$J103,$I103)</f>
        <v/>
      </c>
      <c r="L103" s="22">
        <f>IF($C103="","",IFERROR(IF(INDEX(Deals!$I$2:$I$355,MATCH($C103,Deals!$A$2:$A$355,0))=0,"",INDEX(Deals!$I$2:$I$355,MATCH($C103,Deals!$A$2:$A$355,0))),""))</f>
        <v/>
      </c>
      <c r="M103" s="22">
        <f>IF($C103="","",IFERROR(IF(INDEX(Deals!$J$2:$J$355,MATCH($C103,Deals!$A$2:$A$355,0))=0,"",INDEX(Deals!$J$2:$J$355,MATCH($C103,Deals!$A$2:$A$355,0))),""))</f>
        <v/>
      </c>
      <c r="N103" s="35">
        <f>IF($L103="",DATE(1900,1,1),$L103)</f>
        <v/>
      </c>
      <c r="O103" s="35">
        <f>IF($M103="",DATE(2100,12,31),$M103)</f>
        <v/>
      </c>
      <c r="P103" s="20" t="inlineStr"/>
      <c r="Q103" s="43" t="inlineStr"/>
      <c r="R103" s="16">
        <f>IF($C103="","",IFERROR(IF(INDEX(Deals!$U$2:$U$355,MATCH($C103,Deals!$A$2:$A$355,0))=0,"",INDEX(Deals!$U$2:$U$355,MATCH($C103,Deals!$A$2:$A$355,0))),""))</f>
        <v/>
      </c>
      <c r="S103" s="34">
        <f>IFERROR(IF($U103="",1,INDEX(Deals!$V$2:$V$355,MATCH($C103,Deals!$A$2:$A$355,0))),1)</f>
        <v/>
      </c>
      <c r="T103" s="34">
        <f>IFERROR(IF($U103="",1,INDEX(Deals!$W$2:$W$355,MATCH($C103,Deals!$A$2:$A$355,0))),1)</f>
        <v/>
      </c>
      <c r="U103" s="22">
        <f>IF($C103="","",IFERROR(IF(INDEX(Deals!$Y$2:$Y$355,MATCH($C103,Deals!$A$2:$A$355,0))=0,"",INDEX(Deals!$Y$2:$Y$355,MATCH($C103,Deals!$A$2:$A$355,0))),""))</f>
        <v/>
      </c>
      <c r="V103" s="35">
        <f>IF($U103="",DATE(1900,1,1),$N103)</f>
        <v/>
      </c>
      <c r="W103" s="35">
        <f>IF($U103="",DATE(2100,12,31),$U103)</f>
        <v/>
      </c>
      <c r="X103" s="32">
        <f>IF($U103="",$K103,$K103*$S103)</f>
        <v/>
      </c>
      <c r="Y103" s="35">
        <f>IF($U103="",DATE(2100,12,31),$U103+1)</f>
        <v/>
      </c>
      <c r="Z103" s="35">
        <f>IF($U103="",DATE(1900,1,1),$O103)</f>
        <v/>
      </c>
      <c r="AA103" s="32">
        <f>IF($U103="",0,$K103*$T103)</f>
        <v/>
      </c>
      <c r="AB103" s="21">
        <f>IF($C103="",0,IFERROR(INDEX(Deals!$AD$2:$AD$355,MATCH($C103,Deals!$A$2:$A$355,0)),0))</f>
        <v/>
      </c>
      <c r="AC103" s="32">
        <f>IF(Settings!$B$4="Yes",$I103*$AB103,$I103)</f>
        <v/>
      </c>
      <c r="AD103" s="22">
        <f>IF($C103="","",IFERROR(IF(INDEX(Deals!$AE$2:$AE$355,MATCH($C103,Deals!$A$2:$A$355,0))=0,"",INDEX(Deals!$AE$2:$AE$355,MATCH($C103,Deals!$A$2:$A$355,0))),""))</f>
        <v/>
      </c>
      <c r="AE103" s="22">
        <f>IF($C103="","",IFERROR(IF(INDEX(Deals!$AF$2:$AF$355,MATCH($C103,Deals!$A$2:$A$355,0))=0,"",INDEX(Deals!$AF$2:$AF$355,MATCH($C103,Deals!$A$2:$A$355,0))),""))</f>
        <v/>
      </c>
      <c r="AF103" s="35">
        <f>IF($AD103="",DATE(1900,1,1),$AD103)</f>
        <v/>
      </c>
      <c r="AG103" s="35">
        <f>IF($AE103="",DATE(2100,12,31),$AE103)</f>
        <v/>
      </c>
      <c r="AH103" s="22">
        <f>IF($C103="","",IFERROR(IF(INDEX(Deals!$AG$2:$AG$355,MATCH($C103,Deals!$A$2:$A$355,0))=0,"",INDEX(Deals!$AG$2:$AG$355,MATCH($C103,Deals!$A$2:$A$355,0))),""))</f>
        <v/>
      </c>
      <c r="AI103" s="35">
        <f>IF($AH103="",DATE(1900,1,1),$AF103)</f>
        <v/>
      </c>
      <c r="AJ103" s="35">
        <f>IF($AH103="",DATE(2100,12,31),$AH103)</f>
        <v/>
      </c>
      <c r="AK103" s="32">
        <f>IF($AH103="",$AC103,$AC103*$S103)</f>
        <v/>
      </c>
      <c r="AL103" s="35">
        <f>IF($AH103="",DATE(2100,12,31),$AH103+1)</f>
        <v/>
      </c>
      <c r="AM103" s="35">
        <f>IF($AH103="",DATE(1900,1,1),$AG103)</f>
        <v/>
      </c>
      <c r="AN103" s="32">
        <f>IF($AH103="",0,$AC103*$T103)</f>
        <v/>
      </c>
    </row>
    <row r="104">
      <c r="A104" s="28" t="inlineStr">
        <is>
          <t>Kyle Kidd</t>
        </is>
      </c>
      <c r="B104" s="16">
        <f>IF($A104="","",IFERROR(INDEX(Roster!$B$2:$B$40,MATCH($A104,Roster!$A$2:$A$40,0)),"?"))</f>
        <v/>
      </c>
      <c r="C104" s="28" t="inlineStr">
        <is>
          <t>AOP Model_1</t>
        </is>
      </c>
      <c r="D104" s="16">
        <f>IF($C104="","",IFERROR(IF(INDEX(Deals!$C$2:$C$355,MATCH($C104,Deals!$A$2:$A$355,0))=0,"",INDEX(Deals!$C$2:$C$355,MATCH($C104,Deals!$A$2:$A$355,0))),"?"))</f>
        <v/>
      </c>
      <c r="E104" s="16">
        <f>IF($C104="","",IFERROR(INDEX(Deals!$F$2:$F$355,MATCH($C104,Deals!$A$2:$A$355,0)),"?"))</f>
        <v/>
      </c>
      <c r="F104" s="28" t="inlineStr">
        <is>
          <t>Partner</t>
        </is>
      </c>
      <c r="G104" s="28" t="inlineStr">
        <is>
          <t>Active</t>
        </is>
      </c>
      <c r="H104" s="31" t="n"/>
      <c r="I104" s="32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1">
        <f>IF($C104="",0,IFERROR(INDEX(Deals!$H$2:$H$355,MATCH($C104,Deals!$A$2:$A$355,0)),0))</f>
        <v/>
      </c>
      <c r="K104" s="32">
        <f>IF(Settings!$B$4="Yes",$I104*$J104,$I104)</f>
        <v/>
      </c>
      <c r="L104" s="22">
        <f>IF($C104="","",IFERROR(IF(INDEX(Deals!$I$2:$I$355,MATCH($C104,Deals!$A$2:$A$355,0))=0,"",INDEX(Deals!$I$2:$I$355,MATCH($C104,Deals!$A$2:$A$355,0))),""))</f>
        <v/>
      </c>
      <c r="M104" s="22">
        <f>IF($C104="","",IFERROR(IF(INDEX(Deals!$J$2:$J$355,MATCH($C104,Deals!$A$2:$A$355,0))=0,"",INDEX(Deals!$J$2:$J$355,MATCH($C104,Deals!$A$2:$A$355,0))),""))</f>
        <v/>
      </c>
      <c r="N104" s="35">
        <f>IF($L104="",DATE(1900,1,1),$L104)</f>
        <v/>
      </c>
      <c r="O104" s="35">
        <f>IF($M104="",DATE(2100,12,31),$M104)</f>
        <v/>
      </c>
      <c r="P104" s="20" t="inlineStr"/>
      <c r="Q104" s="43" t="inlineStr"/>
      <c r="R104" s="16">
        <f>IF($C104="","",IFERROR(IF(INDEX(Deals!$U$2:$U$355,MATCH($C104,Deals!$A$2:$A$355,0))=0,"",INDEX(Deals!$U$2:$U$355,MATCH($C104,Deals!$A$2:$A$355,0))),""))</f>
        <v/>
      </c>
      <c r="S104" s="34">
        <f>IFERROR(IF($U104="",1,INDEX(Deals!$V$2:$V$355,MATCH($C104,Deals!$A$2:$A$355,0))),1)</f>
        <v/>
      </c>
      <c r="T104" s="34">
        <f>IFERROR(IF($U104="",1,INDEX(Deals!$W$2:$W$355,MATCH($C104,Deals!$A$2:$A$355,0))),1)</f>
        <v/>
      </c>
      <c r="U104" s="22">
        <f>IF($C104="","",IFERROR(IF(INDEX(Deals!$Y$2:$Y$355,MATCH($C104,Deals!$A$2:$A$355,0))=0,"",INDEX(Deals!$Y$2:$Y$355,MATCH($C104,Deals!$A$2:$A$355,0))),""))</f>
        <v/>
      </c>
      <c r="V104" s="35">
        <f>IF($U104="",DATE(1900,1,1),$N104)</f>
        <v/>
      </c>
      <c r="W104" s="35">
        <f>IF($U104="",DATE(2100,12,31),$U104)</f>
        <v/>
      </c>
      <c r="X104" s="32">
        <f>IF($U104="",$K104,$K104*$S104)</f>
        <v/>
      </c>
      <c r="Y104" s="35">
        <f>IF($U104="",DATE(2100,12,31),$U104+1)</f>
        <v/>
      </c>
      <c r="Z104" s="35">
        <f>IF($U104="",DATE(1900,1,1),$O104)</f>
        <v/>
      </c>
      <c r="AA104" s="32">
        <f>IF($U104="",0,$K104*$T104)</f>
        <v/>
      </c>
      <c r="AB104" s="21">
        <f>IF($C104="",0,IFERROR(INDEX(Deals!$AD$2:$AD$355,MATCH($C104,Deals!$A$2:$A$355,0)),0))</f>
        <v/>
      </c>
      <c r="AC104" s="32">
        <f>IF(Settings!$B$4="Yes",$I104*$AB104,$I104)</f>
        <v/>
      </c>
      <c r="AD104" s="22">
        <f>IF($C104="","",IFERROR(IF(INDEX(Deals!$AE$2:$AE$355,MATCH($C104,Deals!$A$2:$A$355,0))=0,"",INDEX(Deals!$AE$2:$AE$355,MATCH($C104,Deals!$A$2:$A$355,0))),""))</f>
        <v/>
      </c>
      <c r="AE104" s="22">
        <f>IF($C104="","",IFERROR(IF(INDEX(Deals!$AF$2:$AF$355,MATCH($C104,Deals!$A$2:$A$355,0))=0,"",INDEX(Deals!$AF$2:$AF$355,MATCH($C104,Deals!$A$2:$A$355,0))),""))</f>
        <v/>
      </c>
      <c r="AF104" s="35">
        <f>IF($AD104="",DATE(1900,1,1),$AD104)</f>
        <v/>
      </c>
      <c r="AG104" s="35">
        <f>IF($AE104="",DATE(2100,12,31),$AE104)</f>
        <v/>
      </c>
      <c r="AH104" s="22">
        <f>IF($C104="","",IFERROR(IF(INDEX(Deals!$AG$2:$AG$355,MATCH($C104,Deals!$A$2:$A$355,0))=0,"",INDEX(Deals!$AG$2:$AG$355,MATCH($C104,Deals!$A$2:$A$355,0))),""))</f>
        <v/>
      </c>
      <c r="AI104" s="35">
        <f>IF($AH104="",DATE(1900,1,1),$AF104)</f>
        <v/>
      </c>
      <c r="AJ104" s="35">
        <f>IF($AH104="",DATE(2100,12,31),$AH104)</f>
        <v/>
      </c>
      <c r="AK104" s="32">
        <f>IF($AH104="",$AC104,$AC104*$S104)</f>
        <v/>
      </c>
      <c r="AL104" s="35">
        <f>IF($AH104="",DATE(2100,12,31),$AH104+1)</f>
        <v/>
      </c>
      <c r="AM104" s="35">
        <f>IF($AH104="",DATE(1900,1,1),$AG104)</f>
        <v/>
      </c>
      <c r="AN104" s="32">
        <f>IF($AH104="",0,$AC104*$T104)</f>
        <v/>
      </c>
    </row>
    <row r="105">
      <c r="A105" s="28" t="inlineStr">
        <is>
          <t>Kyle Kidd</t>
        </is>
      </c>
      <c r="B105" s="16">
        <f>IF($A105="","",IFERROR(INDEX(Roster!$B$2:$B$40,MATCH($A105,Roster!$A$2:$A$40,0)),"?"))</f>
        <v/>
      </c>
      <c r="C105" s="28" t="inlineStr">
        <is>
          <t>Ares FIRPTA_2</t>
        </is>
      </c>
      <c r="D105" s="16">
        <f>IF($C105="","",IFERROR(IF(INDEX(Deals!$C$2:$C$355,MATCH($C105,Deals!$A$2:$A$355,0))=0,"",INDEX(Deals!$C$2:$C$355,MATCH($C105,Deals!$A$2:$A$355,0))),"?"))</f>
        <v/>
      </c>
      <c r="E105" s="16">
        <f>IF($C105="","",IFERROR(INDEX(Deals!$F$2:$F$355,MATCH($C105,Deals!$A$2:$A$355,0)),"?"))</f>
        <v/>
      </c>
      <c r="F105" s="28" t="inlineStr">
        <is>
          <t>Partner</t>
        </is>
      </c>
      <c r="G105" s="28" t="inlineStr">
        <is>
          <t>Active</t>
        </is>
      </c>
      <c r="H105" s="31" t="n"/>
      <c r="I105" s="32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1">
        <f>IF($C105="",0,IFERROR(INDEX(Deals!$H$2:$H$355,MATCH($C105,Deals!$A$2:$A$355,0)),0))</f>
        <v/>
      </c>
      <c r="K105" s="32">
        <f>IF(Settings!$B$4="Yes",$I105*$J105,$I105)</f>
        <v/>
      </c>
      <c r="L105" s="22">
        <f>IF($C105="","",IFERROR(IF(INDEX(Deals!$I$2:$I$355,MATCH($C105,Deals!$A$2:$A$355,0))=0,"",INDEX(Deals!$I$2:$I$355,MATCH($C105,Deals!$A$2:$A$355,0))),""))</f>
        <v/>
      </c>
      <c r="M105" s="22">
        <f>IF($C105="","",IFERROR(IF(INDEX(Deals!$J$2:$J$355,MATCH($C105,Deals!$A$2:$A$355,0))=0,"",INDEX(Deals!$J$2:$J$355,MATCH($C105,Deals!$A$2:$A$355,0))),""))</f>
        <v/>
      </c>
      <c r="N105" s="35">
        <f>IF($L105="",DATE(1900,1,1),$L105)</f>
        <v/>
      </c>
      <c r="O105" s="35">
        <f>IF($M105="",DATE(2100,12,31),$M105)</f>
        <v/>
      </c>
      <c r="P105" s="20" t="inlineStr"/>
      <c r="Q105" s="43" t="inlineStr"/>
      <c r="R105" s="16">
        <f>IF($C105="","",IFERROR(IF(INDEX(Deals!$U$2:$U$355,MATCH($C105,Deals!$A$2:$A$355,0))=0,"",INDEX(Deals!$U$2:$U$355,MATCH($C105,Deals!$A$2:$A$355,0))),""))</f>
        <v/>
      </c>
      <c r="S105" s="34">
        <f>IFERROR(IF($U105="",1,INDEX(Deals!$V$2:$V$355,MATCH($C105,Deals!$A$2:$A$355,0))),1)</f>
        <v/>
      </c>
      <c r="T105" s="34">
        <f>IFERROR(IF($U105="",1,INDEX(Deals!$W$2:$W$355,MATCH($C105,Deals!$A$2:$A$355,0))),1)</f>
        <v/>
      </c>
      <c r="U105" s="22">
        <f>IF($C105="","",IFERROR(IF(INDEX(Deals!$Y$2:$Y$355,MATCH($C105,Deals!$A$2:$A$355,0))=0,"",INDEX(Deals!$Y$2:$Y$355,MATCH($C105,Deals!$A$2:$A$355,0))),""))</f>
        <v/>
      </c>
      <c r="V105" s="35">
        <f>IF($U105="",DATE(1900,1,1),$N105)</f>
        <v/>
      </c>
      <c r="W105" s="35">
        <f>IF($U105="",DATE(2100,12,31),$U105)</f>
        <v/>
      </c>
      <c r="X105" s="32">
        <f>IF($U105="",$K105,$K105*$S105)</f>
        <v/>
      </c>
      <c r="Y105" s="35">
        <f>IF($U105="",DATE(2100,12,31),$U105+1)</f>
        <v/>
      </c>
      <c r="Z105" s="35">
        <f>IF($U105="",DATE(1900,1,1),$O105)</f>
        <v/>
      </c>
      <c r="AA105" s="32">
        <f>IF($U105="",0,$K105*$T105)</f>
        <v/>
      </c>
      <c r="AB105" s="21">
        <f>IF($C105="",0,IFERROR(INDEX(Deals!$AD$2:$AD$355,MATCH($C105,Deals!$A$2:$A$355,0)),0))</f>
        <v/>
      </c>
      <c r="AC105" s="32">
        <f>IF(Settings!$B$4="Yes",$I105*$AB105,$I105)</f>
        <v/>
      </c>
      <c r="AD105" s="22">
        <f>IF($C105="","",IFERROR(IF(INDEX(Deals!$AE$2:$AE$355,MATCH($C105,Deals!$A$2:$A$355,0))=0,"",INDEX(Deals!$AE$2:$AE$355,MATCH($C105,Deals!$A$2:$A$355,0))),""))</f>
        <v/>
      </c>
      <c r="AE105" s="22">
        <f>IF($C105="","",IFERROR(IF(INDEX(Deals!$AF$2:$AF$355,MATCH($C105,Deals!$A$2:$A$355,0))=0,"",INDEX(Deals!$AF$2:$AF$355,MATCH($C105,Deals!$A$2:$A$355,0))),""))</f>
        <v/>
      </c>
      <c r="AF105" s="35">
        <f>IF($AD105="",DATE(1900,1,1),$AD105)</f>
        <v/>
      </c>
      <c r="AG105" s="35">
        <f>IF($AE105="",DATE(2100,12,31),$AE105)</f>
        <v/>
      </c>
      <c r="AH105" s="22">
        <f>IF($C105="","",IFERROR(IF(INDEX(Deals!$AG$2:$AG$355,MATCH($C105,Deals!$A$2:$A$355,0))=0,"",INDEX(Deals!$AG$2:$AG$355,MATCH($C105,Deals!$A$2:$A$355,0))),""))</f>
        <v/>
      </c>
      <c r="AI105" s="35">
        <f>IF($AH105="",DATE(1900,1,1),$AF105)</f>
        <v/>
      </c>
      <c r="AJ105" s="35">
        <f>IF($AH105="",DATE(2100,12,31),$AH105)</f>
        <v/>
      </c>
      <c r="AK105" s="32">
        <f>IF($AH105="",$AC105,$AC105*$S105)</f>
        <v/>
      </c>
      <c r="AL105" s="35">
        <f>IF($AH105="",DATE(2100,12,31),$AH105+1)</f>
        <v/>
      </c>
      <c r="AM105" s="35">
        <f>IF($AH105="",DATE(1900,1,1),$AG105)</f>
        <v/>
      </c>
      <c r="AN105" s="32">
        <f>IF($AH105="",0,$AC105*$T105)</f>
        <v/>
      </c>
    </row>
    <row r="106">
      <c r="A106" s="28" t="inlineStr">
        <is>
          <t>Kyle Kidd</t>
        </is>
      </c>
      <c r="B106" s="16">
        <f>IF($A106="","",IFERROR(INDEX(Roster!$B$2:$B$40,MATCH($A106,Roster!$A$2:$A$40,0)),"?"))</f>
        <v/>
      </c>
      <c r="C106" s="28" t="inlineStr">
        <is>
          <t>Beacon_3</t>
        </is>
      </c>
      <c r="D106" s="16">
        <f>IF($C106="","",IFERROR(IF(INDEX(Deals!$C$2:$C$355,MATCH($C106,Deals!$A$2:$A$355,0))=0,"",INDEX(Deals!$C$2:$C$355,MATCH($C106,Deals!$A$2:$A$355,0))),"?"))</f>
        <v/>
      </c>
      <c r="E106" s="16">
        <f>IF($C106="","",IFERROR(INDEX(Deals!$F$2:$F$355,MATCH($C106,Deals!$A$2:$A$355,0)),"?"))</f>
        <v/>
      </c>
      <c r="F106" s="28" t="inlineStr">
        <is>
          <t>Partner</t>
        </is>
      </c>
      <c r="G106" s="28" t="inlineStr">
        <is>
          <t>Inactive</t>
        </is>
      </c>
      <c r="H106" s="31" t="n"/>
      <c r="I106" s="32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1">
        <f>IF($C106="",0,IFERROR(INDEX(Deals!$H$2:$H$355,MATCH($C106,Deals!$A$2:$A$355,0)),0))</f>
        <v/>
      </c>
      <c r="K106" s="32">
        <f>IF(Settings!$B$4="Yes",$I106*$J106,$I106)</f>
        <v/>
      </c>
      <c r="L106" s="22">
        <f>IF($C106="","",IFERROR(IF(INDEX(Deals!$I$2:$I$355,MATCH($C106,Deals!$A$2:$A$355,0))=0,"",INDEX(Deals!$I$2:$I$355,MATCH($C106,Deals!$A$2:$A$355,0))),""))</f>
        <v/>
      </c>
      <c r="M106" s="22">
        <f>IF($C106="","",IFERROR(IF(INDEX(Deals!$J$2:$J$355,MATCH($C106,Deals!$A$2:$A$355,0))=0,"",INDEX(Deals!$J$2:$J$355,MATCH($C106,Deals!$A$2:$A$355,0))),""))</f>
        <v/>
      </c>
      <c r="N106" s="35">
        <f>IF($L106="",DATE(1900,1,1),$L106)</f>
        <v/>
      </c>
      <c r="O106" s="35">
        <f>IF($M106="",DATE(2100,12,31),$M106)</f>
        <v/>
      </c>
      <c r="P106" s="20" t="inlineStr"/>
      <c r="Q106" s="43" t="inlineStr">
        <is>
          <t>Deal lifecycle is Dead</t>
        </is>
      </c>
      <c r="R106" s="16">
        <f>IF($C106="","",IFERROR(IF(INDEX(Deals!$U$2:$U$355,MATCH($C106,Deals!$A$2:$A$355,0))=0,"",INDEX(Deals!$U$2:$U$355,MATCH($C106,Deals!$A$2:$A$355,0))),""))</f>
        <v/>
      </c>
      <c r="S106" s="34">
        <f>IFERROR(IF($U106="",1,INDEX(Deals!$V$2:$V$355,MATCH($C106,Deals!$A$2:$A$355,0))),1)</f>
        <v/>
      </c>
      <c r="T106" s="34">
        <f>IFERROR(IF($U106="",1,INDEX(Deals!$W$2:$W$355,MATCH($C106,Deals!$A$2:$A$355,0))),1)</f>
        <v/>
      </c>
      <c r="U106" s="22">
        <f>IF($C106="","",IFERROR(IF(INDEX(Deals!$Y$2:$Y$355,MATCH($C106,Deals!$A$2:$A$355,0))=0,"",INDEX(Deals!$Y$2:$Y$355,MATCH($C106,Deals!$A$2:$A$355,0))),""))</f>
        <v/>
      </c>
      <c r="V106" s="35">
        <f>IF($U106="",DATE(1900,1,1),$N106)</f>
        <v/>
      </c>
      <c r="W106" s="35">
        <f>IF($U106="",DATE(2100,12,31),$U106)</f>
        <v/>
      </c>
      <c r="X106" s="32">
        <f>IF($U106="",$K106,$K106*$S106)</f>
        <v/>
      </c>
      <c r="Y106" s="35">
        <f>IF($U106="",DATE(2100,12,31),$U106+1)</f>
        <v/>
      </c>
      <c r="Z106" s="35">
        <f>IF($U106="",DATE(1900,1,1),$O106)</f>
        <v/>
      </c>
      <c r="AA106" s="32">
        <f>IF($U106="",0,$K106*$T106)</f>
        <v/>
      </c>
      <c r="AB106" s="21">
        <f>IF($C106="",0,IFERROR(INDEX(Deals!$AD$2:$AD$355,MATCH($C106,Deals!$A$2:$A$355,0)),0))</f>
        <v/>
      </c>
      <c r="AC106" s="32">
        <f>IF(Settings!$B$4="Yes",$I106*$AB106,$I106)</f>
        <v/>
      </c>
      <c r="AD106" s="22">
        <f>IF($C106="","",IFERROR(IF(INDEX(Deals!$AE$2:$AE$355,MATCH($C106,Deals!$A$2:$A$355,0))=0,"",INDEX(Deals!$AE$2:$AE$355,MATCH($C106,Deals!$A$2:$A$355,0))),""))</f>
        <v/>
      </c>
      <c r="AE106" s="22">
        <f>IF($C106="","",IFERROR(IF(INDEX(Deals!$AF$2:$AF$355,MATCH($C106,Deals!$A$2:$A$355,0))=0,"",INDEX(Deals!$AF$2:$AF$355,MATCH($C106,Deals!$A$2:$A$355,0))),""))</f>
        <v/>
      </c>
      <c r="AF106" s="35">
        <f>IF($AD106="",DATE(1900,1,1),$AD106)</f>
        <v/>
      </c>
      <c r="AG106" s="35">
        <f>IF($AE106="",DATE(2100,12,31),$AE106)</f>
        <v/>
      </c>
      <c r="AH106" s="22">
        <f>IF($C106="","",IFERROR(IF(INDEX(Deals!$AG$2:$AG$355,MATCH($C106,Deals!$A$2:$A$355,0))=0,"",INDEX(Deals!$AG$2:$AG$355,MATCH($C106,Deals!$A$2:$A$355,0))),""))</f>
        <v/>
      </c>
      <c r="AI106" s="35">
        <f>IF($AH106="",DATE(1900,1,1),$AF106)</f>
        <v/>
      </c>
      <c r="AJ106" s="35">
        <f>IF($AH106="",DATE(2100,12,31),$AH106)</f>
        <v/>
      </c>
      <c r="AK106" s="32">
        <f>IF($AH106="",$AC106,$AC106*$S106)</f>
        <v/>
      </c>
      <c r="AL106" s="35">
        <f>IF($AH106="",DATE(2100,12,31),$AH106+1)</f>
        <v/>
      </c>
      <c r="AM106" s="35">
        <f>IF($AH106="",DATE(1900,1,1),$AG106)</f>
        <v/>
      </c>
      <c r="AN106" s="32">
        <f>IF($AH106="",0,$AC106*$T106)</f>
        <v/>
      </c>
    </row>
    <row r="107">
      <c r="A107" s="28" t="inlineStr">
        <is>
          <t>Kyle Kidd</t>
        </is>
      </c>
      <c r="B107" s="16">
        <f>IF($A107="","",IFERROR(INDEX(Roster!$B$2:$B$40,MATCH($A107,Roster!$A$2:$A$40,0)),"?"))</f>
        <v/>
      </c>
      <c r="C107" s="28" t="inlineStr">
        <is>
          <t>Blue_6</t>
        </is>
      </c>
      <c r="D107" s="16">
        <f>IF($C107="","",IFERROR(IF(INDEX(Deals!$C$2:$C$355,MATCH($C107,Deals!$A$2:$A$355,0))=0,"",INDEX(Deals!$C$2:$C$355,MATCH($C107,Deals!$A$2:$A$355,0))),"?"))</f>
        <v/>
      </c>
      <c r="E107" s="16">
        <f>IF($C107="","",IFERROR(INDEX(Deals!$F$2:$F$355,MATCH($C107,Deals!$A$2:$A$355,0)),"?"))</f>
        <v/>
      </c>
      <c r="F107" s="28" t="inlineStr">
        <is>
          <t>Partner</t>
        </is>
      </c>
      <c r="G107" s="28" t="inlineStr">
        <is>
          <t>Active</t>
        </is>
      </c>
      <c r="H107" s="31" t="n"/>
      <c r="I107" s="32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1">
        <f>IF($C107="",0,IFERROR(INDEX(Deals!$H$2:$H$355,MATCH($C107,Deals!$A$2:$A$355,0)),0))</f>
        <v/>
      </c>
      <c r="K107" s="32">
        <f>IF(Settings!$B$4="Yes",$I107*$J107,$I107)</f>
        <v/>
      </c>
      <c r="L107" s="22">
        <f>IF($C107="","",IFERROR(IF(INDEX(Deals!$I$2:$I$355,MATCH($C107,Deals!$A$2:$A$355,0))=0,"",INDEX(Deals!$I$2:$I$355,MATCH($C107,Deals!$A$2:$A$355,0))),""))</f>
        <v/>
      </c>
      <c r="M107" s="22">
        <f>IF($C107="","",IFERROR(IF(INDEX(Deals!$J$2:$J$355,MATCH($C107,Deals!$A$2:$A$355,0))=0,"",INDEX(Deals!$J$2:$J$355,MATCH($C107,Deals!$A$2:$A$355,0))),""))</f>
        <v/>
      </c>
      <c r="N107" s="35">
        <f>IF($L107="",DATE(1900,1,1),$L107)</f>
        <v/>
      </c>
      <c r="O107" s="35">
        <f>IF($M107="",DATE(2100,12,31),$M107)</f>
        <v/>
      </c>
      <c r="P107" s="20" t="inlineStr"/>
      <c r="Q107" s="43" t="inlineStr"/>
      <c r="R107" s="16">
        <f>IF($C107="","",IFERROR(IF(INDEX(Deals!$U$2:$U$355,MATCH($C107,Deals!$A$2:$A$355,0))=0,"",INDEX(Deals!$U$2:$U$355,MATCH($C107,Deals!$A$2:$A$355,0))),""))</f>
        <v/>
      </c>
      <c r="S107" s="34">
        <f>IFERROR(IF($U107="",1,INDEX(Deals!$V$2:$V$355,MATCH($C107,Deals!$A$2:$A$355,0))),1)</f>
        <v/>
      </c>
      <c r="T107" s="34">
        <f>IFERROR(IF($U107="",1,INDEX(Deals!$W$2:$W$355,MATCH($C107,Deals!$A$2:$A$355,0))),1)</f>
        <v/>
      </c>
      <c r="U107" s="22">
        <f>IF($C107="","",IFERROR(IF(INDEX(Deals!$Y$2:$Y$355,MATCH($C107,Deals!$A$2:$A$355,0))=0,"",INDEX(Deals!$Y$2:$Y$355,MATCH($C107,Deals!$A$2:$A$355,0))),""))</f>
        <v/>
      </c>
      <c r="V107" s="35">
        <f>IF($U107="",DATE(1900,1,1),$N107)</f>
        <v/>
      </c>
      <c r="W107" s="35">
        <f>IF($U107="",DATE(2100,12,31),$U107)</f>
        <v/>
      </c>
      <c r="X107" s="32">
        <f>IF($U107="",$K107,$K107*$S107)</f>
        <v/>
      </c>
      <c r="Y107" s="35">
        <f>IF($U107="",DATE(2100,12,31),$U107+1)</f>
        <v/>
      </c>
      <c r="Z107" s="35">
        <f>IF($U107="",DATE(1900,1,1),$O107)</f>
        <v/>
      </c>
      <c r="AA107" s="32">
        <f>IF($U107="",0,$K107*$T107)</f>
        <v/>
      </c>
      <c r="AB107" s="21">
        <f>IF($C107="",0,IFERROR(INDEX(Deals!$AD$2:$AD$355,MATCH($C107,Deals!$A$2:$A$355,0)),0))</f>
        <v/>
      </c>
      <c r="AC107" s="32">
        <f>IF(Settings!$B$4="Yes",$I107*$AB107,$I107)</f>
        <v/>
      </c>
      <c r="AD107" s="22">
        <f>IF($C107="","",IFERROR(IF(INDEX(Deals!$AE$2:$AE$355,MATCH($C107,Deals!$A$2:$A$355,0))=0,"",INDEX(Deals!$AE$2:$AE$355,MATCH($C107,Deals!$A$2:$A$355,0))),""))</f>
        <v/>
      </c>
      <c r="AE107" s="22">
        <f>IF($C107="","",IFERROR(IF(INDEX(Deals!$AF$2:$AF$355,MATCH($C107,Deals!$A$2:$A$355,0))=0,"",INDEX(Deals!$AF$2:$AF$355,MATCH($C107,Deals!$A$2:$A$355,0))),""))</f>
        <v/>
      </c>
      <c r="AF107" s="35">
        <f>IF($AD107="",DATE(1900,1,1),$AD107)</f>
        <v/>
      </c>
      <c r="AG107" s="35">
        <f>IF($AE107="",DATE(2100,12,31),$AE107)</f>
        <v/>
      </c>
      <c r="AH107" s="22">
        <f>IF($C107="","",IFERROR(IF(INDEX(Deals!$AG$2:$AG$355,MATCH($C107,Deals!$A$2:$A$355,0))=0,"",INDEX(Deals!$AG$2:$AG$355,MATCH($C107,Deals!$A$2:$A$355,0))),""))</f>
        <v/>
      </c>
      <c r="AI107" s="35">
        <f>IF($AH107="",DATE(1900,1,1),$AF107)</f>
        <v/>
      </c>
      <c r="AJ107" s="35">
        <f>IF($AH107="",DATE(2100,12,31),$AH107)</f>
        <v/>
      </c>
      <c r="AK107" s="32">
        <f>IF($AH107="",$AC107,$AC107*$S107)</f>
        <v/>
      </c>
      <c r="AL107" s="35">
        <f>IF($AH107="",DATE(2100,12,31),$AH107+1)</f>
        <v/>
      </c>
      <c r="AM107" s="35">
        <f>IF($AH107="",DATE(1900,1,1),$AG107)</f>
        <v/>
      </c>
      <c r="AN107" s="32">
        <f>IF($AH107="",0,$AC107*$T107)</f>
        <v/>
      </c>
    </row>
    <row r="108">
      <c r="A108" s="28" t="inlineStr">
        <is>
          <t>Kyle Kidd</t>
        </is>
      </c>
      <c r="B108" s="16">
        <f>IF($A108="","",IFERROR(INDEX(Roster!$B$2:$B$40,MATCH($A108,Roster!$A$2:$A$40,0)),"?"))</f>
        <v/>
      </c>
      <c r="C108" s="28" t="inlineStr">
        <is>
          <t>Canyon_1</t>
        </is>
      </c>
      <c r="D108" s="16">
        <f>IF($C108="","",IFERROR(IF(INDEX(Deals!$C$2:$C$355,MATCH($C108,Deals!$A$2:$A$355,0))=0,"",INDEX(Deals!$C$2:$C$355,MATCH($C108,Deals!$A$2:$A$355,0))),"?"))</f>
        <v/>
      </c>
      <c r="E108" s="16">
        <f>IF($C108="","",IFERROR(INDEX(Deals!$F$2:$F$355,MATCH($C108,Deals!$A$2:$A$355,0)),"?"))</f>
        <v/>
      </c>
      <c r="F108" s="28" t="inlineStr">
        <is>
          <t>Partner</t>
        </is>
      </c>
      <c r="G108" s="28" t="inlineStr">
        <is>
          <t>Inactive</t>
        </is>
      </c>
      <c r="H108" s="31" t="n"/>
      <c r="I108" s="32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1">
        <f>IF($C108="",0,IFERROR(INDEX(Deals!$H$2:$H$355,MATCH($C108,Deals!$A$2:$A$355,0)),0))</f>
        <v/>
      </c>
      <c r="K108" s="32">
        <f>IF(Settings!$B$4="Yes",$I108*$J108,$I108)</f>
        <v/>
      </c>
      <c r="L108" s="22">
        <f>IF($C108="","",IFERROR(IF(INDEX(Deals!$I$2:$I$355,MATCH($C108,Deals!$A$2:$A$355,0))=0,"",INDEX(Deals!$I$2:$I$355,MATCH($C108,Deals!$A$2:$A$355,0))),""))</f>
        <v/>
      </c>
      <c r="M108" s="22">
        <f>IF($C108="","",IFERROR(IF(INDEX(Deals!$J$2:$J$355,MATCH($C108,Deals!$A$2:$A$355,0))=0,"",INDEX(Deals!$J$2:$J$355,MATCH($C108,Deals!$A$2:$A$355,0))),""))</f>
        <v/>
      </c>
      <c r="N108" s="35">
        <f>IF($L108="",DATE(1900,1,1),$L108)</f>
        <v/>
      </c>
      <c r="O108" s="35">
        <f>IF($M108="",DATE(2100,12,31),$M108)</f>
        <v/>
      </c>
      <c r="P108" s="20" t="inlineStr"/>
      <c r="Q108" s="43" t="inlineStr">
        <is>
          <t>Deal lifecycle is Dead</t>
        </is>
      </c>
      <c r="R108" s="16">
        <f>IF($C108="","",IFERROR(IF(INDEX(Deals!$U$2:$U$355,MATCH($C108,Deals!$A$2:$A$355,0))=0,"",INDEX(Deals!$U$2:$U$355,MATCH($C108,Deals!$A$2:$A$355,0))),""))</f>
        <v/>
      </c>
      <c r="S108" s="34">
        <f>IFERROR(IF($U108="",1,INDEX(Deals!$V$2:$V$355,MATCH($C108,Deals!$A$2:$A$355,0))),1)</f>
        <v/>
      </c>
      <c r="T108" s="34">
        <f>IFERROR(IF($U108="",1,INDEX(Deals!$W$2:$W$355,MATCH($C108,Deals!$A$2:$A$355,0))),1)</f>
        <v/>
      </c>
      <c r="U108" s="22">
        <f>IF($C108="","",IFERROR(IF(INDEX(Deals!$Y$2:$Y$355,MATCH($C108,Deals!$A$2:$A$355,0))=0,"",INDEX(Deals!$Y$2:$Y$355,MATCH($C108,Deals!$A$2:$A$355,0))),""))</f>
        <v/>
      </c>
      <c r="V108" s="35">
        <f>IF($U108="",DATE(1900,1,1),$N108)</f>
        <v/>
      </c>
      <c r="W108" s="35">
        <f>IF($U108="",DATE(2100,12,31),$U108)</f>
        <v/>
      </c>
      <c r="X108" s="32">
        <f>IF($U108="",$K108,$K108*$S108)</f>
        <v/>
      </c>
      <c r="Y108" s="35">
        <f>IF($U108="",DATE(2100,12,31),$U108+1)</f>
        <v/>
      </c>
      <c r="Z108" s="35">
        <f>IF($U108="",DATE(1900,1,1),$O108)</f>
        <v/>
      </c>
      <c r="AA108" s="32">
        <f>IF($U108="",0,$K108*$T108)</f>
        <v/>
      </c>
      <c r="AB108" s="21">
        <f>IF($C108="",0,IFERROR(INDEX(Deals!$AD$2:$AD$355,MATCH($C108,Deals!$A$2:$A$355,0)),0))</f>
        <v/>
      </c>
      <c r="AC108" s="32">
        <f>IF(Settings!$B$4="Yes",$I108*$AB108,$I108)</f>
        <v/>
      </c>
      <c r="AD108" s="22">
        <f>IF($C108="","",IFERROR(IF(INDEX(Deals!$AE$2:$AE$355,MATCH($C108,Deals!$A$2:$A$355,0))=0,"",INDEX(Deals!$AE$2:$AE$355,MATCH($C108,Deals!$A$2:$A$355,0))),""))</f>
        <v/>
      </c>
      <c r="AE108" s="22">
        <f>IF($C108="","",IFERROR(IF(INDEX(Deals!$AF$2:$AF$355,MATCH($C108,Deals!$A$2:$A$355,0))=0,"",INDEX(Deals!$AF$2:$AF$355,MATCH($C108,Deals!$A$2:$A$355,0))),""))</f>
        <v/>
      </c>
      <c r="AF108" s="35">
        <f>IF($AD108="",DATE(1900,1,1),$AD108)</f>
        <v/>
      </c>
      <c r="AG108" s="35">
        <f>IF($AE108="",DATE(2100,12,31),$AE108)</f>
        <v/>
      </c>
      <c r="AH108" s="22">
        <f>IF($C108="","",IFERROR(IF(INDEX(Deals!$AG$2:$AG$355,MATCH($C108,Deals!$A$2:$A$355,0))=0,"",INDEX(Deals!$AG$2:$AG$355,MATCH($C108,Deals!$A$2:$A$355,0))),""))</f>
        <v/>
      </c>
      <c r="AI108" s="35">
        <f>IF($AH108="",DATE(1900,1,1),$AF108)</f>
        <v/>
      </c>
      <c r="AJ108" s="35">
        <f>IF($AH108="",DATE(2100,12,31),$AH108)</f>
        <v/>
      </c>
      <c r="AK108" s="32">
        <f>IF($AH108="",$AC108,$AC108*$S108)</f>
        <v/>
      </c>
      <c r="AL108" s="35">
        <f>IF($AH108="",DATE(2100,12,31),$AH108+1)</f>
        <v/>
      </c>
      <c r="AM108" s="35">
        <f>IF($AH108="",DATE(1900,1,1),$AG108)</f>
        <v/>
      </c>
      <c r="AN108" s="32">
        <f>IF($AH108="",0,$AC108*$T108)</f>
        <v/>
      </c>
    </row>
    <row r="109">
      <c r="A109" s="28" t="inlineStr">
        <is>
          <t>Kyle Kidd</t>
        </is>
      </c>
      <c r="B109" s="16">
        <f>IF($A109="","",IFERROR(INDEX(Roster!$B$2:$B$40,MATCH($A109,Roster!$A$2:$A$40,0)),"?"))</f>
        <v/>
      </c>
      <c r="C109" s="28" t="inlineStr">
        <is>
          <t>Chicago RE_1</t>
        </is>
      </c>
      <c r="D109" s="16">
        <f>IF($C109="","",IFERROR(IF(INDEX(Deals!$C$2:$C$355,MATCH($C109,Deals!$A$2:$A$355,0))=0,"",INDEX(Deals!$C$2:$C$355,MATCH($C109,Deals!$A$2:$A$355,0))),"?"))</f>
        <v/>
      </c>
      <c r="E109" s="16">
        <f>IF($C109="","",IFERROR(INDEX(Deals!$F$2:$F$355,MATCH($C109,Deals!$A$2:$A$355,0)),"?"))</f>
        <v/>
      </c>
      <c r="F109" s="28" t="inlineStr">
        <is>
          <t>Partner</t>
        </is>
      </c>
      <c r="G109" s="28" t="inlineStr">
        <is>
          <t>Active</t>
        </is>
      </c>
      <c r="H109" s="31" t="n"/>
      <c r="I109" s="32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1">
        <f>IF($C109="",0,IFERROR(INDEX(Deals!$H$2:$H$355,MATCH($C109,Deals!$A$2:$A$355,0)),0))</f>
        <v/>
      </c>
      <c r="K109" s="32">
        <f>IF(Settings!$B$4="Yes",$I109*$J109,$I109)</f>
        <v/>
      </c>
      <c r="L109" s="22">
        <f>IF($C109="","",IFERROR(IF(INDEX(Deals!$I$2:$I$355,MATCH($C109,Deals!$A$2:$A$355,0))=0,"",INDEX(Deals!$I$2:$I$355,MATCH($C109,Deals!$A$2:$A$355,0))),""))</f>
        <v/>
      </c>
      <c r="M109" s="22">
        <f>IF($C109="","",IFERROR(IF(INDEX(Deals!$J$2:$J$355,MATCH($C109,Deals!$A$2:$A$355,0))=0,"",INDEX(Deals!$J$2:$J$355,MATCH($C109,Deals!$A$2:$A$355,0))),""))</f>
        <v/>
      </c>
      <c r="N109" s="35">
        <f>IF($L109="",DATE(1900,1,1),$L109)</f>
        <v/>
      </c>
      <c r="O109" s="35">
        <f>IF($M109="",DATE(2100,12,31),$M109)</f>
        <v/>
      </c>
      <c r="P109" s="20" t="inlineStr"/>
      <c r="Q109" s="43" t="inlineStr"/>
      <c r="R109" s="16">
        <f>IF($C109="","",IFERROR(IF(INDEX(Deals!$U$2:$U$355,MATCH($C109,Deals!$A$2:$A$355,0))=0,"",INDEX(Deals!$U$2:$U$355,MATCH($C109,Deals!$A$2:$A$355,0))),""))</f>
        <v/>
      </c>
      <c r="S109" s="34">
        <f>IFERROR(IF($U109="",1,INDEX(Deals!$V$2:$V$355,MATCH($C109,Deals!$A$2:$A$355,0))),1)</f>
        <v/>
      </c>
      <c r="T109" s="34">
        <f>IFERROR(IF($U109="",1,INDEX(Deals!$W$2:$W$355,MATCH($C109,Deals!$A$2:$A$355,0))),1)</f>
        <v/>
      </c>
      <c r="U109" s="22">
        <f>IF($C109="","",IFERROR(IF(INDEX(Deals!$Y$2:$Y$355,MATCH($C109,Deals!$A$2:$A$355,0))=0,"",INDEX(Deals!$Y$2:$Y$355,MATCH($C109,Deals!$A$2:$A$355,0))),""))</f>
        <v/>
      </c>
      <c r="V109" s="35">
        <f>IF($U109="",DATE(1900,1,1),$N109)</f>
        <v/>
      </c>
      <c r="W109" s="35">
        <f>IF($U109="",DATE(2100,12,31),$U109)</f>
        <v/>
      </c>
      <c r="X109" s="32">
        <f>IF($U109="",$K109,$K109*$S109)</f>
        <v/>
      </c>
      <c r="Y109" s="35">
        <f>IF($U109="",DATE(2100,12,31),$U109+1)</f>
        <v/>
      </c>
      <c r="Z109" s="35">
        <f>IF($U109="",DATE(1900,1,1),$O109)</f>
        <v/>
      </c>
      <c r="AA109" s="32">
        <f>IF($U109="",0,$K109*$T109)</f>
        <v/>
      </c>
      <c r="AB109" s="21">
        <f>IF($C109="",0,IFERROR(INDEX(Deals!$AD$2:$AD$355,MATCH($C109,Deals!$A$2:$A$355,0)),0))</f>
        <v/>
      </c>
      <c r="AC109" s="32">
        <f>IF(Settings!$B$4="Yes",$I109*$AB109,$I109)</f>
        <v/>
      </c>
      <c r="AD109" s="22">
        <f>IF($C109="","",IFERROR(IF(INDEX(Deals!$AE$2:$AE$355,MATCH($C109,Deals!$A$2:$A$355,0))=0,"",INDEX(Deals!$AE$2:$AE$355,MATCH($C109,Deals!$A$2:$A$355,0))),""))</f>
        <v/>
      </c>
      <c r="AE109" s="22">
        <f>IF($C109="","",IFERROR(IF(INDEX(Deals!$AF$2:$AF$355,MATCH($C109,Deals!$A$2:$A$355,0))=0,"",INDEX(Deals!$AF$2:$AF$355,MATCH($C109,Deals!$A$2:$A$355,0))),""))</f>
        <v/>
      </c>
      <c r="AF109" s="35">
        <f>IF($AD109="",DATE(1900,1,1),$AD109)</f>
        <v/>
      </c>
      <c r="AG109" s="35">
        <f>IF($AE109="",DATE(2100,12,31),$AE109)</f>
        <v/>
      </c>
      <c r="AH109" s="22">
        <f>IF($C109="","",IFERROR(IF(INDEX(Deals!$AG$2:$AG$355,MATCH($C109,Deals!$A$2:$A$355,0))=0,"",INDEX(Deals!$AG$2:$AG$355,MATCH($C109,Deals!$A$2:$A$355,0))),""))</f>
        <v/>
      </c>
      <c r="AI109" s="35">
        <f>IF($AH109="",DATE(1900,1,1),$AF109)</f>
        <v/>
      </c>
      <c r="AJ109" s="35">
        <f>IF($AH109="",DATE(2100,12,31),$AH109)</f>
        <v/>
      </c>
      <c r="AK109" s="32">
        <f>IF($AH109="",$AC109,$AC109*$S109)</f>
        <v/>
      </c>
      <c r="AL109" s="35">
        <f>IF($AH109="",DATE(2100,12,31),$AH109+1)</f>
        <v/>
      </c>
      <c r="AM109" s="35">
        <f>IF($AH109="",DATE(1900,1,1),$AG109)</f>
        <v/>
      </c>
      <c r="AN109" s="32">
        <f>IF($AH109="",0,$AC109*$T109)</f>
        <v/>
      </c>
    </row>
    <row r="110">
      <c r="A110" s="28" t="inlineStr">
        <is>
          <t>Kyle Kidd</t>
        </is>
      </c>
      <c r="B110" s="16">
        <f>IF($A110="","",IFERROR(INDEX(Roster!$B$2:$B$40,MATCH($A110,Roster!$A$2:$A$40,0)),"?"))</f>
        <v/>
      </c>
      <c r="C110" s="28" t="inlineStr">
        <is>
          <t>CopiaAdHoc_1</t>
        </is>
      </c>
      <c r="D110" s="16">
        <f>IF($C110="","",IFERROR(IF(INDEX(Deals!$C$2:$C$355,MATCH($C110,Deals!$A$2:$A$355,0))=0,"",INDEX(Deals!$C$2:$C$355,MATCH($C110,Deals!$A$2:$A$355,0))),"?"))</f>
        <v/>
      </c>
      <c r="E110" s="16">
        <f>IF($C110="","",IFERROR(INDEX(Deals!$F$2:$F$355,MATCH($C110,Deals!$A$2:$A$355,0)),"?"))</f>
        <v/>
      </c>
      <c r="F110" s="28" t="inlineStr">
        <is>
          <t>Partner</t>
        </is>
      </c>
      <c r="G110" s="28" t="inlineStr">
        <is>
          <t>Active</t>
        </is>
      </c>
      <c r="H110" s="31" t="n"/>
      <c r="I110" s="32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1">
        <f>IF($C110="",0,IFERROR(INDEX(Deals!$H$2:$H$355,MATCH($C110,Deals!$A$2:$A$355,0)),0))</f>
        <v/>
      </c>
      <c r="K110" s="32">
        <f>IF(Settings!$B$4="Yes",$I110*$J110,$I110)</f>
        <v/>
      </c>
      <c r="L110" s="22">
        <f>IF($C110="","",IFERROR(IF(INDEX(Deals!$I$2:$I$355,MATCH($C110,Deals!$A$2:$A$355,0))=0,"",INDEX(Deals!$I$2:$I$355,MATCH($C110,Deals!$A$2:$A$355,0))),""))</f>
        <v/>
      </c>
      <c r="M110" s="22">
        <f>IF($C110="","",IFERROR(IF(INDEX(Deals!$J$2:$J$355,MATCH($C110,Deals!$A$2:$A$355,0))=0,"",INDEX(Deals!$J$2:$J$355,MATCH($C110,Deals!$A$2:$A$355,0))),""))</f>
        <v/>
      </c>
      <c r="N110" s="35">
        <f>IF($L110="",DATE(1900,1,1),$L110)</f>
        <v/>
      </c>
      <c r="O110" s="35">
        <f>IF($M110="",DATE(2100,12,31),$M110)</f>
        <v/>
      </c>
      <c r="P110" s="20" t="inlineStr"/>
      <c r="Q110" s="43" t="inlineStr"/>
      <c r="R110" s="16">
        <f>IF($C110="","",IFERROR(IF(INDEX(Deals!$U$2:$U$355,MATCH($C110,Deals!$A$2:$A$355,0))=0,"",INDEX(Deals!$U$2:$U$355,MATCH($C110,Deals!$A$2:$A$355,0))),""))</f>
        <v/>
      </c>
      <c r="S110" s="34">
        <f>IFERROR(IF($U110="",1,INDEX(Deals!$V$2:$V$355,MATCH($C110,Deals!$A$2:$A$355,0))),1)</f>
        <v/>
      </c>
      <c r="T110" s="34">
        <f>IFERROR(IF($U110="",1,INDEX(Deals!$W$2:$W$355,MATCH($C110,Deals!$A$2:$A$355,0))),1)</f>
        <v/>
      </c>
      <c r="U110" s="22">
        <f>IF($C110="","",IFERROR(IF(INDEX(Deals!$Y$2:$Y$355,MATCH($C110,Deals!$A$2:$A$355,0))=0,"",INDEX(Deals!$Y$2:$Y$355,MATCH($C110,Deals!$A$2:$A$355,0))),""))</f>
        <v/>
      </c>
      <c r="V110" s="35">
        <f>IF($U110="",DATE(1900,1,1),$N110)</f>
        <v/>
      </c>
      <c r="W110" s="35">
        <f>IF($U110="",DATE(2100,12,31),$U110)</f>
        <v/>
      </c>
      <c r="X110" s="32">
        <f>IF($U110="",$K110,$K110*$S110)</f>
        <v/>
      </c>
      <c r="Y110" s="35">
        <f>IF($U110="",DATE(2100,12,31),$U110+1)</f>
        <v/>
      </c>
      <c r="Z110" s="35">
        <f>IF($U110="",DATE(1900,1,1),$O110)</f>
        <v/>
      </c>
      <c r="AA110" s="32">
        <f>IF($U110="",0,$K110*$T110)</f>
        <v/>
      </c>
      <c r="AB110" s="21">
        <f>IF($C110="",0,IFERROR(INDEX(Deals!$AD$2:$AD$355,MATCH($C110,Deals!$A$2:$A$355,0)),0))</f>
        <v/>
      </c>
      <c r="AC110" s="32">
        <f>IF(Settings!$B$4="Yes",$I110*$AB110,$I110)</f>
        <v/>
      </c>
      <c r="AD110" s="22">
        <f>IF($C110="","",IFERROR(IF(INDEX(Deals!$AE$2:$AE$355,MATCH($C110,Deals!$A$2:$A$355,0))=0,"",INDEX(Deals!$AE$2:$AE$355,MATCH($C110,Deals!$A$2:$A$355,0))),""))</f>
        <v/>
      </c>
      <c r="AE110" s="22">
        <f>IF($C110="","",IFERROR(IF(INDEX(Deals!$AF$2:$AF$355,MATCH($C110,Deals!$A$2:$A$355,0))=0,"",INDEX(Deals!$AF$2:$AF$355,MATCH($C110,Deals!$A$2:$A$355,0))),""))</f>
        <v/>
      </c>
      <c r="AF110" s="35">
        <f>IF($AD110="",DATE(1900,1,1),$AD110)</f>
        <v/>
      </c>
      <c r="AG110" s="35">
        <f>IF($AE110="",DATE(2100,12,31),$AE110)</f>
        <v/>
      </c>
      <c r="AH110" s="22">
        <f>IF($C110="","",IFERROR(IF(INDEX(Deals!$AG$2:$AG$355,MATCH($C110,Deals!$A$2:$A$355,0))=0,"",INDEX(Deals!$AG$2:$AG$355,MATCH($C110,Deals!$A$2:$A$355,0))),""))</f>
        <v/>
      </c>
      <c r="AI110" s="35">
        <f>IF($AH110="",DATE(1900,1,1),$AF110)</f>
        <v/>
      </c>
      <c r="AJ110" s="35">
        <f>IF($AH110="",DATE(2100,12,31),$AH110)</f>
        <v/>
      </c>
      <c r="AK110" s="32">
        <f>IF($AH110="",$AC110,$AC110*$S110)</f>
        <v/>
      </c>
      <c r="AL110" s="35">
        <f>IF($AH110="",DATE(2100,12,31),$AH110+1)</f>
        <v/>
      </c>
      <c r="AM110" s="35">
        <f>IF($AH110="",DATE(1900,1,1),$AG110)</f>
        <v/>
      </c>
      <c r="AN110" s="32">
        <f>IF($AH110="",0,$AC110*$T110)</f>
        <v/>
      </c>
    </row>
    <row r="111">
      <c r="A111" s="28" t="inlineStr">
        <is>
          <t>Kyle Kidd</t>
        </is>
      </c>
      <c r="B111" s="16">
        <f>IF($A111="","",IFERROR(INDEX(Roster!$B$2:$B$40,MATCH($A111,Roster!$A$2:$A$40,0)),"?"))</f>
        <v/>
      </c>
      <c r="C111" s="28" t="inlineStr">
        <is>
          <t>Dental_1</t>
        </is>
      </c>
      <c r="D111" s="16">
        <f>IF($C111="","",IFERROR(IF(INDEX(Deals!$C$2:$C$355,MATCH($C111,Deals!$A$2:$A$355,0))=0,"",INDEX(Deals!$C$2:$C$355,MATCH($C111,Deals!$A$2:$A$355,0))),"?"))</f>
        <v/>
      </c>
      <c r="E111" s="16">
        <f>IF($C111="","",IFERROR(INDEX(Deals!$F$2:$F$355,MATCH($C111,Deals!$A$2:$A$355,0)),"?"))</f>
        <v/>
      </c>
      <c r="F111" s="28" t="inlineStr">
        <is>
          <t>Partner</t>
        </is>
      </c>
      <c r="G111" s="28" t="inlineStr">
        <is>
          <t>Active</t>
        </is>
      </c>
      <c r="H111" s="31" t="n"/>
      <c r="I111" s="32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1">
        <f>IF($C111="",0,IFERROR(INDEX(Deals!$H$2:$H$355,MATCH($C111,Deals!$A$2:$A$355,0)),0))</f>
        <v/>
      </c>
      <c r="K111" s="32">
        <f>IF(Settings!$B$4="Yes",$I111*$J111,$I111)</f>
        <v/>
      </c>
      <c r="L111" s="22">
        <f>IF($C111="","",IFERROR(IF(INDEX(Deals!$I$2:$I$355,MATCH($C111,Deals!$A$2:$A$355,0))=0,"",INDEX(Deals!$I$2:$I$355,MATCH($C111,Deals!$A$2:$A$355,0))),""))</f>
        <v/>
      </c>
      <c r="M111" s="22">
        <f>IF($C111="","",IFERROR(IF(INDEX(Deals!$J$2:$J$355,MATCH($C111,Deals!$A$2:$A$355,0))=0,"",INDEX(Deals!$J$2:$J$355,MATCH($C111,Deals!$A$2:$A$355,0))),""))</f>
        <v/>
      </c>
      <c r="N111" s="35">
        <f>IF($L111="",DATE(1900,1,1),$L111)</f>
        <v/>
      </c>
      <c r="O111" s="35">
        <f>IF($M111="",DATE(2100,12,31),$M111)</f>
        <v/>
      </c>
      <c r="P111" s="20" t="inlineStr"/>
      <c r="Q111" s="43" t="inlineStr"/>
      <c r="R111" s="16">
        <f>IF($C111="","",IFERROR(IF(INDEX(Deals!$U$2:$U$355,MATCH($C111,Deals!$A$2:$A$355,0))=0,"",INDEX(Deals!$U$2:$U$355,MATCH($C111,Deals!$A$2:$A$355,0))),""))</f>
        <v/>
      </c>
      <c r="S111" s="34">
        <f>IFERROR(IF($U111="",1,INDEX(Deals!$V$2:$V$355,MATCH($C111,Deals!$A$2:$A$355,0))),1)</f>
        <v/>
      </c>
      <c r="T111" s="34">
        <f>IFERROR(IF($U111="",1,INDEX(Deals!$W$2:$W$355,MATCH($C111,Deals!$A$2:$A$355,0))),1)</f>
        <v/>
      </c>
      <c r="U111" s="22">
        <f>IF($C111="","",IFERROR(IF(INDEX(Deals!$Y$2:$Y$355,MATCH($C111,Deals!$A$2:$A$355,0))=0,"",INDEX(Deals!$Y$2:$Y$355,MATCH($C111,Deals!$A$2:$A$355,0))),""))</f>
        <v/>
      </c>
      <c r="V111" s="35">
        <f>IF($U111="",DATE(1900,1,1),$N111)</f>
        <v/>
      </c>
      <c r="W111" s="35">
        <f>IF($U111="",DATE(2100,12,31),$U111)</f>
        <v/>
      </c>
      <c r="X111" s="32">
        <f>IF($U111="",$K111,$K111*$S111)</f>
        <v/>
      </c>
      <c r="Y111" s="35">
        <f>IF($U111="",DATE(2100,12,31),$U111+1)</f>
        <v/>
      </c>
      <c r="Z111" s="35">
        <f>IF($U111="",DATE(1900,1,1),$O111)</f>
        <v/>
      </c>
      <c r="AA111" s="32">
        <f>IF($U111="",0,$K111*$T111)</f>
        <v/>
      </c>
      <c r="AB111" s="21">
        <f>IF($C111="",0,IFERROR(INDEX(Deals!$AD$2:$AD$355,MATCH($C111,Deals!$A$2:$A$355,0)),0))</f>
        <v/>
      </c>
      <c r="AC111" s="32">
        <f>IF(Settings!$B$4="Yes",$I111*$AB111,$I111)</f>
        <v/>
      </c>
      <c r="AD111" s="22">
        <f>IF($C111="","",IFERROR(IF(INDEX(Deals!$AE$2:$AE$355,MATCH($C111,Deals!$A$2:$A$355,0))=0,"",INDEX(Deals!$AE$2:$AE$355,MATCH($C111,Deals!$A$2:$A$355,0))),""))</f>
        <v/>
      </c>
      <c r="AE111" s="22">
        <f>IF($C111="","",IFERROR(IF(INDEX(Deals!$AF$2:$AF$355,MATCH($C111,Deals!$A$2:$A$355,0))=0,"",INDEX(Deals!$AF$2:$AF$355,MATCH($C111,Deals!$A$2:$A$355,0))),""))</f>
        <v/>
      </c>
      <c r="AF111" s="35">
        <f>IF($AD111="",DATE(1900,1,1),$AD111)</f>
        <v/>
      </c>
      <c r="AG111" s="35">
        <f>IF($AE111="",DATE(2100,12,31),$AE111)</f>
        <v/>
      </c>
      <c r="AH111" s="22">
        <f>IF($C111="","",IFERROR(IF(INDEX(Deals!$AG$2:$AG$355,MATCH($C111,Deals!$A$2:$A$355,0))=0,"",INDEX(Deals!$AG$2:$AG$355,MATCH($C111,Deals!$A$2:$A$355,0))),""))</f>
        <v/>
      </c>
      <c r="AI111" s="35">
        <f>IF($AH111="",DATE(1900,1,1),$AF111)</f>
        <v/>
      </c>
      <c r="AJ111" s="35">
        <f>IF($AH111="",DATE(2100,12,31),$AH111)</f>
        <v/>
      </c>
      <c r="AK111" s="32">
        <f>IF($AH111="",$AC111,$AC111*$S111)</f>
        <v/>
      </c>
      <c r="AL111" s="35">
        <f>IF($AH111="",DATE(2100,12,31),$AH111+1)</f>
        <v/>
      </c>
      <c r="AM111" s="35">
        <f>IF($AH111="",DATE(1900,1,1),$AG111)</f>
        <v/>
      </c>
      <c r="AN111" s="32">
        <f>IF($AH111="",0,$AC111*$T111)</f>
        <v/>
      </c>
    </row>
    <row r="112">
      <c r="A112" s="28" t="inlineStr">
        <is>
          <t>Kyle Kidd</t>
        </is>
      </c>
      <c r="B112" s="16">
        <f>IF($A112="","",IFERROR(INDEX(Roster!$B$2:$B$40,MATCH($A112,Roster!$A$2:$A$40,0)),"?"))</f>
        <v/>
      </c>
      <c r="C112" s="28" t="inlineStr">
        <is>
          <t>Dorsia_1</t>
        </is>
      </c>
      <c r="D112" s="16">
        <f>IF($C112="","",IFERROR(IF(INDEX(Deals!$C$2:$C$355,MATCH($C112,Deals!$A$2:$A$355,0))=0,"",INDEX(Deals!$C$2:$C$355,MATCH($C112,Deals!$A$2:$A$355,0))),"?"))</f>
        <v/>
      </c>
      <c r="E112" s="16">
        <f>IF($C112="","",IFERROR(INDEX(Deals!$F$2:$F$355,MATCH($C112,Deals!$A$2:$A$355,0)),"?"))</f>
        <v/>
      </c>
      <c r="F112" s="28" t="inlineStr">
        <is>
          <t>Partner</t>
        </is>
      </c>
      <c r="G112" s="28" t="inlineStr">
        <is>
          <t>Active</t>
        </is>
      </c>
      <c r="H112" s="31" t="n"/>
      <c r="I112" s="32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1">
        <f>IF($C112="",0,IFERROR(INDEX(Deals!$H$2:$H$355,MATCH($C112,Deals!$A$2:$A$355,0)),0))</f>
        <v/>
      </c>
      <c r="K112" s="32">
        <f>IF(Settings!$B$4="Yes",$I112*$J112,$I112)</f>
        <v/>
      </c>
      <c r="L112" s="22">
        <f>IF($C112="","",IFERROR(IF(INDEX(Deals!$I$2:$I$355,MATCH($C112,Deals!$A$2:$A$355,0))=0,"",INDEX(Deals!$I$2:$I$355,MATCH($C112,Deals!$A$2:$A$355,0))),""))</f>
        <v/>
      </c>
      <c r="M112" s="22">
        <f>IF($C112="","",IFERROR(IF(INDEX(Deals!$J$2:$J$355,MATCH($C112,Deals!$A$2:$A$355,0))=0,"",INDEX(Deals!$J$2:$J$355,MATCH($C112,Deals!$A$2:$A$355,0))),""))</f>
        <v/>
      </c>
      <c r="N112" s="35">
        <f>IF($L112="",DATE(1900,1,1),$L112)</f>
        <v/>
      </c>
      <c r="O112" s="35">
        <f>IF($M112="",DATE(2100,12,31),$M112)</f>
        <v/>
      </c>
      <c r="P112" s="20" t="inlineStr"/>
      <c r="Q112" s="43" t="inlineStr"/>
      <c r="R112" s="16">
        <f>IF($C112="","",IFERROR(IF(INDEX(Deals!$U$2:$U$355,MATCH($C112,Deals!$A$2:$A$355,0))=0,"",INDEX(Deals!$U$2:$U$355,MATCH($C112,Deals!$A$2:$A$355,0))),""))</f>
        <v/>
      </c>
      <c r="S112" s="34">
        <f>IFERROR(IF($U112="",1,INDEX(Deals!$V$2:$V$355,MATCH($C112,Deals!$A$2:$A$355,0))),1)</f>
        <v/>
      </c>
      <c r="T112" s="34">
        <f>IFERROR(IF($U112="",1,INDEX(Deals!$W$2:$W$355,MATCH($C112,Deals!$A$2:$A$355,0))),1)</f>
        <v/>
      </c>
      <c r="U112" s="22">
        <f>IF($C112="","",IFERROR(IF(INDEX(Deals!$Y$2:$Y$355,MATCH($C112,Deals!$A$2:$A$355,0))=0,"",INDEX(Deals!$Y$2:$Y$355,MATCH($C112,Deals!$A$2:$A$355,0))),""))</f>
        <v/>
      </c>
      <c r="V112" s="35">
        <f>IF($U112="",DATE(1900,1,1),$N112)</f>
        <v/>
      </c>
      <c r="W112" s="35">
        <f>IF($U112="",DATE(2100,12,31),$U112)</f>
        <v/>
      </c>
      <c r="X112" s="32">
        <f>IF($U112="",$K112,$K112*$S112)</f>
        <v/>
      </c>
      <c r="Y112" s="35">
        <f>IF($U112="",DATE(2100,12,31),$U112+1)</f>
        <v/>
      </c>
      <c r="Z112" s="35">
        <f>IF($U112="",DATE(1900,1,1),$O112)</f>
        <v/>
      </c>
      <c r="AA112" s="32">
        <f>IF($U112="",0,$K112*$T112)</f>
        <v/>
      </c>
      <c r="AB112" s="21">
        <f>IF($C112="",0,IFERROR(INDEX(Deals!$AD$2:$AD$355,MATCH($C112,Deals!$A$2:$A$355,0)),0))</f>
        <v/>
      </c>
      <c r="AC112" s="32">
        <f>IF(Settings!$B$4="Yes",$I112*$AB112,$I112)</f>
        <v/>
      </c>
      <c r="AD112" s="22">
        <f>IF($C112="","",IFERROR(IF(INDEX(Deals!$AE$2:$AE$355,MATCH($C112,Deals!$A$2:$A$355,0))=0,"",INDEX(Deals!$AE$2:$AE$355,MATCH($C112,Deals!$A$2:$A$355,0))),""))</f>
        <v/>
      </c>
      <c r="AE112" s="22">
        <f>IF($C112="","",IFERROR(IF(INDEX(Deals!$AF$2:$AF$355,MATCH($C112,Deals!$A$2:$A$355,0))=0,"",INDEX(Deals!$AF$2:$AF$355,MATCH($C112,Deals!$A$2:$A$355,0))),""))</f>
        <v/>
      </c>
      <c r="AF112" s="35">
        <f>IF($AD112="",DATE(1900,1,1),$AD112)</f>
        <v/>
      </c>
      <c r="AG112" s="35">
        <f>IF($AE112="",DATE(2100,12,31),$AE112)</f>
        <v/>
      </c>
      <c r="AH112" s="22">
        <f>IF($C112="","",IFERROR(IF(INDEX(Deals!$AG$2:$AG$355,MATCH($C112,Deals!$A$2:$A$355,0))=0,"",INDEX(Deals!$AG$2:$AG$355,MATCH($C112,Deals!$A$2:$A$355,0))),""))</f>
        <v/>
      </c>
      <c r="AI112" s="35">
        <f>IF($AH112="",DATE(1900,1,1),$AF112)</f>
        <v/>
      </c>
      <c r="AJ112" s="35">
        <f>IF($AH112="",DATE(2100,12,31),$AH112)</f>
        <v/>
      </c>
      <c r="AK112" s="32">
        <f>IF($AH112="",$AC112,$AC112*$S112)</f>
        <v/>
      </c>
      <c r="AL112" s="35">
        <f>IF($AH112="",DATE(2100,12,31),$AH112+1)</f>
        <v/>
      </c>
      <c r="AM112" s="35">
        <f>IF($AH112="",DATE(1900,1,1),$AG112)</f>
        <v/>
      </c>
      <c r="AN112" s="32">
        <f>IF($AH112="",0,$AC112*$T112)</f>
        <v/>
      </c>
    </row>
    <row r="113">
      <c r="A113" s="28" t="inlineStr">
        <is>
          <t>Kyle Kidd</t>
        </is>
      </c>
      <c r="B113" s="16">
        <f>IF($A113="","",IFERROR(INDEX(Roster!$B$2:$B$40,MATCH($A113,Roster!$A$2:$A$40,0)),"?"))</f>
        <v/>
      </c>
      <c r="C113" s="28" t="inlineStr">
        <is>
          <t>Eagle_7</t>
        </is>
      </c>
      <c r="D113" s="16">
        <f>IF($C113="","",IFERROR(IF(INDEX(Deals!$C$2:$C$355,MATCH($C113,Deals!$A$2:$A$355,0))=0,"",INDEX(Deals!$C$2:$C$355,MATCH($C113,Deals!$A$2:$A$355,0))),"?"))</f>
        <v/>
      </c>
      <c r="E113" s="16">
        <f>IF($C113="","",IFERROR(INDEX(Deals!$F$2:$F$355,MATCH($C113,Deals!$A$2:$A$355,0)),"?"))</f>
        <v/>
      </c>
      <c r="F113" s="28" t="inlineStr">
        <is>
          <t>Partner</t>
        </is>
      </c>
      <c r="G113" s="28" t="inlineStr">
        <is>
          <t>Active</t>
        </is>
      </c>
      <c r="H113" s="31" t="n"/>
      <c r="I113" s="32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1">
        <f>IF($C113="",0,IFERROR(INDEX(Deals!$H$2:$H$355,MATCH($C113,Deals!$A$2:$A$355,0)),0))</f>
        <v/>
      </c>
      <c r="K113" s="32">
        <f>IF(Settings!$B$4="Yes",$I113*$J113,$I113)</f>
        <v/>
      </c>
      <c r="L113" s="22">
        <f>IF($C113="","",IFERROR(IF(INDEX(Deals!$I$2:$I$355,MATCH($C113,Deals!$A$2:$A$355,0))=0,"",INDEX(Deals!$I$2:$I$355,MATCH($C113,Deals!$A$2:$A$355,0))),""))</f>
        <v/>
      </c>
      <c r="M113" s="22">
        <f>IF($C113="","",IFERROR(IF(INDEX(Deals!$J$2:$J$355,MATCH($C113,Deals!$A$2:$A$355,0))=0,"",INDEX(Deals!$J$2:$J$355,MATCH($C113,Deals!$A$2:$A$355,0))),""))</f>
        <v/>
      </c>
      <c r="N113" s="35">
        <f>IF($L113="",DATE(1900,1,1),$L113)</f>
        <v/>
      </c>
      <c r="O113" s="35">
        <f>IF($M113="",DATE(2100,12,31),$M113)</f>
        <v/>
      </c>
      <c r="P113" s="20" t="inlineStr"/>
      <c r="Q113" s="43" t="inlineStr"/>
      <c r="R113" s="16">
        <f>IF($C113="","",IFERROR(IF(INDEX(Deals!$U$2:$U$355,MATCH($C113,Deals!$A$2:$A$355,0))=0,"",INDEX(Deals!$U$2:$U$355,MATCH($C113,Deals!$A$2:$A$355,0))),""))</f>
        <v/>
      </c>
      <c r="S113" s="34">
        <f>IFERROR(IF($U113="",1,INDEX(Deals!$V$2:$V$355,MATCH($C113,Deals!$A$2:$A$355,0))),1)</f>
        <v/>
      </c>
      <c r="T113" s="34">
        <f>IFERROR(IF($U113="",1,INDEX(Deals!$W$2:$W$355,MATCH($C113,Deals!$A$2:$A$355,0))),1)</f>
        <v/>
      </c>
      <c r="U113" s="22">
        <f>IF($C113="","",IFERROR(IF(INDEX(Deals!$Y$2:$Y$355,MATCH($C113,Deals!$A$2:$A$355,0))=0,"",INDEX(Deals!$Y$2:$Y$355,MATCH($C113,Deals!$A$2:$A$355,0))),""))</f>
        <v/>
      </c>
      <c r="V113" s="35">
        <f>IF($U113="",DATE(1900,1,1),$N113)</f>
        <v/>
      </c>
      <c r="W113" s="35">
        <f>IF($U113="",DATE(2100,12,31),$U113)</f>
        <v/>
      </c>
      <c r="X113" s="32">
        <f>IF($U113="",$K113,$K113*$S113)</f>
        <v/>
      </c>
      <c r="Y113" s="35">
        <f>IF($U113="",DATE(2100,12,31),$U113+1)</f>
        <v/>
      </c>
      <c r="Z113" s="35">
        <f>IF($U113="",DATE(1900,1,1),$O113)</f>
        <v/>
      </c>
      <c r="AA113" s="32">
        <f>IF($U113="",0,$K113*$T113)</f>
        <v/>
      </c>
      <c r="AB113" s="21">
        <f>IF($C113="",0,IFERROR(INDEX(Deals!$AD$2:$AD$355,MATCH($C113,Deals!$A$2:$A$355,0)),0))</f>
        <v/>
      </c>
      <c r="AC113" s="32">
        <f>IF(Settings!$B$4="Yes",$I113*$AB113,$I113)</f>
        <v/>
      </c>
      <c r="AD113" s="22">
        <f>IF($C113="","",IFERROR(IF(INDEX(Deals!$AE$2:$AE$355,MATCH($C113,Deals!$A$2:$A$355,0))=0,"",INDEX(Deals!$AE$2:$AE$355,MATCH($C113,Deals!$A$2:$A$355,0))),""))</f>
        <v/>
      </c>
      <c r="AE113" s="22">
        <f>IF($C113="","",IFERROR(IF(INDEX(Deals!$AF$2:$AF$355,MATCH($C113,Deals!$A$2:$A$355,0))=0,"",INDEX(Deals!$AF$2:$AF$355,MATCH($C113,Deals!$A$2:$A$355,0))),""))</f>
        <v/>
      </c>
      <c r="AF113" s="35">
        <f>IF($AD113="",DATE(1900,1,1),$AD113)</f>
        <v/>
      </c>
      <c r="AG113" s="35">
        <f>IF($AE113="",DATE(2100,12,31),$AE113)</f>
        <v/>
      </c>
      <c r="AH113" s="22">
        <f>IF($C113="","",IFERROR(IF(INDEX(Deals!$AG$2:$AG$355,MATCH($C113,Deals!$A$2:$A$355,0))=0,"",INDEX(Deals!$AG$2:$AG$355,MATCH($C113,Deals!$A$2:$A$355,0))),""))</f>
        <v/>
      </c>
      <c r="AI113" s="35">
        <f>IF($AH113="",DATE(1900,1,1),$AF113)</f>
        <v/>
      </c>
      <c r="AJ113" s="35">
        <f>IF($AH113="",DATE(2100,12,31),$AH113)</f>
        <v/>
      </c>
      <c r="AK113" s="32">
        <f>IF($AH113="",$AC113,$AC113*$S113)</f>
        <v/>
      </c>
      <c r="AL113" s="35">
        <f>IF($AH113="",DATE(2100,12,31),$AH113+1)</f>
        <v/>
      </c>
      <c r="AM113" s="35">
        <f>IF($AH113="",DATE(1900,1,1),$AG113)</f>
        <v/>
      </c>
      <c r="AN113" s="32">
        <f>IF($AH113="",0,$AC113*$T113)</f>
        <v/>
      </c>
    </row>
    <row r="114">
      <c r="A114" s="28" t="inlineStr">
        <is>
          <t>Kyle Kidd</t>
        </is>
      </c>
      <c r="B114" s="16">
        <f>IF($A114="","",IFERROR(INDEX(Roster!$B$2:$B$40,MATCH($A114,Roster!$A$2:$A$40,0)),"?"))</f>
        <v/>
      </c>
      <c r="C114" s="28" t="inlineStr">
        <is>
          <t>Emerald_6</t>
        </is>
      </c>
      <c r="D114" s="16">
        <f>IF($C114="","",IFERROR(IF(INDEX(Deals!$C$2:$C$355,MATCH($C114,Deals!$A$2:$A$355,0))=0,"",INDEX(Deals!$C$2:$C$355,MATCH($C114,Deals!$A$2:$A$355,0))),"?"))</f>
        <v/>
      </c>
      <c r="E114" s="16">
        <f>IF($C114="","",IFERROR(INDEX(Deals!$F$2:$F$355,MATCH($C114,Deals!$A$2:$A$355,0)),"?"))</f>
        <v/>
      </c>
      <c r="F114" s="28" t="inlineStr">
        <is>
          <t>Partner</t>
        </is>
      </c>
      <c r="G114" s="28" t="inlineStr">
        <is>
          <t>Active</t>
        </is>
      </c>
      <c r="H114" s="31" t="n"/>
      <c r="I114" s="32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1">
        <f>IF($C114="",0,IFERROR(INDEX(Deals!$H$2:$H$355,MATCH($C114,Deals!$A$2:$A$355,0)),0))</f>
        <v/>
      </c>
      <c r="K114" s="32">
        <f>IF(Settings!$B$4="Yes",$I114*$J114,$I114)</f>
        <v/>
      </c>
      <c r="L114" s="22">
        <f>IF($C114="","",IFERROR(IF(INDEX(Deals!$I$2:$I$355,MATCH($C114,Deals!$A$2:$A$355,0))=0,"",INDEX(Deals!$I$2:$I$355,MATCH($C114,Deals!$A$2:$A$355,0))),""))</f>
        <v/>
      </c>
      <c r="M114" s="22">
        <f>IF($C114="","",IFERROR(IF(INDEX(Deals!$J$2:$J$355,MATCH($C114,Deals!$A$2:$A$355,0))=0,"",INDEX(Deals!$J$2:$J$355,MATCH($C114,Deals!$A$2:$A$355,0))),""))</f>
        <v/>
      </c>
      <c r="N114" s="35">
        <f>IF($L114="",DATE(1900,1,1),$L114)</f>
        <v/>
      </c>
      <c r="O114" s="35">
        <f>IF($M114="",DATE(2100,12,31),$M114)</f>
        <v/>
      </c>
      <c r="P114" s="20" t="inlineStr"/>
      <c r="Q114" s="43" t="inlineStr"/>
      <c r="R114" s="16">
        <f>IF($C114="","",IFERROR(IF(INDEX(Deals!$U$2:$U$355,MATCH($C114,Deals!$A$2:$A$355,0))=0,"",INDEX(Deals!$U$2:$U$355,MATCH($C114,Deals!$A$2:$A$355,0))),""))</f>
        <v/>
      </c>
      <c r="S114" s="34">
        <f>IFERROR(IF($U114="",1,INDEX(Deals!$V$2:$V$355,MATCH($C114,Deals!$A$2:$A$355,0))),1)</f>
        <v/>
      </c>
      <c r="T114" s="34">
        <f>IFERROR(IF($U114="",1,INDEX(Deals!$W$2:$W$355,MATCH($C114,Deals!$A$2:$A$355,0))),1)</f>
        <v/>
      </c>
      <c r="U114" s="22">
        <f>IF($C114="","",IFERROR(IF(INDEX(Deals!$Y$2:$Y$355,MATCH($C114,Deals!$A$2:$A$355,0))=0,"",INDEX(Deals!$Y$2:$Y$355,MATCH($C114,Deals!$A$2:$A$355,0))),""))</f>
        <v/>
      </c>
      <c r="V114" s="35">
        <f>IF($U114="",DATE(1900,1,1),$N114)</f>
        <v/>
      </c>
      <c r="W114" s="35">
        <f>IF($U114="",DATE(2100,12,31),$U114)</f>
        <v/>
      </c>
      <c r="X114" s="32">
        <f>IF($U114="",$K114,$K114*$S114)</f>
        <v/>
      </c>
      <c r="Y114" s="35">
        <f>IF($U114="",DATE(2100,12,31),$U114+1)</f>
        <v/>
      </c>
      <c r="Z114" s="35">
        <f>IF($U114="",DATE(1900,1,1),$O114)</f>
        <v/>
      </c>
      <c r="AA114" s="32">
        <f>IF($U114="",0,$K114*$T114)</f>
        <v/>
      </c>
      <c r="AB114" s="21">
        <f>IF($C114="",0,IFERROR(INDEX(Deals!$AD$2:$AD$355,MATCH($C114,Deals!$A$2:$A$355,0)),0))</f>
        <v/>
      </c>
      <c r="AC114" s="32">
        <f>IF(Settings!$B$4="Yes",$I114*$AB114,$I114)</f>
        <v/>
      </c>
      <c r="AD114" s="22">
        <f>IF($C114="","",IFERROR(IF(INDEX(Deals!$AE$2:$AE$355,MATCH($C114,Deals!$A$2:$A$355,0))=0,"",INDEX(Deals!$AE$2:$AE$355,MATCH($C114,Deals!$A$2:$A$355,0))),""))</f>
        <v/>
      </c>
      <c r="AE114" s="22">
        <f>IF($C114="","",IFERROR(IF(INDEX(Deals!$AF$2:$AF$355,MATCH($C114,Deals!$A$2:$A$355,0))=0,"",INDEX(Deals!$AF$2:$AF$355,MATCH($C114,Deals!$A$2:$A$355,0))),""))</f>
        <v/>
      </c>
      <c r="AF114" s="35">
        <f>IF($AD114="",DATE(1900,1,1),$AD114)</f>
        <v/>
      </c>
      <c r="AG114" s="35">
        <f>IF($AE114="",DATE(2100,12,31),$AE114)</f>
        <v/>
      </c>
      <c r="AH114" s="22">
        <f>IF($C114="","",IFERROR(IF(INDEX(Deals!$AG$2:$AG$355,MATCH($C114,Deals!$A$2:$A$355,0))=0,"",INDEX(Deals!$AG$2:$AG$355,MATCH($C114,Deals!$A$2:$A$355,0))),""))</f>
        <v/>
      </c>
      <c r="AI114" s="35">
        <f>IF($AH114="",DATE(1900,1,1),$AF114)</f>
        <v/>
      </c>
      <c r="AJ114" s="35">
        <f>IF($AH114="",DATE(2100,12,31),$AH114)</f>
        <v/>
      </c>
      <c r="AK114" s="32">
        <f>IF($AH114="",$AC114,$AC114*$S114)</f>
        <v/>
      </c>
      <c r="AL114" s="35">
        <f>IF($AH114="",DATE(2100,12,31),$AH114+1)</f>
        <v/>
      </c>
      <c r="AM114" s="35">
        <f>IF($AH114="",DATE(1900,1,1),$AG114)</f>
        <v/>
      </c>
      <c r="AN114" s="32">
        <f>IF($AH114="",0,$AC114*$T114)</f>
        <v/>
      </c>
    </row>
    <row r="115">
      <c r="A115" s="28" t="inlineStr">
        <is>
          <t>Kyle Kidd</t>
        </is>
      </c>
      <c r="B115" s="16">
        <f>IF($A115="","",IFERROR(INDEX(Roster!$B$2:$B$40,MATCH($A115,Roster!$A$2:$A$40,0)),"?"))</f>
        <v/>
      </c>
      <c r="C115" s="28" t="inlineStr">
        <is>
          <t>Fengate_4</t>
        </is>
      </c>
      <c r="D115" s="16">
        <f>IF($C115="","",IFERROR(IF(INDEX(Deals!$C$2:$C$355,MATCH($C115,Deals!$A$2:$A$355,0))=0,"",INDEX(Deals!$C$2:$C$355,MATCH($C115,Deals!$A$2:$A$355,0))),"?"))</f>
        <v/>
      </c>
      <c r="E115" s="16">
        <f>IF($C115="","",IFERROR(INDEX(Deals!$F$2:$F$355,MATCH($C115,Deals!$A$2:$A$355,0)),"?"))</f>
        <v/>
      </c>
      <c r="F115" s="28" t="inlineStr">
        <is>
          <t>Partner</t>
        </is>
      </c>
      <c r="G115" s="28" t="inlineStr">
        <is>
          <t>Active</t>
        </is>
      </c>
      <c r="H115" s="31" t="n"/>
      <c r="I115" s="32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1">
        <f>IF($C115="",0,IFERROR(INDEX(Deals!$H$2:$H$355,MATCH($C115,Deals!$A$2:$A$355,0)),0))</f>
        <v/>
      </c>
      <c r="K115" s="32">
        <f>IF(Settings!$B$4="Yes",$I115*$J115,$I115)</f>
        <v/>
      </c>
      <c r="L115" s="22">
        <f>IF($C115="","",IFERROR(IF(INDEX(Deals!$I$2:$I$355,MATCH($C115,Deals!$A$2:$A$355,0))=0,"",INDEX(Deals!$I$2:$I$355,MATCH($C115,Deals!$A$2:$A$355,0))),""))</f>
        <v/>
      </c>
      <c r="M115" s="22">
        <f>IF($C115="","",IFERROR(IF(INDEX(Deals!$J$2:$J$355,MATCH($C115,Deals!$A$2:$A$355,0))=0,"",INDEX(Deals!$J$2:$J$355,MATCH($C115,Deals!$A$2:$A$355,0))),""))</f>
        <v/>
      </c>
      <c r="N115" s="35">
        <f>IF($L115="",DATE(1900,1,1),$L115)</f>
        <v/>
      </c>
      <c r="O115" s="35">
        <f>IF($M115="",DATE(2100,12,31),$M115)</f>
        <v/>
      </c>
      <c r="P115" s="20" t="inlineStr"/>
      <c r="Q115" s="43" t="inlineStr"/>
      <c r="R115" s="16">
        <f>IF($C115="","",IFERROR(IF(INDEX(Deals!$U$2:$U$355,MATCH($C115,Deals!$A$2:$A$355,0))=0,"",INDEX(Deals!$U$2:$U$355,MATCH($C115,Deals!$A$2:$A$355,0))),""))</f>
        <v/>
      </c>
      <c r="S115" s="34">
        <f>IFERROR(IF($U115="",1,INDEX(Deals!$V$2:$V$355,MATCH($C115,Deals!$A$2:$A$355,0))),1)</f>
        <v/>
      </c>
      <c r="T115" s="34">
        <f>IFERROR(IF($U115="",1,INDEX(Deals!$W$2:$W$355,MATCH($C115,Deals!$A$2:$A$355,0))),1)</f>
        <v/>
      </c>
      <c r="U115" s="22">
        <f>IF($C115="","",IFERROR(IF(INDEX(Deals!$Y$2:$Y$355,MATCH($C115,Deals!$A$2:$A$355,0))=0,"",INDEX(Deals!$Y$2:$Y$355,MATCH($C115,Deals!$A$2:$A$355,0))),""))</f>
        <v/>
      </c>
      <c r="V115" s="35">
        <f>IF($U115="",DATE(1900,1,1),$N115)</f>
        <v/>
      </c>
      <c r="W115" s="35">
        <f>IF($U115="",DATE(2100,12,31),$U115)</f>
        <v/>
      </c>
      <c r="X115" s="32">
        <f>IF($U115="",$K115,$K115*$S115)</f>
        <v/>
      </c>
      <c r="Y115" s="35">
        <f>IF($U115="",DATE(2100,12,31),$U115+1)</f>
        <v/>
      </c>
      <c r="Z115" s="35">
        <f>IF($U115="",DATE(1900,1,1),$O115)</f>
        <v/>
      </c>
      <c r="AA115" s="32">
        <f>IF($U115="",0,$K115*$T115)</f>
        <v/>
      </c>
      <c r="AB115" s="21">
        <f>IF($C115="",0,IFERROR(INDEX(Deals!$AD$2:$AD$355,MATCH($C115,Deals!$A$2:$A$355,0)),0))</f>
        <v/>
      </c>
      <c r="AC115" s="32">
        <f>IF(Settings!$B$4="Yes",$I115*$AB115,$I115)</f>
        <v/>
      </c>
      <c r="AD115" s="22">
        <f>IF($C115="","",IFERROR(IF(INDEX(Deals!$AE$2:$AE$355,MATCH($C115,Deals!$A$2:$A$355,0))=0,"",INDEX(Deals!$AE$2:$AE$355,MATCH($C115,Deals!$A$2:$A$355,0))),""))</f>
        <v/>
      </c>
      <c r="AE115" s="22">
        <f>IF($C115="","",IFERROR(IF(INDEX(Deals!$AF$2:$AF$355,MATCH($C115,Deals!$A$2:$A$355,0))=0,"",INDEX(Deals!$AF$2:$AF$355,MATCH($C115,Deals!$A$2:$A$355,0))),""))</f>
        <v/>
      </c>
      <c r="AF115" s="35">
        <f>IF($AD115="",DATE(1900,1,1),$AD115)</f>
        <v/>
      </c>
      <c r="AG115" s="35">
        <f>IF($AE115="",DATE(2100,12,31),$AE115)</f>
        <v/>
      </c>
      <c r="AH115" s="22">
        <f>IF($C115="","",IFERROR(IF(INDEX(Deals!$AG$2:$AG$355,MATCH($C115,Deals!$A$2:$A$355,0))=0,"",INDEX(Deals!$AG$2:$AG$355,MATCH($C115,Deals!$A$2:$A$355,0))),""))</f>
        <v/>
      </c>
      <c r="AI115" s="35">
        <f>IF($AH115="",DATE(1900,1,1),$AF115)</f>
        <v/>
      </c>
      <c r="AJ115" s="35">
        <f>IF($AH115="",DATE(2100,12,31),$AH115)</f>
        <v/>
      </c>
      <c r="AK115" s="32">
        <f>IF($AH115="",$AC115,$AC115*$S115)</f>
        <v/>
      </c>
      <c r="AL115" s="35">
        <f>IF($AH115="",DATE(2100,12,31),$AH115+1)</f>
        <v/>
      </c>
      <c r="AM115" s="35">
        <f>IF($AH115="",DATE(1900,1,1),$AG115)</f>
        <v/>
      </c>
      <c r="AN115" s="32">
        <f>IF($AH115="",0,$AC115*$T115)</f>
        <v/>
      </c>
    </row>
    <row r="116">
      <c r="A116" s="28" t="inlineStr">
        <is>
          <t>Kyle Kidd</t>
        </is>
      </c>
      <c r="B116" s="16">
        <f>IF($A116="","",IFERROR(INDEX(Roster!$B$2:$B$40,MATCH($A116,Roster!$A$2:$A$40,0)),"?"))</f>
        <v/>
      </c>
      <c r="C116" s="28" t="inlineStr">
        <is>
          <t>Gateway_3</t>
        </is>
      </c>
      <c r="D116" s="16">
        <f>IF($C116="","",IFERROR(IF(INDEX(Deals!$C$2:$C$355,MATCH($C116,Deals!$A$2:$A$355,0))=0,"",INDEX(Deals!$C$2:$C$355,MATCH($C116,Deals!$A$2:$A$355,0))),"?"))</f>
        <v/>
      </c>
      <c r="E116" s="16">
        <f>IF($C116="","",IFERROR(INDEX(Deals!$F$2:$F$355,MATCH($C116,Deals!$A$2:$A$355,0)),"?"))</f>
        <v/>
      </c>
      <c r="F116" s="28" t="inlineStr">
        <is>
          <t>Partner</t>
        </is>
      </c>
      <c r="G116" s="28" t="inlineStr">
        <is>
          <t>Active</t>
        </is>
      </c>
      <c r="H116" s="31" t="n"/>
      <c r="I116" s="32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1">
        <f>IF($C116="",0,IFERROR(INDEX(Deals!$H$2:$H$355,MATCH($C116,Deals!$A$2:$A$355,0)),0))</f>
        <v/>
      </c>
      <c r="K116" s="32">
        <f>IF(Settings!$B$4="Yes",$I116*$J116,$I116)</f>
        <v/>
      </c>
      <c r="L116" s="22">
        <f>IF($C116="","",IFERROR(IF(INDEX(Deals!$I$2:$I$355,MATCH($C116,Deals!$A$2:$A$355,0))=0,"",INDEX(Deals!$I$2:$I$355,MATCH($C116,Deals!$A$2:$A$355,0))),""))</f>
        <v/>
      </c>
      <c r="M116" s="22">
        <f>IF($C116="","",IFERROR(IF(INDEX(Deals!$J$2:$J$355,MATCH($C116,Deals!$A$2:$A$355,0))=0,"",INDEX(Deals!$J$2:$J$355,MATCH($C116,Deals!$A$2:$A$355,0))),""))</f>
        <v/>
      </c>
      <c r="N116" s="35">
        <f>IF($L116="",DATE(1900,1,1),$L116)</f>
        <v/>
      </c>
      <c r="O116" s="35">
        <f>IF($M116="",DATE(2100,12,31),$M116)</f>
        <v/>
      </c>
      <c r="P116" s="20" t="inlineStr"/>
      <c r="Q116" s="43" t="inlineStr"/>
      <c r="R116" s="16">
        <f>IF($C116="","",IFERROR(IF(INDEX(Deals!$U$2:$U$355,MATCH($C116,Deals!$A$2:$A$355,0))=0,"",INDEX(Deals!$U$2:$U$355,MATCH($C116,Deals!$A$2:$A$355,0))),""))</f>
        <v/>
      </c>
      <c r="S116" s="34">
        <f>IFERROR(IF($U116="",1,INDEX(Deals!$V$2:$V$355,MATCH($C116,Deals!$A$2:$A$355,0))),1)</f>
        <v/>
      </c>
      <c r="T116" s="34">
        <f>IFERROR(IF($U116="",1,INDEX(Deals!$W$2:$W$355,MATCH($C116,Deals!$A$2:$A$355,0))),1)</f>
        <v/>
      </c>
      <c r="U116" s="22">
        <f>IF($C116="","",IFERROR(IF(INDEX(Deals!$Y$2:$Y$355,MATCH($C116,Deals!$A$2:$A$355,0))=0,"",INDEX(Deals!$Y$2:$Y$355,MATCH($C116,Deals!$A$2:$A$355,0))),""))</f>
        <v/>
      </c>
      <c r="V116" s="35">
        <f>IF($U116="",DATE(1900,1,1),$N116)</f>
        <v/>
      </c>
      <c r="W116" s="35">
        <f>IF($U116="",DATE(2100,12,31),$U116)</f>
        <v/>
      </c>
      <c r="X116" s="32">
        <f>IF($U116="",$K116,$K116*$S116)</f>
        <v/>
      </c>
      <c r="Y116" s="35">
        <f>IF($U116="",DATE(2100,12,31),$U116+1)</f>
        <v/>
      </c>
      <c r="Z116" s="35">
        <f>IF($U116="",DATE(1900,1,1),$O116)</f>
        <v/>
      </c>
      <c r="AA116" s="32">
        <f>IF($U116="",0,$K116*$T116)</f>
        <v/>
      </c>
      <c r="AB116" s="21">
        <f>IF($C116="",0,IFERROR(INDEX(Deals!$AD$2:$AD$355,MATCH($C116,Deals!$A$2:$A$355,0)),0))</f>
        <v/>
      </c>
      <c r="AC116" s="32">
        <f>IF(Settings!$B$4="Yes",$I116*$AB116,$I116)</f>
        <v/>
      </c>
      <c r="AD116" s="22">
        <f>IF($C116="","",IFERROR(IF(INDEX(Deals!$AE$2:$AE$355,MATCH($C116,Deals!$A$2:$A$355,0))=0,"",INDEX(Deals!$AE$2:$AE$355,MATCH($C116,Deals!$A$2:$A$355,0))),""))</f>
        <v/>
      </c>
      <c r="AE116" s="22">
        <f>IF($C116="","",IFERROR(IF(INDEX(Deals!$AF$2:$AF$355,MATCH($C116,Deals!$A$2:$A$355,0))=0,"",INDEX(Deals!$AF$2:$AF$355,MATCH($C116,Deals!$A$2:$A$355,0))),""))</f>
        <v/>
      </c>
      <c r="AF116" s="35">
        <f>IF($AD116="",DATE(1900,1,1),$AD116)</f>
        <v/>
      </c>
      <c r="AG116" s="35">
        <f>IF($AE116="",DATE(2100,12,31),$AE116)</f>
        <v/>
      </c>
      <c r="AH116" s="22">
        <f>IF($C116="","",IFERROR(IF(INDEX(Deals!$AG$2:$AG$355,MATCH($C116,Deals!$A$2:$A$355,0))=0,"",INDEX(Deals!$AG$2:$AG$355,MATCH($C116,Deals!$A$2:$A$355,0))),""))</f>
        <v/>
      </c>
      <c r="AI116" s="35">
        <f>IF($AH116="",DATE(1900,1,1),$AF116)</f>
        <v/>
      </c>
      <c r="AJ116" s="35">
        <f>IF($AH116="",DATE(2100,12,31),$AH116)</f>
        <v/>
      </c>
      <c r="AK116" s="32">
        <f>IF($AH116="",$AC116,$AC116*$S116)</f>
        <v/>
      </c>
      <c r="AL116" s="35">
        <f>IF($AH116="",DATE(2100,12,31),$AH116+1)</f>
        <v/>
      </c>
      <c r="AM116" s="35">
        <f>IF($AH116="",DATE(1900,1,1),$AG116)</f>
        <v/>
      </c>
      <c r="AN116" s="32">
        <f>IF($AH116="",0,$AC116*$T116)</f>
        <v/>
      </c>
    </row>
    <row r="117">
      <c r="A117" s="28" t="inlineStr">
        <is>
          <t>Kyle Kidd</t>
        </is>
      </c>
      <c r="B117" s="16">
        <f>IF($A117="","",IFERROR(INDEX(Roster!$B$2:$B$40,MATCH($A117,Roster!$A$2:$A$40,0)),"?"))</f>
        <v/>
      </c>
      <c r="C117" s="28" t="inlineStr">
        <is>
          <t>Guardian_3</t>
        </is>
      </c>
      <c r="D117" s="16">
        <f>IF($C117="","",IFERROR(IF(INDEX(Deals!$C$2:$C$355,MATCH($C117,Deals!$A$2:$A$355,0))=0,"",INDEX(Deals!$C$2:$C$355,MATCH($C117,Deals!$A$2:$A$355,0))),"?"))</f>
        <v/>
      </c>
      <c r="E117" s="16">
        <f>IF($C117="","",IFERROR(INDEX(Deals!$F$2:$F$355,MATCH($C117,Deals!$A$2:$A$355,0)),"?"))</f>
        <v/>
      </c>
      <c r="F117" s="28" t="inlineStr">
        <is>
          <t>Partner</t>
        </is>
      </c>
      <c r="G117" s="28" t="inlineStr">
        <is>
          <t>Active</t>
        </is>
      </c>
      <c r="H117" s="31" t="n"/>
      <c r="I117" s="32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1">
        <f>IF($C117="",0,IFERROR(INDEX(Deals!$H$2:$H$355,MATCH($C117,Deals!$A$2:$A$355,0)),0))</f>
        <v/>
      </c>
      <c r="K117" s="32">
        <f>IF(Settings!$B$4="Yes",$I117*$J117,$I117)</f>
        <v/>
      </c>
      <c r="L117" s="22">
        <f>IF($C117="","",IFERROR(IF(INDEX(Deals!$I$2:$I$355,MATCH($C117,Deals!$A$2:$A$355,0))=0,"",INDEX(Deals!$I$2:$I$355,MATCH($C117,Deals!$A$2:$A$355,0))),""))</f>
        <v/>
      </c>
      <c r="M117" s="22">
        <f>IF($C117="","",IFERROR(IF(INDEX(Deals!$J$2:$J$355,MATCH($C117,Deals!$A$2:$A$355,0))=0,"",INDEX(Deals!$J$2:$J$355,MATCH($C117,Deals!$A$2:$A$355,0))),""))</f>
        <v/>
      </c>
      <c r="N117" s="35">
        <f>IF($L117="",DATE(1900,1,1),$L117)</f>
        <v/>
      </c>
      <c r="O117" s="35">
        <f>IF($M117="",DATE(2100,12,31),$M117)</f>
        <v/>
      </c>
      <c r="P117" s="20" t="inlineStr"/>
      <c r="Q117" s="43" t="inlineStr"/>
      <c r="R117" s="16">
        <f>IF($C117="","",IFERROR(IF(INDEX(Deals!$U$2:$U$355,MATCH($C117,Deals!$A$2:$A$355,0))=0,"",INDEX(Deals!$U$2:$U$355,MATCH($C117,Deals!$A$2:$A$355,0))),""))</f>
        <v/>
      </c>
      <c r="S117" s="34">
        <f>IFERROR(IF($U117="",1,INDEX(Deals!$V$2:$V$355,MATCH($C117,Deals!$A$2:$A$355,0))),1)</f>
        <v/>
      </c>
      <c r="T117" s="34">
        <f>IFERROR(IF($U117="",1,INDEX(Deals!$W$2:$W$355,MATCH($C117,Deals!$A$2:$A$355,0))),1)</f>
        <v/>
      </c>
      <c r="U117" s="22">
        <f>IF($C117="","",IFERROR(IF(INDEX(Deals!$Y$2:$Y$355,MATCH($C117,Deals!$A$2:$A$355,0))=0,"",INDEX(Deals!$Y$2:$Y$355,MATCH($C117,Deals!$A$2:$A$355,0))),""))</f>
        <v/>
      </c>
      <c r="V117" s="35">
        <f>IF($U117="",DATE(1900,1,1),$N117)</f>
        <v/>
      </c>
      <c r="W117" s="35">
        <f>IF($U117="",DATE(2100,12,31),$U117)</f>
        <v/>
      </c>
      <c r="X117" s="32">
        <f>IF($U117="",$K117,$K117*$S117)</f>
        <v/>
      </c>
      <c r="Y117" s="35">
        <f>IF($U117="",DATE(2100,12,31),$U117+1)</f>
        <v/>
      </c>
      <c r="Z117" s="35">
        <f>IF($U117="",DATE(1900,1,1),$O117)</f>
        <v/>
      </c>
      <c r="AA117" s="32">
        <f>IF($U117="",0,$K117*$T117)</f>
        <v/>
      </c>
      <c r="AB117" s="21">
        <f>IF($C117="",0,IFERROR(INDEX(Deals!$AD$2:$AD$355,MATCH($C117,Deals!$A$2:$A$355,0)),0))</f>
        <v/>
      </c>
      <c r="AC117" s="32">
        <f>IF(Settings!$B$4="Yes",$I117*$AB117,$I117)</f>
        <v/>
      </c>
      <c r="AD117" s="22">
        <f>IF($C117="","",IFERROR(IF(INDEX(Deals!$AE$2:$AE$355,MATCH($C117,Deals!$A$2:$A$355,0))=0,"",INDEX(Deals!$AE$2:$AE$355,MATCH($C117,Deals!$A$2:$A$355,0))),""))</f>
        <v/>
      </c>
      <c r="AE117" s="22">
        <f>IF($C117="","",IFERROR(IF(INDEX(Deals!$AF$2:$AF$355,MATCH($C117,Deals!$A$2:$A$355,0))=0,"",INDEX(Deals!$AF$2:$AF$355,MATCH($C117,Deals!$A$2:$A$355,0))),""))</f>
        <v/>
      </c>
      <c r="AF117" s="35">
        <f>IF($AD117="",DATE(1900,1,1),$AD117)</f>
        <v/>
      </c>
      <c r="AG117" s="35">
        <f>IF($AE117="",DATE(2100,12,31),$AE117)</f>
        <v/>
      </c>
      <c r="AH117" s="22">
        <f>IF($C117="","",IFERROR(IF(INDEX(Deals!$AG$2:$AG$355,MATCH($C117,Deals!$A$2:$A$355,0))=0,"",INDEX(Deals!$AG$2:$AG$355,MATCH($C117,Deals!$A$2:$A$355,0))),""))</f>
        <v/>
      </c>
      <c r="AI117" s="35">
        <f>IF($AH117="",DATE(1900,1,1),$AF117)</f>
        <v/>
      </c>
      <c r="AJ117" s="35">
        <f>IF($AH117="",DATE(2100,12,31),$AH117)</f>
        <v/>
      </c>
      <c r="AK117" s="32">
        <f>IF($AH117="",$AC117,$AC117*$S117)</f>
        <v/>
      </c>
      <c r="AL117" s="35">
        <f>IF($AH117="",DATE(2100,12,31),$AH117+1)</f>
        <v/>
      </c>
      <c r="AM117" s="35">
        <f>IF($AH117="",DATE(1900,1,1),$AG117)</f>
        <v/>
      </c>
      <c r="AN117" s="32">
        <f>IF($AH117="",0,$AC117*$T117)</f>
        <v/>
      </c>
    </row>
    <row r="118">
      <c r="A118" s="28" t="inlineStr">
        <is>
          <t>Kyle Kidd</t>
        </is>
      </c>
      <c r="B118" s="16">
        <f>IF($A118="","",IFERROR(INDEX(Roster!$B$2:$B$40,MATCH($A118,Roster!$A$2:$A$40,0)),"?"))</f>
        <v/>
      </c>
      <c r="C118" s="28" t="inlineStr">
        <is>
          <t>Kanawha_1</t>
        </is>
      </c>
      <c r="D118" s="16">
        <f>IF($C118="","",IFERROR(IF(INDEX(Deals!$C$2:$C$355,MATCH($C118,Deals!$A$2:$A$355,0))=0,"",INDEX(Deals!$C$2:$C$355,MATCH($C118,Deals!$A$2:$A$355,0))),"?"))</f>
        <v/>
      </c>
      <c r="E118" s="16">
        <f>IF($C118="","",IFERROR(INDEX(Deals!$F$2:$F$355,MATCH($C118,Deals!$A$2:$A$355,0)),"?"))</f>
        <v/>
      </c>
      <c r="F118" s="28" t="inlineStr">
        <is>
          <t>Partner</t>
        </is>
      </c>
      <c r="G118" s="28" t="inlineStr">
        <is>
          <t>Active</t>
        </is>
      </c>
      <c r="H118" s="31" t="n"/>
      <c r="I118" s="32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1">
        <f>IF($C118="",0,IFERROR(INDEX(Deals!$H$2:$H$355,MATCH($C118,Deals!$A$2:$A$355,0)),0))</f>
        <v/>
      </c>
      <c r="K118" s="32">
        <f>IF(Settings!$B$4="Yes",$I118*$J118,$I118)</f>
        <v/>
      </c>
      <c r="L118" s="22">
        <f>IF($C118="","",IFERROR(IF(INDEX(Deals!$I$2:$I$355,MATCH($C118,Deals!$A$2:$A$355,0))=0,"",INDEX(Deals!$I$2:$I$355,MATCH($C118,Deals!$A$2:$A$355,0))),""))</f>
        <v/>
      </c>
      <c r="M118" s="22">
        <f>IF($C118="","",IFERROR(IF(INDEX(Deals!$J$2:$J$355,MATCH($C118,Deals!$A$2:$A$355,0))=0,"",INDEX(Deals!$J$2:$J$355,MATCH($C118,Deals!$A$2:$A$355,0))),""))</f>
        <v/>
      </c>
      <c r="N118" s="35">
        <f>IF($L118="",DATE(1900,1,1),$L118)</f>
        <v/>
      </c>
      <c r="O118" s="35">
        <f>IF($M118="",DATE(2100,12,31),$M118)</f>
        <v/>
      </c>
      <c r="P118" s="20" t="inlineStr"/>
      <c r="Q118" s="43" t="inlineStr"/>
      <c r="R118" s="16">
        <f>IF($C118="","",IFERROR(IF(INDEX(Deals!$U$2:$U$355,MATCH($C118,Deals!$A$2:$A$355,0))=0,"",INDEX(Deals!$U$2:$U$355,MATCH($C118,Deals!$A$2:$A$355,0))),""))</f>
        <v/>
      </c>
      <c r="S118" s="34">
        <f>IFERROR(IF($U118="",1,INDEX(Deals!$V$2:$V$355,MATCH($C118,Deals!$A$2:$A$355,0))),1)</f>
        <v/>
      </c>
      <c r="T118" s="34">
        <f>IFERROR(IF($U118="",1,INDEX(Deals!$W$2:$W$355,MATCH($C118,Deals!$A$2:$A$355,0))),1)</f>
        <v/>
      </c>
      <c r="U118" s="22">
        <f>IF($C118="","",IFERROR(IF(INDEX(Deals!$Y$2:$Y$355,MATCH($C118,Deals!$A$2:$A$355,0))=0,"",INDEX(Deals!$Y$2:$Y$355,MATCH($C118,Deals!$A$2:$A$355,0))),""))</f>
        <v/>
      </c>
      <c r="V118" s="35">
        <f>IF($U118="",DATE(1900,1,1),$N118)</f>
        <v/>
      </c>
      <c r="W118" s="35">
        <f>IF($U118="",DATE(2100,12,31),$U118)</f>
        <v/>
      </c>
      <c r="X118" s="32">
        <f>IF($U118="",$K118,$K118*$S118)</f>
        <v/>
      </c>
      <c r="Y118" s="35">
        <f>IF($U118="",DATE(2100,12,31),$U118+1)</f>
        <v/>
      </c>
      <c r="Z118" s="35">
        <f>IF($U118="",DATE(1900,1,1),$O118)</f>
        <v/>
      </c>
      <c r="AA118" s="32">
        <f>IF($U118="",0,$K118*$T118)</f>
        <v/>
      </c>
      <c r="AB118" s="21">
        <f>IF($C118="",0,IFERROR(INDEX(Deals!$AD$2:$AD$355,MATCH($C118,Deals!$A$2:$A$355,0)),0))</f>
        <v/>
      </c>
      <c r="AC118" s="32">
        <f>IF(Settings!$B$4="Yes",$I118*$AB118,$I118)</f>
        <v/>
      </c>
      <c r="AD118" s="22">
        <f>IF($C118="","",IFERROR(IF(INDEX(Deals!$AE$2:$AE$355,MATCH($C118,Deals!$A$2:$A$355,0))=0,"",INDEX(Deals!$AE$2:$AE$355,MATCH($C118,Deals!$A$2:$A$355,0))),""))</f>
        <v/>
      </c>
      <c r="AE118" s="22">
        <f>IF($C118="","",IFERROR(IF(INDEX(Deals!$AF$2:$AF$355,MATCH($C118,Deals!$A$2:$A$355,0))=0,"",INDEX(Deals!$AF$2:$AF$355,MATCH($C118,Deals!$A$2:$A$355,0))),""))</f>
        <v/>
      </c>
      <c r="AF118" s="35">
        <f>IF($AD118="",DATE(1900,1,1),$AD118)</f>
        <v/>
      </c>
      <c r="AG118" s="35">
        <f>IF($AE118="",DATE(2100,12,31),$AE118)</f>
        <v/>
      </c>
      <c r="AH118" s="22">
        <f>IF($C118="","",IFERROR(IF(INDEX(Deals!$AG$2:$AG$355,MATCH($C118,Deals!$A$2:$A$355,0))=0,"",INDEX(Deals!$AG$2:$AG$355,MATCH($C118,Deals!$A$2:$A$355,0))),""))</f>
        <v/>
      </c>
      <c r="AI118" s="35">
        <f>IF($AH118="",DATE(1900,1,1),$AF118)</f>
        <v/>
      </c>
      <c r="AJ118" s="35">
        <f>IF($AH118="",DATE(2100,12,31),$AH118)</f>
        <v/>
      </c>
      <c r="AK118" s="32">
        <f>IF($AH118="",$AC118,$AC118*$S118)</f>
        <v/>
      </c>
      <c r="AL118" s="35">
        <f>IF($AH118="",DATE(2100,12,31),$AH118+1)</f>
        <v/>
      </c>
      <c r="AM118" s="35">
        <f>IF($AH118="",DATE(1900,1,1),$AG118)</f>
        <v/>
      </c>
      <c r="AN118" s="32">
        <f>IF($AH118="",0,$AC118*$T118)</f>
        <v/>
      </c>
    </row>
    <row r="119">
      <c r="A119" s="28" t="inlineStr">
        <is>
          <t>Kyle Kidd</t>
        </is>
      </c>
      <c r="B119" s="16">
        <f>IF($A119="","",IFERROR(INDEX(Roster!$B$2:$B$40,MATCH($A119,Roster!$A$2:$A$40,0)),"?"))</f>
        <v/>
      </c>
      <c r="C119" s="28" t="inlineStr">
        <is>
          <t>Marigold_2</t>
        </is>
      </c>
      <c r="D119" s="16">
        <f>IF($C119="","",IFERROR(IF(INDEX(Deals!$C$2:$C$355,MATCH($C119,Deals!$A$2:$A$355,0))=0,"",INDEX(Deals!$C$2:$C$355,MATCH($C119,Deals!$A$2:$A$355,0))),"?"))</f>
        <v/>
      </c>
      <c r="E119" s="16">
        <f>IF($C119="","",IFERROR(INDEX(Deals!$F$2:$F$355,MATCH($C119,Deals!$A$2:$A$355,0)),"?"))</f>
        <v/>
      </c>
      <c r="F119" s="28" t="inlineStr">
        <is>
          <t>Partner</t>
        </is>
      </c>
      <c r="G119" s="28" t="inlineStr">
        <is>
          <t>Active</t>
        </is>
      </c>
      <c r="H119" s="31" t="n"/>
      <c r="I119" s="32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1">
        <f>IF($C119="",0,IFERROR(INDEX(Deals!$H$2:$H$355,MATCH($C119,Deals!$A$2:$A$355,0)),0))</f>
        <v/>
      </c>
      <c r="K119" s="32">
        <f>IF(Settings!$B$4="Yes",$I119*$J119,$I119)</f>
        <v/>
      </c>
      <c r="L119" s="22">
        <f>IF($C119="","",IFERROR(IF(INDEX(Deals!$I$2:$I$355,MATCH($C119,Deals!$A$2:$A$355,0))=0,"",INDEX(Deals!$I$2:$I$355,MATCH($C119,Deals!$A$2:$A$355,0))),""))</f>
        <v/>
      </c>
      <c r="M119" s="22">
        <f>IF($C119="","",IFERROR(IF(INDEX(Deals!$J$2:$J$355,MATCH($C119,Deals!$A$2:$A$355,0))=0,"",INDEX(Deals!$J$2:$J$355,MATCH($C119,Deals!$A$2:$A$355,0))),""))</f>
        <v/>
      </c>
      <c r="N119" s="35">
        <f>IF($L119="",DATE(1900,1,1),$L119)</f>
        <v/>
      </c>
      <c r="O119" s="35">
        <f>IF($M119="",DATE(2100,12,31),$M119)</f>
        <v/>
      </c>
      <c r="P119" s="20" t="inlineStr"/>
      <c r="Q119" s="43" t="inlineStr"/>
      <c r="R119" s="16">
        <f>IF($C119="","",IFERROR(IF(INDEX(Deals!$U$2:$U$355,MATCH($C119,Deals!$A$2:$A$355,0))=0,"",INDEX(Deals!$U$2:$U$355,MATCH($C119,Deals!$A$2:$A$355,0))),""))</f>
        <v/>
      </c>
      <c r="S119" s="34">
        <f>IFERROR(IF($U119="",1,INDEX(Deals!$V$2:$V$355,MATCH($C119,Deals!$A$2:$A$355,0))),1)</f>
        <v/>
      </c>
      <c r="T119" s="34">
        <f>IFERROR(IF($U119="",1,INDEX(Deals!$W$2:$W$355,MATCH($C119,Deals!$A$2:$A$355,0))),1)</f>
        <v/>
      </c>
      <c r="U119" s="22">
        <f>IF($C119="","",IFERROR(IF(INDEX(Deals!$Y$2:$Y$355,MATCH($C119,Deals!$A$2:$A$355,0))=0,"",INDEX(Deals!$Y$2:$Y$355,MATCH($C119,Deals!$A$2:$A$355,0))),""))</f>
        <v/>
      </c>
      <c r="V119" s="35">
        <f>IF($U119="",DATE(1900,1,1),$N119)</f>
        <v/>
      </c>
      <c r="W119" s="35">
        <f>IF($U119="",DATE(2100,12,31),$U119)</f>
        <v/>
      </c>
      <c r="X119" s="32">
        <f>IF($U119="",$K119,$K119*$S119)</f>
        <v/>
      </c>
      <c r="Y119" s="35">
        <f>IF($U119="",DATE(2100,12,31),$U119+1)</f>
        <v/>
      </c>
      <c r="Z119" s="35">
        <f>IF($U119="",DATE(1900,1,1),$O119)</f>
        <v/>
      </c>
      <c r="AA119" s="32">
        <f>IF($U119="",0,$K119*$T119)</f>
        <v/>
      </c>
      <c r="AB119" s="21">
        <f>IF($C119="",0,IFERROR(INDEX(Deals!$AD$2:$AD$355,MATCH($C119,Deals!$A$2:$A$355,0)),0))</f>
        <v/>
      </c>
      <c r="AC119" s="32">
        <f>IF(Settings!$B$4="Yes",$I119*$AB119,$I119)</f>
        <v/>
      </c>
      <c r="AD119" s="22">
        <f>IF($C119="","",IFERROR(IF(INDEX(Deals!$AE$2:$AE$355,MATCH($C119,Deals!$A$2:$A$355,0))=0,"",INDEX(Deals!$AE$2:$AE$355,MATCH($C119,Deals!$A$2:$A$355,0))),""))</f>
        <v/>
      </c>
      <c r="AE119" s="22">
        <f>IF($C119="","",IFERROR(IF(INDEX(Deals!$AF$2:$AF$355,MATCH($C119,Deals!$A$2:$A$355,0))=0,"",INDEX(Deals!$AF$2:$AF$355,MATCH($C119,Deals!$A$2:$A$355,0))),""))</f>
        <v/>
      </c>
      <c r="AF119" s="35">
        <f>IF($AD119="",DATE(1900,1,1),$AD119)</f>
        <v/>
      </c>
      <c r="AG119" s="35">
        <f>IF($AE119="",DATE(2100,12,31),$AE119)</f>
        <v/>
      </c>
      <c r="AH119" s="22">
        <f>IF($C119="","",IFERROR(IF(INDEX(Deals!$AG$2:$AG$355,MATCH($C119,Deals!$A$2:$A$355,0))=0,"",INDEX(Deals!$AG$2:$AG$355,MATCH($C119,Deals!$A$2:$A$355,0))),""))</f>
        <v/>
      </c>
      <c r="AI119" s="35">
        <f>IF($AH119="",DATE(1900,1,1),$AF119)</f>
        <v/>
      </c>
      <c r="AJ119" s="35">
        <f>IF($AH119="",DATE(2100,12,31),$AH119)</f>
        <v/>
      </c>
      <c r="AK119" s="32">
        <f>IF($AH119="",$AC119,$AC119*$S119)</f>
        <v/>
      </c>
      <c r="AL119" s="35">
        <f>IF($AH119="",DATE(2100,12,31),$AH119+1)</f>
        <v/>
      </c>
      <c r="AM119" s="35">
        <f>IF($AH119="",DATE(1900,1,1),$AG119)</f>
        <v/>
      </c>
      <c r="AN119" s="32">
        <f>IF($AH119="",0,$AC119*$T119)</f>
        <v/>
      </c>
    </row>
    <row r="120">
      <c r="A120" s="28" t="inlineStr">
        <is>
          <t>Kyle Kidd</t>
        </is>
      </c>
      <c r="B120" s="16">
        <f>IF($A120="","",IFERROR(INDEX(Roster!$B$2:$B$40,MATCH($A120,Roster!$A$2:$A$40,0)),"?"))</f>
        <v/>
      </c>
      <c r="C120" s="28" t="inlineStr">
        <is>
          <t>Octopus Post-close_1</t>
        </is>
      </c>
      <c r="D120" s="16">
        <f>IF($C120="","",IFERROR(IF(INDEX(Deals!$C$2:$C$355,MATCH($C120,Deals!$A$2:$A$355,0))=0,"",INDEX(Deals!$C$2:$C$355,MATCH($C120,Deals!$A$2:$A$355,0))),"?"))</f>
        <v/>
      </c>
      <c r="E120" s="16">
        <f>IF($C120="","",IFERROR(INDEX(Deals!$F$2:$F$355,MATCH($C120,Deals!$A$2:$A$355,0)),"?"))</f>
        <v/>
      </c>
      <c r="F120" s="28" t="inlineStr">
        <is>
          <t>Partner</t>
        </is>
      </c>
      <c r="G120" s="28" t="inlineStr">
        <is>
          <t>Active</t>
        </is>
      </c>
      <c r="H120" s="31" t="n"/>
      <c r="I120" s="32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1">
        <f>IF($C120="",0,IFERROR(INDEX(Deals!$H$2:$H$355,MATCH($C120,Deals!$A$2:$A$355,0)),0))</f>
        <v/>
      </c>
      <c r="K120" s="32">
        <f>IF(Settings!$B$4="Yes",$I120*$J120,$I120)</f>
        <v/>
      </c>
      <c r="L120" s="22">
        <f>IF($C120="","",IFERROR(IF(INDEX(Deals!$I$2:$I$355,MATCH($C120,Deals!$A$2:$A$355,0))=0,"",INDEX(Deals!$I$2:$I$355,MATCH($C120,Deals!$A$2:$A$355,0))),""))</f>
        <v/>
      </c>
      <c r="M120" s="22">
        <f>IF($C120="","",IFERROR(IF(INDEX(Deals!$J$2:$J$355,MATCH($C120,Deals!$A$2:$A$355,0))=0,"",INDEX(Deals!$J$2:$J$355,MATCH($C120,Deals!$A$2:$A$355,0))),""))</f>
        <v/>
      </c>
      <c r="N120" s="35">
        <f>IF($L120="",DATE(1900,1,1),$L120)</f>
        <v/>
      </c>
      <c r="O120" s="35">
        <f>IF($M120="",DATE(2100,12,31),$M120)</f>
        <v/>
      </c>
      <c r="P120" s="20" t="inlineStr"/>
      <c r="Q120" s="43" t="inlineStr"/>
      <c r="R120" s="16">
        <f>IF($C120="","",IFERROR(IF(INDEX(Deals!$U$2:$U$355,MATCH($C120,Deals!$A$2:$A$355,0))=0,"",INDEX(Deals!$U$2:$U$355,MATCH($C120,Deals!$A$2:$A$355,0))),""))</f>
        <v/>
      </c>
      <c r="S120" s="34">
        <f>IFERROR(IF($U120="",1,INDEX(Deals!$V$2:$V$355,MATCH($C120,Deals!$A$2:$A$355,0))),1)</f>
        <v/>
      </c>
      <c r="T120" s="34">
        <f>IFERROR(IF($U120="",1,INDEX(Deals!$W$2:$W$355,MATCH($C120,Deals!$A$2:$A$355,0))),1)</f>
        <v/>
      </c>
      <c r="U120" s="22">
        <f>IF($C120="","",IFERROR(IF(INDEX(Deals!$Y$2:$Y$355,MATCH($C120,Deals!$A$2:$A$355,0))=0,"",INDEX(Deals!$Y$2:$Y$355,MATCH($C120,Deals!$A$2:$A$355,0))),""))</f>
        <v/>
      </c>
      <c r="V120" s="35">
        <f>IF($U120="",DATE(1900,1,1),$N120)</f>
        <v/>
      </c>
      <c r="W120" s="35">
        <f>IF($U120="",DATE(2100,12,31),$U120)</f>
        <v/>
      </c>
      <c r="X120" s="32">
        <f>IF($U120="",$K120,$K120*$S120)</f>
        <v/>
      </c>
      <c r="Y120" s="35">
        <f>IF($U120="",DATE(2100,12,31),$U120+1)</f>
        <v/>
      </c>
      <c r="Z120" s="35">
        <f>IF($U120="",DATE(1900,1,1),$O120)</f>
        <v/>
      </c>
      <c r="AA120" s="32">
        <f>IF($U120="",0,$K120*$T120)</f>
        <v/>
      </c>
      <c r="AB120" s="21">
        <f>IF($C120="",0,IFERROR(INDEX(Deals!$AD$2:$AD$355,MATCH($C120,Deals!$A$2:$A$355,0)),0))</f>
        <v/>
      </c>
      <c r="AC120" s="32">
        <f>IF(Settings!$B$4="Yes",$I120*$AB120,$I120)</f>
        <v/>
      </c>
      <c r="AD120" s="22">
        <f>IF($C120="","",IFERROR(IF(INDEX(Deals!$AE$2:$AE$355,MATCH($C120,Deals!$A$2:$A$355,0))=0,"",INDEX(Deals!$AE$2:$AE$355,MATCH($C120,Deals!$A$2:$A$355,0))),""))</f>
        <v/>
      </c>
      <c r="AE120" s="22">
        <f>IF($C120="","",IFERROR(IF(INDEX(Deals!$AF$2:$AF$355,MATCH($C120,Deals!$A$2:$A$355,0))=0,"",INDEX(Deals!$AF$2:$AF$355,MATCH($C120,Deals!$A$2:$A$355,0))),""))</f>
        <v/>
      </c>
      <c r="AF120" s="35">
        <f>IF($AD120="",DATE(1900,1,1),$AD120)</f>
        <v/>
      </c>
      <c r="AG120" s="35">
        <f>IF($AE120="",DATE(2100,12,31),$AE120)</f>
        <v/>
      </c>
      <c r="AH120" s="22">
        <f>IF($C120="","",IFERROR(IF(INDEX(Deals!$AG$2:$AG$355,MATCH($C120,Deals!$A$2:$A$355,0))=0,"",INDEX(Deals!$AG$2:$AG$355,MATCH($C120,Deals!$A$2:$A$355,0))),""))</f>
        <v/>
      </c>
      <c r="AI120" s="35">
        <f>IF($AH120="",DATE(1900,1,1),$AF120)</f>
        <v/>
      </c>
      <c r="AJ120" s="35">
        <f>IF($AH120="",DATE(2100,12,31),$AH120)</f>
        <v/>
      </c>
      <c r="AK120" s="32">
        <f>IF($AH120="",$AC120,$AC120*$S120)</f>
        <v/>
      </c>
      <c r="AL120" s="35">
        <f>IF($AH120="",DATE(2100,12,31),$AH120+1)</f>
        <v/>
      </c>
      <c r="AM120" s="35">
        <f>IF($AH120="",DATE(1900,1,1),$AG120)</f>
        <v/>
      </c>
      <c r="AN120" s="32">
        <f>IF($AH120="",0,$AC120*$T120)</f>
        <v/>
      </c>
    </row>
    <row r="121">
      <c r="A121" s="28" t="inlineStr">
        <is>
          <t>Kyle Kidd</t>
        </is>
      </c>
      <c r="B121" s="16">
        <f>IF($A121="","",IFERROR(INDEX(Roster!$B$2:$B$40,MATCH($A121,Roster!$A$2:$A$40,0)),"?"))</f>
        <v/>
      </c>
      <c r="C121" s="28" t="inlineStr">
        <is>
          <t>Pythagoras_1</t>
        </is>
      </c>
      <c r="D121" s="16">
        <f>IF($C121="","",IFERROR(IF(INDEX(Deals!$C$2:$C$355,MATCH($C121,Deals!$A$2:$A$355,0))=0,"",INDEX(Deals!$C$2:$C$355,MATCH($C121,Deals!$A$2:$A$355,0))),"?"))</f>
        <v/>
      </c>
      <c r="E121" s="16">
        <f>IF($C121="","",IFERROR(INDEX(Deals!$F$2:$F$355,MATCH($C121,Deals!$A$2:$A$355,0)),"?"))</f>
        <v/>
      </c>
      <c r="F121" s="28" t="inlineStr">
        <is>
          <t>Partner</t>
        </is>
      </c>
      <c r="G121" s="28" t="inlineStr">
        <is>
          <t>Active</t>
        </is>
      </c>
      <c r="H121" s="31" t="n"/>
      <c r="I121" s="32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1">
        <f>IF($C121="",0,IFERROR(INDEX(Deals!$H$2:$H$355,MATCH($C121,Deals!$A$2:$A$355,0)),0))</f>
        <v/>
      </c>
      <c r="K121" s="32">
        <f>IF(Settings!$B$4="Yes",$I121*$J121,$I121)</f>
        <v/>
      </c>
      <c r="L121" s="22">
        <f>IF($C121="","",IFERROR(IF(INDEX(Deals!$I$2:$I$355,MATCH($C121,Deals!$A$2:$A$355,0))=0,"",INDEX(Deals!$I$2:$I$355,MATCH($C121,Deals!$A$2:$A$355,0))),""))</f>
        <v/>
      </c>
      <c r="M121" s="22">
        <f>IF($C121="","",IFERROR(IF(INDEX(Deals!$J$2:$J$355,MATCH($C121,Deals!$A$2:$A$355,0))=0,"",INDEX(Deals!$J$2:$J$355,MATCH($C121,Deals!$A$2:$A$355,0))),""))</f>
        <v/>
      </c>
      <c r="N121" s="35">
        <f>IF($L121="",DATE(1900,1,1),$L121)</f>
        <v/>
      </c>
      <c r="O121" s="35">
        <f>IF($M121="",DATE(2100,12,31),$M121)</f>
        <v/>
      </c>
      <c r="P121" s="20" t="inlineStr"/>
      <c r="Q121" s="43" t="inlineStr"/>
      <c r="R121" s="16">
        <f>IF($C121="","",IFERROR(IF(INDEX(Deals!$U$2:$U$355,MATCH($C121,Deals!$A$2:$A$355,0))=0,"",INDEX(Deals!$U$2:$U$355,MATCH($C121,Deals!$A$2:$A$355,0))),""))</f>
        <v/>
      </c>
      <c r="S121" s="34">
        <f>IFERROR(IF($U121="",1,INDEX(Deals!$V$2:$V$355,MATCH($C121,Deals!$A$2:$A$355,0))),1)</f>
        <v/>
      </c>
      <c r="T121" s="34">
        <f>IFERROR(IF($U121="",1,INDEX(Deals!$W$2:$W$355,MATCH($C121,Deals!$A$2:$A$355,0))),1)</f>
        <v/>
      </c>
      <c r="U121" s="22">
        <f>IF($C121="","",IFERROR(IF(INDEX(Deals!$Y$2:$Y$355,MATCH($C121,Deals!$A$2:$A$355,0))=0,"",INDEX(Deals!$Y$2:$Y$355,MATCH($C121,Deals!$A$2:$A$355,0))),""))</f>
        <v/>
      </c>
      <c r="V121" s="35">
        <f>IF($U121="",DATE(1900,1,1),$N121)</f>
        <v/>
      </c>
      <c r="W121" s="35">
        <f>IF($U121="",DATE(2100,12,31),$U121)</f>
        <v/>
      </c>
      <c r="X121" s="32">
        <f>IF($U121="",$K121,$K121*$S121)</f>
        <v/>
      </c>
      <c r="Y121" s="35">
        <f>IF($U121="",DATE(2100,12,31),$U121+1)</f>
        <v/>
      </c>
      <c r="Z121" s="35">
        <f>IF($U121="",DATE(1900,1,1),$O121)</f>
        <v/>
      </c>
      <c r="AA121" s="32">
        <f>IF($U121="",0,$K121*$T121)</f>
        <v/>
      </c>
      <c r="AB121" s="21">
        <f>IF($C121="",0,IFERROR(INDEX(Deals!$AD$2:$AD$355,MATCH($C121,Deals!$A$2:$A$355,0)),0))</f>
        <v/>
      </c>
      <c r="AC121" s="32">
        <f>IF(Settings!$B$4="Yes",$I121*$AB121,$I121)</f>
        <v/>
      </c>
      <c r="AD121" s="22">
        <f>IF($C121="","",IFERROR(IF(INDEX(Deals!$AE$2:$AE$355,MATCH($C121,Deals!$A$2:$A$355,0))=0,"",INDEX(Deals!$AE$2:$AE$355,MATCH($C121,Deals!$A$2:$A$355,0))),""))</f>
        <v/>
      </c>
      <c r="AE121" s="22">
        <f>IF($C121="","",IFERROR(IF(INDEX(Deals!$AF$2:$AF$355,MATCH($C121,Deals!$A$2:$A$355,0))=0,"",INDEX(Deals!$AF$2:$AF$355,MATCH($C121,Deals!$A$2:$A$355,0))),""))</f>
        <v/>
      </c>
      <c r="AF121" s="35">
        <f>IF($AD121="",DATE(1900,1,1),$AD121)</f>
        <v/>
      </c>
      <c r="AG121" s="35">
        <f>IF($AE121="",DATE(2100,12,31),$AE121)</f>
        <v/>
      </c>
      <c r="AH121" s="22">
        <f>IF($C121="","",IFERROR(IF(INDEX(Deals!$AG$2:$AG$355,MATCH($C121,Deals!$A$2:$A$355,0))=0,"",INDEX(Deals!$AG$2:$AG$355,MATCH($C121,Deals!$A$2:$A$355,0))),""))</f>
        <v/>
      </c>
      <c r="AI121" s="35">
        <f>IF($AH121="",DATE(1900,1,1),$AF121)</f>
        <v/>
      </c>
      <c r="AJ121" s="35">
        <f>IF($AH121="",DATE(2100,12,31),$AH121)</f>
        <v/>
      </c>
      <c r="AK121" s="32">
        <f>IF($AH121="",$AC121,$AC121*$S121)</f>
        <v/>
      </c>
      <c r="AL121" s="35">
        <f>IF($AH121="",DATE(2100,12,31),$AH121+1)</f>
        <v/>
      </c>
      <c r="AM121" s="35">
        <f>IF($AH121="",DATE(1900,1,1),$AG121)</f>
        <v/>
      </c>
      <c r="AN121" s="32">
        <f>IF($AH121="",0,$AC121*$T121)</f>
        <v/>
      </c>
    </row>
    <row r="122">
      <c r="A122" s="28" t="inlineStr">
        <is>
          <t>Kyle Kidd</t>
        </is>
      </c>
      <c r="B122" s="16">
        <f>IF($A122="","",IFERROR(INDEX(Roster!$B$2:$B$40,MATCH($A122,Roster!$A$2:$A$40,0)),"?"))</f>
        <v/>
      </c>
      <c r="C122" s="28" t="inlineStr">
        <is>
          <t>Resolute_1</t>
        </is>
      </c>
      <c r="D122" s="16">
        <f>IF($C122="","",IFERROR(IF(INDEX(Deals!$C$2:$C$355,MATCH($C122,Deals!$A$2:$A$355,0))=0,"",INDEX(Deals!$C$2:$C$355,MATCH($C122,Deals!$A$2:$A$355,0))),"?"))</f>
        <v/>
      </c>
      <c r="E122" s="16">
        <f>IF($C122="","",IFERROR(INDEX(Deals!$F$2:$F$355,MATCH($C122,Deals!$A$2:$A$355,0)),"?"))</f>
        <v/>
      </c>
      <c r="F122" s="28" t="inlineStr">
        <is>
          <t>Partner</t>
        </is>
      </c>
      <c r="G122" s="28" t="inlineStr">
        <is>
          <t>Active</t>
        </is>
      </c>
      <c r="H122" s="31" t="n"/>
      <c r="I122" s="32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1">
        <f>IF($C122="",0,IFERROR(INDEX(Deals!$H$2:$H$355,MATCH($C122,Deals!$A$2:$A$355,0)),0))</f>
        <v/>
      </c>
      <c r="K122" s="32">
        <f>IF(Settings!$B$4="Yes",$I122*$J122,$I122)</f>
        <v/>
      </c>
      <c r="L122" s="22">
        <f>IF($C122="","",IFERROR(IF(INDEX(Deals!$I$2:$I$355,MATCH($C122,Deals!$A$2:$A$355,0))=0,"",INDEX(Deals!$I$2:$I$355,MATCH($C122,Deals!$A$2:$A$355,0))),""))</f>
        <v/>
      </c>
      <c r="M122" s="22">
        <f>IF($C122="","",IFERROR(IF(INDEX(Deals!$J$2:$J$355,MATCH($C122,Deals!$A$2:$A$355,0))=0,"",INDEX(Deals!$J$2:$J$355,MATCH($C122,Deals!$A$2:$A$355,0))),""))</f>
        <v/>
      </c>
      <c r="N122" s="35">
        <f>IF($L122="",DATE(1900,1,1),$L122)</f>
        <v/>
      </c>
      <c r="O122" s="35">
        <f>IF($M122="",DATE(2100,12,31),$M122)</f>
        <v/>
      </c>
      <c r="P122" s="20" t="inlineStr"/>
      <c r="Q122" s="43" t="inlineStr"/>
      <c r="R122" s="16">
        <f>IF($C122="","",IFERROR(IF(INDEX(Deals!$U$2:$U$355,MATCH($C122,Deals!$A$2:$A$355,0))=0,"",INDEX(Deals!$U$2:$U$355,MATCH($C122,Deals!$A$2:$A$355,0))),""))</f>
        <v/>
      </c>
      <c r="S122" s="34">
        <f>IFERROR(IF($U122="",1,INDEX(Deals!$V$2:$V$355,MATCH($C122,Deals!$A$2:$A$355,0))),1)</f>
        <v/>
      </c>
      <c r="T122" s="34">
        <f>IFERROR(IF($U122="",1,INDEX(Deals!$W$2:$W$355,MATCH($C122,Deals!$A$2:$A$355,0))),1)</f>
        <v/>
      </c>
      <c r="U122" s="22">
        <f>IF($C122="","",IFERROR(IF(INDEX(Deals!$Y$2:$Y$355,MATCH($C122,Deals!$A$2:$A$355,0))=0,"",INDEX(Deals!$Y$2:$Y$355,MATCH($C122,Deals!$A$2:$A$355,0))),""))</f>
        <v/>
      </c>
      <c r="V122" s="35">
        <f>IF($U122="",DATE(1900,1,1),$N122)</f>
        <v/>
      </c>
      <c r="W122" s="35">
        <f>IF($U122="",DATE(2100,12,31),$U122)</f>
        <v/>
      </c>
      <c r="X122" s="32">
        <f>IF($U122="",$K122,$K122*$S122)</f>
        <v/>
      </c>
      <c r="Y122" s="35">
        <f>IF($U122="",DATE(2100,12,31),$U122+1)</f>
        <v/>
      </c>
      <c r="Z122" s="35">
        <f>IF($U122="",DATE(1900,1,1),$O122)</f>
        <v/>
      </c>
      <c r="AA122" s="32">
        <f>IF($U122="",0,$K122*$T122)</f>
        <v/>
      </c>
      <c r="AB122" s="21">
        <f>IF($C122="",0,IFERROR(INDEX(Deals!$AD$2:$AD$355,MATCH($C122,Deals!$A$2:$A$355,0)),0))</f>
        <v/>
      </c>
      <c r="AC122" s="32">
        <f>IF(Settings!$B$4="Yes",$I122*$AB122,$I122)</f>
        <v/>
      </c>
      <c r="AD122" s="22">
        <f>IF($C122="","",IFERROR(IF(INDEX(Deals!$AE$2:$AE$355,MATCH($C122,Deals!$A$2:$A$355,0))=0,"",INDEX(Deals!$AE$2:$AE$355,MATCH($C122,Deals!$A$2:$A$355,0))),""))</f>
        <v/>
      </c>
      <c r="AE122" s="22">
        <f>IF($C122="","",IFERROR(IF(INDEX(Deals!$AF$2:$AF$355,MATCH($C122,Deals!$A$2:$A$355,0))=0,"",INDEX(Deals!$AF$2:$AF$355,MATCH($C122,Deals!$A$2:$A$355,0))),""))</f>
        <v/>
      </c>
      <c r="AF122" s="35">
        <f>IF($AD122="",DATE(1900,1,1),$AD122)</f>
        <v/>
      </c>
      <c r="AG122" s="35">
        <f>IF($AE122="",DATE(2100,12,31),$AE122)</f>
        <v/>
      </c>
      <c r="AH122" s="22">
        <f>IF($C122="","",IFERROR(IF(INDEX(Deals!$AG$2:$AG$355,MATCH($C122,Deals!$A$2:$A$355,0))=0,"",INDEX(Deals!$AG$2:$AG$355,MATCH($C122,Deals!$A$2:$A$355,0))),""))</f>
        <v/>
      </c>
      <c r="AI122" s="35">
        <f>IF($AH122="",DATE(1900,1,1),$AF122)</f>
        <v/>
      </c>
      <c r="AJ122" s="35">
        <f>IF($AH122="",DATE(2100,12,31),$AH122)</f>
        <v/>
      </c>
      <c r="AK122" s="32">
        <f>IF($AH122="",$AC122,$AC122*$S122)</f>
        <v/>
      </c>
      <c r="AL122" s="35">
        <f>IF($AH122="",DATE(2100,12,31),$AH122+1)</f>
        <v/>
      </c>
      <c r="AM122" s="35">
        <f>IF($AH122="",DATE(1900,1,1),$AG122)</f>
        <v/>
      </c>
      <c r="AN122" s="32">
        <f>IF($AH122="",0,$AC122*$T122)</f>
        <v/>
      </c>
    </row>
    <row r="123">
      <c r="A123" s="28" t="inlineStr">
        <is>
          <t>Kyle Kidd</t>
        </is>
      </c>
      <c r="B123" s="16">
        <f>IF($A123="","",IFERROR(INDEX(Roster!$B$2:$B$40,MATCH($A123,Roster!$A$2:$A$40,0)),"?"))</f>
        <v/>
      </c>
      <c r="C123" s="28" t="inlineStr">
        <is>
          <t>Sakura</t>
        </is>
      </c>
      <c r="D123" s="16">
        <f>IF($C123="","",IFERROR(IF(INDEX(Deals!$C$2:$C$355,MATCH($C123,Deals!$A$2:$A$355,0))=0,"",INDEX(Deals!$C$2:$C$355,MATCH($C123,Deals!$A$2:$A$355,0))),"?"))</f>
        <v/>
      </c>
      <c r="E123" s="16">
        <f>IF($C123="","",IFERROR(INDEX(Deals!$F$2:$F$355,MATCH($C123,Deals!$A$2:$A$355,0)),"?"))</f>
        <v/>
      </c>
      <c r="F123" s="28" t="inlineStr">
        <is>
          <t>Partner</t>
        </is>
      </c>
      <c r="G123" s="28" t="inlineStr">
        <is>
          <t>Active</t>
        </is>
      </c>
      <c r="H123" s="31" t="n"/>
      <c r="I123" s="32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1">
        <f>IF($C123="",0,IFERROR(INDEX(Deals!$H$2:$H$355,MATCH($C123,Deals!$A$2:$A$355,0)),0))</f>
        <v/>
      </c>
      <c r="K123" s="32">
        <f>IF(Settings!$B$4="Yes",$I123*$J123,$I123)</f>
        <v/>
      </c>
      <c r="L123" s="22">
        <f>IF($C123="","",IFERROR(IF(INDEX(Deals!$I$2:$I$355,MATCH($C123,Deals!$A$2:$A$355,0))=0,"",INDEX(Deals!$I$2:$I$355,MATCH($C123,Deals!$A$2:$A$355,0))),""))</f>
        <v/>
      </c>
      <c r="M123" s="22">
        <f>IF($C123="","",IFERROR(IF(INDEX(Deals!$J$2:$J$355,MATCH($C123,Deals!$A$2:$A$355,0))=0,"",INDEX(Deals!$J$2:$J$355,MATCH($C123,Deals!$A$2:$A$355,0))),""))</f>
        <v/>
      </c>
      <c r="N123" s="35">
        <f>IF($L123="",DATE(1900,1,1),$L123)</f>
        <v/>
      </c>
      <c r="O123" s="35">
        <f>IF($M123="",DATE(2100,12,31),$M123)</f>
        <v/>
      </c>
      <c r="P123" s="20" t="inlineStr"/>
      <c r="Q123" s="43" t="inlineStr"/>
      <c r="R123" s="16">
        <f>IF($C123="","",IFERROR(IF(INDEX(Deals!$U$2:$U$355,MATCH($C123,Deals!$A$2:$A$355,0))=0,"",INDEX(Deals!$U$2:$U$355,MATCH($C123,Deals!$A$2:$A$355,0))),""))</f>
        <v/>
      </c>
      <c r="S123" s="34">
        <f>IFERROR(IF($U123="",1,INDEX(Deals!$V$2:$V$355,MATCH($C123,Deals!$A$2:$A$355,0))),1)</f>
        <v/>
      </c>
      <c r="T123" s="34">
        <f>IFERROR(IF($U123="",1,INDEX(Deals!$W$2:$W$355,MATCH($C123,Deals!$A$2:$A$355,0))),1)</f>
        <v/>
      </c>
      <c r="U123" s="22">
        <f>IF($C123="","",IFERROR(IF(INDEX(Deals!$Y$2:$Y$355,MATCH($C123,Deals!$A$2:$A$355,0))=0,"",INDEX(Deals!$Y$2:$Y$355,MATCH($C123,Deals!$A$2:$A$355,0))),""))</f>
        <v/>
      </c>
      <c r="V123" s="35">
        <f>IF($U123="",DATE(1900,1,1),$N123)</f>
        <v/>
      </c>
      <c r="W123" s="35">
        <f>IF($U123="",DATE(2100,12,31),$U123)</f>
        <v/>
      </c>
      <c r="X123" s="32">
        <f>IF($U123="",$K123,$K123*$S123)</f>
        <v/>
      </c>
      <c r="Y123" s="35">
        <f>IF($U123="",DATE(2100,12,31),$U123+1)</f>
        <v/>
      </c>
      <c r="Z123" s="35">
        <f>IF($U123="",DATE(1900,1,1),$O123)</f>
        <v/>
      </c>
      <c r="AA123" s="32">
        <f>IF($U123="",0,$K123*$T123)</f>
        <v/>
      </c>
      <c r="AB123" s="21">
        <f>IF($C123="",0,IFERROR(INDEX(Deals!$AD$2:$AD$355,MATCH($C123,Deals!$A$2:$A$355,0)),0))</f>
        <v/>
      </c>
      <c r="AC123" s="32">
        <f>IF(Settings!$B$4="Yes",$I123*$AB123,$I123)</f>
        <v/>
      </c>
      <c r="AD123" s="22">
        <f>IF($C123="","",IFERROR(IF(INDEX(Deals!$AE$2:$AE$355,MATCH($C123,Deals!$A$2:$A$355,0))=0,"",INDEX(Deals!$AE$2:$AE$355,MATCH($C123,Deals!$A$2:$A$355,0))),""))</f>
        <v/>
      </c>
      <c r="AE123" s="22">
        <f>IF($C123="","",IFERROR(IF(INDEX(Deals!$AF$2:$AF$355,MATCH($C123,Deals!$A$2:$A$355,0))=0,"",INDEX(Deals!$AF$2:$AF$355,MATCH($C123,Deals!$A$2:$A$355,0))),""))</f>
        <v/>
      </c>
      <c r="AF123" s="35">
        <f>IF($AD123="",DATE(1900,1,1),$AD123)</f>
        <v/>
      </c>
      <c r="AG123" s="35">
        <f>IF($AE123="",DATE(2100,12,31),$AE123)</f>
        <v/>
      </c>
      <c r="AH123" s="22">
        <f>IF($C123="","",IFERROR(IF(INDEX(Deals!$AG$2:$AG$355,MATCH($C123,Deals!$A$2:$A$355,0))=0,"",INDEX(Deals!$AG$2:$AG$355,MATCH($C123,Deals!$A$2:$A$355,0))),""))</f>
        <v/>
      </c>
      <c r="AI123" s="35">
        <f>IF($AH123="",DATE(1900,1,1),$AF123)</f>
        <v/>
      </c>
      <c r="AJ123" s="35">
        <f>IF($AH123="",DATE(2100,12,31),$AH123)</f>
        <v/>
      </c>
      <c r="AK123" s="32">
        <f>IF($AH123="",$AC123,$AC123*$S123)</f>
        <v/>
      </c>
      <c r="AL123" s="35">
        <f>IF($AH123="",DATE(2100,12,31),$AH123+1)</f>
        <v/>
      </c>
      <c r="AM123" s="35">
        <f>IF($AH123="",DATE(1900,1,1),$AG123)</f>
        <v/>
      </c>
      <c r="AN123" s="32">
        <f>IF($AH123="",0,$AC123*$T123)</f>
        <v/>
      </c>
    </row>
    <row r="124">
      <c r="A124" s="28" t="inlineStr">
        <is>
          <t>Kyle Kidd</t>
        </is>
      </c>
      <c r="B124" s="16">
        <f>IF($A124="","",IFERROR(INDEX(Roster!$B$2:$B$40,MATCH($A124,Roster!$A$2:$A$40,0)),"?"))</f>
        <v/>
      </c>
      <c r="C124" s="28" t="inlineStr">
        <is>
          <t>Shika_1</t>
        </is>
      </c>
      <c r="D124" s="16">
        <f>IF($C124="","",IFERROR(IF(INDEX(Deals!$C$2:$C$355,MATCH($C124,Deals!$A$2:$A$355,0))=0,"",INDEX(Deals!$C$2:$C$355,MATCH($C124,Deals!$A$2:$A$355,0))),"?"))</f>
        <v/>
      </c>
      <c r="E124" s="16">
        <f>IF($C124="","",IFERROR(INDEX(Deals!$F$2:$F$355,MATCH($C124,Deals!$A$2:$A$355,0)),"?"))</f>
        <v/>
      </c>
      <c r="F124" s="28" t="inlineStr">
        <is>
          <t>Partner</t>
        </is>
      </c>
      <c r="G124" s="28" t="inlineStr">
        <is>
          <t>Active</t>
        </is>
      </c>
      <c r="H124" s="31" t="n"/>
      <c r="I124" s="32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1">
        <f>IF($C124="",0,IFERROR(INDEX(Deals!$H$2:$H$355,MATCH($C124,Deals!$A$2:$A$355,0)),0))</f>
        <v/>
      </c>
      <c r="K124" s="32">
        <f>IF(Settings!$B$4="Yes",$I124*$J124,$I124)</f>
        <v/>
      </c>
      <c r="L124" s="22">
        <f>IF($C124="","",IFERROR(IF(INDEX(Deals!$I$2:$I$355,MATCH($C124,Deals!$A$2:$A$355,0))=0,"",INDEX(Deals!$I$2:$I$355,MATCH($C124,Deals!$A$2:$A$355,0))),""))</f>
        <v/>
      </c>
      <c r="M124" s="22">
        <f>IF($C124="","",IFERROR(IF(INDEX(Deals!$J$2:$J$355,MATCH($C124,Deals!$A$2:$A$355,0))=0,"",INDEX(Deals!$J$2:$J$355,MATCH($C124,Deals!$A$2:$A$355,0))),""))</f>
        <v/>
      </c>
      <c r="N124" s="35">
        <f>IF($L124="",DATE(1900,1,1),$L124)</f>
        <v/>
      </c>
      <c r="O124" s="35">
        <f>IF($M124="",DATE(2100,12,31),$M124)</f>
        <v/>
      </c>
      <c r="P124" s="20" t="inlineStr"/>
      <c r="Q124" s="43" t="inlineStr"/>
      <c r="R124" s="16">
        <f>IF($C124="","",IFERROR(IF(INDEX(Deals!$U$2:$U$355,MATCH($C124,Deals!$A$2:$A$355,0))=0,"",INDEX(Deals!$U$2:$U$355,MATCH($C124,Deals!$A$2:$A$355,0))),""))</f>
        <v/>
      </c>
      <c r="S124" s="34">
        <f>IFERROR(IF($U124="",1,INDEX(Deals!$V$2:$V$355,MATCH($C124,Deals!$A$2:$A$355,0))),1)</f>
        <v/>
      </c>
      <c r="T124" s="34">
        <f>IFERROR(IF($U124="",1,INDEX(Deals!$W$2:$W$355,MATCH($C124,Deals!$A$2:$A$355,0))),1)</f>
        <v/>
      </c>
      <c r="U124" s="22">
        <f>IF($C124="","",IFERROR(IF(INDEX(Deals!$Y$2:$Y$355,MATCH($C124,Deals!$A$2:$A$355,0))=0,"",INDEX(Deals!$Y$2:$Y$355,MATCH($C124,Deals!$A$2:$A$355,0))),""))</f>
        <v/>
      </c>
      <c r="V124" s="35">
        <f>IF($U124="",DATE(1900,1,1),$N124)</f>
        <v/>
      </c>
      <c r="W124" s="35">
        <f>IF($U124="",DATE(2100,12,31),$U124)</f>
        <v/>
      </c>
      <c r="X124" s="32">
        <f>IF($U124="",$K124,$K124*$S124)</f>
        <v/>
      </c>
      <c r="Y124" s="35">
        <f>IF($U124="",DATE(2100,12,31),$U124+1)</f>
        <v/>
      </c>
      <c r="Z124" s="35">
        <f>IF($U124="",DATE(1900,1,1),$O124)</f>
        <v/>
      </c>
      <c r="AA124" s="32">
        <f>IF($U124="",0,$K124*$T124)</f>
        <v/>
      </c>
      <c r="AB124" s="21">
        <f>IF($C124="",0,IFERROR(INDEX(Deals!$AD$2:$AD$355,MATCH($C124,Deals!$A$2:$A$355,0)),0))</f>
        <v/>
      </c>
      <c r="AC124" s="32">
        <f>IF(Settings!$B$4="Yes",$I124*$AB124,$I124)</f>
        <v/>
      </c>
      <c r="AD124" s="22">
        <f>IF($C124="","",IFERROR(IF(INDEX(Deals!$AE$2:$AE$355,MATCH($C124,Deals!$A$2:$A$355,0))=0,"",INDEX(Deals!$AE$2:$AE$355,MATCH($C124,Deals!$A$2:$A$355,0))),""))</f>
        <v/>
      </c>
      <c r="AE124" s="22">
        <f>IF($C124="","",IFERROR(IF(INDEX(Deals!$AF$2:$AF$355,MATCH($C124,Deals!$A$2:$A$355,0))=0,"",INDEX(Deals!$AF$2:$AF$355,MATCH($C124,Deals!$A$2:$A$355,0))),""))</f>
        <v/>
      </c>
      <c r="AF124" s="35">
        <f>IF($AD124="",DATE(1900,1,1),$AD124)</f>
        <v/>
      </c>
      <c r="AG124" s="35">
        <f>IF($AE124="",DATE(2100,12,31),$AE124)</f>
        <v/>
      </c>
      <c r="AH124" s="22">
        <f>IF($C124="","",IFERROR(IF(INDEX(Deals!$AG$2:$AG$355,MATCH($C124,Deals!$A$2:$A$355,0))=0,"",INDEX(Deals!$AG$2:$AG$355,MATCH($C124,Deals!$A$2:$A$355,0))),""))</f>
        <v/>
      </c>
      <c r="AI124" s="35">
        <f>IF($AH124="",DATE(1900,1,1),$AF124)</f>
        <v/>
      </c>
      <c r="AJ124" s="35">
        <f>IF($AH124="",DATE(2100,12,31),$AH124)</f>
        <v/>
      </c>
      <c r="AK124" s="32">
        <f>IF($AH124="",$AC124,$AC124*$S124)</f>
        <v/>
      </c>
      <c r="AL124" s="35">
        <f>IF($AH124="",DATE(2100,12,31),$AH124+1)</f>
        <v/>
      </c>
      <c r="AM124" s="35">
        <f>IF($AH124="",DATE(1900,1,1),$AG124)</f>
        <v/>
      </c>
      <c r="AN124" s="32">
        <f>IF($AH124="",0,$AC124*$T124)</f>
        <v/>
      </c>
    </row>
    <row r="125">
      <c r="A125" s="28" t="inlineStr">
        <is>
          <t>Kyle Kidd</t>
        </is>
      </c>
      <c r="B125" s="16">
        <f>IF($A125="","",IFERROR(INDEX(Roster!$B$2:$B$40,MATCH($A125,Roster!$A$2:$A$40,0)),"?"))</f>
        <v/>
      </c>
      <c r="C125" s="28" t="inlineStr">
        <is>
          <t>Steam_2</t>
        </is>
      </c>
      <c r="D125" s="16">
        <f>IF($C125="","",IFERROR(IF(INDEX(Deals!$C$2:$C$355,MATCH($C125,Deals!$A$2:$A$355,0))=0,"",INDEX(Deals!$C$2:$C$355,MATCH($C125,Deals!$A$2:$A$355,0))),"?"))</f>
        <v/>
      </c>
      <c r="E125" s="16">
        <f>IF($C125="","",IFERROR(INDEX(Deals!$F$2:$F$355,MATCH($C125,Deals!$A$2:$A$355,0)),"?"))</f>
        <v/>
      </c>
      <c r="F125" s="28" t="inlineStr">
        <is>
          <t>Partner</t>
        </is>
      </c>
      <c r="G125" s="28" t="inlineStr">
        <is>
          <t>Active</t>
        </is>
      </c>
      <c r="H125" s="31" t="n"/>
      <c r="I125" s="32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1">
        <f>IF($C125="",0,IFERROR(INDEX(Deals!$H$2:$H$355,MATCH($C125,Deals!$A$2:$A$355,0)),0))</f>
        <v/>
      </c>
      <c r="K125" s="32">
        <f>IF(Settings!$B$4="Yes",$I125*$J125,$I125)</f>
        <v/>
      </c>
      <c r="L125" s="22">
        <f>IF($C125="","",IFERROR(IF(INDEX(Deals!$I$2:$I$355,MATCH($C125,Deals!$A$2:$A$355,0))=0,"",INDEX(Deals!$I$2:$I$355,MATCH($C125,Deals!$A$2:$A$355,0))),""))</f>
        <v/>
      </c>
      <c r="M125" s="22">
        <f>IF($C125="","",IFERROR(IF(INDEX(Deals!$J$2:$J$355,MATCH($C125,Deals!$A$2:$A$355,0))=0,"",INDEX(Deals!$J$2:$J$355,MATCH($C125,Deals!$A$2:$A$355,0))),""))</f>
        <v/>
      </c>
      <c r="N125" s="35">
        <f>IF($L125="",DATE(1900,1,1),$L125)</f>
        <v/>
      </c>
      <c r="O125" s="35">
        <f>IF($M125="",DATE(2100,12,31),$M125)</f>
        <v/>
      </c>
      <c r="P125" s="20" t="inlineStr"/>
      <c r="Q125" s="43" t="inlineStr"/>
      <c r="R125" s="16">
        <f>IF($C125="","",IFERROR(IF(INDEX(Deals!$U$2:$U$355,MATCH($C125,Deals!$A$2:$A$355,0))=0,"",INDEX(Deals!$U$2:$U$355,MATCH($C125,Deals!$A$2:$A$355,0))),""))</f>
        <v/>
      </c>
      <c r="S125" s="34">
        <f>IFERROR(IF($U125="",1,INDEX(Deals!$V$2:$V$355,MATCH($C125,Deals!$A$2:$A$355,0))),1)</f>
        <v/>
      </c>
      <c r="T125" s="34">
        <f>IFERROR(IF($U125="",1,INDEX(Deals!$W$2:$W$355,MATCH($C125,Deals!$A$2:$A$355,0))),1)</f>
        <v/>
      </c>
      <c r="U125" s="22">
        <f>IF($C125="","",IFERROR(IF(INDEX(Deals!$Y$2:$Y$355,MATCH($C125,Deals!$A$2:$A$355,0))=0,"",INDEX(Deals!$Y$2:$Y$355,MATCH($C125,Deals!$A$2:$A$355,0))),""))</f>
        <v/>
      </c>
      <c r="V125" s="35">
        <f>IF($U125="",DATE(1900,1,1),$N125)</f>
        <v/>
      </c>
      <c r="W125" s="35">
        <f>IF($U125="",DATE(2100,12,31),$U125)</f>
        <v/>
      </c>
      <c r="X125" s="32">
        <f>IF($U125="",$K125,$K125*$S125)</f>
        <v/>
      </c>
      <c r="Y125" s="35">
        <f>IF($U125="",DATE(2100,12,31),$U125+1)</f>
        <v/>
      </c>
      <c r="Z125" s="35">
        <f>IF($U125="",DATE(1900,1,1),$O125)</f>
        <v/>
      </c>
      <c r="AA125" s="32">
        <f>IF($U125="",0,$K125*$T125)</f>
        <v/>
      </c>
      <c r="AB125" s="21">
        <f>IF($C125="",0,IFERROR(INDEX(Deals!$AD$2:$AD$355,MATCH($C125,Deals!$A$2:$A$355,0)),0))</f>
        <v/>
      </c>
      <c r="AC125" s="32">
        <f>IF(Settings!$B$4="Yes",$I125*$AB125,$I125)</f>
        <v/>
      </c>
      <c r="AD125" s="22">
        <f>IF($C125="","",IFERROR(IF(INDEX(Deals!$AE$2:$AE$355,MATCH($C125,Deals!$A$2:$A$355,0))=0,"",INDEX(Deals!$AE$2:$AE$355,MATCH($C125,Deals!$A$2:$A$355,0))),""))</f>
        <v/>
      </c>
      <c r="AE125" s="22">
        <f>IF($C125="","",IFERROR(IF(INDEX(Deals!$AF$2:$AF$355,MATCH($C125,Deals!$A$2:$A$355,0))=0,"",INDEX(Deals!$AF$2:$AF$355,MATCH($C125,Deals!$A$2:$A$355,0))),""))</f>
        <v/>
      </c>
      <c r="AF125" s="35">
        <f>IF($AD125="",DATE(1900,1,1),$AD125)</f>
        <v/>
      </c>
      <c r="AG125" s="35">
        <f>IF($AE125="",DATE(2100,12,31),$AE125)</f>
        <v/>
      </c>
      <c r="AH125" s="22">
        <f>IF($C125="","",IFERROR(IF(INDEX(Deals!$AG$2:$AG$355,MATCH($C125,Deals!$A$2:$A$355,0))=0,"",INDEX(Deals!$AG$2:$AG$355,MATCH($C125,Deals!$A$2:$A$355,0))),""))</f>
        <v/>
      </c>
      <c r="AI125" s="35">
        <f>IF($AH125="",DATE(1900,1,1),$AF125)</f>
        <v/>
      </c>
      <c r="AJ125" s="35">
        <f>IF($AH125="",DATE(2100,12,31),$AH125)</f>
        <v/>
      </c>
      <c r="AK125" s="32">
        <f>IF($AH125="",$AC125,$AC125*$S125)</f>
        <v/>
      </c>
      <c r="AL125" s="35">
        <f>IF($AH125="",DATE(2100,12,31),$AH125+1)</f>
        <v/>
      </c>
      <c r="AM125" s="35">
        <f>IF($AH125="",DATE(1900,1,1),$AG125)</f>
        <v/>
      </c>
      <c r="AN125" s="32">
        <f>IF($AH125="",0,$AC125*$T125)</f>
        <v/>
      </c>
    </row>
    <row r="126">
      <c r="A126" s="28" t="inlineStr">
        <is>
          <t>Kyle Kidd</t>
        </is>
      </c>
      <c r="B126" s="16">
        <f>IF($A126="","",IFERROR(INDEX(Roster!$B$2:$B$40,MATCH($A126,Roster!$A$2:$A$40,0)),"?"))</f>
        <v/>
      </c>
      <c r="C126" s="28" t="inlineStr">
        <is>
          <t>Tax_7</t>
        </is>
      </c>
      <c r="D126" s="16">
        <f>IF($C126="","",IFERROR(IF(INDEX(Deals!$C$2:$C$355,MATCH($C126,Deals!$A$2:$A$355,0))=0,"",INDEX(Deals!$C$2:$C$355,MATCH($C126,Deals!$A$2:$A$355,0))),"?"))</f>
        <v/>
      </c>
      <c r="E126" s="16">
        <f>IF($C126="","",IFERROR(INDEX(Deals!$F$2:$F$355,MATCH($C126,Deals!$A$2:$A$355,0)),"?"))</f>
        <v/>
      </c>
      <c r="F126" s="28" t="inlineStr">
        <is>
          <t>Partner</t>
        </is>
      </c>
      <c r="G126" s="28" t="inlineStr">
        <is>
          <t>Active</t>
        </is>
      </c>
      <c r="H126" s="31" t="n"/>
      <c r="I126" s="32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1">
        <f>IF($C126="",0,IFERROR(INDEX(Deals!$H$2:$H$355,MATCH($C126,Deals!$A$2:$A$355,0)),0))</f>
        <v/>
      </c>
      <c r="K126" s="32">
        <f>IF(Settings!$B$4="Yes",$I126*$J126,$I126)</f>
        <v/>
      </c>
      <c r="L126" s="22">
        <f>IF($C126="","",IFERROR(IF(INDEX(Deals!$I$2:$I$355,MATCH($C126,Deals!$A$2:$A$355,0))=0,"",INDEX(Deals!$I$2:$I$355,MATCH($C126,Deals!$A$2:$A$355,0))),""))</f>
        <v/>
      </c>
      <c r="M126" s="22">
        <f>IF($C126="","",IFERROR(IF(INDEX(Deals!$J$2:$J$355,MATCH($C126,Deals!$A$2:$A$355,0))=0,"",INDEX(Deals!$J$2:$J$355,MATCH($C126,Deals!$A$2:$A$355,0))),""))</f>
        <v/>
      </c>
      <c r="N126" s="35">
        <f>IF($L126="",DATE(1900,1,1),$L126)</f>
        <v/>
      </c>
      <c r="O126" s="35">
        <f>IF($M126="",DATE(2100,12,31),$M126)</f>
        <v/>
      </c>
      <c r="P126" s="20" t="inlineStr"/>
      <c r="Q126" s="43" t="inlineStr"/>
      <c r="R126" s="16">
        <f>IF($C126="","",IFERROR(IF(INDEX(Deals!$U$2:$U$355,MATCH($C126,Deals!$A$2:$A$355,0))=0,"",INDEX(Deals!$U$2:$U$355,MATCH($C126,Deals!$A$2:$A$355,0))),""))</f>
        <v/>
      </c>
      <c r="S126" s="34">
        <f>IFERROR(IF($U126="",1,INDEX(Deals!$V$2:$V$355,MATCH($C126,Deals!$A$2:$A$355,0))),1)</f>
        <v/>
      </c>
      <c r="T126" s="34">
        <f>IFERROR(IF($U126="",1,INDEX(Deals!$W$2:$W$355,MATCH($C126,Deals!$A$2:$A$355,0))),1)</f>
        <v/>
      </c>
      <c r="U126" s="22">
        <f>IF($C126="","",IFERROR(IF(INDEX(Deals!$Y$2:$Y$355,MATCH($C126,Deals!$A$2:$A$355,0))=0,"",INDEX(Deals!$Y$2:$Y$355,MATCH($C126,Deals!$A$2:$A$355,0))),""))</f>
        <v/>
      </c>
      <c r="V126" s="35">
        <f>IF($U126="",DATE(1900,1,1),$N126)</f>
        <v/>
      </c>
      <c r="W126" s="35">
        <f>IF($U126="",DATE(2100,12,31),$U126)</f>
        <v/>
      </c>
      <c r="X126" s="32">
        <f>IF($U126="",$K126,$K126*$S126)</f>
        <v/>
      </c>
      <c r="Y126" s="35">
        <f>IF($U126="",DATE(2100,12,31),$U126+1)</f>
        <v/>
      </c>
      <c r="Z126" s="35">
        <f>IF($U126="",DATE(1900,1,1),$O126)</f>
        <v/>
      </c>
      <c r="AA126" s="32">
        <f>IF($U126="",0,$K126*$T126)</f>
        <v/>
      </c>
      <c r="AB126" s="21">
        <f>IF($C126="",0,IFERROR(INDEX(Deals!$AD$2:$AD$355,MATCH($C126,Deals!$A$2:$A$355,0)),0))</f>
        <v/>
      </c>
      <c r="AC126" s="32">
        <f>IF(Settings!$B$4="Yes",$I126*$AB126,$I126)</f>
        <v/>
      </c>
      <c r="AD126" s="22">
        <f>IF($C126="","",IFERROR(IF(INDEX(Deals!$AE$2:$AE$355,MATCH($C126,Deals!$A$2:$A$355,0))=0,"",INDEX(Deals!$AE$2:$AE$355,MATCH($C126,Deals!$A$2:$A$355,0))),""))</f>
        <v/>
      </c>
      <c r="AE126" s="22">
        <f>IF($C126="","",IFERROR(IF(INDEX(Deals!$AF$2:$AF$355,MATCH($C126,Deals!$A$2:$A$355,0))=0,"",INDEX(Deals!$AF$2:$AF$355,MATCH($C126,Deals!$A$2:$A$355,0))),""))</f>
        <v/>
      </c>
      <c r="AF126" s="35">
        <f>IF($AD126="",DATE(1900,1,1),$AD126)</f>
        <v/>
      </c>
      <c r="AG126" s="35">
        <f>IF($AE126="",DATE(2100,12,31),$AE126)</f>
        <v/>
      </c>
      <c r="AH126" s="22">
        <f>IF($C126="","",IFERROR(IF(INDEX(Deals!$AG$2:$AG$355,MATCH($C126,Deals!$A$2:$A$355,0))=0,"",INDEX(Deals!$AG$2:$AG$355,MATCH($C126,Deals!$A$2:$A$355,0))),""))</f>
        <v/>
      </c>
      <c r="AI126" s="35">
        <f>IF($AH126="",DATE(1900,1,1),$AF126)</f>
        <v/>
      </c>
      <c r="AJ126" s="35">
        <f>IF($AH126="",DATE(2100,12,31),$AH126)</f>
        <v/>
      </c>
      <c r="AK126" s="32">
        <f>IF($AH126="",$AC126,$AC126*$S126)</f>
        <v/>
      </c>
      <c r="AL126" s="35">
        <f>IF($AH126="",DATE(2100,12,31),$AH126+1)</f>
        <v/>
      </c>
      <c r="AM126" s="35">
        <f>IF($AH126="",DATE(1900,1,1),$AG126)</f>
        <v/>
      </c>
      <c r="AN126" s="32">
        <f>IF($AH126="",0,$AC126*$T126)</f>
        <v/>
      </c>
    </row>
    <row r="127">
      <c r="A127" s="28" t="inlineStr">
        <is>
          <t>Kyle Kidd</t>
        </is>
      </c>
      <c r="B127" s="16">
        <f>IF($A127="","",IFERROR(INDEX(Roster!$B$2:$B$40,MATCH($A127,Roster!$A$2:$A$40,0)),"?"))</f>
        <v/>
      </c>
      <c r="C127" s="28" t="inlineStr">
        <is>
          <t>Torch_4</t>
        </is>
      </c>
      <c r="D127" s="16">
        <f>IF($C127="","",IFERROR(IF(INDEX(Deals!$C$2:$C$355,MATCH($C127,Deals!$A$2:$A$355,0))=0,"",INDEX(Deals!$C$2:$C$355,MATCH($C127,Deals!$A$2:$A$355,0))),"?"))</f>
        <v/>
      </c>
      <c r="E127" s="16">
        <f>IF($C127="","",IFERROR(INDEX(Deals!$F$2:$F$355,MATCH($C127,Deals!$A$2:$A$355,0)),"?"))</f>
        <v/>
      </c>
      <c r="F127" s="28" t="inlineStr">
        <is>
          <t>Partner</t>
        </is>
      </c>
      <c r="G127" s="28" t="inlineStr">
        <is>
          <t>Active</t>
        </is>
      </c>
      <c r="H127" s="31" t="n"/>
      <c r="I127" s="32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1">
        <f>IF($C127="",0,IFERROR(INDEX(Deals!$H$2:$H$355,MATCH($C127,Deals!$A$2:$A$355,0)),0))</f>
        <v/>
      </c>
      <c r="K127" s="32">
        <f>IF(Settings!$B$4="Yes",$I127*$J127,$I127)</f>
        <v/>
      </c>
      <c r="L127" s="22">
        <f>IF($C127="","",IFERROR(IF(INDEX(Deals!$I$2:$I$355,MATCH($C127,Deals!$A$2:$A$355,0))=0,"",INDEX(Deals!$I$2:$I$355,MATCH($C127,Deals!$A$2:$A$355,0))),""))</f>
        <v/>
      </c>
      <c r="M127" s="22">
        <f>IF($C127="","",IFERROR(IF(INDEX(Deals!$J$2:$J$355,MATCH($C127,Deals!$A$2:$A$355,0))=0,"",INDEX(Deals!$J$2:$J$355,MATCH($C127,Deals!$A$2:$A$355,0))),""))</f>
        <v/>
      </c>
      <c r="N127" s="35">
        <f>IF($L127="",DATE(1900,1,1),$L127)</f>
        <v/>
      </c>
      <c r="O127" s="35">
        <f>IF($M127="",DATE(2100,12,31),$M127)</f>
        <v/>
      </c>
      <c r="P127" s="20" t="inlineStr"/>
      <c r="Q127" s="43" t="inlineStr"/>
      <c r="R127" s="16">
        <f>IF($C127="","",IFERROR(IF(INDEX(Deals!$U$2:$U$355,MATCH($C127,Deals!$A$2:$A$355,0))=0,"",INDEX(Deals!$U$2:$U$355,MATCH($C127,Deals!$A$2:$A$355,0))),""))</f>
        <v/>
      </c>
      <c r="S127" s="34">
        <f>IFERROR(IF($U127="",1,INDEX(Deals!$V$2:$V$355,MATCH($C127,Deals!$A$2:$A$355,0))),1)</f>
        <v/>
      </c>
      <c r="T127" s="34">
        <f>IFERROR(IF($U127="",1,INDEX(Deals!$W$2:$W$355,MATCH($C127,Deals!$A$2:$A$355,0))),1)</f>
        <v/>
      </c>
      <c r="U127" s="22">
        <f>IF($C127="","",IFERROR(IF(INDEX(Deals!$Y$2:$Y$355,MATCH($C127,Deals!$A$2:$A$355,0))=0,"",INDEX(Deals!$Y$2:$Y$355,MATCH($C127,Deals!$A$2:$A$355,0))),""))</f>
        <v/>
      </c>
      <c r="V127" s="35">
        <f>IF($U127="",DATE(1900,1,1),$N127)</f>
        <v/>
      </c>
      <c r="W127" s="35">
        <f>IF($U127="",DATE(2100,12,31),$U127)</f>
        <v/>
      </c>
      <c r="X127" s="32">
        <f>IF($U127="",$K127,$K127*$S127)</f>
        <v/>
      </c>
      <c r="Y127" s="35">
        <f>IF($U127="",DATE(2100,12,31),$U127+1)</f>
        <v/>
      </c>
      <c r="Z127" s="35">
        <f>IF($U127="",DATE(1900,1,1),$O127)</f>
        <v/>
      </c>
      <c r="AA127" s="32">
        <f>IF($U127="",0,$K127*$T127)</f>
        <v/>
      </c>
      <c r="AB127" s="21">
        <f>IF($C127="",0,IFERROR(INDEX(Deals!$AD$2:$AD$355,MATCH($C127,Deals!$A$2:$A$355,0)),0))</f>
        <v/>
      </c>
      <c r="AC127" s="32">
        <f>IF(Settings!$B$4="Yes",$I127*$AB127,$I127)</f>
        <v/>
      </c>
      <c r="AD127" s="22">
        <f>IF($C127="","",IFERROR(IF(INDEX(Deals!$AE$2:$AE$355,MATCH($C127,Deals!$A$2:$A$355,0))=0,"",INDEX(Deals!$AE$2:$AE$355,MATCH($C127,Deals!$A$2:$A$355,0))),""))</f>
        <v/>
      </c>
      <c r="AE127" s="22">
        <f>IF($C127="","",IFERROR(IF(INDEX(Deals!$AF$2:$AF$355,MATCH($C127,Deals!$A$2:$A$355,0))=0,"",INDEX(Deals!$AF$2:$AF$355,MATCH($C127,Deals!$A$2:$A$355,0))),""))</f>
        <v/>
      </c>
      <c r="AF127" s="35">
        <f>IF($AD127="",DATE(1900,1,1),$AD127)</f>
        <v/>
      </c>
      <c r="AG127" s="35">
        <f>IF($AE127="",DATE(2100,12,31),$AE127)</f>
        <v/>
      </c>
      <c r="AH127" s="22">
        <f>IF($C127="","",IFERROR(IF(INDEX(Deals!$AG$2:$AG$355,MATCH($C127,Deals!$A$2:$A$355,0))=0,"",INDEX(Deals!$AG$2:$AG$355,MATCH($C127,Deals!$A$2:$A$355,0))),""))</f>
        <v/>
      </c>
      <c r="AI127" s="35">
        <f>IF($AH127="",DATE(1900,1,1),$AF127)</f>
        <v/>
      </c>
      <c r="AJ127" s="35">
        <f>IF($AH127="",DATE(2100,12,31),$AH127)</f>
        <v/>
      </c>
      <c r="AK127" s="32">
        <f>IF($AH127="",$AC127,$AC127*$S127)</f>
        <v/>
      </c>
      <c r="AL127" s="35">
        <f>IF($AH127="",DATE(2100,12,31),$AH127+1)</f>
        <v/>
      </c>
      <c r="AM127" s="35">
        <f>IF($AH127="",DATE(1900,1,1),$AG127)</f>
        <v/>
      </c>
      <c r="AN127" s="32">
        <f>IF($AH127="",0,$AC127*$T127)</f>
        <v/>
      </c>
    </row>
    <row r="128">
      <c r="A128" s="28" t="inlineStr">
        <is>
          <t>Kyle Kidd</t>
        </is>
      </c>
      <c r="B128" s="16">
        <f>IF($A128="","",IFERROR(INDEX(Roster!$B$2:$B$40,MATCH($A128,Roster!$A$2:$A$40,0)),"?"))</f>
        <v/>
      </c>
      <c r="C128" s="28" t="inlineStr">
        <is>
          <t>Wolverine_3</t>
        </is>
      </c>
      <c r="D128" s="16">
        <f>IF($C128="","",IFERROR(IF(INDEX(Deals!$C$2:$C$355,MATCH($C128,Deals!$A$2:$A$355,0))=0,"",INDEX(Deals!$C$2:$C$355,MATCH($C128,Deals!$A$2:$A$355,0))),"?"))</f>
        <v/>
      </c>
      <c r="E128" s="16">
        <f>IF($C128="","",IFERROR(INDEX(Deals!$F$2:$F$355,MATCH($C128,Deals!$A$2:$A$355,0)),"?"))</f>
        <v/>
      </c>
      <c r="F128" s="28" t="inlineStr">
        <is>
          <t>Partner</t>
        </is>
      </c>
      <c r="G128" s="28" t="inlineStr">
        <is>
          <t>Active</t>
        </is>
      </c>
      <c r="H128" s="31" t="n"/>
      <c r="I128" s="32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1">
        <f>IF($C128="",0,IFERROR(INDEX(Deals!$H$2:$H$355,MATCH($C128,Deals!$A$2:$A$355,0)),0))</f>
        <v/>
      </c>
      <c r="K128" s="32">
        <f>IF(Settings!$B$4="Yes",$I128*$J128,$I128)</f>
        <v/>
      </c>
      <c r="L128" s="22">
        <f>IF($C128="","",IFERROR(IF(INDEX(Deals!$I$2:$I$355,MATCH($C128,Deals!$A$2:$A$355,0))=0,"",INDEX(Deals!$I$2:$I$355,MATCH($C128,Deals!$A$2:$A$355,0))),""))</f>
        <v/>
      </c>
      <c r="M128" s="22">
        <f>IF($C128="","",IFERROR(IF(INDEX(Deals!$J$2:$J$355,MATCH($C128,Deals!$A$2:$A$355,0))=0,"",INDEX(Deals!$J$2:$J$355,MATCH($C128,Deals!$A$2:$A$355,0))),""))</f>
        <v/>
      </c>
      <c r="N128" s="35">
        <f>IF($L128="",DATE(1900,1,1),$L128)</f>
        <v/>
      </c>
      <c r="O128" s="35">
        <f>IF($M128="",DATE(2100,12,31),$M128)</f>
        <v/>
      </c>
      <c r="P128" s="20" t="inlineStr"/>
      <c r="Q128" s="43" t="inlineStr"/>
      <c r="R128" s="16">
        <f>IF($C128="","",IFERROR(IF(INDEX(Deals!$U$2:$U$355,MATCH($C128,Deals!$A$2:$A$355,0))=0,"",INDEX(Deals!$U$2:$U$355,MATCH($C128,Deals!$A$2:$A$355,0))),""))</f>
        <v/>
      </c>
      <c r="S128" s="34">
        <f>IFERROR(IF($U128="",1,INDEX(Deals!$V$2:$V$355,MATCH($C128,Deals!$A$2:$A$355,0))),1)</f>
        <v/>
      </c>
      <c r="T128" s="34">
        <f>IFERROR(IF($U128="",1,INDEX(Deals!$W$2:$W$355,MATCH($C128,Deals!$A$2:$A$355,0))),1)</f>
        <v/>
      </c>
      <c r="U128" s="22">
        <f>IF($C128="","",IFERROR(IF(INDEX(Deals!$Y$2:$Y$355,MATCH($C128,Deals!$A$2:$A$355,0))=0,"",INDEX(Deals!$Y$2:$Y$355,MATCH($C128,Deals!$A$2:$A$355,0))),""))</f>
        <v/>
      </c>
      <c r="V128" s="35">
        <f>IF($U128="",DATE(1900,1,1),$N128)</f>
        <v/>
      </c>
      <c r="W128" s="35">
        <f>IF($U128="",DATE(2100,12,31),$U128)</f>
        <v/>
      </c>
      <c r="X128" s="32">
        <f>IF($U128="",$K128,$K128*$S128)</f>
        <v/>
      </c>
      <c r="Y128" s="35">
        <f>IF($U128="",DATE(2100,12,31),$U128+1)</f>
        <v/>
      </c>
      <c r="Z128" s="35">
        <f>IF($U128="",DATE(1900,1,1),$O128)</f>
        <v/>
      </c>
      <c r="AA128" s="32">
        <f>IF($U128="",0,$K128*$T128)</f>
        <v/>
      </c>
      <c r="AB128" s="21">
        <f>IF($C128="",0,IFERROR(INDEX(Deals!$AD$2:$AD$355,MATCH($C128,Deals!$A$2:$A$355,0)),0))</f>
        <v/>
      </c>
      <c r="AC128" s="32">
        <f>IF(Settings!$B$4="Yes",$I128*$AB128,$I128)</f>
        <v/>
      </c>
      <c r="AD128" s="22">
        <f>IF($C128="","",IFERROR(IF(INDEX(Deals!$AE$2:$AE$355,MATCH($C128,Deals!$A$2:$A$355,0))=0,"",INDEX(Deals!$AE$2:$AE$355,MATCH($C128,Deals!$A$2:$A$355,0))),""))</f>
        <v/>
      </c>
      <c r="AE128" s="22">
        <f>IF($C128="","",IFERROR(IF(INDEX(Deals!$AF$2:$AF$355,MATCH($C128,Deals!$A$2:$A$355,0))=0,"",INDEX(Deals!$AF$2:$AF$355,MATCH($C128,Deals!$A$2:$A$355,0))),""))</f>
        <v/>
      </c>
      <c r="AF128" s="35">
        <f>IF($AD128="",DATE(1900,1,1),$AD128)</f>
        <v/>
      </c>
      <c r="AG128" s="35">
        <f>IF($AE128="",DATE(2100,12,31),$AE128)</f>
        <v/>
      </c>
      <c r="AH128" s="22">
        <f>IF($C128="","",IFERROR(IF(INDEX(Deals!$AG$2:$AG$355,MATCH($C128,Deals!$A$2:$A$355,0))=0,"",INDEX(Deals!$AG$2:$AG$355,MATCH($C128,Deals!$A$2:$A$355,0))),""))</f>
        <v/>
      </c>
      <c r="AI128" s="35">
        <f>IF($AH128="",DATE(1900,1,1),$AF128)</f>
        <v/>
      </c>
      <c r="AJ128" s="35">
        <f>IF($AH128="",DATE(2100,12,31),$AH128)</f>
        <v/>
      </c>
      <c r="AK128" s="32">
        <f>IF($AH128="",$AC128,$AC128*$S128)</f>
        <v/>
      </c>
      <c r="AL128" s="35">
        <f>IF($AH128="",DATE(2100,12,31),$AH128+1)</f>
        <v/>
      </c>
      <c r="AM128" s="35">
        <f>IF($AH128="",DATE(1900,1,1),$AG128)</f>
        <v/>
      </c>
      <c r="AN128" s="32">
        <f>IF($AH128="",0,$AC128*$T128)</f>
        <v/>
      </c>
    </row>
    <row r="129">
      <c r="A129" s="28" t="inlineStr">
        <is>
          <t>Zack</t>
        </is>
      </c>
      <c r="B129" s="16">
        <f>IF($A129="","",IFERROR(INDEX(Roster!$B$2:$B$40,MATCH($A129,Roster!$A$2:$A$40,0)),"?"))</f>
        <v/>
      </c>
      <c r="C129" s="28" t="inlineStr">
        <is>
          <t>5C Ocean_1</t>
        </is>
      </c>
      <c r="D129" s="16">
        <f>IF($C129="","",IFERROR(IF(INDEX(Deals!$C$2:$C$355,MATCH($C129,Deals!$A$2:$A$355,0))=0,"",INDEX(Deals!$C$2:$C$355,MATCH($C129,Deals!$A$2:$A$355,0))),"?"))</f>
        <v/>
      </c>
      <c r="E129" s="16">
        <f>IF($C129="","",IFERROR(INDEX(Deals!$F$2:$F$355,MATCH($C129,Deals!$A$2:$A$355,0)),"?"))</f>
        <v/>
      </c>
      <c r="F129" s="28" t="inlineStr">
        <is>
          <t>MD</t>
        </is>
      </c>
      <c r="G129" s="28" t="inlineStr">
        <is>
          <t>Active</t>
        </is>
      </c>
      <c r="H129" s="31" t="n"/>
      <c r="I129" s="32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1">
        <f>IF($C129="",0,IFERROR(INDEX(Deals!$H$2:$H$355,MATCH($C129,Deals!$A$2:$A$355,0)),0))</f>
        <v/>
      </c>
      <c r="K129" s="32">
        <f>IF(Settings!$B$4="Yes",$I129*$J129,$I129)</f>
        <v/>
      </c>
      <c r="L129" s="22">
        <f>IF($C129="","",IFERROR(IF(INDEX(Deals!$I$2:$I$355,MATCH($C129,Deals!$A$2:$A$355,0))=0,"",INDEX(Deals!$I$2:$I$355,MATCH($C129,Deals!$A$2:$A$355,0))),""))</f>
        <v/>
      </c>
      <c r="M129" s="22">
        <f>IF($C129="","",IFERROR(IF(INDEX(Deals!$J$2:$J$355,MATCH($C129,Deals!$A$2:$A$355,0))=0,"",INDEX(Deals!$J$2:$J$355,MATCH($C129,Deals!$A$2:$A$355,0))),""))</f>
        <v/>
      </c>
      <c r="N129" s="35">
        <f>IF($L129="",DATE(1900,1,1),$L129)</f>
        <v/>
      </c>
      <c r="O129" s="35">
        <f>IF($M129="",DATE(2100,12,31),$M129)</f>
        <v/>
      </c>
      <c r="P129" s="20" t="inlineStr"/>
      <c r="Q129" s="43" t="inlineStr"/>
      <c r="R129" s="16">
        <f>IF($C129="","",IFERROR(IF(INDEX(Deals!$U$2:$U$355,MATCH($C129,Deals!$A$2:$A$355,0))=0,"",INDEX(Deals!$U$2:$U$355,MATCH($C129,Deals!$A$2:$A$355,0))),""))</f>
        <v/>
      </c>
      <c r="S129" s="34">
        <f>IFERROR(IF($U129="",1,INDEX(Deals!$V$2:$V$355,MATCH($C129,Deals!$A$2:$A$355,0))),1)</f>
        <v/>
      </c>
      <c r="T129" s="34">
        <f>IFERROR(IF($U129="",1,INDEX(Deals!$W$2:$W$355,MATCH($C129,Deals!$A$2:$A$355,0))),1)</f>
        <v/>
      </c>
      <c r="U129" s="22">
        <f>IF($C129="","",IFERROR(IF(INDEX(Deals!$Y$2:$Y$355,MATCH($C129,Deals!$A$2:$A$355,0))=0,"",INDEX(Deals!$Y$2:$Y$355,MATCH($C129,Deals!$A$2:$A$355,0))),""))</f>
        <v/>
      </c>
      <c r="V129" s="35">
        <f>IF($U129="",DATE(1900,1,1),$N129)</f>
        <v/>
      </c>
      <c r="W129" s="35">
        <f>IF($U129="",DATE(2100,12,31),$U129)</f>
        <v/>
      </c>
      <c r="X129" s="32">
        <f>IF($U129="",$K129,$K129*$S129)</f>
        <v/>
      </c>
      <c r="Y129" s="35">
        <f>IF($U129="",DATE(2100,12,31),$U129+1)</f>
        <v/>
      </c>
      <c r="Z129" s="35">
        <f>IF($U129="",DATE(1900,1,1),$O129)</f>
        <v/>
      </c>
      <c r="AA129" s="32">
        <f>IF($U129="",0,$K129*$T129)</f>
        <v/>
      </c>
      <c r="AB129" s="21">
        <f>IF($C129="",0,IFERROR(INDEX(Deals!$AD$2:$AD$355,MATCH($C129,Deals!$A$2:$A$355,0)),0))</f>
        <v/>
      </c>
      <c r="AC129" s="32">
        <f>IF(Settings!$B$4="Yes",$I129*$AB129,$I129)</f>
        <v/>
      </c>
      <c r="AD129" s="22">
        <f>IF($C129="","",IFERROR(IF(INDEX(Deals!$AE$2:$AE$355,MATCH($C129,Deals!$A$2:$A$355,0))=0,"",INDEX(Deals!$AE$2:$AE$355,MATCH($C129,Deals!$A$2:$A$355,0))),""))</f>
        <v/>
      </c>
      <c r="AE129" s="22">
        <f>IF($C129="","",IFERROR(IF(INDEX(Deals!$AF$2:$AF$355,MATCH($C129,Deals!$A$2:$A$355,0))=0,"",INDEX(Deals!$AF$2:$AF$355,MATCH($C129,Deals!$A$2:$A$355,0))),""))</f>
        <v/>
      </c>
      <c r="AF129" s="35">
        <f>IF($AD129="",DATE(1900,1,1),$AD129)</f>
        <v/>
      </c>
      <c r="AG129" s="35">
        <f>IF($AE129="",DATE(2100,12,31),$AE129)</f>
        <v/>
      </c>
      <c r="AH129" s="22">
        <f>IF($C129="","",IFERROR(IF(INDEX(Deals!$AG$2:$AG$355,MATCH($C129,Deals!$A$2:$A$355,0))=0,"",INDEX(Deals!$AG$2:$AG$355,MATCH($C129,Deals!$A$2:$A$355,0))),""))</f>
        <v/>
      </c>
      <c r="AI129" s="35">
        <f>IF($AH129="",DATE(1900,1,1),$AF129)</f>
        <v/>
      </c>
      <c r="AJ129" s="35">
        <f>IF($AH129="",DATE(2100,12,31),$AH129)</f>
        <v/>
      </c>
      <c r="AK129" s="32">
        <f>IF($AH129="",$AC129,$AC129*$S129)</f>
        <v/>
      </c>
      <c r="AL129" s="35">
        <f>IF($AH129="",DATE(2100,12,31),$AH129+1)</f>
        <v/>
      </c>
      <c r="AM129" s="35">
        <f>IF($AH129="",DATE(1900,1,1),$AG129)</f>
        <v/>
      </c>
      <c r="AN129" s="32">
        <f>IF($AH129="",0,$AC129*$T129)</f>
        <v/>
      </c>
    </row>
    <row r="130">
      <c r="A130" s="28" t="inlineStr">
        <is>
          <t>Zack</t>
        </is>
      </c>
      <c r="B130" s="16">
        <f>IF($A130="","",IFERROR(INDEX(Roster!$B$2:$B$40,MATCH($A130,Roster!$A$2:$A$40,0)),"?"))</f>
        <v/>
      </c>
      <c r="C130" s="28" t="inlineStr">
        <is>
          <t>Ace_2</t>
        </is>
      </c>
      <c r="D130" s="16">
        <f>IF($C130="","",IFERROR(IF(INDEX(Deals!$C$2:$C$355,MATCH($C130,Deals!$A$2:$A$355,0))=0,"",INDEX(Deals!$C$2:$C$355,MATCH($C130,Deals!$A$2:$A$355,0))),"?"))</f>
        <v/>
      </c>
      <c r="E130" s="16">
        <f>IF($C130="","",IFERROR(INDEX(Deals!$F$2:$F$355,MATCH($C130,Deals!$A$2:$A$355,0)),"?"))</f>
        <v/>
      </c>
      <c r="F130" s="28" t="inlineStr">
        <is>
          <t>MD</t>
        </is>
      </c>
      <c r="G130" s="28" t="inlineStr">
        <is>
          <t>Active</t>
        </is>
      </c>
      <c r="H130" s="31" t="n"/>
      <c r="I130" s="32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1">
        <f>IF($C130="",0,IFERROR(INDEX(Deals!$H$2:$H$355,MATCH($C130,Deals!$A$2:$A$355,0)),0))</f>
        <v/>
      </c>
      <c r="K130" s="32">
        <f>IF(Settings!$B$4="Yes",$I130*$J130,$I130)</f>
        <v/>
      </c>
      <c r="L130" s="22">
        <f>IF($C130="","",IFERROR(IF(INDEX(Deals!$I$2:$I$355,MATCH($C130,Deals!$A$2:$A$355,0))=0,"",INDEX(Deals!$I$2:$I$355,MATCH($C130,Deals!$A$2:$A$355,0))),""))</f>
        <v/>
      </c>
      <c r="M130" s="22">
        <f>IF($C130="","",IFERROR(IF(INDEX(Deals!$J$2:$J$355,MATCH($C130,Deals!$A$2:$A$355,0))=0,"",INDEX(Deals!$J$2:$J$355,MATCH($C130,Deals!$A$2:$A$355,0))),""))</f>
        <v/>
      </c>
      <c r="N130" s="35">
        <f>IF($L130="",DATE(1900,1,1),$L130)</f>
        <v/>
      </c>
      <c r="O130" s="35">
        <f>IF($M130="",DATE(2100,12,31),$M130)</f>
        <v/>
      </c>
      <c r="P130" s="20" t="inlineStr"/>
      <c r="Q130" s="43" t="inlineStr"/>
      <c r="R130" s="16">
        <f>IF($C130="","",IFERROR(IF(INDEX(Deals!$U$2:$U$355,MATCH($C130,Deals!$A$2:$A$355,0))=0,"",INDEX(Deals!$U$2:$U$355,MATCH($C130,Deals!$A$2:$A$355,0))),""))</f>
        <v/>
      </c>
      <c r="S130" s="34">
        <f>IFERROR(IF($U130="",1,INDEX(Deals!$V$2:$V$355,MATCH($C130,Deals!$A$2:$A$355,0))),1)</f>
        <v/>
      </c>
      <c r="T130" s="34">
        <f>IFERROR(IF($U130="",1,INDEX(Deals!$W$2:$W$355,MATCH($C130,Deals!$A$2:$A$355,0))),1)</f>
        <v/>
      </c>
      <c r="U130" s="22">
        <f>IF($C130="","",IFERROR(IF(INDEX(Deals!$Y$2:$Y$355,MATCH($C130,Deals!$A$2:$A$355,0))=0,"",INDEX(Deals!$Y$2:$Y$355,MATCH($C130,Deals!$A$2:$A$355,0))),""))</f>
        <v/>
      </c>
      <c r="V130" s="35">
        <f>IF($U130="",DATE(1900,1,1),$N130)</f>
        <v/>
      </c>
      <c r="W130" s="35">
        <f>IF($U130="",DATE(2100,12,31),$U130)</f>
        <v/>
      </c>
      <c r="X130" s="32">
        <f>IF($U130="",$K130,$K130*$S130)</f>
        <v/>
      </c>
      <c r="Y130" s="35">
        <f>IF($U130="",DATE(2100,12,31),$U130+1)</f>
        <v/>
      </c>
      <c r="Z130" s="35">
        <f>IF($U130="",DATE(1900,1,1),$O130)</f>
        <v/>
      </c>
      <c r="AA130" s="32">
        <f>IF($U130="",0,$K130*$T130)</f>
        <v/>
      </c>
      <c r="AB130" s="21">
        <f>IF($C130="",0,IFERROR(INDEX(Deals!$AD$2:$AD$355,MATCH($C130,Deals!$A$2:$A$355,0)),0))</f>
        <v/>
      </c>
      <c r="AC130" s="32">
        <f>IF(Settings!$B$4="Yes",$I130*$AB130,$I130)</f>
        <v/>
      </c>
      <c r="AD130" s="22">
        <f>IF($C130="","",IFERROR(IF(INDEX(Deals!$AE$2:$AE$355,MATCH($C130,Deals!$A$2:$A$355,0))=0,"",INDEX(Deals!$AE$2:$AE$355,MATCH($C130,Deals!$A$2:$A$355,0))),""))</f>
        <v/>
      </c>
      <c r="AE130" s="22">
        <f>IF($C130="","",IFERROR(IF(INDEX(Deals!$AF$2:$AF$355,MATCH($C130,Deals!$A$2:$A$355,0))=0,"",INDEX(Deals!$AF$2:$AF$355,MATCH($C130,Deals!$A$2:$A$355,0))),""))</f>
        <v/>
      </c>
      <c r="AF130" s="35">
        <f>IF($AD130="",DATE(1900,1,1),$AD130)</f>
        <v/>
      </c>
      <c r="AG130" s="35">
        <f>IF($AE130="",DATE(2100,12,31),$AE130)</f>
        <v/>
      </c>
      <c r="AH130" s="22">
        <f>IF($C130="","",IFERROR(IF(INDEX(Deals!$AG$2:$AG$355,MATCH($C130,Deals!$A$2:$A$355,0))=0,"",INDEX(Deals!$AG$2:$AG$355,MATCH($C130,Deals!$A$2:$A$355,0))),""))</f>
        <v/>
      </c>
      <c r="AI130" s="35">
        <f>IF($AH130="",DATE(1900,1,1),$AF130)</f>
        <v/>
      </c>
      <c r="AJ130" s="35">
        <f>IF($AH130="",DATE(2100,12,31),$AH130)</f>
        <v/>
      </c>
      <c r="AK130" s="32">
        <f>IF($AH130="",$AC130,$AC130*$S130)</f>
        <v/>
      </c>
      <c r="AL130" s="35">
        <f>IF($AH130="",DATE(2100,12,31),$AH130+1)</f>
        <v/>
      </c>
      <c r="AM130" s="35">
        <f>IF($AH130="",DATE(1900,1,1),$AG130)</f>
        <v/>
      </c>
      <c r="AN130" s="32">
        <f>IF($AH130="",0,$AC130*$T130)</f>
        <v/>
      </c>
    </row>
    <row r="131">
      <c r="A131" s="28" t="inlineStr">
        <is>
          <t>Zack</t>
        </is>
      </c>
      <c r="B131" s="16">
        <f>IF($A131="","",IFERROR(INDEX(Roster!$B$2:$B$40,MATCH($A131,Roster!$A$2:$A$40,0)),"?"))</f>
        <v/>
      </c>
      <c r="C131" s="28" t="inlineStr">
        <is>
          <t>AOP Model_1</t>
        </is>
      </c>
      <c r="D131" s="16">
        <f>IF($C131="","",IFERROR(IF(INDEX(Deals!$C$2:$C$355,MATCH($C131,Deals!$A$2:$A$355,0))=0,"",INDEX(Deals!$C$2:$C$355,MATCH($C131,Deals!$A$2:$A$355,0))),"?"))</f>
        <v/>
      </c>
      <c r="E131" s="16">
        <f>IF($C131="","",IFERROR(INDEX(Deals!$F$2:$F$355,MATCH($C131,Deals!$A$2:$A$355,0)),"?"))</f>
        <v/>
      </c>
      <c r="F131" s="28" t="inlineStr">
        <is>
          <t>MD</t>
        </is>
      </c>
      <c r="G131" s="28" t="inlineStr">
        <is>
          <t>Active</t>
        </is>
      </c>
      <c r="H131" s="31" t="n"/>
      <c r="I131" s="32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1">
        <f>IF($C131="",0,IFERROR(INDEX(Deals!$H$2:$H$355,MATCH($C131,Deals!$A$2:$A$355,0)),0))</f>
        <v/>
      </c>
      <c r="K131" s="32">
        <f>IF(Settings!$B$4="Yes",$I131*$J131,$I131)</f>
        <v/>
      </c>
      <c r="L131" s="22">
        <f>IF($C131="","",IFERROR(IF(INDEX(Deals!$I$2:$I$355,MATCH($C131,Deals!$A$2:$A$355,0))=0,"",INDEX(Deals!$I$2:$I$355,MATCH($C131,Deals!$A$2:$A$355,0))),""))</f>
        <v/>
      </c>
      <c r="M131" s="22">
        <f>IF($C131="","",IFERROR(IF(INDEX(Deals!$J$2:$J$355,MATCH($C131,Deals!$A$2:$A$355,0))=0,"",INDEX(Deals!$J$2:$J$355,MATCH($C131,Deals!$A$2:$A$355,0))),""))</f>
        <v/>
      </c>
      <c r="N131" s="35">
        <f>IF($L131="",DATE(1900,1,1),$L131)</f>
        <v/>
      </c>
      <c r="O131" s="35">
        <f>IF($M131="",DATE(2100,12,31),$M131)</f>
        <v/>
      </c>
      <c r="P131" s="20" t="inlineStr"/>
      <c r="Q131" s="43" t="inlineStr"/>
      <c r="R131" s="16">
        <f>IF($C131="","",IFERROR(IF(INDEX(Deals!$U$2:$U$355,MATCH($C131,Deals!$A$2:$A$355,0))=0,"",INDEX(Deals!$U$2:$U$355,MATCH($C131,Deals!$A$2:$A$355,0))),""))</f>
        <v/>
      </c>
      <c r="S131" s="34">
        <f>IFERROR(IF($U131="",1,INDEX(Deals!$V$2:$V$355,MATCH($C131,Deals!$A$2:$A$355,0))),1)</f>
        <v/>
      </c>
      <c r="T131" s="34">
        <f>IFERROR(IF($U131="",1,INDEX(Deals!$W$2:$W$355,MATCH($C131,Deals!$A$2:$A$355,0))),1)</f>
        <v/>
      </c>
      <c r="U131" s="22">
        <f>IF($C131="","",IFERROR(IF(INDEX(Deals!$Y$2:$Y$355,MATCH($C131,Deals!$A$2:$A$355,0))=0,"",INDEX(Deals!$Y$2:$Y$355,MATCH($C131,Deals!$A$2:$A$355,0))),""))</f>
        <v/>
      </c>
      <c r="V131" s="35">
        <f>IF($U131="",DATE(1900,1,1),$N131)</f>
        <v/>
      </c>
      <c r="W131" s="35">
        <f>IF($U131="",DATE(2100,12,31),$U131)</f>
        <v/>
      </c>
      <c r="X131" s="32">
        <f>IF($U131="",$K131,$K131*$S131)</f>
        <v/>
      </c>
      <c r="Y131" s="35">
        <f>IF($U131="",DATE(2100,12,31),$U131+1)</f>
        <v/>
      </c>
      <c r="Z131" s="35">
        <f>IF($U131="",DATE(1900,1,1),$O131)</f>
        <v/>
      </c>
      <c r="AA131" s="32">
        <f>IF($U131="",0,$K131*$T131)</f>
        <v/>
      </c>
      <c r="AB131" s="21">
        <f>IF($C131="",0,IFERROR(INDEX(Deals!$AD$2:$AD$355,MATCH($C131,Deals!$A$2:$A$355,0)),0))</f>
        <v/>
      </c>
      <c r="AC131" s="32">
        <f>IF(Settings!$B$4="Yes",$I131*$AB131,$I131)</f>
        <v/>
      </c>
      <c r="AD131" s="22">
        <f>IF($C131="","",IFERROR(IF(INDEX(Deals!$AE$2:$AE$355,MATCH($C131,Deals!$A$2:$A$355,0))=0,"",INDEX(Deals!$AE$2:$AE$355,MATCH($C131,Deals!$A$2:$A$355,0))),""))</f>
        <v/>
      </c>
      <c r="AE131" s="22">
        <f>IF($C131="","",IFERROR(IF(INDEX(Deals!$AF$2:$AF$355,MATCH($C131,Deals!$A$2:$A$355,0))=0,"",INDEX(Deals!$AF$2:$AF$355,MATCH($C131,Deals!$A$2:$A$355,0))),""))</f>
        <v/>
      </c>
      <c r="AF131" s="35">
        <f>IF($AD131="",DATE(1900,1,1),$AD131)</f>
        <v/>
      </c>
      <c r="AG131" s="35">
        <f>IF($AE131="",DATE(2100,12,31),$AE131)</f>
        <v/>
      </c>
      <c r="AH131" s="22">
        <f>IF($C131="","",IFERROR(IF(INDEX(Deals!$AG$2:$AG$355,MATCH($C131,Deals!$A$2:$A$355,0))=0,"",INDEX(Deals!$AG$2:$AG$355,MATCH($C131,Deals!$A$2:$A$355,0))),""))</f>
        <v/>
      </c>
      <c r="AI131" s="35">
        <f>IF($AH131="",DATE(1900,1,1),$AF131)</f>
        <v/>
      </c>
      <c r="AJ131" s="35">
        <f>IF($AH131="",DATE(2100,12,31),$AH131)</f>
        <v/>
      </c>
      <c r="AK131" s="32">
        <f>IF($AH131="",$AC131,$AC131*$S131)</f>
        <v/>
      </c>
      <c r="AL131" s="35">
        <f>IF($AH131="",DATE(2100,12,31),$AH131+1)</f>
        <v/>
      </c>
      <c r="AM131" s="35">
        <f>IF($AH131="",DATE(1900,1,1),$AG131)</f>
        <v/>
      </c>
      <c r="AN131" s="32">
        <f>IF($AH131="",0,$AC131*$T131)</f>
        <v/>
      </c>
    </row>
    <row r="132">
      <c r="A132" s="28" t="inlineStr">
        <is>
          <t>Zack</t>
        </is>
      </c>
      <c r="B132" s="16">
        <f>IF($A132="","",IFERROR(INDEX(Roster!$B$2:$B$40,MATCH($A132,Roster!$A$2:$A$40,0)),"?"))</f>
        <v/>
      </c>
      <c r="C132" s="28" t="inlineStr">
        <is>
          <t>Aypa_3</t>
        </is>
      </c>
      <c r="D132" s="16">
        <f>IF($C132="","",IFERROR(IF(INDEX(Deals!$C$2:$C$355,MATCH($C132,Deals!$A$2:$A$355,0))=0,"",INDEX(Deals!$C$2:$C$355,MATCH($C132,Deals!$A$2:$A$355,0))),"?"))</f>
        <v/>
      </c>
      <c r="E132" s="16">
        <f>IF($C132="","",IFERROR(INDEX(Deals!$F$2:$F$355,MATCH($C132,Deals!$A$2:$A$355,0)),"?"))</f>
        <v/>
      </c>
      <c r="F132" s="28" t="inlineStr">
        <is>
          <t>MD</t>
        </is>
      </c>
      <c r="G132" s="28" t="inlineStr">
        <is>
          <t>Active</t>
        </is>
      </c>
      <c r="H132" s="31" t="n"/>
      <c r="I132" s="32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1">
        <f>IF($C132="",0,IFERROR(INDEX(Deals!$H$2:$H$355,MATCH($C132,Deals!$A$2:$A$355,0)),0))</f>
        <v/>
      </c>
      <c r="K132" s="32">
        <f>IF(Settings!$B$4="Yes",$I132*$J132,$I132)</f>
        <v/>
      </c>
      <c r="L132" s="22">
        <f>IF($C132="","",IFERROR(IF(INDEX(Deals!$I$2:$I$355,MATCH($C132,Deals!$A$2:$A$355,0))=0,"",INDEX(Deals!$I$2:$I$355,MATCH($C132,Deals!$A$2:$A$355,0))),""))</f>
        <v/>
      </c>
      <c r="M132" s="22">
        <f>IF($C132="","",IFERROR(IF(INDEX(Deals!$J$2:$J$355,MATCH($C132,Deals!$A$2:$A$355,0))=0,"",INDEX(Deals!$J$2:$J$355,MATCH($C132,Deals!$A$2:$A$355,0))),""))</f>
        <v/>
      </c>
      <c r="N132" s="35">
        <f>IF($L132="",DATE(1900,1,1),$L132)</f>
        <v/>
      </c>
      <c r="O132" s="35">
        <f>IF($M132="",DATE(2100,12,31),$M132)</f>
        <v/>
      </c>
      <c r="P132" s="20" t="inlineStr"/>
      <c r="Q132" s="43" t="inlineStr"/>
      <c r="R132" s="16">
        <f>IF($C132="","",IFERROR(IF(INDEX(Deals!$U$2:$U$355,MATCH($C132,Deals!$A$2:$A$355,0))=0,"",INDEX(Deals!$U$2:$U$355,MATCH($C132,Deals!$A$2:$A$355,0))),""))</f>
        <v/>
      </c>
      <c r="S132" s="34">
        <f>IFERROR(IF($U132="",1,INDEX(Deals!$V$2:$V$355,MATCH($C132,Deals!$A$2:$A$355,0))),1)</f>
        <v/>
      </c>
      <c r="T132" s="34">
        <f>IFERROR(IF($U132="",1,INDEX(Deals!$W$2:$W$355,MATCH($C132,Deals!$A$2:$A$355,0))),1)</f>
        <v/>
      </c>
      <c r="U132" s="22">
        <f>IF($C132="","",IFERROR(IF(INDEX(Deals!$Y$2:$Y$355,MATCH($C132,Deals!$A$2:$A$355,0))=0,"",INDEX(Deals!$Y$2:$Y$355,MATCH($C132,Deals!$A$2:$A$355,0))),""))</f>
        <v/>
      </c>
      <c r="V132" s="35">
        <f>IF($U132="",DATE(1900,1,1),$N132)</f>
        <v/>
      </c>
      <c r="W132" s="35">
        <f>IF($U132="",DATE(2100,12,31),$U132)</f>
        <v/>
      </c>
      <c r="X132" s="32">
        <f>IF($U132="",$K132,$K132*$S132)</f>
        <v/>
      </c>
      <c r="Y132" s="35">
        <f>IF($U132="",DATE(2100,12,31),$U132+1)</f>
        <v/>
      </c>
      <c r="Z132" s="35">
        <f>IF($U132="",DATE(1900,1,1),$O132)</f>
        <v/>
      </c>
      <c r="AA132" s="32">
        <f>IF($U132="",0,$K132*$T132)</f>
        <v/>
      </c>
      <c r="AB132" s="21">
        <f>IF($C132="",0,IFERROR(INDEX(Deals!$AD$2:$AD$355,MATCH($C132,Deals!$A$2:$A$355,0)),0))</f>
        <v/>
      </c>
      <c r="AC132" s="32">
        <f>IF(Settings!$B$4="Yes",$I132*$AB132,$I132)</f>
        <v/>
      </c>
      <c r="AD132" s="22">
        <f>IF($C132="","",IFERROR(IF(INDEX(Deals!$AE$2:$AE$355,MATCH($C132,Deals!$A$2:$A$355,0))=0,"",INDEX(Deals!$AE$2:$AE$355,MATCH($C132,Deals!$A$2:$A$355,0))),""))</f>
        <v/>
      </c>
      <c r="AE132" s="22">
        <f>IF($C132="","",IFERROR(IF(INDEX(Deals!$AF$2:$AF$355,MATCH($C132,Deals!$A$2:$A$355,0))=0,"",INDEX(Deals!$AF$2:$AF$355,MATCH($C132,Deals!$A$2:$A$355,0))),""))</f>
        <v/>
      </c>
      <c r="AF132" s="35">
        <f>IF($AD132="",DATE(1900,1,1),$AD132)</f>
        <v/>
      </c>
      <c r="AG132" s="35">
        <f>IF($AE132="",DATE(2100,12,31),$AE132)</f>
        <v/>
      </c>
      <c r="AH132" s="22">
        <f>IF($C132="","",IFERROR(IF(INDEX(Deals!$AG$2:$AG$355,MATCH($C132,Deals!$A$2:$A$355,0))=0,"",INDEX(Deals!$AG$2:$AG$355,MATCH($C132,Deals!$A$2:$A$355,0))),""))</f>
        <v/>
      </c>
      <c r="AI132" s="35">
        <f>IF($AH132="",DATE(1900,1,1),$AF132)</f>
        <v/>
      </c>
      <c r="AJ132" s="35">
        <f>IF($AH132="",DATE(2100,12,31),$AH132)</f>
        <v/>
      </c>
      <c r="AK132" s="32">
        <f>IF($AH132="",$AC132,$AC132*$S132)</f>
        <v/>
      </c>
      <c r="AL132" s="35">
        <f>IF($AH132="",DATE(2100,12,31),$AH132+1)</f>
        <v/>
      </c>
      <c r="AM132" s="35">
        <f>IF($AH132="",DATE(1900,1,1),$AG132)</f>
        <v/>
      </c>
      <c r="AN132" s="32">
        <f>IF($AH132="",0,$AC132*$T132)</f>
        <v/>
      </c>
    </row>
    <row r="133">
      <c r="A133" s="28" t="inlineStr">
        <is>
          <t>Zack</t>
        </is>
      </c>
      <c r="B133" s="16">
        <f>IF($A133="","",IFERROR(INDEX(Roster!$B$2:$B$40,MATCH($A133,Roster!$A$2:$A$40,0)),"?"))</f>
        <v/>
      </c>
      <c r="C133" s="28" t="inlineStr">
        <is>
          <t>AZ BESS_1</t>
        </is>
      </c>
      <c r="D133" s="16">
        <f>IF($C133="","",IFERROR(IF(INDEX(Deals!$C$2:$C$355,MATCH($C133,Deals!$A$2:$A$355,0))=0,"",INDEX(Deals!$C$2:$C$355,MATCH($C133,Deals!$A$2:$A$355,0))),"?"))</f>
        <v/>
      </c>
      <c r="E133" s="16">
        <f>IF($C133="","",IFERROR(INDEX(Deals!$F$2:$F$355,MATCH($C133,Deals!$A$2:$A$355,0)),"?"))</f>
        <v/>
      </c>
      <c r="F133" s="28" t="inlineStr">
        <is>
          <t>MD</t>
        </is>
      </c>
      <c r="G133" s="28" t="inlineStr">
        <is>
          <t>Active</t>
        </is>
      </c>
      <c r="H133" s="31" t="n"/>
      <c r="I133" s="32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1">
        <f>IF($C133="",0,IFERROR(INDEX(Deals!$H$2:$H$355,MATCH($C133,Deals!$A$2:$A$355,0)),0))</f>
        <v/>
      </c>
      <c r="K133" s="32">
        <f>IF(Settings!$B$4="Yes",$I133*$J133,$I133)</f>
        <v/>
      </c>
      <c r="L133" s="22">
        <f>IF($C133="","",IFERROR(IF(INDEX(Deals!$I$2:$I$355,MATCH($C133,Deals!$A$2:$A$355,0))=0,"",INDEX(Deals!$I$2:$I$355,MATCH($C133,Deals!$A$2:$A$355,0))),""))</f>
        <v/>
      </c>
      <c r="M133" s="22">
        <f>IF($C133="","",IFERROR(IF(INDEX(Deals!$J$2:$J$355,MATCH($C133,Deals!$A$2:$A$355,0))=0,"",INDEX(Deals!$J$2:$J$355,MATCH($C133,Deals!$A$2:$A$355,0))),""))</f>
        <v/>
      </c>
      <c r="N133" s="35">
        <f>IF($L133="",DATE(1900,1,1),$L133)</f>
        <v/>
      </c>
      <c r="O133" s="35">
        <f>IF($M133="",DATE(2100,12,31),$M133)</f>
        <v/>
      </c>
      <c r="P133" s="20" t="inlineStr"/>
      <c r="Q133" s="43" t="inlineStr"/>
      <c r="R133" s="16">
        <f>IF($C133="","",IFERROR(IF(INDEX(Deals!$U$2:$U$355,MATCH($C133,Deals!$A$2:$A$355,0))=0,"",INDEX(Deals!$U$2:$U$355,MATCH($C133,Deals!$A$2:$A$355,0))),""))</f>
        <v/>
      </c>
      <c r="S133" s="34">
        <f>IFERROR(IF($U133="",1,INDEX(Deals!$V$2:$V$355,MATCH($C133,Deals!$A$2:$A$355,0))),1)</f>
        <v/>
      </c>
      <c r="T133" s="34">
        <f>IFERROR(IF($U133="",1,INDEX(Deals!$W$2:$W$355,MATCH($C133,Deals!$A$2:$A$355,0))),1)</f>
        <v/>
      </c>
      <c r="U133" s="22">
        <f>IF($C133="","",IFERROR(IF(INDEX(Deals!$Y$2:$Y$355,MATCH($C133,Deals!$A$2:$A$355,0))=0,"",INDEX(Deals!$Y$2:$Y$355,MATCH($C133,Deals!$A$2:$A$355,0))),""))</f>
        <v/>
      </c>
      <c r="V133" s="35">
        <f>IF($U133="",DATE(1900,1,1),$N133)</f>
        <v/>
      </c>
      <c r="W133" s="35">
        <f>IF($U133="",DATE(2100,12,31),$U133)</f>
        <v/>
      </c>
      <c r="X133" s="32">
        <f>IF($U133="",$K133,$K133*$S133)</f>
        <v/>
      </c>
      <c r="Y133" s="35">
        <f>IF($U133="",DATE(2100,12,31),$U133+1)</f>
        <v/>
      </c>
      <c r="Z133" s="35">
        <f>IF($U133="",DATE(1900,1,1),$O133)</f>
        <v/>
      </c>
      <c r="AA133" s="32">
        <f>IF($U133="",0,$K133*$T133)</f>
        <v/>
      </c>
      <c r="AB133" s="21">
        <f>IF($C133="",0,IFERROR(INDEX(Deals!$AD$2:$AD$355,MATCH($C133,Deals!$A$2:$A$355,0)),0))</f>
        <v/>
      </c>
      <c r="AC133" s="32">
        <f>IF(Settings!$B$4="Yes",$I133*$AB133,$I133)</f>
        <v/>
      </c>
      <c r="AD133" s="22">
        <f>IF($C133="","",IFERROR(IF(INDEX(Deals!$AE$2:$AE$355,MATCH($C133,Deals!$A$2:$A$355,0))=0,"",INDEX(Deals!$AE$2:$AE$355,MATCH($C133,Deals!$A$2:$A$355,0))),""))</f>
        <v/>
      </c>
      <c r="AE133" s="22">
        <f>IF($C133="","",IFERROR(IF(INDEX(Deals!$AF$2:$AF$355,MATCH($C133,Deals!$A$2:$A$355,0))=0,"",INDEX(Deals!$AF$2:$AF$355,MATCH($C133,Deals!$A$2:$A$355,0))),""))</f>
        <v/>
      </c>
      <c r="AF133" s="35">
        <f>IF($AD133="",DATE(1900,1,1),$AD133)</f>
        <v/>
      </c>
      <c r="AG133" s="35">
        <f>IF($AE133="",DATE(2100,12,31),$AE133)</f>
        <v/>
      </c>
      <c r="AH133" s="22">
        <f>IF($C133="","",IFERROR(IF(INDEX(Deals!$AG$2:$AG$355,MATCH($C133,Deals!$A$2:$A$355,0))=0,"",INDEX(Deals!$AG$2:$AG$355,MATCH($C133,Deals!$A$2:$A$355,0))),""))</f>
        <v/>
      </c>
      <c r="AI133" s="35">
        <f>IF($AH133="",DATE(1900,1,1),$AF133)</f>
        <v/>
      </c>
      <c r="AJ133" s="35">
        <f>IF($AH133="",DATE(2100,12,31),$AH133)</f>
        <v/>
      </c>
      <c r="AK133" s="32">
        <f>IF($AH133="",$AC133,$AC133*$S133)</f>
        <v/>
      </c>
      <c r="AL133" s="35">
        <f>IF($AH133="",DATE(2100,12,31),$AH133+1)</f>
        <v/>
      </c>
      <c r="AM133" s="35">
        <f>IF($AH133="",DATE(1900,1,1),$AG133)</f>
        <v/>
      </c>
      <c r="AN133" s="32">
        <f>IF($AH133="",0,$AC133*$T133)</f>
        <v/>
      </c>
    </row>
    <row r="134">
      <c r="A134" s="28" t="inlineStr">
        <is>
          <t>Zack</t>
        </is>
      </c>
      <c r="B134" s="16">
        <f>IF($A134="","",IFERROR(INDEX(Roster!$B$2:$B$40,MATCH($A134,Roster!$A$2:$A$40,0)),"?"))</f>
        <v/>
      </c>
      <c r="C134" s="28" t="inlineStr">
        <is>
          <t>Bledsoe_1</t>
        </is>
      </c>
      <c r="D134" s="16">
        <f>IF($C134="","",IFERROR(IF(INDEX(Deals!$C$2:$C$355,MATCH($C134,Deals!$A$2:$A$355,0))=0,"",INDEX(Deals!$C$2:$C$355,MATCH($C134,Deals!$A$2:$A$355,0))),"?"))</f>
        <v/>
      </c>
      <c r="E134" s="16">
        <f>IF($C134="","",IFERROR(INDEX(Deals!$F$2:$F$355,MATCH($C134,Deals!$A$2:$A$355,0)),"?"))</f>
        <v/>
      </c>
      <c r="F134" s="28" t="inlineStr">
        <is>
          <t>MD</t>
        </is>
      </c>
      <c r="G134" s="28" t="inlineStr">
        <is>
          <t>Active</t>
        </is>
      </c>
      <c r="H134" s="31" t="n"/>
      <c r="I134" s="32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1">
        <f>IF($C134="",0,IFERROR(INDEX(Deals!$H$2:$H$355,MATCH($C134,Deals!$A$2:$A$355,0)),0))</f>
        <v/>
      </c>
      <c r="K134" s="32">
        <f>IF(Settings!$B$4="Yes",$I134*$J134,$I134)</f>
        <v/>
      </c>
      <c r="L134" s="22">
        <f>IF($C134="","",IFERROR(IF(INDEX(Deals!$I$2:$I$355,MATCH($C134,Deals!$A$2:$A$355,0))=0,"",INDEX(Deals!$I$2:$I$355,MATCH($C134,Deals!$A$2:$A$355,0))),""))</f>
        <v/>
      </c>
      <c r="M134" s="22">
        <f>IF($C134="","",IFERROR(IF(INDEX(Deals!$J$2:$J$355,MATCH($C134,Deals!$A$2:$A$355,0))=0,"",INDEX(Deals!$J$2:$J$355,MATCH($C134,Deals!$A$2:$A$355,0))),""))</f>
        <v/>
      </c>
      <c r="N134" s="35">
        <f>IF($L134="",DATE(1900,1,1),$L134)</f>
        <v/>
      </c>
      <c r="O134" s="35">
        <f>IF($M134="",DATE(2100,12,31),$M134)</f>
        <v/>
      </c>
      <c r="P134" s="20" t="inlineStr"/>
      <c r="Q134" s="43" t="inlineStr"/>
      <c r="R134" s="16">
        <f>IF($C134="","",IFERROR(IF(INDEX(Deals!$U$2:$U$355,MATCH($C134,Deals!$A$2:$A$355,0))=0,"",INDEX(Deals!$U$2:$U$355,MATCH($C134,Deals!$A$2:$A$355,0))),""))</f>
        <v/>
      </c>
      <c r="S134" s="34">
        <f>IFERROR(IF($U134="",1,INDEX(Deals!$V$2:$V$355,MATCH($C134,Deals!$A$2:$A$355,0))),1)</f>
        <v/>
      </c>
      <c r="T134" s="34">
        <f>IFERROR(IF($U134="",1,INDEX(Deals!$W$2:$W$355,MATCH($C134,Deals!$A$2:$A$355,0))),1)</f>
        <v/>
      </c>
      <c r="U134" s="22">
        <f>IF($C134="","",IFERROR(IF(INDEX(Deals!$Y$2:$Y$355,MATCH($C134,Deals!$A$2:$A$355,0))=0,"",INDEX(Deals!$Y$2:$Y$355,MATCH($C134,Deals!$A$2:$A$355,0))),""))</f>
        <v/>
      </c>
      <c r="V134" s="35">
        <f>IF($U134="",DATE(1900,1,1),$N134)</f>
        <v/>
      </c>
      <c r="W134" s="35">
        <f>IF($U134="",DATE(2100,12,31),$U134)</f>
        <v/>
      </c>
      <c r="X134" s="32">
        <f>IF($U134="",$K134,$K134*$S134)</f>
        <v/>
      </c>
      <c r="Y134" s="35">
        <f>IF($U134="",DATE(2100,12,31),$U134+1)</f>
        <v/>
      </c>
      <c r="Z134" s="35">
        <f>IF($U134="",DATE(1900,1,1),$O134)</f>
        <v/>
      </c>
      <c r="AA134" s="32">
        <f>IF($U134="",0,$K134*$T134)</f>
        <v/>
      </c>
      <c r="AB134" s="21">
        <f>IF($C134="",0,IFERROR(INDEX(Deals!$AD$2:$AD$355,MATCH($C134,Deals!$A$2:$A$355,0)),0))</f>
        <v/>
      </c>
      <c r="AC134" s="32">
        <f>IF(Settings!$B$4="Yes",$I134*$AB134,$I134)</f>
        <v/>
      </c>
      <c r="AD134" s="22">
        <f>IF($C134="","",IFERROR(IF(INDEX(Deals!$AE$2:$AE$355,MATCH($C134,Deals!$A$2:$A$355,0))=0,"",INDEX(Deals!$AE$2:$AE$355,MATCH($C134,Deals!$A$2:$A$355,0))),""))</f>
        <v/>
      </c>
      <c r="AE134" s="22">
        <f>IF($C134="","",IFERROR(IF(INDEX(Deals!$AF$2:$AF$355,MATCH($C134,Deals!$A$2:$A$355,0))=0,"",INDEX(Deals!$AF$2:$AF$355,MATCH($C134,Deals!$A$2:$A$355,0))),""))</f>
        <v/>
      </c>
      <c r="AF134" s="35">
        <f>IF($AD134="",DATE(1900,1,1),$AD134)</f>
        <v/>
      </c>
      <c r="AG134" s="35">
        <f>IF($AE134="",DATE(2100,12,31),$AE134)</f>
        <v/>
      </c>
      <c r="AH134" s="22">
        <f>IF($C134="","",IFERROR(IF(INDEX(Deals!$AG$2:$AG$355,MATCH($C134,Deals!$A$2:$A$355,0))=0,"",INDEX(Deals!$AG$2:$AG$355,MATCH($C134,Deals!$A$2:$A$355,0))),""))</f>
        <v/>
      </c>
      <c r="AI134" s="35">
        <f>IF($AH134="",DATE(1900,1,1),$AF134)</f>
        <v/>
      </c>
      <c r="AJ134" s="35">
        <f>IF($AH134="",DATE(2100,12,31),$AH134)</f>
        <v/>
      </c>
      <c r="AK134" s="32">
        <f>IF($AH134="",$AC134,$AC134*$S134)</f>
        <v/>
      </c>
      <c r="AL134" s="35">
        <f>IF($AH134="",DATE(2100,12,31),$AH134+1)</f>
        <v/>
      </c>
      <c r="AM134" s="35">
        <f>IF($AH134="",DATE(1900,1,1),$AG134)</f>
        <v/>
      </c>
      <c r="AN134" s="32">
        <f>IF($AH134="",0,$AC134*$T134)</f>
        <v/>
      </c>
    </row>
    <row r="135">
      <c r="A135" s="28" t="inlineStr">
        <is>
          <t>Zack</t>
        </is>
      </c>
      <c r="B135" s="16">
        <f>IF($A135="","",IFERROR(INDEX(Roster!$B$2:$B$40,MATCH($A135,Roster!$A$2:$A$40,0)),"?"))</f>
        <v/>
      </c>
      <c r="C135" s="28" t="inlineStr">
        <is>
          <t>CAN Rail_1</t>
        </is>
      </c>
      <c r="D135" s="16">
        <f>IF($C135="","",IFERROR(IF(INDEX(Deals!$C$2:$C$355,MATCH($C135,Deals!$A$2:$A$355,0))=0,"",INDEX(Deals!$C$2:$C$355,MATCH($C135,Deals!$A$2:$A$355,0))),"?"))</f>
        <v/>
      </c>
      <c r="E135" s="16">
        <f>IF($C135="","",IFERROR(INDEX(Deals!$F$2:$F$355,MATCH($C135,Deals!$A$2:$A$355,0)),"?"))</f>
        <v/>
      </c>
      <c r="F135" s="28" t="inlineStr">
        <is>
          <t>MD</t>
        </is>
      </c>
      <c r="G135" s="28" t="inlineStr">
        <is>
          <t>Active</t>
        </is>
      </c>
      <c r="H135" s="31" t="n"/>
      <c r="I135" s="32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1">
        <f>IF($C135="",0,IFERROR(INDEX(Deals!$H$2:$H$355,MATCH($C135,Deals!$A$2:$A$355,0)),0))</f>
        <v/>
      </c>
      <c r="K135" s="32">
        <f>IF(Settings!$B$4="Yes",$I135*$J135,$I135)</f>
        <v/>
      </c>
      <c r="L135" s="22">
        <f>IF($C135="","",IFERROR(IF(INDEX(Deals!$I$2:$I$355,MATCH($C135,Deals!$A$2:$A$355,0))=0,"",INDEX(Deals!$I$2:$I$355,MATCH($C135,Deals!$A$2:$A$355,0))),""))</f>
        <v/>
      </c>
      <c r="M135" s="22">
        <f>IF($C135="","",IFERROR(IF(INDEX(Deals!$J$2:$J$355,MATCH($C135,Deals!$A$2:$A$355,0))=0,"",INDEX(Deals!$J$2:$J$355,MATCH($C135,Deals!$A$2:$A$355,0))),""))</f>
        <v/>
      </c>
      <c r="N135" s="35">
        <f>IF($L135="",DATE(1900,1,1),$L135)</f>
        <v/>
      </c>
      <c r="O135" s="35">
        <f>IF($M135="",DATE(2100,12,31),$M135)</f>
        <v/>
      </c>
      <c r="P135" s="20" t="inlineStr"/>
      <c r="Q135" s="43" t="inlineStr"/>
      <c r="R135" s="16">
        <f>IF($C135="","",IFERROR(IF(INDEX(Deals!$U$2:$U$355,MATCH($C135,Deals!$A$2:$A$355,0))=0,"",INDEX(Deals!$U$2:$U$355,MATCH($C135,Deals!$A$2:$A$355,0))),""))</f>
        <v/>
      </c>
      <c r="S135" s="34">
        <f>IFERROR(IF($U135="",1,INDEX(Deals!$V$2:$V$355,MATCH($C135,Deals!$A$2:$A$355,0))),1)</f>
        <v/>
      </c>
      <c r="T135" s="34">
        <f>IFERROR(IF($U135="",1,INDEX(Deals!$W$2:$W$355,MATCH($C135,Deals!$A$2:$A$355,0))),1)</f>
        <v/>
      </c>
      <c r="U135" s="22">
        <f>IF($C135="","",IFERROR(IF(INDEX(Deals!$Y$2:$Y$355,MATCH($C135,Deals!$A$2:$A$355,0))=0,"",INDEX(Deals!$Y$2:$Y$355,MATCH($C135,Deals!$A$2:$A$355,0))),""))</f>
        <v/>
      </c>
      <c r="V135" s="35">
        <f>IF($U135="",DATE(1900,1,1),$N135)</f>
        <v/>
      </c>
      <c r="W135" s="35">
        <f>IF($U135="",DATE(2100,12,31),$U135)</f>
        <v/>
      </c>
      <c r="X135" s="32">
        <f>IF($U135="",$K135,$K135*$S135)</f>
        <v/>
      </c>
      <c r="Y135" s="35">
        <f>IF($U135="",DATE(2100,12,31),$U135+1)</f>
        <v/>
      </c>
      <c r="Z135" s="35">
        <f>IF($U135="",DATE(1900,1,1),$O135)</f>
        <v/>
      </c>
      <c r="AA135" s="32">
        <f>IF($U135="",0,$K135*$T135)</f>
        <v/>
      </c>
      <c r="AB135" s="21">
        <f>IF($C135="",0,IFERROR(INDEX(Deals!$AD$2:$AD$355,MATCH($C135,Deals!$A$2:$A$355,0)),0))</f>
        <v/>
      </c>
      <c r="AC135" s="32">
        <f>IF(Settings!$B$4="Yes",$I135*$AB135,$I135)</f>
        <v/>
      </c>
      <c r="AD135" s="22">
        <f>IF($C135="","",IFERROR(IF(INDEX(Deals!$AE$2:$AE$355,MATCH($C135,Deals!$A$2:$A$355,0))=0,"",INDEX(Deals!$AE$2:$AE$355,MATCH($C135,Deals!$A$2:$A$355,0))),""))</f>
        <v/>
      </c>
      <c r="AE135" s="22">
        <f>IF($C135="","",IFERROR(IF(INDEX(Deals!$AF$2:$AF$355,MATCH($C135,Deals!$A$2:$A$355,0))=0,"",INDEX(Deals!$AF$2:$AF$355,MATCH($C135,Deals!$A$2:$A$355,0))),""))</f>
        <v/>
      </c>
      <c r="AF135" s="35">
        <f>IF($AD135="",DATE(1900,1,1),$AD135)</f>
        <v/>
      </c>
      <c r="AG135" s="35">
        <f>IF($AE135="",DATE(2100,12,31),$AE135)</f>
        <v/>
      </c>
      <c r="AH135" s="22">
        <f>IF($C135="","",IFERROR(IF(INDEX(Deals!$AG$2:$AG$355,MATCH($C135,Deals!$A$2:$A$355,0))=0,"",INDEX(Deals!$AG$2:$AG$355,MATCH($C135,Deals!$A$2:$A$355,0))),""))</f>
        <v/>
      </c>
      <c r="AI135" s="35">
        <f>IF($AH135="",DATE(1900,1,1),$AF135)</f>
        <v/>
      </c>
      <c r="AJ135" s="35">
        <f>IF($AH135="",DATE(2100,12,31),$AH135)</f>
        <v/>
      </c>
      <c r="AK135" s="32">
        <f>IF($AH135="",$AC135,$AC135*$S135)</f>
        <v/>
      </c>
      <c r="AL135" s="35">
        <f>IF($AH135="",DATE(2100,12,31),$AH135+1)</f>
        <v/>
      </c>
      <c r="AM135" s="35">
        <f>IF($AH135="",DATE(1900,1,1),$AG135)</f>
        <v/>
      </c>
      <c r="AN135" s="32">
        <f>IF($AH135="",0,$AC135*$T135)</f>
        <v/>
      </c>
    </row>
    <row r="136">
      <c r="A136" s="28" t="inlineStr">
        <is>
          <t>Zack</t>
        </is>
      </c>
      <c r="B136" s="16">
        <f>IF($A136="","",IFERROR(INDEX(Roster!$B$2:$B$40,MATCH($A136,Roster!$A$2:$A$40,0)),"?"))</f>
        <v/>
      </c>
      <c r="C136" s="28" t="inlineStr">
        <is>
          <t>Canyon_1</t>
        </is>
      </c>
      <c r="D136" s="16">
        <f>IF($C136="","",IFERROR(IF(INDEX(Deals!$C$2:$C$355,MATCH($C136,Deals!$A$2:$A$355,0))=0,"",INDEX(Deals!$C$2:$C$355,MATCH($C136,Deals!$A$2:$A$355,0))),"?"))</f>
        <v/>
      </c>
      <c r="E136" s="16">
        <f>IF($C136="","",IFERROR(INDEX(Deals!$F$2:$F$355,MATCH($C136,Deals!$A$2:$A$355,0)),"?"))</f>
        <v/>
      </c>
      <c r="F136" s="28" t="inlineStr">
        <is>
          <t>MD</t>
        </is>
      </c>
      <c r="G136" s="28" t="inlineStr">
        <is>
          <t>Inactive</t>
        </is>
      </c>
      <c r="H136" s="31" t="n"/>
      <c r="I136" s="32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1">
        <f>IF($C136="",0,IFERROR(INDEX(Deals!$H$2:$H$355,MATCH($C136,Deals!$A$2:$A$355,0)),0))</f>
        <v/>
      </c>
      <c r="K136" s="32">
        <f>IF(Settings!$B$4="Yes",$I136*$J136,$I136)</f>
        <v/>
      </c>
      <c r="L136" s="22">
        <f>IF($C136="","",IFERROR(IF(INDEX(Deals!$I$2:$I$355,MATCH($C136,Deals!$A$2:$A$355,0))=0,"",INDEX(Deals!$I$2:$I$355,MATCH($C136,Deals!$A$2:$A$355,0))),""))</f>
        <v/>
      </c>
      <c r="M136" s="22">
        <f>IF($C136="","",IFERROR(IF(INDEX(Deals!$J$2:$J$355,MATCH($C136,Deals!$A$2:$A$355,0))=0,"",INDEX(Deals!$J$2:$J$355,MATCH($C136,Deals!$A$2:$A$355,0))),""))</f>
        <v/>
      </c>
      <c r="N136" s="35">
        <f>IF($L136="",DATE(1900,1,1),$L136)</f>
        <v/>
      </c>
      <c r="O136" s="35">
        <f>IF($M136="",DATE(2100,12,31),$M136)</f>
        <v/>
      </c>
      <c r="P136" s="20" t="inlineStr"/>
      <c r="Q136" s="43" t="inlineStr">
        <is>
          <t>Deal lifecycle is Dead</t>
        </is>
      </c>
      <c r="R136" s="16">
        <f>IF($C136="","",IFERROR(IF(INDEX(Deals!$U$2:$U$355,MATCH($C136,Deals!$A$2:$A$355,0))=0,"",INDEX(Deals!$U$2:$U$355,MATCH($C136,Deals!$A$2:$A$355,0))),""))</f>
        <v/>
      </c>
      <c r="S136" s="34">
        <f>IFERROR(IF($U136="",1,INDEX(Deals!$V$2:$V$355,MATCH($C136,Deals!$A$2:$A$355,0))),1)</f>
        <v/>
      </c>
      <c r="T136" s="34">
        <f>IFERROR(IF($U136="",1,INDEX(Deals!$W$2:$W$355,MATCH($C136,Deals!$A$2:$A$355,0))),1)</f>
        <v/>
      </c>
      <c r="U136" s="22">
        <f>IF($C136="","",IFERROR(IF(INDEX(Deals!$Y$2:$Y$355,MATCH($C136,Deals!$A$2:$A$355,0))=0,"",INDEX(Deals!$Y$2:$Y$355,MATCH($C136,Deals!$A$2:$A$355,0))),""))</f>
        <v/>
      </c>
      <c r="V136" s="35">
        <f>IF($U136="",DATE(1900,1,1),$N136)</f>
        <v/>
      </c>
      <c r="W136" s="35">
        <f>IF($U136="",DATE(2100,12,31),$U136)</f>
        <v/>
      </c>
      <c r="X136" s="32">
        <f>IF($U136="",$K136,$K136*$S136)</f>
        <v/>
      </c>
      <c r="Y136" s="35">
        <f>IF($U136="",DATE(2100,12,31),$U136+1)</f>
        <v/>
      </c>
      <c r="Z136" s="35">
        <f>IF($U136="",DATE(1900,1,1),$O136)</f>
        <v/>
      </c>
      <c r="AA136" s="32">
        <f>IF($U136="",0,$K136*$T136)</f>
        <v/>
      </c>
      <c r="AB136" s="21">
        <f>IF($C136="",0,IFERROR(INDEX(Deals!$AD$2:$AD$355,MATCH($C136,Deals!$A$2:$A$355,0)),0))</f>
        <v/>
      </c>
      <c r="AC136" s="32">
        <f>IF(Settings!$B$4="Yes",$I136*$AB136,$I136)</f>
        <v/>
      </c>
      <c r="AD136" s="22">
        <f>IF($C136="","",IFERROR(IF(INDEX(Deals!$AE$2:$AE$355,MATCH($C136,Deals!$A$2:$A$355,0))=0,"",INDEX(Deals!$AE$2:$AE$355,MATCH($C136,Deals!$A$2:$A$355,0))),""))</f>
        <v/>
      </c>
      <c r="AE136" s="22">
        <f>IF($C136="","",IFERROR(IF(INDEX(Deals!$AF$2:$AF$355,MATCH($C136,Deals!$A$2:$A$355,0))=0,"",INDEX(Deals!$AF$2:$AF$355,MATCH($C136,Deals!$A$2:$A$355,0))),""))</f>
        <v/>
      </c>
      <c r="AF136" s="35">
        <f>IF($AD136="",DATE(1900,1,1),$AD136)</f>
        <v/>
      </c>
      <c r="AG136" s="35">
        <f>IF($AE136="",DATE(2100,12,31),$AE136)</f>
        <v/>
      </c>
      <c r="AH136" s="22">
        <f>IF($C136="","",IFERROR(IF(INDEX(Deals!$AG$2:$AG$355,MATCH($C136,Deals!$A$2:$A$355,0))=0,"",INDEX(Deals!$AG$2:$AG$355,MATCH($C136,Deals!$A$2:$A$355,0))),""))</f>
        <v/>
      </c>
      <c r="AI136" s="35">
        <f>IF($AH136="",DATE(1900,1,1),$AF136)</f>
        <v/>
      </c>
      <c r="AJ136" s="35">
        <f>IF($AH136="",DATE(2100,12,31),$AH136)</f>
        <v/>
      </c>
      <c r="AK136" s="32">
        <f>IF($AH136="",$AC136,$AC136*$S136)</f>
        <v/>
      </c>
      <c r="AL136" s="35">
        <f>IF($AH136="",DATE(2100,12,31),$AH136+1)</f>
        <v/>
      </c>
      <c r="AM136" s="35">
        <f>IF($AH136="",DATE(1900,1,1),$AG136)</f>
        <v/>
      </c>
      <c r="AN136" s="32">
        <f>IF($AH136="",0,$AC136*$T136)</f>
        <v/>
      </c>
    </row>
    <row r="137">
      <c r="A137" s="28" t="inlineStr">
        <is>
          <t>Zack</t>
        </is>
      </c>
      <c r="B137" s="16">
        <f>IF($A137="","",IFERROR(INDEX(Roster!$B$2:$B$40,MATCH($A137,Roster!$A$2:$A$40,0)),"?"))</f>
        <v/>
      </c>
      <c r="C137" s="28" t="inlineStr">
        <is>
          <t>Challenger_1</t>
        </is>
      </c>
      <c r="D137" s="16">
        <f>IF($C137="","",IFERROR(IF(INDEX(Deals!$C$2:$C$355,MATCH($C137,Deals!$A$2:$A$355,0))=0,"",INDEX(Deals!$C$2:$C$355,MATCH($C137,Deals!$A$2:$A$355,0))),"?"))</f>
        <v/>
      </c>
      <c r="E137" s="16">
        <f>IF($C137="","",IFERROR(INDEX(Deals!$F$2:$F$355,MATCH($C137,Deals!$A$2:$A$355,0)),"?"))</f>
        <v/>
      </c>
      <c r="F137" s="28" t="inlineStr">
        <is>
          <t>MD</t>
        </is>
      </c>
      <c r="G137" s="28" t="inlineStr">
        <is>
          <t>Active</t>
        </is>
      </c>
      <c r="H137" s="31" t="n"/>
      <c r="I137" s="32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1">
        <f>IF($C137="",0,IFERROR(INDEX(Deals!$H$2:$H$355,MATCH($C137,Deals!$A$2:$A$355,0)),0))</f>
        <v/>
      </c>
      <c r="K137" s="32">
        <f>IF(Settings!$B$4="Yes",$I137*$J137,$I137)</f>
        <v/>
      </c>
      <c r="L137" s="22">
        <f>IF($C137="","",IFERROR(IF(INDEX(Deals!$I$2:$I$355,MATCH($C137,Deals!$A$2:$A$355,0))=0,"",INDEX(Deals!$I$2:$I$355,MATCH($C137,Deals!$A$2:$A$355,0))),""))</f>
        <v/>
      </c>
      <c r="M137" s="22">
        <f>IF($C137="","",IFERROR(IF(INDEX(Deals!$J$2:$J$355,MATCH($C137,Deals!$A$2:$A$355,0))=0,"",INDEX(Deals!$J$2:$J$355,MATCH($C137,Deals!$A$2:$A$355,0))),""))</f>
        <v/>
      </c>
      <c r="N137" s="35">
        <f>IF($L137="",DATE(1900,1,1),$L137)</f>
        <v/>
      </c>
      <c r="O137" s="35">
        <f>IF($M137="",DATE(2100,12,31),$M137)</f>
        <v/>
      </c>
      <c r="P137" s="20" t="inlineStr"/>
      <c r="Q137" s="43" t="inlineStr"/>
      <c r="R137" s="16">
        <f>IF($C137="","",IFERROR(IF(INDEX(Deals!$U$2:$U$355,MATCH($C137,Deals!$A$2:$A$355,0))=0,"",INDEX(Deals!$U$2:$U$355,MATCH($C137,Deals!$A$2:$A$355,0))),""))</f>
        <v/>
      </c>
      <c r="S137" s="34">
        <f>IFERROR(IF($U137="",1,INDEX(Deals!$V$2:$V$355,MATCH($C137,Deals!$A$2:$A$355,0))),1)</f>
        <v/>
      </c>
      <c r="T137" s="34">
        <f>IFERROR(IF($U137="",1,INDEX(Deals!$W$2:$W$355,MATCH($C137,Deals!$A$2:$A$355,0))),1)</f>
        <v/>
      </c>
      <c r="U137" s="22">
        <f>IF($C137="","",IFERROR(IF(INDEX(Deals!$Y$2:$Y$355,MATCH($C137,Deals!$A$2:$A$355,0))=0,"",INDEX(Deals!$Y$2:$Y$355,MATCH($C137,Deals!$A$2:$A$355,0))),""))</f>
        <v/>
      </c>
      <c r="V137" s="35">
        <f>IF($U137="",DATE(1900,1,1),$N137)</f>
        <v/>
      </c>
      <c r="W137" s="35">
        <f>IF($U137="",DATE(2100,12,31),$U137)</f>
        <v/>
      </c>
      <c r="X137" s="32">
        <f>IF($U137="",$K137,$K137*$S137)</f>
        <v/>
      </c>
      <c r="Y137" s="35">
        <f>IF($U137="",DATE(2100,12,31),$U137+1)</f>
        <v/>
      </c>
      <c r="Z137" s="35">
        <f>IF($U137="",DATE(1900,1,1),$O137)</f>
        <v/>
      </c>
      <c r="AA137" s="32">
        <f>IF($U137="",0,$K137*$T137)</f>
        <v/>
      </c>
      <c r="AB137" s="21">
        <f>IF($C137="",0,IFERROR(INDEX(Deals!$AD$2:$AD$355,MATCH($C137,Deals!$A$2:$A$355,0)),0))</f>
        <v/>
      </c>
      <c r="AC137" s="32">
        <f>IF(Settings!$B$4="Yes",$I137*$AB137,$I137)</f>
        <v/>
      </c>
      <c r="AD137" s="22">
        <f>IF($C137="","",IFERROR(IF(INDEX(Deals!$AE$2:$AE$355,MATCH($C137,Deals!$A$2:$A$355,0))=0,"",INDEX(Deals!$AE$2:$AE$355,MATCH($C137,Deals!$A$2:$A$355,0))),""))</f>
        <v/>
      </c>
      <c r="AE137" s="22">
        <f>IF($C137="","",IFERROR(IF(INDEX(Deals!$AF$2:$AF$355,MATCH($C137,Deals!$A$2:$A$355,0))=0,"",INDEX(Deals!$AF$2:$AF$355,MATCH($C137,Deals!$A$2:$A$355,0))),""))</f>
        <v/>
      </c>
      <c r="AF137" s="35">
        <f>IF($AD137="",DATE(1900,1,1),$AD137)</f>
        <v/>
      </c>
      <c r="AG137" s="35">
        <f>IF($AE137="",DATE(2100,12,31),$AE137)</f>
        <v/>
      </c>
      <c r="AH137" s="22">
        <f>IF($C137="","",IFERROR(IF(INDEX(Deals!$AG$2:$AG$355,MATCH($C137,Deals!$A$2:$A$355,0))=0,"",INDEX(Deals!$AG$2:$AG$355,MATCH($C137,Deals!$A$2:$A$355,0))),""))</f>
        <v/>
      </c>
      <c r="AI137" s="35">
        <f>IF($AH137="",DATE(1900,1,1),$AF137)</f>
        <v/>
      </c>
      <c r="AJ137" s="35">
        <f>IF($AH137="",DATE(2100,12,31),$AH137)</f>
        <v/>
      </c>
      <c r="AK137" s="32">
        <f>IF($AH137="",$AC137,$AC137*$S137)</f>
        <v/>
      </c>
      <c r="AL137" s="35">
        <f>IF($AH137="",DATE(2100,12,31),$AH137+1)</f>
        <v/>
      </c>
      <c r="AM137" s="35">
        <f>IF($AH137="",DATE(1900,1,1),$AG137)</f>
        <v/>
      </c>
      <c r="AN137" s="32">
        <f>IF($AH137="",0,$AC137*$T137)</f>
        <v/>
      </c>
    </row>
    <row r="138">
      <c r="A138" s="28" t="inlineStr">
        <is>
          <t>Zack</t>
        </is>
      </c>
      <c r="B138" s="16">
        <f>IF($A138="","",IFERROR(INDEX(Roster!$B$2:$B$40,MATCH($A138,Roster!$A$2:$A$40,0)),"?"))</f>
        <v/>
      </c>
      <c r="C138" s="28" t="inlineStr">
        <is>
          <t>Cotton_1</t>
        </is>
      </c>
      <c r="D138" s="16">
        <f>IF($C138="","",IFERROR(IF(INDEX(Deals!$C$2:$C$355,MATCH($C138,Deals!$A$2:$A$355,0))=0,"",INDEX(Deals!$C$2:$C$355,MATCH($C138,Deals!$A$2:$A$355,0))),"?"))</f>
        <v/>
      </c>
      <c r="E138" s="16">
        <f>IF($C138="","",IFERROR(INDEX(Deals!$F$2:$F$355,MATCH($C138,Deals!$A$2:$A$355,0)),"?"))</f>
        <v/>
      </c>
      <c r="F138" s="28" t="inlineStr">
        <is>
          <t>MD</t>
        </is>
      </c>
      <c r="G138" s="28" t="inlineStr">
        <is>
          <t>Active</t>
        </is>
      </c>
      <c r="H138" s="31" t="n"/>
      <c r="I138" s="32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1">
        <f>IF($C138="",0,IFERROR(INDEX(Deals!$H$2:$H$355,MATCH($C138,Deals!$A$2:$A$355,0)),0))</f>
        <v/>
      </c>
      <c r="K138" s="32">
        <f>IF(Settings!$B$4="Yes",$I138*$J138,$I138)</f>
        <v/>
      </c>
      <c r="L138" s="22">
        <f>IF($C138="","",IFERROR(IF(INDEX(Deals!$I$2:$I$355,MATCH($C138,Deals!$A$2:$A$355,0))=0,"",INDEX(Deals!$I$2:$I$355,MATCH($C138,Deals!$A$2:$A$355,0))),""))</f>
        <v/>
      </c>
      <c r="M138" s="22">
        <f>IF($C138="","",IFERROR(IF(INDEX(Deals!$J$2:$J$355,MATCH($C138,Deals!$A$2:$A$355,0))=0,"",INDEX(Deals!$J$2:$J$355,MATCH($C138,Deals!$A$2:$A$355,0))),""))</f>
        <v/>
      </c>
      <c r="N138" s="35">
        <f>IF($L138="",DATE(1900,1,1),$L138)</f>
        <v/>
      </c>
      <c r="O138" s="35">
        <f>IF($M138="",DATE(2100,12,31),$M138)</f>
        <v/>
      </c>
      <c r="P138" s="20" t="inlineStr"/>
      <c r="Q138" s="43" t="inlineStr"/>
      <c r="R138" s="16">
        <f>IF($C138="","",IFERROR(IF(INDEX(Deals!$U$2:$U$355,MATCH($C138,Deals!$A$2:$A$355,0))=0,"",INDEX(Deals!$U$2:$U$355,MATCH($C138,Deals!$A$2:$A$355,0))),""))</f>
        <v/>
      </c>
      <c r="S138" s="34">
        <f>IFERROR(IF($U138="",1,INDEX(Deals!$V$2:$V$355,MATCH($C138,Deals!$A$2:$A$355,0))),1)</f>
        <v/>
      </c>
      <c r="T138" s="34">
        <f>IFERROR(IF($U138="",1,INDEX(Deals!$W$2:$W$355,MATCH($C138,Deals!$A$2:$A$355,0))),1)</f>
        <v/>
      </c>
      <c r="U138" s="22">
        <f>IF($C138="","",IFERROR(IF(INDEX(Deals!$Y$2:$Y$355,MATCH($C138,Deals!$A$2:$A$355,0))=0,"",INDEX(Deals!$Y$2:$Y$355,MATCH($C138,Deals!$A$2:$A$355,0))),""))</f>
        <v/>
      </c>
      <c r="V138" s="35">
        <f>IF($U138="",DATE(1900,1,1),$N138)</f>
        <v/>
      </c>
      <c r="W138" s="35">
        <f>IF($U138="",DATE(2100,12,31),$U138)</f>
        <v/>
      </c>
      <c r="X138" s="32">
        <f>IF($U138="",$K138,$K138*$S138)</f>
        <v/>
      </c>
      <c r="Y138" s="35">
        <f>IF($U138="",DATE(2100,12,31),$U138+1)</f>
        <v/>
      </c>
      <c r="Z138" s="35">
        <f>IF($U138="",DATE(1900,1,1),$O138)</f>
        <v/>
      </c>
      <c r="AA138" s="32">
        <f>IF($U138="",0,$K138*$T138)</f>
        <v/>
      </c>
      <c r="AB138" s="21">
        <f>IF($C138="",0,IFERROR(INDEX(Deals!$AD$2:$AD$355,MATCH($C138,Deals!$A$2:$A$355,0)),0))</f>
        <v/>
      </c>
      <c r="AC138" s="32">
        <f>IF(Settings!$B$4="Yes",$I138*$AB138,$I138)</f>
        <v/>
      </c>
      <c r="AD138" s="22">
        <f>IF($C138="","",IFERROR(IF(INDEX(Deals!$AE$2:$AE$355,MATCH($C138,Deals!$A$2:$A$355,0))=0,"",INDEX(Deals!$AE$2:$AE$355,MATCH($C138,Deals!$A$2:$A$355,0))),""))</f>
        <v/>
      </c>
      <c r="AE138" s="22">
        <f>IF($C138="","",IFERROR(IF(INDEX(Deals!$AF$2:$AF$355,MATCH($C138,Deals!$A$2:$A$355,0))=0,"",INDEX(Deals!$AF$2:$AF$355,MATCH($C138,Deals!$A$2:$A$355,0))),""))</f>
        <v/>
      </c>
      <c r="AF138" s="35">
        <f>IF($AD138="",DATE(1900,1,1),$AD138)</f>
        <v/>
      </c>
      <c r="AG138" s="35">
        <f>IF($AE138="",DATE(2100,12,31),$AE138)</f>
        <v/>
      </c>
      <c r="AH138" s="22">
        <f>IF($C138="","",IFERROR(IF(INDEX(Deals!$AG$2:$AG$355,MATCH($C138,Deals!$A$2:$A$355,0))=0,"",INDEX(Deals!$AG$2:$AG$355,MATCH($C138,Deals!$A$2:$A$355,0))),""))</f>
        <v/>
      </c>
      <c r="AI138" s="35">
        <f>IF($AH138="",DATE(1900,1,1),$AF138)</f>
        <v/>
      </c>
      <c r="AJ138" s="35">
        <f>IF($AH138="",DATE(2100,12,31),$AH138)</f>
        <v/>
      </c>
      <c r="AK138" s="32">
        <f>IF($AH138="",$AC138,$AC138*$S138)</f>
        <v/>
      </c>
      <c r="AL138" s="35">
        <f>IF($AH138="",DATE(2100,12,31),$AH138+1)</f>
        <v/>
      </c>
      <c r="AM138" s="35">
        <f>IF($AH138="",DATE(1900,1,1),$AG138)</f>
        <v/>
      </c>
      <c r="AN138" s="32">
        <f>IF($AH138="",0,$AC138*$T138)</f>
        <v/>
      </c>
    </row>
    <row r="139">
      <c r="A139" s="28" t="inlineStr">
        <is>
          <t>Zack</t>
        </is>
      </c>
      <c r="B139" s="16">
        <f>IF($A139="","",IFERROR(INDEX(Roster!$B$2:$B$40,MATCH($A139,Roster!$A$2:$A$40,0)),"?"))</f>
        <v/>
      </c>
      <c r="C139" s="28" t="inlineStr">
        <is>
          <t>Denali_3</t>
        </is>
      </c>
      <c r="D139" s="16">
        <f>IF($C139="","",IFERROR(IF(INDEX(Deals!$C$2:$C$355,MATCH($C139,Deals!$A$2:$A$355,0))=0,"",INDEX(Deals!$C$2:$C$355,MATCH($C139,Deals!$A$2:$A$355,0))),"?"))</f>
        <v/>
      </c>
      <c r="E139" s="16">
        <f>IF($C139="","",IFERROR(INDEX(Deals!$F$2:$F$355,MATCH($C139,Deals!$A$2:$A$355,0)),"?"))</f>
        <v/>
      </c>
      <c r="F139" s="28" t="inlineStr">
        <is>
          <t>MD</t>
        </is>
      </c>
      <c r="G139" s="28" t="inlineStr">
        <is>
          <t>Active</t>
        </is>
      </c>
      <c r="H139" s="31" t="n"/>
      <c r="I139" s="32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1">
        <f>IF($C139="",0,IFERROR(INDEX(Deals!$H$2:$H$355,MATCH($C139,Deals!$A$2:$A$355,0)),0))</f>
        <v/>
      </c>
      <c r="K139" s="32">
        <f>IF(Settings!$B$4="Yes",$I139*$J139,$I139)</f>
        <v/>
      </c>
      <c r="L139" s="22">
        <f>IF($C139="","",IFERROR(IF(INDEX(Deals!$I$2:$I$355,MATCH($C139,Deals!$A$2:$A$355,0))=0,"",INDEX(Deals!$I$2:$I$355,MATCH($C139,Deals!$A$2:$A$355,0))),""))</f>
        <v/>
      </c>
      <c r="M139" s="22">
        <f>IF($C139="","",IFERROR(IF(INDEX(Deals!$J$2:$J$355,MATCH($C139,Deals!$A$2:$A$355,0))=0,"",INDEX(Deals!$J$2:$J$355,MATCH($C139,Deals!$A$2:$A$355,0))),""))</f>
        <v/>
      </c>
      <c r="N139" s="35">
        <f>IF($L139="",DATE(1900,1,1),$L139)</f>
        <v/>
      </c>
      <c r="O139" s="35">
        <f>IF($M139="",DATE(2100,12,31),$M139)</f>
        <v/>
      </c>
      <c r="P139" s="20" t="inlineStr"/>
      <c r="Q139" s="43" t="inlineStr"/>
      <c r="R139" s="16">
        <f>IF($C139="","",IFERROR(IF(INDEX(Deals!$U$2:$U$355,MATCH($C139,Deals!$A$2:$A$355,0))=0,"",INDEX(Deals!$U$2:$U$355,MATCH($C139,Deals!$A$2:$A$355,0))),""))</f>
        <v/>
      </c>
      <c r="S139" s="34">
        <f>IFERROR(IF($U139="",1,INDEX(Deals!$V$2:$V$355,MATCH($C139,Deals!$A$2:$A$355,0))),1)</f>
        <v/>
      </c>
      <c r="T139" s="34">
        <f>IFERROR(IF($U139="",1,INDEX(Deals!$W$2:$W$355,MATCH($C139,Deals!$A$2:$A$355,0))),1)</f>
        <v/>
      </c>
      <c r="U139" s="22">
        <f>IF($C139="","",IFERROR(IF(INDEX(Deals!$Y$2:$Y$355,MATCH($C139,Deals!$A$2:$A$355,0))=0,"",INDEX(Deals!$Y$2:$Y$355,MATCH($C139,Deals!$A$2:$A$355,0))),""))</f>
        <v/>
      </c>
      <c r="V139" s="35">
        <f>IF($U139="",DATE(1900,1,1),$N139)</f>
        <v/>
      </c>
      <c r="W139" s="35">
        <f>IF($U139="",DATE(2100,12,31),$U139)</f>
        <v/>
      </c>
      <c r="X139" s="32">
        <f>IF($U139="",$K139,$K139*$S139)</f>
        <v/>
      </c>
      <c r="Y139" s="35">
        <f>IF($U139="",DATE(2100,12,31),$U139+1)</f>
        <v/>
      </c>
      <c r="Z139" s="35">
        <f>IF($U139="",DATE(1900,1,1),$O139)</f>
        <v/>
      </c>
      <c r="AA139" s="32">
        <f>IF($U139="",0,$K139*$T139)</f>
        <v/>
      </c>
      <c r="AB139" s="21">
        <f>IF($C139="",0,IFERROR(INDEX(Deals!$AD$2:$AD$355,MATCH($C139,Deals!$A$2:$A$355,0)),0))</f>
        <v/>
      </c>
      <c r="AC139" s="32">
        <f>IF(Settings!$B$4="Yes",$I139*$AB139,$I139)</f>
        <v/>
      </c>
      <c r="AD139" s="22">
        <f>IF($C139="","",IFERROR(IF(INDEX(Deals!$AE$2:$AE$355,MATCH($C139,Deals!$A$2:$A$355,0))=0,"",INDEX(Deals!$AE$2:$AE$355,MATCH($C139,Deals!$A$2:$A$355,0))),""))</f>
        <v/>
      </c>
      <c r="AE139" s="22">
        <f>IF($C139="","",IFERROR(IF(INDEX(Deals!$AF$2:$AF$355,MATCH($C139,Deals!$A$2:$A$355,0))=0,"",INDEX(Deals!$AF$2:$AF$355,MATCH($C139,Deals!$A$2:$A$355,0))),""))</f>
        <v/>
      </c>
      <c r="AF139" s="35">
        <f>IF($AD139="",DATE(1900,1,1),$AD139)</f>
        <v/>
      </c>
      <c r="AG139" s="35">
        <f>IF($AE139="",DATE(2100,12,31),$AE139)</f>
        <v/>
      </c>
      <c r="AH139" s="22">
        <f>IF($C139="","",IFERROR(IF(INDEX(Deals!$AG$2:$AG$355,MATCH($C139,Deals!$A$2:$A$355,0))=0,"",INDEX(Deals!$AG$2:$AG$355,MATCH($C139,Deals!$A$2:$A$355,0))),""))</f>
        <v/>
      </c>
      <c r="AI139" s="35">
        <f>IF($AH139="",DATE(1900,1,1),$AF139)</f>
        <v/>
      </c>
      <c r="AJ139" s="35">
        <f>IF($AH139="",DATE(2100,12,31),$AH139)</f>
        <v/>
      </c>
      <c r="AK139" s="32">
        <f>IF($AH139="",$AC139,$AC139*$S139)</f>
        <v/>
      </c>
      <c r="AL139" s="35">
        <f>IF($AH139="",DATE(2100,12,31),$AH139+1)</f>
        <v/>
      </c>
      <c r="AM139" s="35">
        <f>IF($AH139="",DATE(1900,1,1),$AG139)</f>
        <v/>
      </c>
      <c r="AN139" s="32">
        <f>IF($AH139="",0,$AC139*$T139)</f>
        <v/>
      </c>
    </row>
    <row r="140">
      <c r="A140" s="28" t="inlineStr">
        <is>
          <t>Zack</t>
        </is>
      </c>
      <c r="B140" s="16">
        <f>IF($A140="","",IFERROR(INDEX(Roster!$B$2:$B$40,MATCH($A140,Roster!$A$2:$A$40,0)),"?"))</f>
        <v/>
      </c>
      <c r="C140" s="28" t="inlineStr">
        <is>
          <t>Fengate_4</t>
        </is>
      </c>
      <c r="D140" s="16">
        <f>IF($C140="","",IFERROR(IF(INDEX(Deals!$C$2:$C$355,MATCH($C140,Deals!$A$2:$A$355,0))=0,"",INDEX(Deals!$C$2:$C$355,MATCH($C140,Deals!$A$2:$A$355,0))),"?"))</f>
        <v/>
      </c>
      <c r="E140" s="16">
        <f>IF($C140="","",IFERROR(INDEX(Deals!$F$2:$F$355,MATCH($C140,Deals!$A$2:$A$355,0)),"?"))</f>
        <v/>
      </c>
      <c r="F140" s="28" t="inlineStr">
        <is>
          <t>MD</t>
        </is>
      </c>
      <c r="G140" s="28" t="inlineStr">
        <is>
          <t>Active</t>
        </is>
      </c>
      <c r="H140" s="31" t="n"/>
      <c r="I140" s="32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1">
        <f>IF($C140="",0,IFERROR(INDEX(Deals!$H$2:$H$355,MATCH($C140,Deals!$A$2:$A$355,0)),0))</f>
        <v/>
      </c>
      <c r="K140" s="32">
        <f>IF(Settings!$B$4="Yes",$I140*$J140,$I140)</f>
        <v/>
      </c>
      <c r="L140" s="22">
        <f>IF($C140="","",IFERROR(IF(INDEX(Deals!$I$2:$I$355,MATCH($C140,Deals!$A$2:$A$355,0))=0,"",INDEX(Deals!$I$2:$I$355,MATCH($C140,Deals!$A$2:$A$355,0))),""))</f>
        <v/>
      </c>
      <c r="M140" s="22">
        <f>IF($C140="","",IFERROR(IF(INDEX(Deals!$J$2:$J$355,MATCH($C140,Deals!$A$2:$A$355,0))=0,"",INDEX(Deals!$J$2:$J$355,MATCH($C140,Deals!$A$2:$A$355,0))),""))</f>
        <v/>
      </c>
      <c r="N140" s="35">
        <f>IF($L140="",DATE(1900,1,1),$L140)</f>
        <v/>
      </c>
      <c r="O140" s="35">
        <f>IF($M140="",DATE(2100,12,31),$M140)</f>
        <v/>
      </c>
      <c r="P140" s="20" t="inlineStr"/>
      <c r="Q140" s="43" t="inlineStr"/>
      <c r="R140" s="16">
        <f>IF($C140="","",IFERROR(IF(INDEX(Deals!$U$2:$U$355,MATCH($C140,Deals!$A$2:$A$355,0))=0,"",INDEX(Deals!$U$2:$U$355,MATCH($C140,Deals!$A$2:$A$355,0))),""))</f>
        <v/>
      </c>
      <c r="S140" s="34">
        <f>IFERROR(IF($U140="",1,INDEX(Deals!$V$2:$V$355,MATCH($C140,Deals!$A$2:$A$355,0))),1)</f>
        <v/>
      </c>
      <c r="T140" s="34">
        <f>IFERROR(IF($U140="",1,INDEX(Deals!$W$2:$W$355,MATCH($C140,Deals!$A$2:$A$355,0))),1)</f>
        <v/>
      </c>
      <c r="U140" s="22">
        <f>IF($C140="","",IFERROR(IF(INDEX(Deals!$Y$2:$Y$355,MATCH($C140,Deals!$A$2:$A$355,0))=0,"",INDEX(Deals!$Y$2:$Y$355,MATCH($C140,Deals!$A$2:$A$355,0))),""))</f>
        <v/>
      </c>
      <c r="V140" s="35">
        <f>IF($U140="",DATE(1900,1,1),$N140)</f>
        <v/>
      </c>
      <c r="W140" s="35">
        <f>IF($U140="",DATE(2100,12,31),$U140)</f>
        <v/>
      </c>
      <c r="X140" s="32">
        <f>IF($U140="",$K140,$K140*$S140)</f>
        <v/>
      </c>
      <c r="Y140" s="35">
        <f>IF($U140="",DATE(2100,12,31),$U140+1)</f>
        <v/>
      </c>
      <c r="Z140" s="35">
        <f>IF($U140="",DATE(1900,1,1),$O140)</f>
        <v/>
      </c>
      <c r="AA140" s="32">
        <f>IF($U140="",0,$K140*$T140)</f>
        <v/>
      </c>
      <c r="AB140" s="21">
        <f>IF($C140="",0,IFERROR(INDEX(Deals!$AD$2:$AD$355,MATCH($C140,Deals!$A$2:$A$355,0)),0))</f>
        <v/>
      </c>
      <c r="AC140" s="32">
        <f>IF(Settings!$B$4="Yes",$I140*$AB140,$I140)</f>
        <v/>
      </c>
      <c r="AD140" s="22">
        <f>IF($C140="","",IFERROR(IF(INDEX(Deals!$AE$2:$AE$355,MATCH($C140,Deals!$A$2:$A$355,0))=0,"",INDEX(Deals!$AE$2:$AE$355,MATCH($C140,Deals!$A$2:$A$355,0))),""))</f>
        <v/>
      </c>
      <c r="AE140" s="22">
        <f>IF($C140="","",IFERROR(IF(INDEX(Deals!$AF$2:$AF$355,MATCH($C140,Deals!$A$2:$A$355,0))=0,"",INDEX(Deals!$AF$2:$AF$355,MATCH($C140,Deals!$A$2:$A$355,0))),""))</f>
        <v/>
      </c>
      <c r="AF140" s="35">
        <f>IF($AD140="",DATE(1900,1,1),$AD140)</f>
        <v/>
      </c>
      <c r="AG140" s="35">
        <f>IF($AE140="",DATE(2100,12,31),$AE140)</f>
        <v/>
      </c>
      <c r="AH140" s="22">
        <f>IF($C140="","",IFERROR(IF(INDEX(Deals!$AG$2:$AG$355,MATCH($C140,Deals!$A$2:$A$355,0))=0,"",INDEX(Deals!$AG$2:$AG$355,MATCH($C140,Deals!$A$2:$A$355,0))),""))</f>
        <v/>
      </c>
      <c r="AI140" s="35">
        <f>IF($AH140="",DATE(1900,1,1),$AF140)</f>
        <v/>
      </c>
      <c r="AJ140" s="35">
        <f>IF($AH140="",DATE(2100,12,31),$AH140)</f>
        <v/>
      </c>
      <c r="AK140" s="32">
        <f>IF($AH140="",$AC140,$AC140*$S140)</f>
        <v/>
      </c>
      <c r="AL140" s="35">
        <f>IF($AH140="",DATE(2100,12,31),$AH140+1)</f>
        <v/>
      </c>
      <c r="AM140" s="35">
        <f>IF($AH140="",DATE(1900,1,1),$AG140)</f>
        <v/>
      </c>
      <c r="AN140" s="32">
        <f>IF($AH140="",0,$AC140*$T140)</f>
        <v/>
      </c>
    </row>
    <row r="141">
      <c r="A141" s="28" t="inlineStr">
        <is>
          <t>Zack</t>
        </is>
      </c>
      <c r="B141" s="16">
        <f>IF($A141="","",IFERROR(INDEX(Roster!$B$2:$B$40,MATCH($A141,Roster!$A$2:$A$40,0)),"?"))</f>
        <v/>
      </c>
      <c r="C141" s="28" t="inlineStr">
        <is>
          <t>FIRPTA_Sunraycer_1</t>
        </is>
      </c>
      <c r="D141" s="16">
        <f>IF($C141="","",IFERROR(IF(INDEX(Deals!$C$2:$C$355,MATCH($C141,Deals!$A$2:$A$355,0))=0,"",INDEX(Deals!$C$2:$C$355,MATCH($C141,Deals!$A$2:$A$355,0))),"?"))</f>
        <v/>
      </c>
      <c r="E141" s="16">
        <f>IF($C141="","",IFERROR(INDEX(Deals!$F$2:$F$355,MATCH($C141,Deals!$A$2:$A$355,0)),"?"))</f>
        <v/>
      </c>
      <c r="F141" s="28" t="inlineStr">
        <is>
          <t>MD</t>
        </is>
      </c>
      <c r="G141" s="28" t="inlineStr">
        <is>
          <t>Active</t>
        </is>
      </c>
      <c r="H141" s="31" t="n"/>
      <c r="I141" s="32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1">
        <f>IF($C141="",0,IFERROR(INDEX(Deals!$H$2:$H$355,MATCH($C141,Deals!$A$2:$A$355,0)),0))</f>
        <v/>
      </c>
      <c r="K141" s="32">
        <f>IF(Settings!$B$4="Yes",$I141*$J141,$I141)</f>
        <v/>
      </c>
      <c r="L141" s="22">
        <f>IF($C141="","",IFERROR(IF(INDEX(Deals!$I$2:$I$355,MATCH($C141,Deals!$A$2:$A$355,0))=0,"",INDEX(Deals!$I$2:$I$355,MATCH($C141,Deals!$A$2:$A$355,0))),""))</f>
        <v/>
      </c>
      <c r="M141" s="22">
        <f>IF($C141="","",IFERROR(IF(INDEX(Deals!$J$2:$J$355,MATCH($C141,Deals!$A$2:$A$355,0))=0,"",INDEX(Deals!$J$2:$J$355,MATCH($C141,Deals!$A$2:$A$355,0))),""))</f>
        <v/>
      </c>
      <c r="N141" s="35">
        <f>IF($L141="",DATE(1900,1,1),$L141)</f>
        <v/>
      </c>
      <c r="O141" s="35">
        <f>IF($M141="",DATE(2100,12,31),$M141)</f>
        <v/>
      </c>
      <c r="P141" s="20" t="inlineStr"/>
      <c r="Q141" s="43" t="inlineStr"/>
      <c r="R141" s="16">
        <f>IF($C141="","",IFERROR(IF(INDEX(Deals!$U$2:$U$355,MATCH($C141,Deals!$A$2:$A$355,0))=0,"",INDEX(Deals!$U$2:$U$355,MATCH($C141,Deals!$A$2:$A$355,0))),""))</f>
        <v/>
      </c>
      <c r="S141" s="34">
        <f>IFERROR(IF($U141="",1,INDEX(Deals!$V$2:$V$355,MATCH($C141,Deals!$A$2:$A$355,0))),1)</f>
        <v/>
      </c>
      <c r="T141" s="34">
        <f>IFERROR(IF($U141="",1,INDEX(Deals!$W$2:$W$355,MATCH($C141,Deals!$A$2:$A$355,0))),1)</f>
        <v/>
      </c>
      <c r="U141" s="22">
        <f>IF($C141="","",IFERROR(IF(INDEX(Deals!$Y$2:$Y$355,MATCH($C141,Deals!$A$2:$A$355,0))=0,"",INDEX(Deals!$Y$2:$Y$355,MATCH($C141,Deals!$A$2:$A$355,0))),""))</f>
        <v/>
      </c>
      <c r="V141" s="35">
        <f>IF($U141="",DATE(1900,1,1),$N141)</f>
        <v/>
      </c>
      <c r="W141" s="35">
        <f>IF($U141="",DATE(2100,12,31),$U141)</f>
        <v/>
      </c>
      <c r="X141" s="32">
        <f>IF($U141="",$K141,$K141*$S141)</f>
        <v/>
      </c>
      <c r="Y141" s="35">
        <f>IF($U141="",DATE(2100,12,31),$U141+1)</f>
        <v/>
      </c>
      <c r="Z141" s="35">
        <f>IF($U141="",DATE(1900,1,1),$O141)</f>
        <v/>
      </c>
      <c r="AA141" s="32">
        <f>IF($U141="",0,$K141*$T141)</f>
        <v/>
      </c>
      <c r="AB141" s="21">
        <f>IF($C141="",0,IFERROR(INDEX(Deals!$AD$2:$AD$355,MATCH($C141,Deals!$A$2:$A$355,0)),0))</f>
        <v/>
      </c>
      <c r="AC141" s="32">
        <f>IF(Settings!$B$4="Yes",$I141*$AB141,$I141)</f>
        <v/>
      </c>
      <c r="AD141" s="22">
        <f>IF($C141="","",IFERROR(IF(INDEX(Deals!$AE$2:$AE$355,MATCH($C141,Deals!$A$2:$A$355,0))=0,"",INDEX(Deals!$AE$2:$AE$355,MATCH($C141,Deals!$A$2:$A$355,0))),""))</f>
        <v/>
      </c>
      <c r="AE141" s="22">
        <f>IF($C141="","",IFERROR(IF(INDEX(Deals!$AF$2:$AF$355,MATCH($C141,Deals!$A$2:$A$355,0))=0,"",INDEX(Deals!$AF$2:$AF$355,MATCH($C141,Deals!$A$2:$A$355,0))),""))</f>
        <v/>
      </c>
      <c r="AF141" s="35">
        <f>IF($AD141="",DATE(1900,1,1),$AD141)</f>
        <v/>
      </c>
      <c r="AG141" s="35">
        <f>IF($AE141="",DATE(2100,12,31),$AE141)</f>
        <v/>
      </c>
      <c r="AH141" s="22">
        <f>IF($C141="","",IFERROR(IF(INDEX(Deals!$AG$2:$AG$355,MATCH($C141,Deals!$A$2:$A$355,0))=0,"",INDEX(Deals!$AG$2:$AG$355,MATCH($C141,Deals!$A$2:$A$355,0))),""))</f>
        <v/>
      </c>
      <c r="AI141" s="35">
        <f>IF($AH141="",DATE(1900,1,1),$AF141)</f>
        <v/>
      </c>
      <c r="AJ141" s="35">
        <f>IF($AH141="",DATE(2100,12,31),$AH141)</f>
        <v/>
      </c>
      <c r="AK141" s="32">
        <f>IF($AH141="",$AC141,$AC141*$S141)</f>
        <v/>
      </c>
      <c r="AL141" s="35">
        <f>IF($AH141="",DATE(2100,12,31),$AH141+1)</f>
        <v/>
      </c>
      <c r="AM141" s="35">
        <f>IF($AH141="",DATE(1900,1,1),$AG141)</f>
        <v/>
      </c>
      <c r="AN141" s="32">
        <f>IF($AH141="",0,$AC141*$T141)</f>
        <v/>
      </c>
    </row>
    <row r="142">
      <c r="A142" s="28" t="inlineStr">
        <is>
          <t>Zack</t>
        </is>
      </c>
      <c r="B142" s="16">
        <f>IF($A142="","",IFERROR(INDEX(Roster!$B$2:$B$40,MATCH($A142,Roster!$A$2:$A$40,0)),"?"))</f>
        <v/>
      </c>
      <c r="C142" s="28" t="inlineStr">
        <is>
          <t>Fortress_3</t>
        </is>
      </c>
      <c r="D142" s="16">
        <f>IF($C142="","",IFERROR(IF(INDEX(Deals!$C$2:$C$355,MATCH($C142,Deals!$A$2:$A$355,0))=0,"",INDEX(Deals!$C$2:$C$355,MATCH($C142,Deals!$A$2:$A$355,0))),"?"))</f>
        <v/>
      </c>
      <c r="E142" s="16">
        <f>IF($C142="","",IFERROR(INDEX(Deals!$F$2:$F$355,MATCH($C142,Deals!$A$2:$A$355,0)),"?"))</f>
        <v/>
      </c>
      <c r="F142" s="28" t="inlineStr">
        <is>
          <t>MD</t>
        </is>
      </c>
      <c r="G142" s="28" t="inlineStr">
        <is>
          <t>Active</t>
        </is>
      </c>
      <c r="H142" s="31" t="n"/>
      <c r="I142" s="32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1">
        <f>IF($C142="",0,IFERROR(INDEX(Deals!$H$2:$H$355,MATCH($C142,Deals!$A$2:$A$355,0)),0))</f>
        <v/>
      </c>
      <c r="K142" s="32">
        <f>IF(Settings!$B$4="Yes",$I142*$J142,$I142)</f>
        <v/>
      </c>
      <c r="L142" s="22">
        <f>IF($C142="","",IFERROR(IF(INDEX(Deals!$I$2:$I$355,MATCH($C142,Deals!$A$2:$A$355,0))=0,"",INDEX(Deals!$I$2:$I$355,MATCH($C142,Deals!$A$2:$A$355,0))),""))</f>
        <v/>
      </c>
      <c r="M142" s="22">
        <f>IF($C142="","",IFERROR(IF(INDEX(Deals!$J$2:$J$355,MATCH($C142,Deals!$A$2:$A$355,0))=0,"",INDEX(Deals!$J$2:$J$355,MATCH($C142,Deals!$A$2:$A$355,0))),""))</f>
        <v/>
      </c>
      <c r="N142" s="35">
        <f>IF($L142="",DATE(1900,1,1),$L142)</f>
        <v/>
      </c>
      <c r="O142" s="35">
        <f>IF($M142="",DATE(2100,12,31),$M142)</f>
        <v/>
      </c>
      <c r="P142" s="20" t="inlineStr"/>
      <c r="Q142" s="43" t="inlineStr"/>
      <c r="R142" s="16">
        <f>IF($C142="","",IFERROR(IF(INDEX(Deals!$U$2:$U$355,MATCH($C142,Deals!$A$2:$A$355,0))=0,"",INDEX(Deals!$U$2:$U$355,MATCH($C142,Deals!$A$2:$A$355,0))),""))</f>
        <v/>
      </c>
      <c r="S142" s="34">
        <f>IFERROR(IF($U142="",1,INDEX(Deals!$V$2:$V$355,MATCH($C142,Deals!$A$2:$A$355,0))),1)</f>
        <v/>
      </c>
      <c r="T142" s="34">
        <f>IFERROR(IF($U142="",1,INDEX(Deals!$W$2:$W$355,MATCH($C142,Deals!$A$2:$A$355,0))),1)</f>
        <v/>
      </c>
      <c r="U142" s="22">
        <f>IF($C142="","",IFERROR(IF(INDEX(Deals!$Y$2:$Y$355,MATCH($C142,Deals!$A$2:$A$355,0))=0,"",INDEX(Deals!$Y$2:$Y$355,MATCH($C142,Deals!$A$2:$A$355,0))),""))</f>
        <v/>
      </c>
      <c r="V142" s="35">
        <f>IF($U142="",DATE(1900,1,1),$N142)</f>
        <v/>
      </c>
      <c r="W142" s="35">
        <f>IF($U142="",DATE(2100,12,31),$U142)</f>
        <v/>
      </c>
      <c r="X142" s="32">
        <f>IF($U142="",$K142,$K142*$S142)</f>
        <v/>
      </c>
      <c r="Y142" s="35">
        <f>IF($U142="",DATE(2100,12,31),$U142+1)</f>
        <v/>
      </c>
      <c r="Z142" s="35">
        <f>IF($U142="",DATE(1900,1,1),$O142)</f>
        <v/>
      </c>
      <c r="AA142" s="32">
        <f>IF($U142="",0,$K142*$T142)</f>
        <v/>
      </c>
      <c r="AB142" s="21">
        <f>IF($C142="",0,IFERROR(INDEX(Deals!$AD$2:$AD$355,MATCH($C142,Deals!$A$2:$A$355,0)),0))</f>
        <v/>
      </c>
      <c r="AC142" s="32">
        <f>IF(Settings!$B$4="Yes",$I142*$AB142,$I142)</f>
        <v/>
      </c>
      <c r="AD142" s="22">
        <f>IF($C142="","",IFERROR(IF(INDEX(Deals!$AE$2:$AE$355,MATCH($C142,Deals!$A$2:$A$355,0))=0,"",INDEX(Deals!$AE$2:$AE$355,MATCH($C142,Deals!$A$2:$A$355,0))),""))</f>
        <v/>
      </c>
      <c r="AE142" s="22">
        <f>IF($C142="","",IFERROR(IF(INDEX(Deals!$AF$2:$AF$355,MATCH($C142,Deals!$A$2:$A$355,0))=0,"",INDEX(Deals!$AF$2:$AF$355,MATCH($C142,Deals!$A$2:$A$355,0))),""))</f>
        <v/>
      </c>
      <c r="AF142" s="35">
        <f>IF($AD142="",DATE(1900,1,1),$AD142)</f>
        <v/>
      </c>
      <c r="AG142" s="35">
        <f>IF($AE142="",DATE(2100,12,31),$AE142)</f>
        <v/>
      </c>
      <c r="AH142" s="22">
        <f>IF($C142="","",IFERROR(IF(INDEX(Deals!$AG$2:$AG$355,MATCH($C142,Deals!$A$2:$A$355,0))=0,"",INDEX(Deals!$AG$2:$AG$355,MATCH($C142,Deals!$A$2:$A$355,0))),""))</f>
        <v/>
      </c>
      <c r="AI142" s="35">
        <f>IF($AH142="",DATE(1900,1,1),$AF142)</f>
        <v/>
      </c>
      <c r="AJ142" s="35">
        <f>IF($AH142="",DATE(2100,12,31),$AH142)</f>
        <v/>
      </c>
      <c r="AK142" s="32">
        <f>IF($AH142="",$AC142,$AC142*$S142)</f>
        <v/>
      </c>
      <c r="AL142" s="35">
        <f>IF($AH142="",DATE(2100,12,31),$AH142+1)</f>
        <v/>
      </c>
      <c r="AM142" s="35">
        <f>IF($AH142="",DATE(1900,1,1),$AG142)</f>
        <v/>
      </c>
      <c r="AN142" s="32">
        <f>IF($AH142="",0,$AC142*$T142)</f>
        <v/>
      </c>
    </row>
    <row r="143">
      <c r="A143" s="28" t="inlineStr">
        <is>
          <t>Zack</t>
        </is>
      </c>
      <c r="B143" s="16">
        <f>IF($A143="","",IFERROR(INDEX(Roster!$B$2:$B$40,MATCH($A143,Roster!$A$2:$A$40,0)),"?"))</f>
        <v/>
      </c>
      <c r="C143" s="28" t="inlineStr">
        <is>
          <t>Fury_1</t>
        </is>
      </c>
      <c r="D143" s="16">
        <f>IF($C143="","",IFERROR(IF(INDEX(Deals!$C$2:$C$355,MATCH($C143,Deals!$A$2:$A$355,0))=0,"",INDEX(Deals!$C$2:$C$355,MATCH($C143,Deals!$A$2:$A$355,0))),"?"))</f>
        <v/>
      </c>
      <c r="E143" s="16">
        <f>IF($C143="","",IFERROR(INDEX(Deals!$F$2:$F$355,MATCH($C143,Deals!$A$2:$A$355,0)),"?"))</f>
        <v/>
      </c>
      <c r="F143" s="28" t="inlineStr">
        <is>
          <t>MD</t>
        </is>
      </c>
      <c r="G143" s="28" t="inlineStr">
        <is>
          <t>Active</t>
        </is>
      </c>
      <c r="H143" s="31" t="n"/>
      <c r="I143" s="32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1">
        <f>IF($C143="",0,IFERROR(INDEX(Deals!$H$2:$H$355,MATCH($C143,Deals!$A$2:$A$355,0)),0))</f>
        <v/>
      </c>
      <c r="K143" s="32">
        <f>IF(Settings!$B$4="Yes",$I143*$J143,$I143)</f>
        <v/>
      </c>
      <c r="L143" s="22">
        <f>IF($C143="","",IFERROR(IF(INDEX(Deals!$I$2:$I$355,MATCH($C143,Deals!$A$2:$A$355,0))=0,"",INDEX(Deals!$I$2:$I$355,MATCH($C143,Deals!$A$2:$A$355,0))),""))</f>
        <v/>
      </c>
      <c r="M143" s="22">
        <f>IF($C143="","",IFERROR(IF(INDEX(Deals!$J$2:$J$355,MATCH($C143,Deals!$A$2:$A$355,0))=0,"",INDEX(Deals!$J$2:$J$355,MATCH($C143,Deals!$A$2:$A$355,0))),""))</f>
        <v/>
      </c>
      <c r="N143" s="35">
        <f>IF($L143="",DATE(1900,1,1),$L143)</f>
        <v/>
      </c>
      <c r="O143" s="35">
        <f>IF($M143="",DATE(2100,12,31),$M143)</f>
        <v/>
      </c>
      <c r="P143" s="20" t="inlineStr"/>
      <c r="Q143" s="43" t="inlineStr"/>
      <c r="R143" s="16">
        <f>IF($C143="","",IFERROR(IF(INDEX(Deals!$U$2:$U$355,MATCH($C143,Deals!$A$2:$A$355,0))=0,"",INDEX(Deals!$U$2:$U$355,MATCH($C143,Deals!$A$2:$A$355,0))),""))</f>
        <v/>
      </c>
      <c r="S143" s="34">
        <f>IFERROR(IF($U143="",1,INDEX(Deals!$V$2:$V$355,MATCH($C143,Deals!$A$2:$A$355,0))),1)</f>
        <v/>
      </c>
      <c r="T143" s="34">
        <f>IFERROR(IF($U143="",1,INDEX(Deals!$W$2:$W$355,MATCH($C143,Deals!$A$2:$A$355,0))),1)</f>
        <v/>
      </c>
      <c r="U143" s="22">
        <f>IF($C143="","",IFERROR(IF(INDEX(Deals!$Y$2:$Y$355,MATCH($C143,Deals!$A$2:$A$355,0))=0,"",INDEX(Deals!$Y$2:$Y$355,MATCH($C143,Deals!$A$2:$A$355,0))),""))</f>
        <v/>
      </c>
      <c r="V143" s="35">
        <f>IF($U143="",DATE(1900,1,1),$N143)</f>
        <v/>
      </c>
      <c r="W143" s="35">
        <f>IF($U143="",DATE(2100,12,31),$U143)</f>
        <v/>
      </c>
      <c r="X143" s="32">
        <f>IF($U143="",$K143,$K143*$S143)</f>
        <v/>
      </c>
      <c r="Y143" s="35">
        <f>IF($U143="",DATE(2100,12,31),$U143+1)</f>
        <v/>
      </c>
      <c r="Z143" s="35">
        <f>IF($U143="",DATE(1900,1,1),$O143)</f>
        <v/>
      </c>
      <c r="AA143" s="32">
        <f>IF($U143="",0,$K143*$T143)</f>
        <v/>
      </c>
      <c r="AB143" s="21">
        <f>IF($C143="",0,IFERROR(INDEX(Deals!$AD$2:$AD$355,MATCH($C143,Deals!$A$2:$A$355,0)),0))</f>
        <v/>
      </c>
      <c r="AC143" s="32">
        <f>IF(Settings!$B$4="Yes",$I143*$AB143,$I143)</f>
        <v/>
      </c>
      <c r="AD143" s="22">
        <f>IF($C143="","",IFERROR(IF(INDEX(Deals!$AE$2:$AE$355,MATCH($C143,Deals!$A$2:$A$355,0))=0,"",INDEX(Deals!$AE$2:$AE$355,MATCH($C143,Deals!$A$2:$A$355,0))),""))</f>
        <v/>
      </c>
      <c r="AE143" s="22">
        <f>IF($C143="","",IFERROR(IF(INDEX(Deals!$AF$2:$AF$355,MATCH($C143,Deals!$A$2:$A$355,0))=0,"",INDEX(Deals!$AF$2:$AF$355,MATCH($C143,Deals!$A$2:$A$355,0))),""))</f>
        <v/>
      </c>
      <c r="AF143" s="35">
        <f>IF($AD143="",DATE(1900,1,1),$AD143)</f>
        <v/>
      </c>
      <c r="AG143" s="35">
        <f>IF($AE143="",DATE(2100,12,31),$AE143)</f>
        <v/>
      </c>
      <c r="AH143" s="22">
        <f>IF($C143="","",IFERROR(IF(INDEX(Deals!$AG$2:$AG$355,MATCH($C143,Deals!$A$2:$A$355,0))=0,"",INDEX(Deals!$AG$2:$AG$355,MATCH($C143,Deals!$A$2:$A$355,0))),""))</f>
        <v/>
      </c>
      <c r="AI143" s="35">
        <f>IF($AH143="",DATE(1900,1,1),$AF143)</f>
        <v/>
      </c>
      <c r="AJ143" s="35">
        <f>IF($AH143="",DATE(2100,12,31),$AH143)</f>
        <v/>
      </c>
      <c r="AK143" s="32">
        <f>IF($AH143="",$AC143,$AC143*$S143)</f>
        <v/>
      </c>
      <c r="AL143" s="35">
        <f>IF($AH143="",DATE(2100,12,31),$AH143+1)</f>
        <v/>
      </c>
      <c r="AM143" s="35">
        <f>IF($AH143="",DATE(1900,1,1),$AG143)</f>
        <v/>
      </c>
      <c r="AN143" s="32">
        <f>IF($AH143="",0,$AC143*$T143)</f>
        <v/>
      </c>
    </row>
    <row r="144">
      <c r="A144" s="28" t="inlineStr">
        <is>
          <t>Zack</t>
        </is>
      </c>
      <c r="B144" s="16">
        <f>IF($A144="","",IFERROR(INDEX(Roster!$B$2:$B$40,MATCH($A144,Roster!$A$2:$A$40,0)),"?"))</f>
        <v/>
      </c>
      <c r="C144" s="28" t="inlineStr">
        <is>
          <t>Geneseo_1</t>
        </is>
      </c>
      <c r="D144" s="16">
        <f>IF($C144="","",IFERROR(IF(INDEX(Deals!$C$2:$C$355,MATCH($C144,Deals!$A$2:$A$355,0))=0,"",INDEX(Deals!$C$2:$C$355,MATCH($C144,Deals!$A$2:$A$355,0))),"?"))</f>
        <v/>
      </c>
      <c r="E144" s="16">
        <f>IF($C144="","",IFERROR(INDEX(Deals!$F$2:$F$355,MATCH($C144,Deals!$A$2:$A$355,0)),"?"))</f>
        <v/>
      </c>
      <c r="F144" s="28" t="inlineStr">
        <is>
          <t>MD</t>
        </is>
      </c>
      <c r="G144" s="28" t="inlineStr">
        <is>
          <t>Active</t>
        </is>
      </c>
      <c r="H144" s="31" t="n"/>
      <c r="I144" s="32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1">
        <f>IF($C144="",0,IFERROR(INDEX(Deals!$H$2:$H$355,MATCH($C144,Deals!$A$2:$A$355,0)),0))</f>
        <v/>
      </c>
      <c r="K144" s="32">
        <f>IF(Settings!$B$4="Yes",$I144*$J144,$I144)</f>
        <v/>
      </c>
      <c r="L144" s="22">
        <f>IF($C144="","",IFERROR(IF(INDEX(Deals!$I$2:$I$355,MATCH($C144,Deals!$A$2:$A$355,0))=0,"",INDEX(Deals!$I$2:$I$355,MATCH($C144,Deals!$A$2:$A$355,0))),""))</f>
        <v/>
      </c>
      <c r="M144" s="22">
        <f>IF($C144="","",IFERROR(IF(INDEX(Deals!$J$2:$J$355,MATCH($C144,Deals!$A$2:$A$355,0))=0,"",INDEX(Deals!$J$2:$J$355,MATCH($C144,Deals!$A$2:$A$355,0))),""))</f>
        <v/>
      </c>
      <c r="N144" s="35">
        <f>IF($L144="",DATE(1900,1,1),$L144)</f>
        <v/>
      </c>
      <c r="O144" s="35">
        <f>IF($M144="",DATE(2100,12,31),$M144)</f>
        <v/>
      </c>
      <c r="P144" s="20" t="inlineStr"/>
      <c r="Q144" s="43" t="inlineStr"/>
      <c r="R144" s="16">
        <f>IF($C144="","",IFERROR(IF(INDEX(Deals!$U$2:$U$355,MATCH($C144,Deals!$A$2:$A$355,0))=0,"",INDEX(Deals!$U$2:$U$355,MATCH($C144,Deals!$A$2:$A$355,0))),""))</f>
        <v/>
      </c>
      <c r="S144" s="34">
        <f>IFERROR(IF($U144="",1,INDEX(Deals!$V$2:$V$355,MATCH($C144,Deals!$A$2:$A$355,0))),1)</f>
        <v/>
      </c>
      <c r="T144" s="34">
        <f>IFERROR(IF($U144="",1,INDEX(Deals!$W$2:$W$355,MATCH($C144,Deals!$A$2:$A$355,0))),1)</f>
        <v/>
      </c>
      <c r="U144" s="22">
        <f>IF($C144="","",IFERROR(IF(INDEX(Deals!$Y$2:$Y$355,MATCH($C144,Deals!$A$2:$A$355,0))=0,"",INDEX(Deals!$Y$2:$Y$355,MATCH($C144,Deals!$A$2:$A$355,0))),""))</f>
        <v/>
      </c>
      <c r="V144" s="35">
        <f>IF($U144="",DATE(1900,1,1),$N144)</f>
        <v/>
      </c>
      <c r="W144" s="35">
        <f>IF($U144="",DATE(2100,12,31),$U144)</f>
        <v/>
      </c>
      <c r="X144" s="32">
        <f>IF($U144="",$K144,$K144*$S144)</f>
        <v/>
      </c>
      <c r="Y144" s="35">
        <f>IF($U144="",DATE(2100,12,31),$U144+1)</f>
        <v/>
      </c>
      <c r="Z144" s="35">
        <f>IF($U144="",DATE(1900,1,1),$O144)</f>
        <v/>
      </c>
      <c r="AA144" s="32">
        <f>IF($U144="",0,$K144*$T144)</f>
        <v/>
      </c>
      <c r="AB144" s="21">
        <f>IF($C144="",0,IFERROR(INDEX(Deals!$AD$2:$AD$355,MATCH($C144,Deals!$A$2:$A$355,0)),0))</f>
        <v/>
      </c>
      <c r="AC144" s="32">
        <f>IF(Settings!$B$4="Yes",$I144*$AB144,$I144)</f>
        <v/>
      </c>
      <c r="AD144" s="22">
        <f>IF($C144="","",IFERROR(IF(INDEX(Deals!$AE$2:$AE$355,MATCH($C144,Deals!$A$2:$A$355,0))=0,"",INDEX(Deals!$AE$2:$AE$355,MATCH($C144,Deals!$A$2:$A$355,0))),""))</f>
        <v/>
      </c>
      <c r="AE144" s="22">
        <f>IF($C144="","",IFERROR(IF(INDEX(Deals!$AF$2:$AF$355,MATCH($C144,Deals!$A$2:$A$355,0))=0,"",INDEX(Deals!$AF$2:$AF$355,MATCH($C144,Deals!$A$2:$A$355,0))),""))</f>
        <v/>
      </c>
      <c r="AF144" s="35">
        <f>IF($AD144="",DATE(1900,1,1),$AD144)</f>
        <v/>
      </c>
      <c r="AG144" s="35">
        <f>IF($AE144="",DATE(2100,12,31),$AE144)</f>
        <v/>
      </c>
      <c r="AH144" s="22">
        <f>IF($C144="","",IFERROR(IF(INDEX(Deals!$AG$2:$AG$355,MATCH($C144,Deals!$A$2:$A$355,0))=0,"",INDEX(Deals!$AG$2:$AG$355,MATCH($C144,Deals!$A$2:$A$355,0))),""))</f>
        <v/>
      </c>
      <c r="AI144" s="35">
        <f>IF($AH144="",DATE(1900,1,1),$AF144)</f>
        <v/>
      </c>
      <c r="AJ144" s="35">
        <f>IF($AH144="",DATE(2100,12,31),$AH144)</f>
        <v/>
      </c>
      <c r="AK144" s="32">
        <f>IF($AH144="",$AC144,$AC144*$S144)</f>
        <v/>
      </c>
      <c r="AL144" s="35">
        <f>IF($AH144="",DATE(2100,12,31),$AH144+1)</f>
        <v/>
      </c>
      <c r="AM144" s="35">
        <f>IF($AH144="",DATE(1900,1,1),$AG144)</f>
        <v/>
      </c>
      <c r="AN144" s="32">
        <f>IF($AH144="",0,$AC144*$T144)</f>
        <v/>
      </c>
    </row>
    <row r="145">
      <c r="A145" s="28" t="inlineStr">
        <is>
          <t>Zack</t>
        </is>
      </c>
      <c r="B145" s="16">
        <f>IF($A145="","",IFERROR(INDEX(Roster!$B$2:$B$40,MATCH($A145,Roster!$A$2:$A$40,0)),"?"))</f>
        <v/>
      </c>
      <c r="C145" s="28" t="inlineStr">
        <is>
          <t>Horizon_4</t>
        </is>
      </c>
      <c r="D145" s="16">
        <f>IF($C145="","",IFERROR(IF(INDEX(Deals!$C$2:$C$355,MATCH($C145,Deals!$A$2:$A$355,0))=0,"",INDEX(Deals!$C$2:$C$355,MATCH($C145,Deals!$A$2:$A$355,0))),"?"))</f>
        <v/>
      </c>
      <c r="E145" s="16">
        <f>IF($C145="","",IFERROR(INDEX(Deals!$F$2:$F$355,MATCH($C145,Deals!$A$2:$A$355,0)),"?"))</f>
        <v/>
      </c>
      <c r="F145" s="28" t="inlineStr">
        <is>
          <t>MD</t>
        </is>
      </c>
      <c r="G145" s="28" t="inlineStr">
        <is>
          <t>Active</t>
        </is>
      </c>
      <c r="H145" s="31" t="n"/>
      <c r="I145" s="32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1">
        <f>IF($C145="",0,IFERROR(INDEX(Deals!$H$2:$H$355,MATCH($C145,Deals!$A$2:$A$355,0)),0))</f>
        <v/>
      </c>
      <c r="K145" s="32">
        <f>IF(Settings!$B$4="Yes",$I145*$J145,$I145)</f>
        <v/>
      </c>
      <c r="L145" s="22">
        <f>IF($C145="","",IFERROR(IF(INDEX(Deals!$I$2:$I$355,MATCH($C145,Deals!$A$2:$A$355,0))=0,"",INDEX(Deals!$I$2:$I$355,MATCH($C145,Deals!$A$2:$A$355,0))),""))</f>
        <v/>
      </c>
      <c r="M145" s="22">
        <f>IF($C145="","",IFERROR(IF(INDEX(Deals!$J$2:$J$355,MATCH($C145,Deals!$A$2:$A$355,0))=0,"",INDEX(Deals!$J$2:$J$355,MATCH($C145,Deals!$A$2:$A$355,0))),""))</f>
        <v/>
      </c>
      <c r="N145" s="35">
        <f>IF($L145="",DATE(1900,1,1),$L145)</f>
        <v/>
      </c>
      <c r="O145" s="35">
        <f>IF($M145="",DATE(2100,12,31),$M145)</f>
        <v/>
      </c>
      <c r="P145" s="20" t="inlineStr"/>
      <c r="Q145" s="43" t="inlineStr"/>
      <c r="R145" s="16">
        <f>IF($C145="","",IFERROR(IF(INDEX(Deals!$U$2:$U$355,MATCH($C145,Deals!$A$2:$A$355,0))=0,"",INDEX(Deals!$U$2:$U$355,MATCH($C145,Deals!$A$2:$A$355,0))),""))</f>
        <v/>
      </c>
      <c r="S145" s="34">
        <f>IFERROR(IF($U145="",1,INDEX(Deals!$V$2:$V$355,MATCH($C145,Deals!$A$2:$A$355,0))),1)</f>
        <v/>
      </c>
      <c r="T145" s="34">
        <f>IFERROR(IF($U145="",1,INDEX(Deals!$W$2:$W$355,MATCH($C145,Deals!$A$2:$A$355,0))),1)</f>
        <v/>
      </c>
      <c r="U145" s="22">
        <f>IF($C145="","",IFERROR(IF(INDEX(Deals!$Y$2:$Y$355,MATCH($C145,Deals!$A$2:$A$355,0))=0,"",INDEX(Deals!$Y$2:$Y$355,MATCH($C145,Deals!$A$2:$A$355,0))),""))</f>
        <v/>
      </c>
      <c r="V145" s="35">
        <f>IF($U145="",DATE(1900,1,1),$N145)</f>
        <v/>
      </c>
      <c r="W145" s="35">
        <f>IF($U145="",DATE(2100,12,31),$U145)</f>
        <v/>
      </c>
      <c r="X145" s="32">
        <f>IF($U145="",$K145,$K145*$S145)</f>
        <v/>
      </c>
      <c r="Y145" s="35">
        <f>IF($U145="",DATE(2100,12,31),$U145+1)</f>
        <v/>
      </c>
      <c r="Z145" s="35">
        <f>IF($U145="",DATE(1900,1,1),$O145)</f>
        <v/>
      </c>
      <c r="AA145" s="32">
        <f>IF($U145="",0,$K145*$T145)</f>
        <v/>
      </c>
      <c r="AB145" s="21">
        <f>IF($C145="",0,IFERROR(INDEX(Deals!$AD$2:$AD$355,MATCH($C145,Deals!$A$2:$A$355,0)),0))</f>
        <v/>
      </c>
      <c r="AC145" s="32">
        <f>IF(Settings!$B$4="Yes",$I145*$AB145,$I145)</f>
        <v/>
      </c>
      <c r="AD145" s="22">
        <f>IF($C145="","",IFERROR(IF(INDEX(Deals!$AE$2:$AE$355,MATCH($C145,Deals!$A$2:$A$355,0))=0,"",INDEX(Deals!$AE$2:$AE$355,MATCH($C145,Deals!$A$2:$A$355,0))),""))</f>
        <v/>
      </c>
      <c r="AE145" s="22">
        <f>IF($C145="","",IFERROR(IF(INDEX(Deals!$AF$2:$AF$355,MATCH($C145,Deals!$A$2:$A$355,0))=0,"",INDEX(Deals!$AF$2:$AF$355,MATCH($C145,Deals!$A$2:$A$355,0))),""))</f>
        <v/>
      </c>
      <c r="AF145" s="35">
        <f>IF($AD145="",DATE(1900,1,1),$AD145)</f>
        <v/>
      </c>
      <c r="AG145" s="35">
        <f>IF($AE145="",DATE(2100,12,31),$AE145)</f>
        <v/>
      </c>
      <c r="AH145" s="22">
        <f>IF($C145="","",IFERROR(IF(INDEX(Deals!$AG$2:$AG$355,MATCH($C145,Deals!$A$2:$A$355,0))=0,"",INDEX(Deals!$AG$2:$AG$355,MATCH($C145,Deals!$A$2:$A$355,0))),""))</f>
        <v/>
      </c>
      <c r="AI145" s="35">
        <f>IF($AH145="",DATE(1900,1,1),$AF145)</f>
        <v/>
      </c>
      <c r="AJ145" s="35">
        <f>IF($AH145="",DATE(2100,12,31),$AH145)</f>
        <v/>
      </c>
      <c r="AK145" s="32">
        <f>IF($AH145="",$AC145,$AC145*$S145)</f>
        <v/>
      </c>
      <c r="AL145" s="35">
        <f>IF($AH145="",DATE(2100,12,31),$AH145+1)</f>
        <v/>
      </c>
      <c r="AM145" s="35">
        <f>IF($AH145="",DATE(1900,1,1),$AG145)</f>
        <v/>
      </c>
      <c r="AN145" s="32">
        <f>IF($AH145="",0,$AC145*$T145)</f>
        <v/>
      </c>
    </row>
    <row r="146">
      <c r="A146" s="28" t="inlineStr">
        <is>
          <t>Zack</t>
        </is>
      </c>
      <c r="B146" s="16">
        <f>IF($A146="","",IFERROR(INDEX(Roster!$B$2:$B$40,MATCH($A146,Roster!$A$2:$A$40,0)),"?"))</f>
        <v/>
      </c>
      <c r="C146" s="28" t="inlineStr">
        <is>
          <t>Lafayette_2</t>
        </is>
      </c>
      <c r="D146" s="16">
        <f>IF($C146="","",IFERROR(IF(INDEX(Deals!$C$2:$C$355,MATCH($C146,Deals!$A$2:$A$355,0))=0,"",INDEX(Deals!$C$2:$C$355,MATCH($C146,Deals!$A$2:$A$355,0))),"?"))</f>
        <v/>
      </c>
      <c r="E146" s="16">
        <f>IF($C146="","",IFERROR(INDEX(Deals!$F$2:$F$355,MATCH($C146,Deals!$A$2:$A$355,0)),"?"))</f>
        <v/>
      </c>
      <c r="F146" s="28" t="inlineStr">
        <is>
          <t>MD</t>
        </is>
      </c>
      <c r="G146" s="28" t="inlineStr">
        <is>
          <t>Active</t>
        </is>
      </c>
      <c r="H146" s="31" t="n"/>
      <c r="I146" s="32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1">
        <f>IF($C146="",0,IFERROR(INDEX(Deals!$H$2:$H$355,MATCH($C146,Deals!$A$2:$A$355,0)),0))</f>
        <v/>
      </c>
      <c r="K146" s="32">
        <f>IF(Settings!$B$4="Yes",$I146*$J146,$I146)</f>
        <v/>
      </c>
      <c r="L146" s="22">
        <f>IF($C146="","",IFERROR(IF(INDEX(Deals!$I$2:$I$355,MATCH($C146,Deals!$A$2:$A$355,0))=0,"",INDEX(Deals!$I$2:$I$355,MATCH($C146,Deals!$A$2:$A$355,0))),""))</f>
        <v/>
      </c>
      <c r="M146" s="22">
        <f>IF($C146="","",IFERROR(IF(INDEX(Deals!$J$2:$J$355,MATCH($C146,Deals!$A$2:$A$355,0))=0,"",INDEX(Deals!$J$2:$J$355,MATCH($C146,Deals!$A$2:$A$355,0))),""))</f>
        <v/>
      </c>
      <c r="N146" s="35">
        <f>IF($L146="",DATE(1900,1,1),$L146)</f>
        <v/>
      </c>
      <c r="O146" s="35">
        <f>IF($M146="",DATE(2100,12,31),$M146)</f>
        <v/>
      </c>
      <c r="P146" s="20" t="inlineStr"/>
      <c r="Q146" s="43" t="inlineStr"/>
      <c r="R146" s="16">
        <f>IF($C146="","",IFERROR(IF(INDEX(Deals!$U$2:$U$355,MATCH($C146,Deals!$A$2:$A$355,0))=0,"",INDEX(Deals!$U$2:$U$355,MATCH($C146,Deals!$A$2:$A$355,0))),""))</f>
        <v/>
      </c>
      <c r="S146" s="34">
        <f>IFERROR(IF($U146="",1,INDEX(Deals!$V$2:$V$355,MATCH($C146,Deals!$A$2:$A$355,0))),1)</f>
        <v/>
      </c>
      <c r="T146" s="34">
        <f>IFERROR(IF($U146="",1,INDEX(Deals!$W$2:$W$355,MATCH($C146,Deals!$A$2:$A$355,0))),1)</f>
        <v/>
      </c>
      <c r="U146" s="22">
        <f>IF($C146="","",IFERROR(IF(INDEX(Deals!$Y$2:$Y$355,MATCH($C146,Deals!$A$2:$A$355,0))=0,"",INDEX(Deals!$Y$2:$Y$355,MATCH($C146,Deals!$A$2:$A$355,0))),""))</f>
        <v/>
      </c>
      <c r="V146" s="35">
        <f>IF($U146="",DATE(1900,1,1),$N146)</f>
        <v/>
      </c>
      <c r="W146" s="35">
        <f>IF($U146="",DATE(2100,12,31),$U146)</f>
        <v/>
      </c>
      <c r="X146" s="32">
        <f>IF($U146="",$K146,$K146*$S146)</f>
        <v/>
      </c>
      <c r="Y146" s="35">
        <f>IF($U146="",DATE(2100,12,31),$U146+1)</f>
        <v/>
      </c>
      <c r="Z146" s="35">
        <f>IF($U146="",DATE(1900,1,1),$O146)</f>
        <v/>
      </c>
      <c r="AA146" s="32">
        <f>IF($U146="",0,$K146*$T146)</f>
        <v/>
      </c>
      <c r="AB146" s="21">
        <f>IF($C146="",0,IFERROR(INDEX(Deals!$AD$2:$AD$355,MATCH($C146,Deals!$A$2:$A$355,0)),0))</f>
        <v/>
      </c>
      <c r="AC146" s="32">
        <f>IF(Settings!$B$4="Yes",$I146*$AB146,$I146)</f>
        <v/>
      </c>
      <c r="AD146" s="22">
        <f>IF($C146="","",IFERROR(IF(INDEX(Deals!$AE$2:$AE$355,MATCH($C146,Deals!$A$2:$A$355,0))=0,"",INDEX(Deals!$AE$2:$AE$355,MATCH($C146,Deals!$A$2:$A$355,0))),""))</f>
        <v/>
      </c>
      <c r="AE146" s="22">
        <f>IF($C146="","",IFERROR(IF(INDEX(Deals!$AF$2:$AF$355,MATCH($C146,Deals!$A$2:$A$355,0))=0,"",INDEX(Deals!$AF$2:$AF$355,MATCH($C146,Deals!$A$2:$A$355,0))),""))</f>
        <v/>
      </c>
      <c r="AF146" s="35">
        <f>IF($AD146="",DATE(1900,1,1),$AD146)</f>
        <v/>
      </c>
      <c r="AG146" s="35">
        <f>IF($AE146="",DATE(2100,12,31),$AE146)</f>
        <v/>
      </c>
      <c r="AH146" s="22">
        <f>IF($C146="","",IFERROR(IF(INDEX(Deals!$AG$2:$AG$355,MATCH($C146,Deals!$A$2:$A$355,0))=0,"",INDEX(Deals!$AG$2:$AG$355,MATCH($C146,Deals!$A$2:$A$355,0))),""))</f>
        <v/>
      </c>
      <c r="AI146" s="35">
        <f>IF($AH146="",DATE(1900,1,1),$AF146)</f>
        <v/>
      </c>
      <c r="AJ146" s="35">
        <f>IF($AH146="",DATE(2100,12,31),$AH146)</f>
        <v/>
      </c>
      <c r="AK146" s="32">
        <f>IF($AH146="",$AC146,$AC146*$S146)</f>
        <v/>
      </c>
      <c r="AL146" s="35">
        <f>IF($AH146="",DATE(2100,12,31),$AH146+1)</f>
        <v/>
      </c>
      <c r="AM146" s="35">
        <f>IF($AH146="",DATE(1900,1,1),$AG146)</f>
        <v/>
      </c>
      <c r="AN146" s="32">
        <f>IF($AH146="",0,$AC146*$T146)</f>
        <v/>
      </c>
    </row>
    <row r="147">
      <c r="A147" s="28" t="inlineStr">
        <is>
          <t>Zack</t>
        </is>
      </c>
      <c r="B147" s="16">
        <f>IF($A147="","",IFERROR(INDEX(Roster!$B$2:$B$40,MATCH($A147,Roster!$A$2:$A$40,0)),"?"))</f>
        <v/>
      </c>
      <c r="C147" s="28" t="inlineStr">
        <is>
          <t>MIF_1</t>
        </is>
      </c>
      <c r="D147" s="16">
        <f>IF($C147="","",IFERROR(IF(INDEX(Deals!$C$2:$C$355,MATCH($C147,Deals!$A$2:$A$355,0))=0,"",INDEX(Deals!$C$2:$C$355,MATCH($C147,Deals!$A$2:$A$355,0))),"?"))</f>
        <v/>
      </c>
      <c r="E147" s="16">
        <f>IF($C147="","",IFERROR(INDEX(Deals!$F$2:$F$355,MATCH($C147,Deals!$A$2:$A$355,0)),"?"))</f>
        <v/>
      </c>
      <c r="F147" s="28" t="inlineStr">
        <is>
          <t>MD</t>
        </is>
      </c>
      <c r="G147" s="28" t="inlineStr">
        <is>
          <t>Active</t>
        </is>
      </c>
      <c r="H147" s="31" t="n"/>
      <c r="I147" s="32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1">
        <f>IF($C147="",0,IFERROR(INDEX(Deals!$H$2:$H$355,MATCH($C147,Deals!$A$2:$A$355,0)),0))</f>
        <v/>
      </c>
      <c r="K147" s="32">
        <f>IF(Settings!$B$4="Yes",$I147*$J147,$I147)</f>
        <v/>
      </c>
      <c r="L147" s="22">
        <f>IF($C147="","",IFERROR(IF(INDEX(Deals!$I$2:$I$355,MATCH($C147,Deals!$A$2:$A$355,0))=0,"",INDEX(Deals!$I$2:$I$355,MATCH($C147,Deals!$A$2:$A$355,0))),""))</f>
        <v/>
      </c>
      <c r="M147" s="22">
        <f>IF($C147="","",IFERROR(IF(INDEX(Deals!$J$2:$J$355,MATCH($C147,Deals!$A$2:$A$355,0))=0,"",INDEX(Deals!$J$2:$J$355,MATCH($C147,Deals!$A$2:$A$355,0))),""))</f>
        <v/>
      </c>
      <c r="N147" s="35">
        <f>IF($L147="",DATE(1900,1,1),$L147)</f>
        <v/>
      </c>
      <c r="O147" s="35">
        <f>IF($M147="",DATE(2100,12,31),$M147)</f>
        <v/>
      </c>
      <c r="P147" s="20" t="inlineStr"/>
      <c r="Q147" s="43" t="inlineStr"/>
      <c r="R147" s="16">
        <f>IF($C147="","",IFERROR(IF(INDEX(Deals!$U$2:$U$355,MATCH($C147,Deals!$A$2:$A$355,0))=0,"",INDEX(Deals!$U$2:$U$355,MATCH($C147,Deals!$A$2:$A$355,0))),""))</f>
        <v/>
      </c>
      <c r="S147" s="34">
        <f>IFERROR(IF($U147="",1,INDEX(Deals!$V$2:$V$355,MATCH($C147,Deals!$A$2:$A$355,0))),1)</f>
        <v/>
      </c>
      <c r="T147" s="34">
        <f>IFERROR(IF($U147="",1,INDEX(Deals!$W$2:$W$355,MATCH($C147,Deals!$A$2:$A$355,0))),1)</f>
        <v/>
      </c>
      <c r="U147" s="22">
        <f>IF($C147="","",IFERROR(IF(INDEX(Deals!$Y$2:$Y$355,MATCH($C147,Deals!$A$2:$A$355,0))=0,"",INDEX(Deals!$Y$2:$Y$355,MATCH($C147,Deals!$A$2:$A$355,0))),""))</f>
        <v/>
      </c>
      <c r="V147" s="35">
        <f>IF($U147="",DATE(1900,1,1),$N147)</f>
        <v/>
      </c>
      <c r="W147" s="35">
        <f>IF($U147="",DATE(2100,12,31),$U147)</f>
        <v/>
      </c>
      <c r="X147" s="32">
        <f>IF($U147="",$K147,$K147*$S147)</f>
        <v/>
      </c>
      <c r="Y147" s="35">
        <f>IF($U147="",DATE(2100,12,31),$U147+1)</f>
        <v/>
      </c>
      <c r="Z147" s="35">
        <f>IF($U147="",DATE(1900,1,1),$O147)</f>
        <v/>
      </c>
      <c r="AA147" s="32">
        <f>IF($U147="",0,$K147*$T147)</f>
        <v/>
      </c>
      <c r="AB147" s="21">
        <f>IF($C147="",0,IFERROR(INDEX(Deals!$AD$2:$AD$355,MATCH($C147,Deals!$A$2:$A$355,0)),0))</f>
        <v/>
      </c>
      <c r="AC147" s="32">
        <f>IF(Settings!$B$4="Yes",$I147*$AB147,$I147)</f>
        <v/>
      </c>
      <c r="AD147" s="22">
        <f>IF($C147="","",IFERROR(IF(INDEX(Deals!$AE$2:$AE$355,MATCH($C147,Deals!$A$2:$A$355,0))=0,"",INDEX(Deals!$AE$2:$AE$355,MATCH($C147,Deals!$A$2:$A$355,0))),""))</f>
        <v/>
      </c>
      <c r="AE147" s="22">
        <f>IF($C147="","",IFERROR(IF(INDEX(Deals!$AF$2:$AF$355,MATCH($C147,Deals!$A$2:$A$355,0))=0,"",INDEX(Deals!$AF$2:$AF$355,MATCH($C147,Deals!$A$2:$A$355,0))),""))</f>
        <v/>
      </c>
      <c r="AF147" s="35">
        <f>IF($AD147="",DATE(1900,1,1),$AD147)</f>
        <v/>
      </c>
      <c r="AG147" s="35">
        <f>IF($AE147="",DATE(2100,12,31),$AE147)</f>
        <v/>
      </c>
      <c r="AH147" s="22">
        <f>IF($C147="","",IFERROR(IF(INDEX(Deals!$AG$2:$AG$355,MATCH($C147,Deals!$A$2:$A$355,0))=0,"",INDEX(Deals!$AG$2:$AG$355,MATCH($C147,Deals!$A$2:$A$355,0))),""))</f>
        <v/>
      </c>
      <c r="AI147" s="35">
        <f>IF($AH147="",DATE(1900,1,1),$AF147)</f>
        <v/>
      </c>
      <c r="AJ147" s="35">
        <f>IF($AH147="",DATE(2100,12,31),$AH147)</f>
        <v/>
      </c>
      <c r="AK147" s="32">
        <f>IF($AH147="",$AC147,$AC147*$S147)</f>
        <v/>
      </c>
      <c r="AL147" s="35">
        <f>IF($AH147="",DATE(2100,12,31),$AH147+1)</f>
        <v/>
      </c>
      <c r="AM147" s="35">
        <f>IF($AH147="",DATE(1900,1,1),$AG147)</f>
        <v/>
      </c>
      <c r="AN147" s="32">
        <f>IF($AH147="",0,$AC147*$T147)</f>
        <v/>
      </c>
    </row>
    <row r="148">
      <c r="A148" s="28" t="inlineStr">
        <is>
          <t>Zack</t>
        </is>
      </c>
      <c r="B148" s="16">
        <f>IF($A148="","",IFERROR(INDEX(Roster!$B$2:$B$40,MATCH($A148,Roster!$A$2:$A$40,0)),"?"))</f>
        <v/>
      </c>
      <c r="C148" s="28" t="inlineStr">
        <is>
          <t>Model_4</t>
        </is>
      </c>
      <c r="D148" s="16">
        <f>IF($C148="","",IFERROR(IF(INDEX(Deals!$C$2:$C$355,MATCH($C148,Deals!$A$2:$A$355,0))=0,"",INDEX(Deals!$C$2:$C$355,MATCH($C148,Deals!$A$2:$A$355,0))),"?"))</f>
        <v/>
      </c>
      <c r="E148" s="16">
        <f>IF($C148="","",IFERROR(INDEX(Deals!$F$2:$F$355,MATCH($C148,Deals!$A$2:$A$355,0)),"?"))</f>
        <v/>
      </c>
      <c r="F148" s="28" t="inlineStr">
        <is>
          <t>MD</t>
        </is>
      </c>
      <c r="G148" s="28" t="inlineStr">
        <is>
          <t>Active</t>
        </is>
      </c>
      <c r="H148" s="31" t="n"/>
      <c r="I148" s="32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1">
        <f>IF($C148="",0,IFERROR(INDEX(Deals!$H$2:$H$355,MATCH($C148,Deals!$A$2:$A$355,0)),0))</f>
        <v/>
      </c>
      <c r="K148" s="32">
        <f>IF(Settings!$B$4="Yes",$I148*$J148,$I148)</f>
        <v/>
      </c>
      <c r="L148" s="22">
        <f>IF($C148="","",IFERROR(IF(INDEX(Deals!$I$2:$I$355,MATCH($C148,Deals!$A$2:$A$355,0))=0,"",INDEX(Deals!$I$2:$I$355,MATCH($C148,Deals!$A$2:$A$355,0))),""))</f>
        <v/>
      </c>
      <c r="M148" s="22">
        <f>IF($C148="","",IFERROR(IF(INDEX(Deals!$J$2:$J$355,MATCH($C148,Deals!$A$2:$A$355,0))=0,"",INDEX(Deals!$J$2:$J$355,MATCH($C148,Deals!$A$2:$A$355,0))),""))</f>
        <v/>
      </c>
      <c r="N148" s="35">
        <f>IF($L148="",DATE(1900,1,1),$L148)</f>
        <v/>
      </c>
      <c r="O148" s="35">
        <f>IF($M148="",DATE(2100,12,31),$M148)</f>
        <v/>
      </c>
      <c r="P148" s="20" t="inlineStr"/>
      <c r="Q148" s="43" t="inlineStr"/>
      <c r="R148" s="16">
        <f>IF($C148="","",IFERROR(IF(INDEX(Deals!$U$2:$U$355,MATCH($C148,Deals!$A$2:$A$355,0))=0,"",INDEX(Deals!$U$2:$U$355,MATCH($C148,Deals!$A$2:$A$355,0))),""))</f>
        <v/>
      </c>
      <c r="S148" s="34">
        <f>IFERROR(IF($U148="",1,INDEX(Deals!$V$2:$V$355,MATCH($C148,Deals!$A$2:$A$355,0))),1)</f>
        <v/>
      </c>
      <c r="T148" s="34">
        <f>IFERROR(IF($U148="",1,INDEX(Deals!$W$2:$W$355,MATCH($C148,Deals!$A$2:$A$355,0))),1)</f>
        <v/>
      </c>
      <c r="U148" s="22">
        <f>IF($C148="","",IFERROR(IF(INDEX(Deals!$Y$2:$Y$355,MATCH($C148,Deals!$A$2:$A$355,0))=0,"",INDEX(Deals!$Y$2:$Y$355,MATCH($C148,Deals!$A$2:$A$355,0))),""))</f>
        <v/>
      </c>
      <c r="V148" s="35">
        <f>IF($U148="",DATE(1900,1,1),$N148)</f>
        <v/>
      </c>
      <c r="W148" s="35">
        <f>IF($U148="",DATE(2100,12,31),$U148)</f>
        <v/>
      </c>
      <c r="X148" s="32">
        <f>IF($U148="",$K148,$K148*$S148)</f>
        <v/>
      </c>
      <c r="Y148" s="35">
        <f>IF($U148="",DATE(2100,12,31),$U148+1)</f>
        <v/>
      </c>
      <c r="Z148" s="35">
        <f>IF($U148="",DATE(1900,1,1),$O148)</f>
        <v/>
      </c>
      <c r="AA148" s="32">
        <f>IF($U148="",0,$K148*$T148)</f>
        <v/>
      </c>
      <c r="AB148" s="21">
        <f>IF($C148="",0,IFERROR(INDEX(Deals!$AD$2:$AD$355,MATCH($C148,Deals!$A$2:$A$355,0)),0))</f>
        <v/>
      </c>
      <c r="AC148" s="32">
        <f>IF(Settings!$B$4="Yes",$I148*$AB148,$I148)</f>
        <v/>
      </c>
      <c r="AD148" s="22">
        <f>IF($C148="","",IFERROR(IF(INDEX(Deals!$AE$2:$AE$355,MATCH($C148,Deals!$A$2:$A$355,0))=0,"",INDEX(Deals!$AE$2:$AE$355,MATCH($C148,Deals!$A$2:$A$355,0))),""))</f>
        <v/>
      </c>
      <c r="AE148" s="22">
        <f>IF($C148="","",IFERROR(IF(INDEX(Deals!$AF$2:$AF$355,MATCH($C148,Deals!$A$2:$A$355,0))=0,"",INDEX(Deals!$AF$2:$AF$355,MATCH($C148,Deals!$A$2:$A$355,0))),""))</f>
        <v/>
      </c>
      <c r="AF148" s="35">
        <f>IF($AD148="",DATE(1900,1,1),$AD148)</f>
        <v/>
      </c>
      <c r="AG148" s="35">
        <f>IF($AE148="",DATE(2100,12,31),$AE148)</f>
        <v/>
      </c>
      <c r="AH148" s="22">
        <f>IF($C148="","",IFERROR(IF(INDEX(Deals!$AG$2:$AG$355,MATCH($C148,Deals!$A$2:$A$355,0))=0,"",INDEX(Deals!$AG$2:$AG$355,MATCH($C148,Deals!$A$2:$A$355,0))),""))</f>
        <v/>
      </c>
      <c r="AI148" s="35">
        <f>IF($AH148="",DATE(1900,1,1),$AF148)</f>
        <v/>
      </c>
      <c r="AJ148" s="35">
        <f>IF($AH148="",DATE(2100,12,31),$AH148)</f>
        <v/>
      </c>
      <c r="AK148" s="32">
        <f>IF($AH148="",$AC148,$AC148*$S148)</f>
        <v/>
      </c>
      <c r="AL148" s="35">
        <f>IF($AH148="",DATE(2100,12,31),$AH148+1)</f>
        <v/>
      </c>
      <c r="AM148" s="35">
        <f>IF($AH148="",DATE(1900,1,1),$AG148)</f>
        <v/>
      </c>
      <c r="AN148" s="32">
        <f>IF($AH148="",0,$AC148*$T148)</f>
        <v/>
      </c>
    </row>
    <row r="149">
      <c r="A149" s="28" t="inlineStr">
        <is>
          <t>Zack</t>
        </is>
      </c>
      <c r="B149" s="16">
        <f>IF($A149="","",IFERROR(INDEX(Roster!$B$2:$B$40,MATCH($A149,Roster!$A$2:$A$40,0)),"?"))</f>
        <v/>
      </c>
      <c r="C149" s="28" t="inlineStr">
        <is>
          <t>Ninedot_3</t>
        </is>
      </c>
      <c r="D149" s="16">
        <f>IF($C149="","",IFERROR(IF(INDEX(Deals!$C$2:$C$355,MATCH($C149,Deals!$A$2:$A$355,0))=0,"",INDEX(Deals!$C$2:$C$355,MATCH($C149,Deals!$A$2:$A$355,0))),"?"))</f>
        <v/>
      </c>
      <c r="E149" s="16">
        <f>IF($C149="","",IFERROR(INDEX(Deals!$F$2:$F$355,MATCH($C149,Deals!$A$2:$A$355,0)),"?"))</f>
        <v/>
      </c>
      <c r="F149" s="28" t="inlineStr">
        <is>
          <t>MD</t>
        </is>
      </c>
      <c r="G149" s="28" t="inlineStr">
        <is>
          <t>Active</t>
        </is>
      </c>
      <c r="H149" s="31" t="n"/>
      <c r="I149" s="32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1">
        <f>IF($C149="",0,IFERROR(INDEX(Deals!$H$2:$H$355,MATCH($C149,Deals!$A$2:$A$355,0)),0))</f>
        <v/>
      </c>
      <c r="K149" s="32">
        <f>IF(Settings!$B$4="Yes",$I149*$J149,$I149)</f>
        <v/>
      </c>
      <c r="L149" s="22">
        <f>IF($C149="","",IFERROR(IF(INDEX(Deals!$I$2:$I$355,MATCH($C149,Deals!$A$2:$A$355,0))=0,"",INDEX(Deals!$I$2:$I$355,MATCH($C149,Deals!$A$2:$A$355,0))),""))</f>
        <v/>
      </c>
      <c r="M149" s="22">
        <f>IF($C149="","",IFERROR(IF(INDEX(Deals!$J$2:$J$355,MATCH($C149,Deals!$A$2:$A$355,0))=0,"",INDEX(Deals!$J$2:$J$355,MATCH($C149,Deals!$A$2:$A$355,0))),""))</f>
        <v/>
      </c>
      <c r="N149" s="35">
        <f>IF($L149="",DATE(1900,1,1),$L149)</f>
        <v/>
      </c>
      <c r="O149" s="35">
        <f>IF($M149="",DATE(2100,12,31),$M149)</f>
        <v/>
      </c>
      <c r="P149" s="20" t="inlineStr"/>
      <c r="Q149" s="43" t="inlineStr"/>
      <c r="R149" s="16">
        <f>IF($C149="","",IFERROR(IF(INDEX(Deals!$U$2:$U$355,MATCH($C149,Deals!$A$2:$A$355,0))=0,"",INDEX(Deals!$U$2:$U$355,MATCH($C149,Deals!$A$2:$A$355,0))),""))</f>
        <v/>
      </c>
      <c r="S149" s="34">
        <f>IFERROR(IF($U149="",1,INDEX(Deals!$V$2:$V$355,MATCH($C149,Deals!$A$2:$A$355,0))),1)</f>
        <v/>
      </c>
      <c r="T149" s="34">
        <f>IFERROR(IF($U149="",1,INDEX(Deals!$W$2:$W$355,MATCH($C149,Deals!$A$2:$A$355,0))),1)</f>
        <v/>
      </c>
      <c r="U149" s="22">
        <f>IF($C149="","",IFERROR(IF(INDEX(Deals!$Y$2:$Y$355,MATCH($C149,Deals!$A$2:$A$355,0))=0,"",INDEX(Deals!$Y$2:$Y$355,MATCH($C149,Deals!$A$2:$A$355,0))),""))</f>
        <v/>
      </c>
      <c r="V149" s="35">
        <f>IF($U149="",DATE(1900,1,1),$N149)</f>
        <v/>
      </c>
      <c r="W149" s="35">
        <f>IF($U149="",DATE(2100,12,31),$U149)</f>
        <v/>
      </c>
      <c r="X149" s="32">
        <f>IF($U149="",$K149,$K149*$S149)</f>
        <v/>
      </c>
      <c r="Y149" s="35">
        <f>IF($U149="",DATE(2100,12,31),$U149+1)</f>
        <v/>
      </c>
      <c r="Z149" s="35">
        <f>IF($U149="",DATE(1900,1,1),$O149)</f>
        <v/>
      </c>
      <c r="AA149" s="32">
        <f>IF($U149="",0,$K149*$T149)</f>
        <v/>
      </c>
      <c r="AB149" s="21">
        <f>IF($C149="",0,IFERROR(INDEX(Deals!$AD$2:$AD$355,MATCH($C149,Deals!$A$2:$A$355,0)),0))</f>
        <v/>
      </c>
      <c r="AC149" s="32">
        <f>IF(Settings!$B$4="Yes",$I149*$AB149,$I149)</f>
        <v/>
      </c>
      <c r="AD149" s="22">
        <f>IF($C149="","",IFERROR(IF(INDEX(Deals!$AE$2:$AE$355,MATCH($C149,Deals!$A$2:$A$355,0))=0,"",INDEX(Deals!$AE$2:$AE$355,MATCH($C149,Deals!$A$2:$A$355,0))),""))</f>
        <v/>
      </c>
      <c r="AE149" s="22">
        <f>IF($C149="","",IFERROR(IF(INDEX(Deals!$AF$2:$AF$355,MATCH($C149,Deals!$A$2:$A$355,0))=0,"",INDEX(Deals!$AF$2:$AF$355,MATCH($C149,Deals!$A$2:$A$355,0))),""))</f>
        <v/>
      </c>
      <c r="AF149" s="35">
        <f>IF($AD149="",DATE(1900,1,1),$AD149)</f>
        <v/>
      </c>
      <c r="AG149" s="35">
        <f>IF($AE149="",DATE(2100,12,31),$AE149)</f>
        <v/>
      </c>
      <c r="AH149" s="22">
        <f>IF($C149="","",IFERROR(IF(INDEX(Deals!$AG$2:$AG$355,MATCH($C149,Deals!$A$2:$A$355,0))=0,"",INDEX(Deals!$AG$2:$AG$355,MATCH($C149,Deals!$A$2:$A$355,0))),""))</f>
        <v/>
      </c>
      <c r="AI149" s="35">
        <f>IF($AH149="",DATE(1900,1,1),$AF149)</f>
        <v/>
      </c>
      <c r="AJ149" s="35">
        <f>IF($AH149="",DATE(2100,12,31),$AH149)</f>
        <v/>
      </c>
      <c r="AK149" s="32">
        <f>IF($AH149="",$AC149,$AC149*$S149)</f>
        <v/>
      </c>
      <c r="AL149" s="35">
        <f>IF($AH149="",DATE(2100,12,31),$AH149+1)</f>
        <v/>
      </c>
      <c r="AM149" s="35">
        <f>IF($AH149="",DATE(1900,1,1),$AG149)</f>
        <v/>
      </c>
      <c r="AN149" s="32">
        <f>IF($AH149="",0,$AC149*$T149)</f>
        <v/>
      </c>
    </row>
    <row r="150">
      <c r="A150" s="28" t="inlineStr">
        <is>
          <t>Zack</t>
        </is>
      </c>
      <c r="B150" s="16">
        <f>IF($A150="","",IFERROR(INDEX(Roster!$B$2:$B$40,MATCH($A150,Roster!$A$2:$A$40,0)),"?"))</f>
        <v/>
      </c>
      <c r="C150" s="28" t="inlineStr">
        <is>
          <t>Ontario_1</t>
        </is>
      </c>
      <c r="D150" s="16">
        <f>IF($C150="","",IFERROR(IF(INDEX(Deals!$C$2:$C$355,MATCH($C150,Deals!$A$2:$A$355,0))=0,"",INDEX(Deals!$C$2:$C$355,MATCH($C150,Deals!$A$2:$A$355,0))),"?"))</f>
        <v/>
      </c>
      <c r="E150" s="16">
        <f>IF($C150="","",IFERROR(INDEX(Deals!$F$2:$F$355,MATCH($C150,Deals!$A$2:$A$355,0)),"?"))</f>
        <v/>
      </c>
      <c r="F150" s="28" t="inlineStr">
        <is>
          <t>MD</t>
        </is>
      </c>
      <c r="G150" s="28" t="inlineStr">
        <is>
          <t>Active</t>
        </is>
      </c>
      <c r="H150" s="31" t="n"/>
      <c r="I150" s="32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1">
        <f>IF($C150="",0,IFERROR(INDEX(Deals!$H$2:$H$355,MATCH($C150,Deals!$A$2:$A$355,0)),0))</f>
        <v/>
      </c>
      <c r="K150" s="32">
        <f>IF(Settings!$B$4="Yes",$I150*$J150,$I150)</f>
        <v/>
      </c>
      <c r="L150" s="22">
        <f>IF($C150="","",IFERROR(IF(INDEX(Deals!$I$2:$I$355,MATCH($C150,Deals!$A$2:$A$355,0))=0,"",INDEX(Deals!$I$2:$I$355,MATCH($C150,Deals!$A$2:$A$355,0))),""))</f>
        <v/>
      </c>
      <c r="M150" s="22">
        <f>IF($C150="","",IFERROR(IF(INDEX(Deals!$J$2:$J$355,MATCH($C150,Deals!$A$2:$A$355,0))=0,"",INDEX(Deals!$J$2:$J$355,MATCH($C150,Deals!$A$2:$A$355,0))),""))</f>
        <v/>
      </c>
      <c r="N150" s="35">
        <f>IF($L150="",DATE(1900,1,1),$L150)</f>
        <v/>
      </c>
      <c r="O150" s="35">
        <f>IF($M150="",DATE(2100,12,31),$M150)</f>
        <v/>
      </c>
      <c r="P150" s="20" t="inlineStr"/>
      <c r="Q150" s="43" t="inlineStr"/>
      <c r="R150" s="16">
        <f>IF($C150="","",IFERROR(IF(INDEX(Deals!$U$2:$U$355,MATCH($C150,Deals!$A$2:$A$355,0))=0,"",INDEX(Deals!$U$2:$U$355,MATCH($C150,Deals!$A$2:$A$355,0))),""))</f>
        <v/>
      </c>
      <c r="S150" s="34">
        <f>IFERROR(IF($U150="",1,INDEX(Deals!$V$2:$V$355,MATCH($C150,Deals!$A$2:$A$355,0))),1)</f>
        <v/>
      </c>
      <c r="T150" s="34">
        <f>IFERROR(IF($U150="",1,INDEX(Deals!$W$2:$W$355,MATCH($C150,Deals!$A$2:$A$355,0))),1)</f>
        <v/>
      </c>
      <c r="U150" s="22">
        <f>IF($C150="","",IFERROR(IF(INDEX(Deals!$Y$2:$Y$355,MATCH($C150,Deals!$A$2:$A$355,0))=0,"",INDEX(Deals!$Y$2:$Y$355,MATCH($C150,Deals!$A$2:$A$355,0))),""))</f>
        <v/>
      </c>
      <c r="V150" s="35">
        <f>IF($U150="",DATE(1900,1,1),$N150)</f>
        <v/>
      </c>
      <c r="W150" s="35">
        <f>IF($U150="",DATE(2100,12,31),$U150)</f>
        <v/>
      </c>
      <c r="X150" s="32">
        <f>IF($U150="",$K150,$K150*$S150)</f>
        <v/>
      </c>
      <c r="Y150" s="35">
        <f>IF($U150="",DATE(2100,12,31),$U150+1)</f>
        <v/>
      </c>
      <c r="Z150" s="35">
        <f>IF($U150="",DATE(1900,1,1),$O150)</f>
        <v/>
      </c>
      <c r="AA150" s="32">
        <f>IF($U150="",0,$K150*$T150)</f>
        <v/>
      </c>
      <c r="AB150" s="21">
        <f>IF($C150="",0,IFERROR(INDEX(Deals!$AD$2:$AD$355,MATCH($C150,Deals!$A$2:$A$355,0)),0))</f>
        <v/>
      </c>
      <c r="AC150" s="32">
        <f>IF(Settings!$B$4="Yes",$I150*$AB150,$I150)</f>
        <v/>
      </c>
      <c r="AD150" s="22">
        <f>IF($C150="","",IFERROR(IF(INDEX(Deals!$AE$2:$AE$355,MATCH($C150,Deals!$A$2:$A$355,0))=0,"",INDEX(Deals!$AE$2:$AE$355,MATCH($C150,Deals!$A$2:$A$355,0))),""))</f>
        <v/>
      </c>
      <c r="AE150" s="22">
        <f>IF($C150="","",IFERROR(IF(INDEX(Deals!$AF$2:$AF$355,MATCH($C150,Deals!$A$2:$A$355,0))=0,"",INDEX(Deals!$AF$2:$AF$355,MATCH($C150,Deals!$A$2:$A$355,0))),""))</f>
        <v/>
      </c>
      <c r="AF150" s="35">
        <f>IF($AD150="",DATE(1900,1,1),$AD150)</f>
        <v/>
      </c>
      <c r="AG150" s="35">
        <f>IF($AE150="",DATE(2100,12,31),$AE150)</f>
        <v/>
      </c>
      <c r="AH150" s="22">
        <f>IF($C150="","",IFERROR(IF(INDEX(Deals!$AG$2:$AG$355,MATCH($C150,Deals!$A$2:$A$355,0))=0,"",INDEX(Deals!$AG$2:$AG$355,MATCH($C150,Deals!$A$2:$A$355,0))),""))</f>
        <v/>
      </c>
      <c r="AI150" s="35">
        <f>IF($AH150="",DATE(1900,1,1),$AF150)</f>
        <v/>
      </c>
      <c r="AJ150" s="35">
        <f>IF($AH150="",DATE(2100,12,31),$AH150)</f>
        <v/>
      </c>
      <c r="AK150" s="32">
        <f>IF($AH150="",$AC150,$AC150*$S150)</f>
        <v/>
      </c>
      <c r="AL150" s="35">
        <f>IF($AH150="",DATE(2100,12,31),$AH150+1)</f>
        <v/>
      </c>
      <c r="AM150" s="35">
        <f>IF($AH150="",DATE(1900,1,1),$AG150)</f>
        <v/>
      </c>
      <c r="AN150" s="32">
        <f>IF($AH150="",0,$AC150*$T150)</f>
        <v/>
      </c>
    </row>
    <row r="151">
      <c r="A151" s="28" t="inlineStr">
        <is>
          <t>Zack</t>
        </is>
      </c>
      <c r="B151" s="16">
        <f>IF($A151="","",IFERROR(INDEX(Roster!$B$2:$B$40,MATCH($A151,Roster!$A$2:$A$40,0)),"?"))</f>
        <v/>
      </c>
      <c r="C151" s="28" t="inlineStr">
        <is>
          <t>Prince_3</t>
        </is>
      </c>
      <c r="D151" s="16">
        <f>IF($C151="","",IFERROR(IF(INDEX(Deals!$C$2:$C$355,MATCH($C151,Deals!$A$2:$A$355,0))=0,"",INDEX(Deals!$C$2:$C$355,MATCH($C151,Deals!$A$2:$A$355,0))),"?"))</f>
        <v/>
      </c>
      <c r="E151" s="16">
        <f>IF($C151="","",IFERROR(INDEX(Deals!$F$2:$F$355,MATCH($C151,Deals!$A$2:$A$355,0)),"?"))</f>
        <v/>
      </c>
      <c r="F151" s="28" t="inlineStr">
        <is>
          <t>MD</t>
        </is>
      </c>
      <c r="G151" s="28" t="inlineStr">
        <is>
          <t>Active</t>
        </is>
      </c>
      <c r="H151" s="31" t="n"/>
      <c r="I151" s="32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1">
        <f>IF($C151="",0,IFERROR(INDEX(Deals!$H$2:$H$355,MATCH($C151,Deals!$A$2:$A$355,0)),0))</f>
        <v/>
      </c>
      <c r="K151" s="32">
        <f>IF(Settings!$B$4="Yes",$I151*$J151,$I151)</f>
        <v/>
      </c>
      <c r="L151" s="22">
        <f>IF($C151="","",IFERROR(IF(INDEX(Deals!$I$2:$I$355,MATCH($C151,Deals!$A$2:$A$355,0))=0,"",INDEX(Deals!$I$2:$I$355,MATCH($C151,Deals!$A$2:$A$355,0))),""))</f>
        <v/>
      </c>
      <c r="M151" s="22">
        <f>IF($C151="","",IFERROR(IF(INDEX(Deals!$J$2:$J$355,MATCH($C151,Deals!$A$2:$A$355,0))=0,"",INDEX(Deals!$J$2:$J$355,MATCH($C151,Deals!$A$2:$A$355,0))),""))</f>
        <v/>
      </c>
      <c r="N151" s="35">
        <f>IF($L151="",DATE(1900,1,1),$L151)</f>
        <v/>
      </c>
      <c r="O151" s="35">
        <f>IF($M151="",DATE(2100,12,31),$M151)</f>
        <v/>
      </c>
      <c r="P151" s="20" t="inlineStr"/>
      <c r="Q151" s="43" t="inlineStr"/>
      <c r="R151" s="16">
        <f>IF($C151="","",IFERROR(IF(INDEX(Deals!$U$2:$U$355,MATCH($C151,Deals!$A$2:$A$355,0))=0,"",INDEX(Deals!$U$2:$U$355,MATCH($C151,Deals!$A$2:$A$355,0))),""))</f>
        <v/>
      </c>
      <c r="S151" s="34">
        <f>IFERROR(IF($U151="",1,INDEX(Deals!$V$2:$V$355,MATCH($C151,Deals!$A$2:$A$355,0))),1)</f>
        <v/>
      </c>
      <c r="T151" s="34">
        <f>IFERROR(IF($U151="",1,INDEX(Deals!$W$2:$W$355,MATCH($C151,Deals!$A$2:$A$355,0))),1)</f>
        <v/>
      </c>
      <c r="U151" s="22">
        <f>IF($C151="","",IFERROR(IF(INDEX(Deals!$Y$2:$Y$355,MATCH($C151,Deals!$A$2:$A$355,0))=0,"",INDEX(Deals!$Y$2:$Y$355,MATCH($C151,Deals!$A$2:$A$355,0))),""))</f>
        <v/>
      </c>
      <c r="V151" s="35">
        <f>IF($U151="",DATE(1900,1,1),$N151)</f>
        <v/>
      </c>
      <c r="W151" s="35">
        <f>IF($U151="",DATE(2100,12,31),$U151)</f>
        <v/>
      </c>
      <c r="X151" s="32">
        <f>IF($U151="",$K151,$K151*$S151)</f>
        <v/>
      </c>
      <c r="Y151" s="35">
        <f>IF($U151="",DATE(2100,12,31),$U151+1)</f>
        <v/>
      </c>
      <c r="Z151" s="35">
        <f>IF($U151="",DATE(1900,1,1),$O151)</f>
        <v/>
      </c>
      <c r="AA151" s="32">
        <f>IF($U151="",0,$K151*$T151)</f>
        <v/>
      </c>
      <c r="AB151" s="21">
        <f>IF($C151="",0,IFERROR(INDEX(Deals!$AD$2:$AD$355,MATCH($C151,Deals!$A$2:$A$355,0)),0))</f>
        <v/>
      </c>
      <c r="AC151" s="32">
        <f>IF(Settings!$B$4="Yes",$I151*$AB151,$I151)</f>
        <v/>
      </c>
      <c r="AD151" s="22">
        <f>IF($C151="","",IFERROR(IF(INDEX(Deals!$AE$2:$AE$355,MATCH($C151,Deals!$A$2:$A$355,0))=0,"",INDEX(Deals!$AE$2:$AE$355,MATCH($C151,Deals!$A$2:$A$355,0))),""))</f>
        <v/>
      </c>
      <c r="AE151" s="22">
        <f>IF($C151="","",IFERROR(IF(INDEX(Deals!$AF$2:$AF$355,MATCH($C151,Deals!$A$2:$A$355,0))=0,"",INDEX(Deals!$AF$2:$AF$355,MATCH($C151,Deals!$A$2:$A$355,0))),""))</f>
        <v/>
      </c>
      <c r="AF151" s="35">
        <f>IF($AD151="",DATE(1900,1,1),$AD151)</f>
        <v/>
      </c>
      <c r="AG151" s="35">
        <f>IF($AE151="",DATE(2100,12,31),$AE151)</f>
        <v/>
      </c>
      <c r="AH151" s="22">
        <f>IF($C151="","",IFERROR(IF(INDEX(Deals!$AG$2:$AG$355,MATCH($C151,Deals!$A$2:$A$355,0))=0,"",INDEX(Deals!$AG$2:$AG$355,MATCH($C151,Deals!$A$2:$A$355,0))),""))</f>
        <v/>
      </c>
      <c r="AI151" s="35">
        <f>IF($AH151="",DATE(1900,1,1),$AF151)</f>
        <v/>
      </c>
      <c r="AJ151" s="35">
        <f>IF($AH151="",DATE(2100,12,31),$AH151)</f>
        <v/>
      </c>
      <c r="AK151" s="32">
        <f>IF($AH151="",$AC151,$AC151*$S151)</f>
        <v/>
      </c>
      <c r="AL151" s="35">
        <f>IF($AH151="",DATE(2100,12,31),$AH151+1)</f>
        <v/>
      </c>
      <c r="AM151" s="35">
        <f>IF($AH151="",DATE(1900,1,1),$AG151)</f>
        <v/>
      </c>
      <c r="AN151" s="32">
        <f>IF($AH151="",0,$AC151*$T151)</f>
        <v/>
      </c>
    </row>
    <row r="152">
      <c r="A152" s="28" t="inlineStr">
        <is>
          <t>Zack</t>
        </is>
      </c>
      <c r="B152" s="16">
        <f>IF($A152="","",IFERROR(INDEX(Roster!$B$2:$B$40,MATCH($A152,Roster!$A$2:$A$40,0)),"?"))</f>
        <v/>
      </c>
      <c r="C152" s="28" t="inlineStr">
        <is>
          <t>Pythagoras_1</t>
        </is>
      </c>
      <c r="D152" s="16">
        <f>IF($C152="","",IFERROR(IF(INDEX(Deals!$C$2:$C$355,MATCH($C152,Deals!$A$2:$A$355,0))=0,"",INDEX(Deals!$C$2:$C$355,MATCH($C152,Deals!$A$2:$A$355,0))),"?"))</f>
        <v/>
      </c>
      <c r="E152" s="16">
        <f>IF($C152="","",IFERROR(INDEX(Deals!$F$2:$F$355,MATCH($C152,Deals!$A$2:$A$355,0)),"?"))</f>
        <v/>
      </c>
      <c r="F152" s="28" t="inlineStr">
        <is>
          <t>MD</t>
        </is>
      </c>
      <c r="G152" s="28" t="inlineStr">
        <is>
          <t>Active</t>
        </is>
      </c>
      <c r="H152" s="31" t="n"/>
      <c r="I152" s="32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1">
        <f>IF($C152="",0,IFERROR(INDEX(Deals!$H$2:$H$355,MATCH($C152,Deals!$A$2:$A$355,0)),0))</f>
        <v/>
      </c>
      <c r="K152" s="32">
        <f>IF(Settings!$B$4="Yes",$I152*$J152,$I152)</f>
        <v/>
      </c>
      <c r="L152" s="22">
        <f>IF($C152="","",IFERROR(IF(INDEX(Deals!$I$2:$I$355,MATCH($C152,Deals!$A$2:$A$355,0))=0,"",INDEX(Deals!$I$2:$I$355,MATCH($C152,Deals!$A$2:$A$355,0))),""))</f>
        <v/>
      </c>
      <c r="M152" s="22">
        <f>IF($C152="","",IFERROR(IF(INDEX(Deals!$J$2:$J$355,MATCH($C152,Deals!$A$2:$A$355,0))=0,"",INDEX(Deals!$J$2:$J$355,MATCH($C152,Deals!$A$2:$A$355,0))),""))</f>
        <v/>
      </c>
      <c r="N152" s="35">
        <f>IF($L152="",DATE(1900,1,1),$L152)</f>
        <v/>
      </c>
      <c r="O152" s="35">
        <f>IF($M152="",DATE(2100,12,31),$M152)</f>
        <v/>
      </c>
      <c r="P152" s="20" t="inlineStr"/>
      <c r="Q152" s="43" t="inlineStr"/>
      <c r="R152" s="16">
        <f>IF($C152="","",IFERROR(IF(INDEX(Deals!$U$2:$U$355,MATCH($C152,Deals!$A$2:$A$355,0))=0,"",INDEX(Deals!$U$2:$U$355,MATCH($C152,Deals!$A$2:$A$355,0))),""))</f>
        <v/>
      </c>
      <c r="S152" s="34">
        <f>IFERROR(IF($U152="",1,INDEX(Deals!$V$2:$V$355,MATCH($C152,Deals!$A$2:$A$355,0))),1)</f>
        <v/>
      </c>
      <c r="T152" s="34">
        <f>IFERROR(IF($U152="",1,INDEX(Deals!$W$2:$W$355,MATCH($C152,Deals!$A$2:$A$355,0))),1)</f>
        <v/>
      </c>
      <c r="U152" s="22">
        <f>IF($C152="","",IFERROR(IF(INDEX(Deals!$Y$2:$Y$355,MATCH($C152,Deals!$A$2:$A$355,0))=0,"",INDEX(Deals!$Y$2:$Y$355,MATCH($C152,Deals!$A$2:$A$355,0))),""))</f>
        <v/>
      </c>
      <c r="V152" s="35">
        <f>IF($U152="",DATE(1900,1,1),$N152)</f>
        <v/>
      </c>
      <c r="W152" s="35">
        <f>IF($U152="",DATE(2100,12,31),$U152)</f>
        <v/>
      </c>
      <c r="X152" s="32">
        <f>IF($U152="",$K152,$K152*$S152)</f>
        <v/>
      </c>
      <c r="Y152" s="35">
        <f>IF($U152="",DATE(2100,12,31),$U152+1)</f>
        <v/>
      </c>
      <c r="Z152" s="35">
        <f>IF($U152="",DATE(1900,1,1),$O152)</f>
        <v/>
      </c>
      <c r="AA152" s="32">
        <f>IF($U152="",0,$K152*$T152)</f>
        <v/>
      </c>
      <c r="AB152" s="21">
        <f>IF($C152="",0,IFERROR(INDEX(Deals!$AD$2:$AD$355,MATCH($C152,Deals!$A$2:$A$355,0)),0))</f>
        <v/>
      </c>
      <c r="AC152" s="32">
        <f>IF(Settings!$B$4="Yes",$I152*$AB152,$I152)</f>
        <v/>
      </c>
      <c r="AD152" s="22">
        <f>IF($C152="","",IFERROR(IF(INDEX(Deals!$AE$2:$AE$355,MATCH($C152,Deals!$A$2:$A$355,0))=0,"",INDEX(Deals!$AE$2:$AE$355,MATCH($C152,Deals!$A$2:$A$355,0))),""))</f>
        <v/>
      </c>
      <c r="AE152" s="22">
        <f>IF($C152="","",IFERROR(IF(INDEX(Deals!$AF$2:$AF$355,MATCH($C152,Deals!$A$2:$A$355,0))=0,"",INDEX(Deals!$AF$2:$AF$355,MATCH($C152,Deals!$A$2:$A$355,0))),""))</f>
        <v/>
      </c>
      <c r="AF152" s="35">
        <f>IF($AD152="",DATE(1900,1,1),$AD152)</f>
        <v/>
      </c>
      <c r="AG152" s="35">
        <f>IF($AE152="",DATE(2100,12,31),$AE152)</f>
        <v/>
      </c>
      <c r="AH152" s="22">
        <f>IF($C152="","",IFERROR(IF(INDEX(Deals!$AG$2:$AG$355,MATCH($C152,Deals!$A$2:$A$355,0))=0,"",INDEX(Deals!$AG$2:$AG$355,MATCH($C152,Deals!$A$2:$A$355,0))),""))</f>
        <v/>
      </c>
      <c r="AI152" s="35">
        <f>IF($AH152="",DATE(1900,1,1),$AF152)</f>
        <v/>
      </c>
      <c r="AJ152" s="35">
        <f>IF($AH152="",DATE(2100,12,31),$AH152)</f>
        <v/>
      </c>
      <c r="AK152" s="32">
        <f>IF($AH152="",$AC152,$AC152*$S152)</f>
        <v/>
      </c>
      <c r="AL152" s="35">
        <f>IF($AH152="",DATE(2100,12,31),$AH152+1)</f>
        <v/>
      </c>
      <c r="AM152" s="35">
        <f>IF($AH152="",DATE(1900,1,1),$AG152)</f>
        <v/>
      </c>
      <c r="AN152" s="32">
        <f>IF($AH152="",0,$AC152*$T152)</f>
        <v/>
      </c>
    </row>
    <row r="153">
      <c r="A153" s="28" t="inlineStr">
        <is>
          <t>Zack</t>
        </is>
      </c>
      <c r="B153" s="16">
        <f>IF($A153="","",IFERROR(INDEX(Roster!$B$2:$B$40,MATCH($A153,Roster!$A$2:$A$40,0)),"?"))</f>
        <v/>
      </c>
      <c r="C153" s="28" t="inlineStr">
        <is>
          <t>Railcar_1</t>
        </is>
      </c>
      <c r="D153" s="16">
        <f>IF($C153="","",IFERROR(IF(INDEX(Deals!$C$2:$C$355,MATCH($C153,Deals!$A$2:$A$355,0))=0,"",INDEX(Deals!$C$2:$C$355,MATCH($C153,Deals!$A$2:$A$355,0))),"?"))</f>
        <v/>
      </c>
      <c r="E153" s="16">
        <f>IF($C153="","",IFERROR(INDEX(Deals!$F$2:$F$355,MATCH($C153,Deals!$A$2:$A$355,0)),"?"))</f>
        <v/>
      </c>
      <c r="F153" s="28" t="inlineStr">
        <is>
          <t>MD</t>
        </is>
      </c>
      <c r="G153" s="28" t="inlineStr">
        <is>
          <t>Active</t>
        </is>
      </c>
      <c r="H153" s="31" t="n"/>
      <c r="I153" s="32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1">
        <f>IF($C153="",0,IFERROR(INDEX(Deals!$H$2:$H$355,MATCH($C153,Deals!$A$2:$A$355,0)),0))</f>
        <v/>
      </c>
      <c r="K153" s="32">
        <f>IF(Settings!$B$4="Yes",$I153*$J153,$I153)</f>
        <v/>
      </c>
      <c r="L153" s="22">
        <f>IF($C153="","",IFERROR(IF(INDEX(Deals!$I$2:$I$355,MATCH($C153,Deals!$A$2:$A$355,0))=0,"",INDEX(Deals!$I$2:$I$355,MATCH($C153,Deals!$A$2:$A$355,0))),""))</f>
        <v/>
      </c>
      <c r="M153" s="22">
        <f>IF($C153="","",IFERROR(IF(INDEX(Deals!$J$2:$J$355,MATCH($C153,Deals!$A$2:$A$355,0))=0,"",INDEX(Deals!$J$2:$J$355,MATCH($C153,Deals!$A$2:$A$355,0))),""))</f>
        <v/>
      </c>
      <c r="N153" s="35">
        <f>IF($L153="",DATE(1900,1,1),$L153)</f>
        <v/>
      </c>
      <c r="O153" s="35">
        <f>IF($M153="",DATE(2100,12,31),$M153)</f>
        <v/>
      </c>
      <c r="P153" s="20" t="inlineStr"/>
      <c r="Q153" s="43" t="inlineStr"/>
      <c r="R153" s="16">
        <f>IF($C153="","",IFERROR(IF(INDEX(Deals!$U$2:$U$355,MATCH($C153,Deals!$A$2:$A$355,0))=0,"",INDEX(Deals!$U$2:$U$355,MATCH($C153,Deals!$A$2:$A$355,0))),""))</f>
        <v/>
      </c>
      <c r="S153" s="34">
        <f>IFERROR(IF($U153="",1,INDEX(Deals!$V$2:$V$355,MATCH($C153,Deals!$A$2:$A$355,0))),1)</f>
        <v/>
      </c>
      <c r="T153" s="34">
        <f>IFERROR(IF($U153="",1,INDEX(Deals!$W$2:$W$355,MATCH($C153,Deals!$A$2:$A$355,0))),1)</f>
        <v/>
      </c>
      <c r="U153" s="22">
        <f>IF($C153="","",IFERROR(IF(INDEX(Deals!$Y$2:$Y$355,MATCH($C153,Deals!$A$2:$A$355,0))=0,"",INDEX(Deals!$Y$2:$Y$355,MATCH($C153,Deals!$A$2:$A$355,0))),""))</f>
        <v/>
      </c>
      <c r="V153" s="35">
        <f>IF($U153="",DATE(1900,1,1),$N153)</f>
        <v/>
      </c>
      <c r="W153" s="35">
        <f>IF($U153="",DATE(2100,12,31),$U153)</f>
        <v/>
      </c>
      <c r="X153" s="32">
        <f>IF($U153="",$K153,$K153*$S153)</f>
        <v/>
      </c>
      <c r="Y153" s="35">
        <f>IF($U153="",DATE(2100,12,31),$U153+1)</f>
        <v/>
      </c>
      <c r="Z153" s="35">
        <f>IF($U153="",DATE(1900,1,1),$O153)</f>
        <v/>
      </c>
      <c r="AA153" s="32">
        <f>IF($U153="",0,$K153*$T153)</f>
        <v/>
      </c>
      <c r="AB153" s="21">
        <f>IF($C153="",0,IFERROR(INDEX(Deals!$AD$2:$AD$355,MATCH($C153,Deals!$A$2:$A$355,0)),0))</f>
        <v/>
      </c>
      <c r="AC153" s="32">
        <f>IF(Settings!$B$4="Yes",$I153*$AB153,$I153)</f>
        <v/>
      </c>
      <c r="AD153" s="22">
        <f>IF($C153="","",IFERROR(IF(INDEX(Deals!$AE$2:$AE$355,MATCH($C153,Deals!$A$2:$A$355,0))=0,"",INDEX(Deals!$AE$2:$AE$355,MATCH($C153,Deals!$A$2:$A$355,0))),""))</f>
        <v/>
      </c>
      <c r="AE153" s="22">
        <f>IF($C153="","",IFERROR(IF(INDEX(Deals!$AF$2:$AF$355,MATCH($C153,Deals!$A$2:$A$355,0))=0,"",INDEX(Deals!$AF$2:$AF$355,MATCH($C153,Deals!$A$2:$A$355,0))),""))</f>
        <v/>
      </c>
      <c r="AF153" s="35">
        <f>IF($AD153="",DATE(1900,1,1),$AD153)</f>
        <v/>
      </c>
      <c r="AG153" s="35">
        <f>IF($AE153="",DATE(2100,12,31),$AE153)</f>
        <v/>
      </c>
      <c r="AH153" s="22">
        <f>IF($C153="","",IFERROR(IF(INDEX(Deals!$AG$2:$AG$355,MATCH($C153,Deals!$A$2:$A$355,0))=0,"",INDEX(Deals!$AG$2:$AG$355,MATCH($C153,Deals!$A$2:$A$355,0))),""))</f>
        <v/>
      </c>
      <c r="AI153" s="35">
        <f>IF($AH153="",DATE(1900,1,1),$AF153)</f>
        <v/>
      </c>
      <c r="AJ153" s="35">
        <f>IF($AH153="",DATE(2100,12,31),$AH153)</f>
        <v/>
      </c>
      <c r="AK153" s="32">
        <f>IF($AH153="",$AC153,$AC153*$S153)</f>
        <v/>
      </c>
      <c r="AL153" s="35">
        <f>IF($AH153="",DATE(2100,12,31),$AH153+1)</f>
        <v/>
      </c>
      <c r="AM153" s="35">
        <f>IF($AH153="",DATE(1900,1,1),$AG153)</f>
        <v/>
      </c>
      <c r="AN153" s="32">
        <f>IF($AH153="",0,$AC153*$T153)</f>
        <v/>
      </c>
    </row>
    <row r="154">
      <c r="A154" s="28" t="inlineStr">
        <is>
          <t>Zack</t>
        </is>
      </c>
      <c r="B154" s="16">
        <f>IF($A154="","",IFERROR(INDEX(Roster!$B$2:$B$40,MATCH($A154,Roster!$A$2:$A$40,0)),"?"))</f>
        <v/>
      </c>
      <c r="C154" s="28" t="inlineStr">
        <is>
          <t>Redwood_2</t>
        </is>
      </c>
      <c r="D154" s="16">
        <f>IF($C154="","",IFERROR(IF(INDEX(Deals!$C$2:$C$355,MATCH($C154,Deals!$A$2:$A$355,0))=0,"",INDEX(Deals!$C$2:$C$355,MATCH($C154,Deals!$A$2:$A$355,0))),"?"))</f>
        <v/>
      </c>
      <c r="E154" s="16">
        <f>IF($C154="","",IFERROR(INDEX(Deals!$F$2:$F$355,MATCH($C154,Deals!$A$2:$A$355,0)),"?"))</f>
        <v/>
      </c>
      <c r="F154" s="28" t="inlineStr">
        <is>
          <t>MD</t>
        </is>
      </c>
      <c r="G154" s="28" t="inlineStr">
        <is>
          <t>Active</t>
        </is>
      </c>
      <c r="H154" s="31" t="n"/>
      <c r="I154" s="32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1">
        <f>IF($C154="",0,IFERROR(INDEX(Deals!$H$2:$H$355,MATCH($C154,Deals!$A$2:$A$355,0)),0))</f>
        <v/>
      </c>
      <c r="K154" s="32">
        <f>IF(Settings!$B$4="Yes",$I154*$J154,$I154)</f>
        <v/>
      </c>
      <c r="L154" s="22">
        <f>IF($C154="","",IFERROR(IF(INDEX(Deals!$I$2:$I$355,MATCH($C154,Deals!$A$2:$A$355,0))=0,"",INDEX(Deals!$I$2:$I$355,MATCH($C154,Deals!$A$2:$A$355,0))),""))</f>
        <v/>
      </c>
      <c r="M154" s="22">
        <f>IF($C154="","",IFERROR(IF(INDEX(Deals!$J$2:$J$355,MATCH($C154,Deals!$A$2:$A$355,0))=0,"",INDEX(Deals!$J$2:$J$355,MATCH($C154,Deals!$A$2:$A$355,0))),""))</f>
        <v/>
      </c>
      <c r="N154" s="35">
        <f>IF($L154="",DATE(1900,1,1),$L154)</f>
        <v/>
      </c>
      <c r="O154" s="35">
        <f>IF($M154="",DATE(2100,12,31),$M154)</f>
        <v/>
      </c>
      <c r="P154" s="20" t="inlineStr"/>
      <c r="Q154" s="43" t="inlineStr"/>
      <c r="R154" s="16">
        <f>IF($C154="","",IFERROR(IF(INDEX(Deals!$U$2:$U$355,MATCH($C154,Deals!$A$2:$A$355,0))=0,"",INDEX(Deals!$U$2:$U$355,MATCH($C154,Deals!$A$2:$A$355,0))),""))</f>
        <v/>
      </c>
      <c r="S154" s="34">
        <f>IFERROR(IF($U154="",1,INDEX(Deals!$V$2:$V$355,MATCH($C154,Deals!$A$2:$A$355,0))),1)</f>
        <v/>
      </c>
      <c r="T154" s="34">
        <f>IFERROR(IF($U154="",1,INDEX(Deals!$W$2:$W$355,MATCH($C154,Deals!$A$2:$A$355,0))),1)</f>
        <v/>
      </c>
      <c r="U154" s="22">
        <f>IF($C154="","",IFERROR(IF(INDEX(Deals!$Y$2:$Y$355,MATCH($C154,Deals!$A$2:$A$355,0))=0,"",INDEX(Deals!$Y$2:$Y$355,MATCH($C154,Deals!$A$2:$A$355,0))),""))</f>
        <v/>
      </c>
      <c r="V154" s="35">
        <f>IF($U154="",DATE(1900,1,1),$N154)</f>
        <v/>
      </c>
      <c r="W154" s="35">
        <f>IF($U154="",DATE(2100,12,31),$U154)</f>
        <v/>
      </c>
      <c r="X154" s="32">
        <f>IF($U154="",$K154,$K154*$S154)</f>
        <v/>
      </c>
      <c r="Y154" s="35">
        <f>IF($U154="",DATE(2100,12,31),$U154+1)</f>
        <v/>
      </c>
      <c r="Z154" s="35">
        <f>IF($U154="",DATE(1900,1,1),$O154)</f>
        <v/>
      </c>
      <c r="AA154" s="32">
        <f>IF($U154="",0,$K154*$T154)</f>
        <v/>
      </c>
      <c r="AB154" s="21">
        <f>IF($C154="",0,IFERROR(INDEX(Deals!$AD$2:$AD$355,MATCH($C154,Deals!$A$2:$A$355,0)),0))</f>
        <v/>
      </c>
      <c r="AC154" s="32">
        <f>IF(Settings!$B$4="Yes",$I154*$AB154,$I154)</f>
        <v/>
      </c>
      <c r="AD154" s="22">
        <f>IF($C154="","",IFERROR(IF(INDEX(Deals!$AE$2:$AE$355,MATCH($C154,Deals!$A$2:$A$355,0))=0,"",INDEX(Deals!$AE$2:$AE$355,MATCH($C154,Deals!$A$2:$A$355,0))),""))</f>
        <v/>
      </c>
      <c r="AE154" s="22">
        <f>IF($C154="","",IFERROR(IF(INDEX(Deals!$AF$2:$AF$355,MATCH($C154,Deals!$A$2:$A$355,0))=0,"",INDEX(Deals!$AF$2:$AF$355,MATCH($C154,Deals!$A$2:$A$355,0))),""))</f>
        <v/>
      </c>
      <c r="AF154" s="35">
        <f>IF($AD154="",DATE(1900,1,1),$AD154)</f>
        <v/>
      </c>
      <c r="AG154" s="35">
        <f>IF($AE154="",DATE(2100,12,31),$AE154)</f>
        <v/>
      </c>
      <c r="AH154" s="22">
        <f>IF($C154="","",IFERROR(IF(INDEX(Deals!$AG$2:$AG$355,MATCH($C154,Deals!$A$2:$A$355,0))=0,"",INDEX(Deals!$AG$2:$AG$355,MATCH($C154,Deals!$A$2:$A$355,0))),""))</f>
        <v/>
      </c>
      <c r="AI154" s="35">
        <f>IF($AH154="",DATE(1900,1,1),$AF154)</f>
        <v/>
      </c>
      <c r="AJ154" s="35">
        <f>IF($AH154="",DATE(2100,12,31),$AH154)</f>
        <v/>
      </c>
      <c r="AK154" s="32">
        <f>IF($AH154="",$AC154,$AC154*$S154)</f>
        <v/>
      </c>
      <c r="AL154" s="35">
        <f>IF($AH154="",DATE(2100,12,31),$AH154+1)</f>
        <v/>
      </c>
      <c r="AM154" s="35">
        <f>IF($AH154="",DATE(1900,1,1),$AG154)</f>
        <v/>
      </c>
      <c r="AN154" s="32">
        <f>IF($AH154="",0,$AC154*$T154)</f>
        <v/>
      </c>
    </row>
    <row r="155">
      <c r="A155" s="28" t="inlineStr">
        <is>
          <t>Zack</t>
        </is>
      </c>
      <c r="B155" s="16">
        <f>IF($A155="","",IFERROR(INDEX(Roster!$B$2:$B$40,MATCH($A155,Roster!$A$2:$A$40,0)),"?"))</f>
        <v/>
      </c>
      <c r="C155" s="28" t="inlineStr">
        <is>
          <t>Ridgeline_2</t>
        </is>
      </c>
      <c r="D155" s="16">
        <f>IF($C155="","",IFERROR(IF(INDEX(Deals!$C$2:$C$355,MATCH($C155,Deals!$A$2:$A$355,0))=0,"",INDEX(Deals!$C$2:$C$355,MATCH($C155,Deals!$A$2:$A$355,0))),"?"))</f>
        <v/>
      </c>
      <c r="E155" s="16">
        <f>IF($C155="","",IFERROR(INDEX(Deals!$F$2:$F$355,MATCH($C155,Deals!$A$2:$A$355,0)),"?"))</f>
        <v/>
      </c>
      <c r="F155" s="28" t="inlineStr">
        <is>
          <t>MD</t>
        </is>
      </c>
      <c r="G155" s="28" t="inlineStr">
        <is>
          <t>Active</t>
        </is>
      </c>
      <c r="H155" s="31" t="n"/>
      <c r="I155" s="32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1">
        <f>IF($C155="",0,IFERROR(INDEX(Deals!$H$2:$H$355,MATCH($C155,Deals!$A$2:$A$355,0)),0))</f>
        <v/>
      </c>
      <c r="K155" s="32">
        <f>IF(Settings!$B$4="Yes",$I155*$J155,$I155)</f>
        <v/>
      </c>
      <c r="L155" s="22">
        <f>IF($C155="","",IFERROR(IF(INDEX(Deals!$I$2:$I$355,MATCH($C155,Deals!$A$2:$A$355,0))=0,"",INDEX(Deals!$I$2:$I$355,MATCH($C155,Deals!$A$2:$A$355,0))),""))</f>
        <v/>
      </c>
      <c r="M155" s="22">
        <f>IF($C155="","",IFERROR(IF(INDEX(Deals!$J$2:$J$355,MATCH($C155,Deals!$A$2:$A$355,0))=0,"",INDEX(Deals!$J$2:$J$355,MATCH($C155,Deals!$A$2:$A$355,0))),""))</f>
        <v/>
      </c>
      <c r="N155" s="35">
        <f>IF($L155="",DATE(1900,1,1),$L155)</f>
        <v/>
      </c>
      <c r="O155" s="35">
        <f>IF($M155="",DATE(2100,12,31),$M155)</f>
        <v/>
      </c>
      <c r="P155" s="20" t="inlineStr"/>
      <c r="Q155" s="43" t="inlineStr"/>
      <c r="R155" s="16">
        <f>IF($C155="","",IFERROR(IF(INDEX(Deals!$U$2:$U$355,MATCH($C155,Deals!$A$2:$A$355,0))=0,"",INDEX(Deals!$U$2:$U$355,MATCH($C155,Deals!$A$2:$A$355,0))),""))</f>
        <v/>
      </c>
      <c r="S155" s="34">
        <f>IFERROR(IF($U155="",1,INDEX(Deals!$V$2:$V$355,MATCH($C155,Deals!$A$2:$A$355,0))),1)</f>
        <v/>
      </c>
      <c r="T155" s="34">
        <f>IFERROR(IF($U155="",1,INDEX(Deals!$W$2:$W$355,MATCH($C155,Deals!$A$2:$A$355,0))),1)</f>
        <v/>
      </c>
      <c r="U155" s="22">
        <f>IF($C155="","",IFERROR(IF(INDEX(Deals!$Y$2:$Y$355,MATCH($C155,Deals!$A$2:$A$355,0))=0,"",INDEX(Deals!$Y$2:$Y$355,MATCH($C155,Deals!$A$2:$A$355,0))),""))</f>
        <v/>
      </c>
      <c r="V155" s="35">
        <f>IF($U155="",DATE(1900,1,1),$N155)</f>
        <v/>
      </c>
      <c r="W155" s="35">
        <f>IF($U155="",DATE(2100,12,31),$U155)</f>
        <v/>
      </c>
      <c r="X155" s="32">
        <f>IF($U155="",$K155,$K155*$S155)</f>
        <v/>
      </c>
      <c r="Y155" s="35">
        <f>IF($U155="",DATE(2100,12,31),$U155+1)</f>
        <v/>
      </c>
      <c r="Z155" s="35">
        <f>IF($U155="",DATE(1900,1,1),$O155)</f>
        <v/>
      </c>
      <c r="AA155" s="32">
        <f>IF($U155="",0,$K155*$T155)</f>
        <v/>
      </c>
      <c r="AB155" s="21">
        <f>IF($C155="",0,IFERROR(INDEX(Deals!$AD$2:$AD$355,MATCH($C155,Deals!$A$2:$A$355,0)),0))</f>
        <v/>
      </c>
      <c r="AC155" s="32">
        <f>IF(Settings!$B$4="Yes",$I155*$AB155,$I155)</f>
        <v/>
      </c>
      <c r="AD155" s="22">
        <f>IF($C155="","",IFERROR(IF(INDEX(Deals!$AE$2:$AE$355,MATCH($C155,Deals!$A$2:$A$355,0))=0,"",INDEX(Deals!$AE$2:$AE$355,MATCH($C155,Deals!$A$2:$A$355,0))),""))</f>
        <v/>
      </c>
      <c r="AE155" s="22">
        <f>IF($C155="","",IFERROR(IF(INDEX(Deals!$AF$2:$AF$355,MATCH($C155,Deals!$A$2:$A$355,0))=0,"",INDEX(Deals!$AF$2:$AF$355,MATCH($C155,Deals!$A$2:$A$355,0))),""))</f>
        <v/>
      </c>
      <c r="AF155" s="35">
        <f>IF($AD155="",DATE(1900,1,1),$AD155)</f>
        <v/>
      </c>
      <c r="AG155" s="35">
        <f>IF($AE155="",DATE(2100,12,31),$AE155)</f>
        <v/>
      </c>
      <c r="AH155" s="22">
        <f>IF($C155="","",IFERROR(IF(INDEX(Deals!$AG$2:$AG$355,MATCH($C155,Deals!$A$2:$A$355,0))=0,"",INDEX(Deals!$AG$2:$AG$355,MATCH($C155,Deals!$A$2:$A$355,0))),""))</f>
        <v/>
      </c>
      <c r="AI155" s="35">
        <f>IF($AH155="",DATE(1900,1,1),$AF155)</f>
        <v/>
      </c>
      <c r="AJ155" s="35">
        <f>IF($AH155="",DATE(2100,12,31),$AH155)</f>
        <v/>
      </c>
      <c r="AK155" s="32">
        <f>IF($AH155="",$AC155,$AC155*$S155)</f>
        <v/>
      </c>
      <c r="AL155" s="35">
        <f>IF($AH155="",DATE(2100,12,31),$AH155+1)</f>
        <v/>
      </c>
      <c r="AM155" s="35">
        <f>IF($AH155="",DATE(1900,1,1),$AG155)</f>
        <v/>
      </c>
      <c r="AN155" s="32">
        <f>IF($AH155="",0,$AC155*$T155)</f>
        <v/>
      </c>
    </row>
    <row r="156">
      <c r="A156" s="28" t="inlineStr">
        <is>
          <t>Zack</t>
        </is>
      </c>
      <c r="B156" s="16">
        <f>IF($A156="","",IFERROR(INDEX(Roster!$B$2:$B$40,MATCH($A156,Roster!$A$2:$A$40,0)),"?"))</f>
        <v/>
      </c>
      <c r="C156" s="28" t="inlineStr">
        <is>
          <t>Roadrunner_1</t>
        </is>
      </c>
      <c r="D156" s="16">
        <f>IF($C156="","",IFERROR(IF(INDEX(Deals!$C$2:$C$355,MATCH($C156,Deals!$A$2:$A$355,0))=0,"",INDEX(Deals!$C$2:$C$355,MATCH($C156,Deals!$A$2:$A$355,0))),"?"))</f>
        <v/>
      </c>
      <c r="E156" s="16">
        <f>IF($C156="","",IFERROR(INDEX(Deals!$F$2:$F$355,MATCH($C156,Deals!$A$2:$A$355,0)),"?"))</f>
        <v/>
      </c>
      <c r="F156" s="28" t="inlineStr">
        <is>
          <t>MD</t>
        </is>
      </c>
      <c r="G156" s="28" t="inlineStr">
        <is>
          <t>Active</t>
        </is>
      </c>
      <c r="H156" s="31" t="n"/>
      <c r="I156" s="32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1">
        <f>IF($C156="",0,IFERROR(INDEX(Deals!$H$2:$H$355,MATCH($C156,Deals!$A$2:$A$355,0)),0))</f>
        <v/>
      </c>
      <c r="K156" s="32">
        <f>IF(Settings!$B$4="Yes",$I156*$J156,$I156)</f>
        <v/>
      </c>
      <c r="L156" s="22">
        <f>IF($C156="","",IFERROR(IF(INDEX(Deals!$I$2:$I$355,MATCH($C156,Deals!$A$2:$A$355,0))=0,"",INDEX(Deals!$I$2:$I$355,MATCH($C156,Deals!$A$2:$A$355,0))),""))</f>
        <v/>
      </c>
      <c r="M156" s="22">
        <f>IF($C156="","",IFERROR(IF(INDEX(Deals!$J$2:$J$355,MATCH($C156,Deals!$A$2:$A$355,0))=0,"",INDEX(Deals!$J$2:$J$355,MATCH($C156,Deals!$A$2:$A$355,0))),""))</f>
        <v/>
      </c>
      <c r="N156" s="35">
        <f>IF($L156="",DATE(1900,1,1),$L156)</f>
        <v/>
      </c>
      <c r="O156" s="35">
        <f>IF($M156="",DATE(2100,12,31),$M156)</f>
        <v/>
      </c>
      <c r="P156" s="20" t="inlineStr"/>
      <c r="Q156" s="43" t="inlineStr"/>
      <c r="R156" s="16">
        <f>IF($C156="","",IFERROR(IF(INDEX(Deals!$U$2:$U$355,MATCH($C156,Deals!$A$2:$A$355,0))=0,"",INDEX(Deals!$U$2:$U$355,MATCH($C156,Deals!$A$2:$A$355,0))),""))</f>
        <v/>
      </c>
      <c r="S156" s="34">
        <f>IFERROR(IF($U156="",1,INDEX(Deals!$V$2:$V$355,MATCH($C156,Deals!$A$2:$A$355,0))),1)</f>
        <v/>
      </c>
      <c r="T156" s="34">
        <f>IFERROR(IF($U156="",1,INDEX(Deals!$W$2:$W$355,MATCH($C156,Deals!$A$2:$A$355,0))),1)</f>
        <v/>
      </c>
      <c r="U156" s="22">
        <f>IF($C156="","",IFERROR(IF(INDEX(Deals!$Y$2:$Y$355,MATCH($C156,Deals!$A$2:$A$355,0))=0,"",INDEX(Deals!$Y$2:$Y$355,MATCH($C156,Deals!$A$2:$A$355,0))),""))</f>
        <v/>
      </c>
      <c r="V156" s="35">
        <f>IF($U156="",DATE(1900,1,1),$N156)</f>
        <v/>
      </c>
      <c r="W156" s="35">
        <f>IF($U156="",DATE(2100,12,31),$U156)</f>
        <v/>
      </c>
      <c r="X156" s="32">
        <f>IF($U156="",$K156,$K156*$S156)</f>
        <v/>
      </c>
      <c r="Y156" s="35">
        <f>IF($U156="",DATE(2100,12,31),$U156+1)</f>
        <v/>
      </c>
      <c r="Z156" s="35">
        <f>IF($U156="",DATE(1900,1,1),$O156)</f>
        <v/>
      </c>
      <c r="AA156" s="32">
        <f>IF($U156="",0,$K156*$T156)</f>
        <v/>
      </c>
      <c r="AB156" s="21">
        <f>IF($C156="",0,IFERROR(INDEX(Deals!$AD$2:$AD$355,MATCH($C156,Deals!$A$2:$A$355,0)),0))</f>
        <v/>
      </c>
      <c r="AC156" s="32">
        <f>IF(Settings!$B$4="Yes",$I156*$AB156,$I156)</f>
        <v/>
      </c>
      <c r="AD156" s="22">
        <f>IF($C156="","",IFERROR(IF(INDEX(Deals!$AE$2:$AE$355,MATCH($C156,Deals!$A$2:$A$355,0))=0,"",INDEX(Deals!$AE$2:$AE$355,MATCH($C156,Deals!$A$2:$A$355,0))),""))</f>
        <v/>
      </c>
      <c r="AE156" s="22">
        <f>IF($C156="","",IFERROR(IF(INDEX(Deals!$AF$2:$AF$355,MATCH($C156,Deals!$A$2:$A$355,0))=0,"",INDEX(Deals!$AF$2:$AF$355,MATCH($C156,Deals!$A$2:$A$355,0))),""))</f>
        <v/>
      </c>
      <c r="AF156" s="35">
        <f>IF($AD156="",DATE(1900,1,1),$AD156)</f>
        <v/>
      </c>
      <c r="AG156" s="35">
        <f>IF($AE156="",DATE(2100,12,31),$AE156)</f>
        <v/>
      </c>
      <c r="AH156" s="22">
        <f>IF($C156="","",IFERROR(IF(INDEX(Deals!$AG$2:$AG$355,MATCH($C156,Deals!$A$2:$A$355,0))=0,"",INDEX(Deals!$AG$2:$AG$355,MATCH($C156,Deals!$A$2:$A$355,0))),""))</f>
        <v/>
      </c>
      <c r="AI156" s="35">
        <f>IF($AH156="",DATE(1900,1,1),$AF156)</f>
        <v/>
      </c>
      <c r="AJ156" s="35">
        <f>IF($AH156="",DATE(2100,12,31),$AH156)</f>
        <v/>
      </c>
      <c r="AK156" s="32">
        <f>IF($AH156="",$AC156,$AC156*$S156)</f>
        <v/>
      </c>
      <c r="AL156" s="35">
        <f>IF($AH156="",DATE(2100,12,31),$AH156+1)</f>
        <v/>
      </c>
      <c r="AM156" s="35">
        <f>IF($AH156="",DATE(1900,1,1),$AG156)</f>
        <v/>
      </c>
      <c r="AN156" s="32">
        <f>IF($AH156="",0,$AC156*$T156)</f>
        <v/>
      </c>
    </row>
    <row r="157">
      <c r="A157" s="28" t="inlineStr">
        <is>
          <t>Zack</t>
        </is>
      </c>
      <c r="B157" s="16">
        <f>IF($A157="","",IFERROR(INDEX(Roster!$B$2:$B$40,MATCH($A157,Roster!$A$2:$A$40,0)),"?"))</f>
        <v/>
      </c>
      <c r="C157" s="28" t="inlineStr">
        <is>
          <t>Soltra_1</t>
        </is>
      </c>
      <c r="D157" s="16">
        <f>IF($C157="","",IFERROR(IF(INDEX(Deals!$C$2:$C$355,MATCH($C157,Deals!$A$2:$A$355,0))=0,"",INDEX(Deals!$C$2:$C$355,MATCH($C157,Deals!$A$2:$A$355,0))),"?"))</f>
        <v/>
      </c>
      <c r="E157" s="16">
        <f>IF($C157="","",IFERROR(INDEX(Deals!$F$2:$F$355,MATCH($C157,Deals!$A$2:$A$355,0)),"?"))</f>
        <v/>
      </c>
      <c r="F157" s="28" t="inlineStr">
        <is>
          <t>MD</t>
        </is>
      </c>
      <c r="G157" s="28" t="inlineStr">
        <is>
          <t>Active</t>
        </is>
      </c>
      <c r="H157" s="31" t="n"/>
      <c r="I157" s="32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1">
        <f>IF($C157="",0,IFERROR(INDEX(Deals!$H$2:$H$355,MATCH($C157,Deals!$A$2:$A$355,0)),0))</f>
        <v/>
      </c>
      <c r="K157" s="32">
        <f>IF(Settings!$B$4="Yes",$I157*$J157,$I157)</f>
        <v/>
      </c>
      <c r="L157" s="22">
        <f>IF($C157="","",IFERROR(IF(INDEX(Deals!$I$2:$I$355,MATCH($C157,Deals!$A$2:$A$355,0))=0,"",INDEX(Deals!$I$2:$I$355,MATCH($C157,Deals!$A$2:$A$355,0))),""))</f>
        <v/>
      </c>
      <c r="M157" s="22">
        <f>IF($C157="","",IFERROR(IF(INDEX(Deals!$J$2:$J$355,MATCH($C157,Deals!$A$2:$A$355,0))=0,"",INDEX(Deals!$J$2:$J$355,MATCH($C157,Deals!$A$2:$A$355,0))),""))</f>
        <v/>
      </c>
      <c r="N157" s="35">
        <f>IF($L157="",DATE(1900,1,1),$L157)</f>
        <v/>
      </c>
      <c r="O157" s="35">
        <f>IF($M157="",DATE(2100,12,31),$M157)</f>
        <v/>
      </c>
      <c r="P157" s="20" t="inlineStr"/>
      <c r="Q157" s="43" t="inlineStr"/>
      <c r="R157" s="16">
        <f>IF($C157="","",IFERROR(IF(INDEX(Deals!$U$2:$U$355,MATCH($C157,Deals!$A$2:$A$355,0))=0,"",INDEX(Deals!$U$2:$U$355,MATCH($C157,Deals!$A$2:$A$355,0))),""))</f>
        <v/>
      </c>
      <c r="S157" s="34">
        <f>IFERROR(IF($U157="",1,INDEX(Deals!$V$2:$V$355,MATCH($C157,Deals!$A$2:$A$355,0))),1)</f>
        <v/>
      </c>
      <c r="T157" s="34">
        <f>IFERROR(IF($U157="",1,INDEX(Deals!$W$2:$W$355,MATCH($C157,Deals!$A$2:$A$355,0))),1)</f>
        <v/>
      </c>
      <c r="U157" s="22">
        <f>IF($C157="","",IFERROR(IF(INDEX(Deals!$Y$2:$Y$355,MATCH($C157,Deals!$A$2:$A$355,0))=0,"",INDEX(Deals!$Y$2:$Y$355,MATCH($C157,Deals!$A$2:$A$355,0))),""))</f>
        <v/>
      </c>
      <c r="V157" s="35">
        <f>IF($U157="",DATE(1900,1,1),$N157)</f>
        <v/>
      </c>
      <c r="W157" s="35">
        <f>IF($U157="",DATE(2100,12,31),$U157)</f>
        <v/>
      </c>
      <c r="X157" s="32">
        <f>IF($U157="",$K157,$K157*$S157)</f>
        <v/>
      </c>
      <c r="Y157" s="35">
        <f>IF($U157="",DATE(2100,12,31),$U157+1)</f>
        <v/>
      </c>
      <c r="Z157" s="35">
        <f>IF($U157="",DATE(1900,1,1),$O157)</f>
        <v/>
      </c>
      <c r="AA157" s="32">
        <f>IF($U157="",0,$K157*$T157)</f>
        <v/>
      </c>
      <c r="AB157" s="21">
        <f>IF($C157="",0,IFERROR(INDEX(Deals!$AD$2:$AD$355,MATCH($C157,Deals!$A$2:$A$355,0)),0))</f>
        <v/>
      </c>
      <c r="AC157" s="32">
        <f>IF(Settings!$B$4="Yes",$I157*$AB157,$I157)</f>
        <v/>
      </c>
      <c r="AD157" s="22">
        <f>IF($C157="","",IFERROR(IF(INDEX(Deals!$AE$2:$AE$355,MATCH($C157,Deals!$A$2:$A$355,0))=0,"",INDEX(Deals!$AE$2:$AE$355,MATCH($C157,Deals!$A$2:$A$355,0))),""))</f>
        <v/>
      </c>
      <c r="AE157" s="22">
        <f>IF($C157="","",IFERROR(IF(INDEX(Deals!$AF$2:$AF$355,MATCH($C157,Deals!$A$2:$A$355,0))=0,"",INDEX(Deals!$AF$2:$AF$355,MATCH($C157,Deals!$A$2:$A$355,0))),""))</f>
        <v/>
      </c>
      <c r="AF157" s="35">
        <f>IF($AD157="",DATE(1900,1,1),$AD157)</f>
        <v/>
      </c>
      <c r="AG157" s="35">
        <f>IF($AE157="",DATE(2100,12,31),$AE157)</f>
        <v/>
      </c>
      <c r="AH157" s="22">
        <f>IF($C157="","",IFERROR(IF(INDEX(Deals!$AG$2:$AG$355,MATCH($C157,Deals!$A$2:$A$355,0))=0,"",INDEX(Deals!$AG$2:$AG$355,MATCH($C157,Deals!$A$2:$A$355,0))),""))</f>
        <v/>
      </c>
      <c r="AI157" s="35">
        <f>IF($AH157="",DATE(1900,1,1),$AF157)</f>
        <v/>
      </c>
      <c r="AJ157" s="35">
        <f>IF($AH157="",DATE(2100,12,31),$AH157)</f>
        <v/>
      </c>
      <c r="AK157" s="32">
        <f>IF($AH157="",$AC157,$AC157*$S157)</f>
        <v/>
      </c>
      <c r="AL157" s="35">
        <f>IF($AH157="",DATE(2100,12,31),$AH157+1)</f>
        <v/>
      </c>
      <c r="AM157" s="35">
        <f>IF($AH157="",DATE(1900,1,1),$AG157)</f>
        <v/>
      </c>
      <c r="AN157" s="32">
        <f>IF($AH157="",0,$AC157*$T157)</f>
        <v/>
      </c>
    </row>
    <row r="158">
      <c r="A158" s="28" t="inlineStr">
        <is>
          <t>Zack</t>
        </is>
      </c>
      <c r="B158" s="16">
        <f>IF($A158="","",IFERROR(INDEX(Roster!$B$2:$B$40,MATCH($A158,Roster!$A$2:$A$40,0)),"?"))</f>
        <v/>
      </c>
      <c r="C158" s="28" t="inlineStr">
        <is>
          <t>Steam_2</t>
        </is>
      </c>
      <c r="D158" s="16">
        <f>IF($C158="","",IFERROR(IF(INDEX(Deals!$C$2:$C$355,MATCH($C158,Deals!$A$2:$A$355,0))=0,"",INDEX(Deals!$C$2:$C$355,MATCH($C158,Deals!$A$2:$A$355,0))),"?"))</f>
        <v/>
      </c>
      <c r="E158" s="16">
        <f>IF($C158="","",IFERROR(INDEX(Deals!$F$2:$F$355,MATCH($C158,Deals!$A$2:$A$355,0)),"?"))</f>
        <v/>
      </c>
      <c r="F158" s="28" t="inlineStr">
        <is>
          <t>MD</t>
        </is>
      </c>
      <c r="G158" s="28" t="inlineStr">
        <is>
          <t>Active</t>
        </is>
      </c>
      <c r="H158" s="31" t="n"/>
      <c r="I158" s="32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1">
        <f>IF($C158="",0,IFERROR(INDEX(Deals!$H$2:$H$355,MATCH($C158,Deals!$A$2:$A$355,0)),0))</f>
        <v/>
      </c>
      <c r="K158" s="32">
        <f>IF(Settings!$B$4="Yes",$I158*$J158,$I158)</f>
        <v/>
      </c>
      <c r="L158" s="22">
        <f>IF($C158="","",IFERROR(IF(INDEX(Deals!$I$2:$I$355,MATCH($C158,Deals!$A$2:$A$355,0))=0,"",INDEX(Deals!$I$2:$I$355,MATCH($C158,Deals!$A$2:$A$355,0))),""))</f>
        <v/>
      </c>
      <c r="M158" s="22">
        <f>IF($C158="","",IFERROR(IF(INDEX(Deals!$J$2:$J$355,MATCH($C158,Deals!$A$2:$A$355,0))=0,"",INDEX(Deals!$J$2:$J$355,MATCH($C158,Deals!$A$2:$A$355,0))),""))</f>
        <v/>
      </c>
      <c r="N158" s="35">
        <f>IF($L158="",DATE(1900,1,1),$L158)</f>
        <v/>
      </c>
      <c r="O158" s="35">
        <f>IF($M158="",DATE(2100,12,31),$M158)</f>
        <v/>
      </c>
      <c r="P158" s="20" t="inlineStr"/>
      <c r="Q158" s="43" t="inlineStr"/>
      <c r="R158" s="16">
        <f>IF($C158="","",IFERROR(IF(INDEX(Deals!$U$2:$U$355,MATCH($C158,Deals!$A$2:$A$355,0))=0,"",INDEX(Deals!$U$2:$U$355,MATCH($C158,Deals!$A$2:$A$355,0))),""))</f>
        <v/>
      </c>
      <c r="S158" s="34">
        <f>IFERROR(IF($U158="",1,INDEX(Deals!$V$2:$V$355,MATCH($C158,Deals!$A$2:$A$355,0))),1)</f>
        <v/>
      </c>
      <c r="T158" s="34">
        <f>IFERROR(IF($U158="",1,INDEX(Deals!$W$2:$W$355,MATCH($C158,Deals!$A$2:$A$355,0))),1)</f>
        <v/>
      </c>
      <c r="U158" s="22">
        <f>IF($C158="","",IFERROR(IF(INDEX(Deals!$Y$2:$Y$355,MATCH($C158,Deals!$A$2:$A$355,0))=0,"",INDEX(Deals!$Y$2:$Y$355,MATCH($C158,Deals!$A$2:$A$355,0))),""))</f>
        <v/>
      </c>
      <c r="V158" s="35">
        <f>IF($U158="",DATE(1900,1,1),$N158)</f>
        <v/>
      </c>
      <c r="W158" s="35">
        <f>IF($U158="",DATE(2100,12,31),$U158)</f>
        <v/>
      </c>
      <c r="X158" s="32">
        <f>IF($U158="",$K158,$K158*$S158)</f>
        <v/>
      </c>
      <c r="Y158" s="35">
        <f>IF($U158="",DATE(2100,12,31),$U158+1)</f>
        <v/>
      </c>
      <c r="Z158" s="35">
        <f>IF($U158="",DATE(1900,1,1),$O158)</f>
        <v/>
      </c>
      <c r="AA158" s="32">
        <f>IF($U158="",0,$K158*$T158)</f>
        <v/>
      </c>
      <c r="AB158" s="21">
        <f>IF($C158="",0,IFERROR(INDEX(Deals!$AD$2:$AD$355,MATCH($C158,Deals!$A$2:$A$355,0)),0))</f>
        <v/>
      </c>
      <c r="AC158" s="32">
        <f>IF(Settings!$B$4="Yes",$I158*$AB158,$I158)</f>
        <v/>
      </c>
      <c r="AD158" s="22">
        <f>IF($C158="","",IFERROR(IF(INDEX(Deals!$AE$2:$AE$355,MATCH($C158,Deals!$A$2:$A$355,0))=0,"",INDEX(Deals!$AE$2:$AE$355,MATCH($C158,Deals!$A$2:$A$355,0))),""))</f>
        <v/>
      </c>
      <c r="AE158" s="22">
        <f>IF($C158="","",IFERROR(IF(INDEX(Deals!$AF$2:$AF$355,MATCH($C158,Deals!$A$2:$A$355,0))=0,"",INDEX(Deals!$AF$2:$AF$355,MATCH($C158,Deals!$A$2:$A$355,0))),""))</f>
        <v/>
      </c>
      <c r="AF158" s="35">
        <f>IF($AD158="",DATE(1900,1,1),$AD158)</f>
        <v/>
      </c>
      <c r="AG158" s="35">
        <f>IF($AE158="",DATE(2100,12,31),$AE158)</f>
        <v/>
      </c>
      <c r="AH158" s="22">
        <f>IF($C158="","",IFERROR(IF(INDEX(Deals!$AG$2:$AG$355,MATCH($C158,Deals!$A$2:$A$355,0))=0,"",INDEX(Deals!$AG$2:$AG$355,MATCH($C158,Deals!$A$2:$A$355,0))),""))</f>
        <v/>
      </c>
      <c r="AI158" s="35">
        <f>IF($AH158="",DATE(1900,1,1),$AF158)</f>
        <v/>
      </c>
      <c r="AJ158" s="35">
        <f>IF($AH158="",DATE(2100,12,31),$AH158)</f>
        <v/>
      </c>
      <c r="AK158" s="32">
        <f>IF($AH158="",$AC158,$AC158*$S158)</f>
        <v/>
      </c>
      <c r="AL158" s="35">
        <f>IF($AH158="",DATE(2100,12,31),$AH158+1)</f>
        <v/>
      </c>
      <c r="AM158" s="35">
        <f>IF($AH158="",DATE(1900,1,1),$AG158)</f>
        <v/>
      </c>
      <c r="AN158" s="32">
        <f>IF($AH158="",0,$AC158*$T158)</f>
        <v/>
      </c>
    </row>
    <row r="159">
      <c r="A159" s="28" t="inlineStr">
        <is>
          <t>Zack</t>
        </is>
      </c>
      <c r="B159" s="16">
        <f>IF($A159="","",IFERROR(INDEX(Roster!$B$2:$B$40,MATCH($A159,Roster!$A$2:$A$40,0)),"?"))</f>
        <v/>
      </c>
      <c r="C159" s="28" t="inlineStr">
        <is>
          <t>Tracer II_2</t>
        </is>
      </c>
      <c r="D159" s="16">
        <f>IF($C159="","",IFERROR(IF(INDEX(Deals!$C$2:$C$355,MATCH($C159,Deals!$A$2:$A$355,0))=0,"",INDEX(Deals!$C$2:$C$355,MATCH($C159,Deals!$A$2:$A$355,0))),"?"))</f>
        <v/>
      </c>
      <c r="E159" s="16">
        <f>IF($C159="","",IFERROR(INDEX(Deals!$F$2:$F$355,MATCH($C159,Deals!$A$2:$A$355,0)),"?"))</f>
        <v/>
      </c>
      <c r="F159" s="28" t="inlineStr">
        <is>
          <t>MD</t>
        </is>
      </c>
      <c r="G159" s="28" t="inlineStr">
        <is>
          <t>Active</t>
        </is>
      </c>
      <c r="H159" s="31" t="n"/>
      <c r="I159" s="32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1">
        <f>IF($C159="",0,IFERROR(INDEX(Deals!$H$2:$H$355,MATCH($C159,Deals!$A$2:$A$355,0)),0))</f>
        <v/>
      </c>
      <c r="K159" s="32">
        <f>IF(Settings!$B$4="Yes",$I159*$J159,$I159)</f>
        <v/>
      </c>
      <c r="L159" s="22">
        <f>IF($C159="","",IFERROR(IF(INDEX(Deals!$I$2:$I$355,MATCH($C159,Deals!$A$2:$A$355,0))=0,"",INDEX(Deals!$I$2:$I$355,MATCH($C159,Deals!$A$2:$A$355,0))),""))</f>
        <v/>
      </c>
      <c r="M159" s="22">
        <f>IF($C159="","",IFERROR(IF(INDEX(Deals!$J$2:$J$355,MATCH($C159,Deals!$A$2:$A$355,0))=0,"",INDEX(Deals!$J$2:$J$355,MATCH($C159,Deals!$A$2:$A$355,0))),""))</f>
        <v/>
      </c>
      <c r="N159" s="35">
        <f>IF($L159="",DATE(1900,1,1),$L159)</f>
        <v/>
      </c>
      <c r="O159" s="35">
        <f>IF($M159="",DATE(2100,12,31),$M159)</f>
        <v/>
      </c>
      <c r="P159" s="20" t="inlineStr"/>
      <c r="Q159" s="43" t="inlineStr"/>
      <c r="R159" s="16">
        <f>IF($C159="","",IFERROR(IF(INDEX(Deals!$U$2:$U$355,MATCH($C159,Deals!$A$2:$A$355,0))=0,"",INDEX(Deals!$U$2:$U$355,MATCH($C159,Deals!$A$2:$A$355,0))),""))</f>
        <v/>
      </c>
      <c r="S159" s="34">
        <f>IFERROR(IF($U159="",1,INDEX(Deals!$V$2:$V$355,MATCH($C159,Deals!$A$2:$A$355,0))),1)</f>
        <v/>
      </c>
      <c r="T159" s="34">
        <f>IFERROR(IF($U159="",1,INDEX(Deals!$W$2:$W$355,MATCH($C159,Deals!$A$2:$A$355,0))),1)</f>
        <v/>
      </c>
      <c r="U159" s="22">
        <f>IF($C159="","",IFERROR(IF(INDEX(Deals!$Y$2:$Y$355,MATCH($C159,Deals!$A$2:$A$355,0))=0,"",INDEX(Deals!$Y$2:$Y$355,MATCH($C159,Deals!$A$2:$A$355,0))),""))</f>
        <v/>
      </c>
      <c r="V159" s="35">
        <f>IF($U159="",DATE(1900,1,1),$N159)</f>
        <v/>
      </c>
      <c r="W159" s="35">
        <f>IF($U159="",DATE(2100,12,31),$U159)</f>
        <v/>
      </c>
      <c r="X159" s="32">
        <f>IF($U159="",$K159,$K159*$S159)</f>
        <v/>
      </c>
      <c r="Y159" s="35">
        <f>IF($U159="",DATE(2100,12,31),$U159+1)</f>
        <v/>
      </c>
      <c r="Z159" s="35">
        <f>IF($U159="",DATE(1900,1,1),$O159)</f>
        <v/>
      </c>
      <c r="AA159" s="32">
        <f>IF($U159="",0,$K159*$T159)</f>
        <v/>
      </c>
      <c r="AB159" s="21">
        <f>IF($C159="",0,IFERROR(INDEX(Deals!$AD$2:$AD$355,MATCH($C159,Deals!$A$2:$A$355,0)),0))</f>
        <v/>
      </c>
      <c r="AC159" s="32">
        <f>IF(Settings!$B$4="Yes",$I159*$AB159,$I159)</f>
        <v/>
      </c>
      <c r="AD159" s="22">
        <f>IF($C159="","",IFERROR(IF(INDEX(Deals!$AE$2:$AE$355,MATCH($C159,Deals!$A$2:$A$355,0))=0,"",INDEX(Deals!$AE$2:$AE$355,MATCH($C159,Deals!$A$2:$A$355,0))),""))</f>
        <v/>
      </c>
      <c r="AE159" s="22">
        <f>IF($C159="","",IFERROR(IF(INDEX(Deals!$AF$2:$AF$355,MATCH($C159,Deals!$A$2:$A$355,0))=0,"",INDEX(Deals!$AF$2:$AF$355,MATCH($C159,Deals!$A$2:$A$355,0))),""))</f>
        <v/>
      </c>
      <c r="AF159" s="35">
        <f>IF($AD159="",DATE(1900,1,1),$AD159)</f>
        <v/>
      </c>
      <c r="AG159" s="35">
        <f>IF($AE159="",DATE(2100,12,31),$AE159)</f>
        <v/>
      </c>
      <c r="AH159" s="22">
        <f>IF($C159="","",IFERROR(IF(INDEX(Deals!$AG$2:$AG$355,MATCH($C159,Deals!$A$2:$A$355,0))=0,"",INDEX(Deals!$AG$2:$AG$355,MATCH($C159,Deals!$A$2:$A$355,0))),""))</f>
        <v/>
      </c>
      <c r="AI159" s="35">
        <f>IF($AH159="",DATE(1900,1,1),$AF159)</f>
        <v/>
      </c>
      <c r="AJ159" s="35">
        <f>IF($AH159="",DATE(2100,12,31),$AH159)</f>
        <v/>
      </c>
      <c r="AK159" s="32">
        <f>IF($AH159="",$AC159,$AC159*$S159)</f>
        <v/>
      </c>
      <c r="AL159" s="35">
        <f>IF($AH159="",DATE(2100,12,31),$AH159+1)</f>
        <v/>
      </c>
      <c r="AM159" s="35">
        <f>IF($AH159="",DATE(1900,1,1),$AG159)</f>
        <v/>
      </c>
      <c r="AN159" s="32">
        <f>IF($AH159="",0,$AC159*$T159)</f>
        <v/>
      </c>
    </row>
    <row r="160">
      <c r="A160" s="28" t="inlineStr">
        <is>
          <t>Zack</t>
        </is>
      </c>
      <c r="B160" s="16">
        <f>IF($A160="","",IFERROR(INDEX(Roster!$B$2:$B$40,MATCH($A160,Roster!$A$2:$A$40,0)),"?"))</f>
        <v/>
      </c>
      <c r="C160" s="28" t="inlineStr">
        <is>
          <t>UPS_1</t>
        </is>
      </c>
      <c r="D160" s="16">
        <f>IF($C160="","",IFERROR(IF(INDEX(Deals!$C$2:$C$355,MATCH($C160,Deals!$A$2:$A$355,0))=0,"",INDEX(Deals!$C$2:$C$355,MATCH($C160,Deals!$A$2:$A$355,0))),"?"))</f>
        <v/>
      </c>
      <c r="E160" s="16">
        <f>IF($C160="","",IFERROR(INDEX(Deals!$F$2:$F$355,MATCH($C160,Deals!$A$2:$A$355,0)),"?"))</f>
        <v/>
      </c>
      <c r="F160" s="28" t="inlineStr">
        <is>
          <t>MD</t>
        </is>
      </c>
      <c r="G160" s="28" t="inlineStr">
        <is>
          <t>Active</t>
        </is>
      </c>
      <c r="H160" s="31" t="n"/>
      <c r="I160" s="32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1">
        <f>IF($C160="",0,IFERROR(INDEX(Deals!$H$2:$H$355,MATCH($C160,Deals!$A$2:$A$355,0)),0))</f>
        <v/>
      </c>
      <c r="K160" s="32">
        <f>IF(Settings!$B$4="Yes",$I160*$J160,$I160)</f>
        <v/>
      </c>
      <c r="L160" s="22">
        <f>IF($C160="","",IFERROR(IF(INDEX(Deals!$I$2:$I$355,MATCH($C160,Deals!$A$2:$A$355,0))=0,"",INDEX(Deals!$I$2:$I$355,MATCH($C160,Deals!$A$2:$A$355,0))),""))</f>
        <v/>
      </c>
      <c r="M160" s="22">
        <f>IF($C160="","",IFERROR(IF(INDEX(Deals!$J$2:$J$355,MATCH($C160,Deals!$A$2:$A$355,0))=0,"",INDEX(Deals!$J$2:$J$355,MATCH($C160,Deals!$A$2:$A$355,0))),""))</f>
        <v/>
      </c>
      <c r="N160" s="35">
        <f>IF($L160="",DATE(1900,1,1),$L160)</f>
        <v/>
      </c>
      <c r="O160" s="35">
        <f>IF($M160="",DATE(2100,12,31),$M160)</f>
        <v/>
      </c>
      <c r="P160" s="20" t="inlineStr"/>
      <c r="Q160" s="43" t="inlineStr"/>
      <c r="R160" s="16">
        <f>IF($C160="","",IFERROR(IF(INDEX(Deals!$U$2:$U$355,MATCH($C160,Deals!$A$2:$A$355,0))=0,"",INDEX(Deals!$U$2:$U$355,MATCH($C160,Deals!$A$2:$A$355,0))),""))</f>
        <v/>
      </c>
      <c r="S160" s="34">
        <f>IFERROR(IF($U160="",1,INDEX(Deals!$V$2:$V$355,MATCH($C160,Deals!$A$2:$A$355,0))),1)</f>
        <v/>
      </c>
      <c r="T160" s="34">
        <f>IFERROR(IF($U160="",1,INDEX(Deals!$W$2:$W$355,MATCH($C160,Deals!$A$2:$A$355,0))),1)</f>
        <v/>
      </c>
      <c r="U160" s="22">
        <f>IF($C160="","",IFERROR(IF(INDEX(Deals!$Y$2:$Y$355,MATCH($C160,Deals!$A$2:$A$355,0))=0,"",INDEX(Deals!$Y$2:$Y$355,MATCH($C160,Deals!$A$2:$A$355,0))),""))</f>
        <v/>
      </c>
      <c r="V160" s="35">
        <f>IF($U160="",DATE(1900,1,1),$N160)</f>
        <v/>
      </c>
      <c r="W160" s="35">
        <f>IF($U160="",DATE(2100,12,31),$U160)</f>
        <v/>
      </c>
      <c r="X160" s="32">
        <f>IF($U160="",$K160,$K160*$S160)</f>
        <v/>
      </c>
      <c r="Y160" s="35">
        <f>IF($U160="",DATE(2100,12,31),$U160+1)</f>
        <v/>
      </c>
      <c r="Z160" s="35">
        <f>IF($U160="",DATE(1900,1,1),$O160)</f>
        <v/>
      </c>
      <c r="AA160" s="32">
        <f>IF($U160="",0,$K160*$T160)</f>
        <v/>
      </c>
      <c r="AB160" s="21">
        <f>IF($C160="",0,IFERROR(INDEX(Deals!$AD$2:$AD$355,MATCH($C160,Deals!$A$2:$A$355,0)),0))</f>
        <v/>
      </c>
      <c r="AC160" s="32">
        <f>IF(Settings!$B$4="Yes",$I160*$AB160,$I160)</f>
        <v/>
      </c>
      <c r="AD160" s="22">
        <f>IF($C160="","",IFERROR(IF(INDEX(Deals!$AE$2:$AE$355,MATCH($C160,Deals!$A$2:$A$355,0))=0,"",INDEX(Deals!$AE$2:$AE$355,MATCH($C160,Deals!$A$2:$A$355,0))),""))</f>
        <v/>
      </c>
      <c r="AE160" s="22">
        <f>IF($C160="","",IFERROR(IF(INDEX(Deals!$AF$2:$AF$355,MATCH($C160,Deals!$A$2:$A$355,0))=0,"",INDEX(Deals!$AF$2:$AF$355,MATCH($C160,Deals!$A$2:$A$355,0))),""))</f>
        <v/>
      </c>
      <c r="AF160" s="35">
        <f>IF($AD160="",DATE(1900,1,1),$AD160)</f>
        <v/>
      </c>
      <c r="AG160" s="35">
        <f>IF($AE160="",DATE(2100,12,31),$AE160)</f>
        <v/>
      </c>
      <c r="AH160" s="22">
        <f>IF($C160="","",IFERROR(IF(INDEX(Deals!$AG$2:$AG$355,MATCH($C160,Deals!$A$2:$A$355,0))=0,"",INDEX(Deals!$AG$2:$AG$355,MATCH($C160,Deals!$A$2:$A$355,0))),""))</f>
        <v/>
      </c>
      <c r="AI160" s="35">
        <f>IF($AH160="",DATE(1900,1,1),$AF160)</f>
        <v/>
      </c>
      <c r="AJ160" s="35">
        <f>IF($AH160="",DATE(2100,12,31),$AH160)</f>
        <v/>
      </c>
      <c r="AK160" s="32">
        <f>IF($AH160="",$AC160,$AC160*$S160)</f>
        <v/>
      </c>
      <c r="AL160" s="35">
        <f>IF($AH160="",DATE(2100,12,31),$AH160+1)</f>
        <v/>
      </c>
      <c r="AM160" s="35">
        <f>IF($AH160="",DATE(1900,1,1),$AG160)</f>
        <v/>
      </c>
      <c r="AN160" s="32">
        <f>IF($AH160="",0,$AC160*$T160)</f>
        <v/>
      </c>
    </row>
    <row r="161">
      <c r="A161" s="28" t="inlineStr">
        <is>
          <t>Zack</t>
        </is>
      </c>
      <c r="B161" s="16">
        <f>IF($A161="","",IFERROR(INDEX(Roster!$B$2:$B$40,MATCH($A161,Roster!$A$2:$A$40,0)),"?"))</f>
        <v/>
      </c>
      <c r="C161" s="28" t="inlineStr">
        <is>
          <t>West_2</t>
        </is>
      </c>
      <c r="D161" s="16">
        <f>IF($C161="","",IFERROR(IF(INDEX(Deals!$C$2:$C$355,MATCH($C161,Deals!$A$2:$A$355,0))=0,"",INDEX(Deals!$C$2:$C$355,MATCH($C161,Deals!$A$2:$A$355,0))),"?"))</f>
        <v/>
      </c>
      <c r="E161" s="16">
        <f>IF($C161="","",IFERROR(INDEX(Deals!$F$2:$F$355,MATCH($C161,Deals!$A$2:$A$355,0)),"?"))</f>
        <v/>
      </c>
      <c r="F161" s="28" t="inlineStr">
        <is>
          <t>MD</t>
        </is>
      </c>
      <c r="G161" s="28" t="inlineStr">
        <is>
          <t>Active</t>
        </is>
      </c>
      <c r="H161" s="31" t="n"/>
      <c r="I161" s="32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1">
        <f>IF($C161="",0,IFERROR(INDEX(Deals!$H$2:$H$355,MATCH($C161,Deals!$A$2:$A$355,0)),0))</f>
        <v/>
      </c>
      <c r="K161" s="32">
        <f>IF(Settings!$B$4="Yes",$I161*$J161,$I161)</f>
        <v/>
      </c>
      <c r="L161" s="22">
        <f>IF($C161="","",IFERROR(IF(INDEX(Deals!$I$2:$I$355,MATCH($C161,Deals!$A$2:$A$355,0))=0,"",INDEX(Deals!$I$2:$I$355,MATCH($C161,Deals!$A$2:$A$355,0))),""))</f>
        <v/>
      </c>
      <c r="M161" s="22">
        <f>IF($C161="","",IFERROR(IF(INDEX(Deals!$J$2:$J$355,MATCH($C161,Deals!$A$2:$A$355,0))=0,"",INDEX(Deals!$J$2:$J$355,MATCH($C161,Deals!$A$2:$A$355,0))),""))</f>
        <v/>
      </c>
      <c r="N161" s="35">
        <f>IF($L161="",DATE(1900,1,1),$L161)</f>
        <v/>
      </c>
      <c r="O161" s="35">
        <f>IF($M161="",DATE(2100,12,31),$M161)</f>
        <v/>
      </c>
      <c r="P161" s="20" t="inlineStr"/>
      <c r="Q161" s="43" t="inlineStr"/>
      <c r="R161" s="16">
        <f>IF($C161="","",IFERROR(IF(INDEX(Deals!$U$2:$U$355,MATCH($C161,Deals!$A$2:$A$355,0))=0,"",INDEX(Deals!$U$2:$U$355,MATCH($C161,Deals!$A$2:$A$355,0))),""))</f>
        <v/>
      </c>
      <c r="S161" s="34">
        <f>IFERROR(IF($U161="",1,INDEX(Deals!$V$2:$V$355,MATCH($C161,Deals!$A$2:$A$355,0))),1)</f>
        <v/>
      </c>
      <c r="T161" s="34">
        <f>IFERROR(IF($U161="",1,INDEX(Deals!$W$2:$W$355,MATCH($C161,Deals!$A$2:$A$355,0))),1)</f>
        <v/>
      </c>
      <c r="U161" s="22">
        <f>IF($C161="","",IFERROR(IF(INDEX(Deals!$Y$2:$Y$355,MATCH($C161,Deals!$A$2:$A$355,0))=0,"",INDEX(Deals!$Y$2:$Y$355,MATCH($C161,Deals!$A$2:$A$355,0))),""))</f>
        <v/>
      </c>
      <c r="V161" s="35">
        <f>IF($U161="",DATE(1900,1,1),$N161)</f>
        <v/>
      </c>
      <c r="W161" s="35">
        <f>IF($U161="",DATE(2100,12,31),$U161)</f>
        <v/>
      </c>
      <c r="X161" s="32">
        <f>IF($U161="",$K161,$K161*$S161)</f>
        <v/>
      </c>
      <c r="Y161" s="35">
        <f>IF($U161="",DATE(2100,12,31),$U161+1)</f>
        <v/>
      </c>
      <c r="Z161" s="35">
        <f>IF($U161="",DATE(1900,1,1),$O161)</f>
        <v/>
      </c>
      <c r="AA161" s="32">
        <f>IF($U161="",0,$K161*$T161)</f>
        <v/>
      </c>
      <c r="AB161" s="21">
        <f>IF($C161="",0,IFERROR(INDEX(Deals!$AD$2:$AD$355,MATCH($C161,Deals!$A$2:$A$355,0)),0))</f>
        <v/>
      </c>
      <c r="AC161" s="32">
        <f>IF(Settings!$B$4="Yes",$I161*$AB161,$I161)</f>
        <v/>
      </c>
      <c r="AD161" s="22">
        <f>IF($C161="","",IFERROR(IF(INDEX(Deals!$AE$2:$AE$355,MATCH($C161,Deals!$A$2:$A$355,0))=0,"",INDEX(Deals!$AE$2:$AE$355,MATCH($C161,Deals!$A$2:$A$355,0))),""))</f>
        <v/>
      </c>
      <c r="AE161" s="22">
        <f>IF($C161="","",IFERROR(IF(INDEX(Deals!$AF$2:$AF$355,MATCH($C161,Deals!$A$2:$A$355,0))=0,"",INDEX(Deals!$AF$2:$AF$355,MATCH($C161,Deals!$A$2:$A$355,0))),""))</f>
        <v/>
      </c>
      <c r="AF161" s="35">
        <f>IF($AD161="",DATE(1900,1,1),$AD161)</f>
        <v/>
      </c>
      <c r="AG161" s="35">
        <f>IF($AE161="",DATE(2100,12,31),$AE161)</f>
        <v/>
      </c>
      <c r="AH161" s="22">
        <f>IF($C161="","",IFERROR(IF(INDEX(Deals!$AG$2:$AG$355,MATCH($C161,Deals!$A$2:$A$355,0))=0,"",INDEX(Deals!$AG$2:$AG$355,MATCH($C161,Deals!$A$2:$A$355,0))),""))</f>
        <v/>
      </c>
      <c r="AI161" s="35">
        <f>IF($AH161="",DATE(1900,1,1),$AF161)</f>
        <v/>
      </c>
      <c r="AJ161" s="35">
        <f>IF($AH161="",DATE(2100,12,31),$AH161)</f>
        <v/>
      </c>
      <c r="AK161" s="32">
        <f>IF($AH161="",$AC161,$AC161*$S161)</f>
        <v/>
      </c>
      <c r="AL161" s="35">
        <f>IF($AH161="",DATE(2100,12,31),$AH161+1)</f>
        <v/>
      </c>
      <c r="AM161" s="35">
        <f>IF($AH161="",DATE(1900,1,1),$AG161)</f>
        <v/>
      </c>
      <c r="AN161" s="32">
        <f>IF($AH161="",0,$AC161*$T161)</f>
        <v/>
      </c>
    </row>
    <row r="162">
      <c r="A162" s="28" t="inlineStr">
        <is>
          <t>Zack</t>
        </is>
      </c>
      <c r="B162" s="16">
        <f>IF($A162="","",IFERROR(INDEX(Roster!$B$2:$B$40,MATCH($A162,Roster!$A$2:$A$40,0)),"?"))</f>
        <v/>
      </c>
      <c r="C162" s="28" t="inlineStr">
        <is>
          <t>Wolverine_3</t>
        </is>
      </c>
      <c r="D162" s="16">
        <f>IF($C162="","",IFERROR(IF(INDEX(Deals!$C$2:$C$355,MATCH($C162,Deals!$A$2:$A$355,0))=0,"",INDEX(Deals!$C$2:$C$355,MATCH($C162,Deals!$A$2:$A$355,0))),"?"))</f>
        <v/>
      </c>
      <c r="E162" s="16">
        <f>IF($C162="","",IFERROR(INDEX(Deals!$F$2:$F$355,MATCH($C162,Deals!$A$2:$A$355,0)),"?"))</f>
        <v/>
      </c>
      <c r="F162" s="28" t="inlineStr">
        <is>
          <t>MD</t>
        </is>
      </c>
      <c r="G162" s="28" t="inlineStr">
        <is>
          <t>Active</t>
        </is>
      </c>
      <c r="H162" s="31" t="n"/>
      <c r="I162" s="32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1">
        <f>IF($C162="",0,IFERROR(INDEX(Deals!$H$2:$H$355,MATCH($C162,Deals!$A$2:$A$355,0)),0))</f>
        <v/>
      </c>
      <c r="K162" s="32">
        <f>IF(Settings!$B$4="Yes",$I162*$J162,$I162)</f>
        <v/>
      </c>
      <c r="L162" s="22">
        <f>IF($C162="","",IFERROR(IF(INDEX(Deals!$I$2:$I$355,MATCH($C162,Deals!$A$2:$A$355,0))=0,"",INDEX(Deals!$I$2:$I$355,MATCH($C162,Deals!$A$2:$A$355,0))),""))</f>
        <v/>
      </c>
      <c r="M162" s="22">
        <f>IF($C162="","",IFERROR(IF(INDEX(Deals!$J$2:$J$355,MATCH($C162,Deals!$A$2:$A$355,0))=0,"",INDEX(Deals!$J$2:$J$355,MATCH($C162,Deals!$A$2:$A$355,0))),""))</f>
        <v/>
      </c>
      <c r="N162" s="35">
        <f>IF($L162="",DATE(1900,1,1),$L162)</f>
        <v/>
      </c>
      <c r="O162" s="35">
        <f>IF($M162="",DATE(2100,12,31),$M162)</f>
        <v/>
      </c>
      <c r="P162" s="20" t="inlineStr"/>
      <c r="Q162" s="43" t="inlineStr"/>
      <c r="R162" s="16">
        <f>IF($C162="","",IFERROR(IF(INDEX(Deals!$U$2:$U$355,MATCH($C162,Deals!$A$2:$A$355,0))=0,"",INDEX(Deals!$U$2:$U$355,MATCH($C162,Deals!$A$2:$A$355,0))),""))</f>
        <v/>
      </c>
      <c r="S162" s="34">
        <f>IFERROR(IF($U162="",1,INDEX(Deals!$V$2:$V$355,MATCH($C162,Deals!$A$2:$A$355,0))),1)</f>
        <v/>
      </c>
      <c r="T162" s="34">
        <f>IFERROR(IF($U162="",1,INDEX(Deals!$W$2:$W$355,MATCH($C162,Deals!$A$2:$A$355,0))),1)</f>
        <v/>
      </c>
      <c r="U162" s="22">
        <f>IF($C162="","",IFERROR(IF(INDEX(Deals!$Y$2:$Y$355,MATCH($C162,Deals!$A$2:$A$355,0))=0,"",INDEX(Deals!$Y$2:$Y$355,MATCH($C162,Deals!$A$2:$A$355,0))),""))</f>
        <v/>
      </c>
      <c r="V162" s="35">
        <f>IF($U162="",DATE(1900,1,1),$N162)</f>
        <v/>
      </c>
      <c r="W162" s="35">
        <f>IF($U162="",DATE(2100,12,31),$U162)</f>
        <v/>
      </c>
      <c r="X162" s="32">
        <f>IF($U162="",$K162,$K162*$S162)</f>
        <v/>
      </c>
      <c r="Y162" s="35">
        <f>IF($U162="",DATE(2100,12,31),$U162+1)</f>
        <v/>
      </c>
      <c r="Z162" s="35">
        <f>IF($U162="",DATE(1900,1,1),$O162)</f>
        <v/>
      </c>
      <c r="AA162" s="32">
        <f>IF($U162="",0,$K162*$T162)</f>
        <v/>
      </c>
      <c r="AB162" s="21">
        <f>IF($C162="",0,IFERROR(INDEX(Deals!$AD$2:$AD$355,MATCH($C162,Deals!$A$2:$A$355,0)),0))</f>
        <v/>
      </c>
      <c r="AC162" s="32">
        <f>IF(Settings!$B$4="Yes",$I162*$AB162,$I162)</f>
        <v/>
      </c>
      <c r="AD162" s="22">
        <f>IF($C162="","",IFERROR(IF(INDEX(Deals!$AE$2:$AE$355,MATCH($C162,Deals!$A$2:$A$355,0))=0,"",INDEX(Deals!$AE$2:$AE$355,MATCH($C162,Deals!$A$2:$A$355,0))),""))</f>
        <v/>
      </c>
      <c r="AE162" s="22">
        <f>IF($C162="","",IFERROR(IF(INDEX(Deals!$AF$2:$AF$355,MATCH($C162,Deals!$A$2:$A$355,0))=0,"",INDEX(Deals!$AF$2:$AF$355,MATCH($C162,Deals!$A$2:$A$355,0))),""))</f>
        <v/>
      </c>
      <c r="AF162" s="35">
        <f>IF($AD162="",DATE(1900,1,1),$AD162)</f>
        <v/>
      </c>
      <c r="AG162" s="35">
        <f>IF($AE162="",DATE(2100,12,31),$AE162)</f>
        <v/>
      </c>
      <c r="AH162" s="22">
        <f>IF($C162="","",IFERROR(IF(INDEX(Deals!$AG$2:$AG$355,MATCH($C162,Deals!$A$2:$A$355,0))=0,"",INDEX(Deals!$AG$2:$AG$355,MATCH($C162,Deals!$A$2:$A$355,0))),""))</f>
        <v/>
      </c>
      <c r="AI162" s="35">
        <f>IF($AH162="",DATE(1900,1,1),$AF162)</f>
        <v/>
      </c>
      <c r="AJ162" s="35">
        <f>IF($AH162="",DATE(2100,12,31),$AH162)</f>
        <v/>
      </c>
      <c r="AK162" s="32">
        <f>IF($AH162="",$AC162,$AC162*$S162)</f>
        <v/>
      </c>
      <c r="AL162" s="35">
        <f>IF($AH162="",DATE(2100,12,31),$AH162+1)</f>
        <v/>
      </c>
      <c r="AM162" s="35">
        <f>IF($AH162="",DATE(1900,1,1),$AG162)</f>
        <v/>
      </c>
      <c r="AN162" s="32">
        <f>IF($AH162="",0,$AC162*$T162)</f>
        <v/>
      </c>
    </row>
    <row r="163">
      <c r="A163" s="28" t="inlineStr">
        <is>
          <t>Zack</t>
        </is>
      </c>
      <c r="B163" s="16">
        <f>IF($A163="","",IFERROR(INDEX(Roster!$B$2:$B$40,MATCH($A163,Roster!$A$2:$A$40,0)),"?"))</f>
        <v/>
      </c>
      <c r="C163" s="28" t="inlineStr">
        <is>
          <t>Zircon 2_1</t>
        </is>
      </c>
      <c r="D163" s="16">
        <f>IF($C163="","",IFERROR(IF(INDEX(Deals!$C$2:$C$355,MATCH($C163,Deals!$A$2:$A$355,0))=0,"",INDEX(Deals!$C$2:$C$355,MATCH($C163,Deals!$A$2:$A$355,0))),"?"))</f>
        <v/>
      </c>
      <c r="E163" s="16">
        <f>IF($C163="","",IFERROR(INDEX(Deals!$F$2:$F$355,MATCH($C163,Deals!$A$2:$A$355,0)),"?"))</f>
        <v/>
      </c>
      <c r="F163" s="28" t="inlineStr">
        <is>
          <t>MD</t>
        </is>
      </c>
      <c r="G163" s="28" t="inlineStr">
        <is>
          <t>Active</t>
        </is>
      </c>
      <c r="H163" s="31" t="n"/>
      <c r="I163" s="32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1">
        <f>IF($C163="",0,IFERROR(INDEX(Deals!$H$2:$H$355,MATCH($C163,Deals!$A$2:$A$355,0)),0))</f>
        <v/>
      </c>
      <c r="K163" s="32">
        <f>IF(Settings!$B$4="Yes",$I163*$J163,$I163)</f>
        <v/>
      </c>
      <c r="L163" s="22">
        <f>IF($C163="","",IFERROR(IF(INDEX(Deals!$I$2:$I$355,MATCH($C163,Deals!$A$2:$A$355,0))=0,"",INDEX(Deals!$I$2:$I$355,MATCH($C163,Deals!$A$2:$A$355,0))),""))</f>
        <v/>
      </c>
      <c r="M163" s="22">
        <f>IF($C163="","",IFERROR(IF(INDEX(Deals!$J$2:$J$355,MATCH($C163,Deals!$A$2:$A$355,0))=0,"",INDEX(Deals!$J$2:$J$355,MATCH($C163,Deals!$A$2:$A$355,0))),""))</f>
        <v/>
      </c>
      <c r="N163" s="35">
        <f>IF($L163="",DATE(1900,1,1),$L163)</f>
        <v/>
      </c>
      <c r="O163" s="35">
        <f>IF($M163="",DATE(2100,12,31),$M163)</f>
        <v/>
      </c>
      <c r="P163" s="20" t="inlineStr"/>
      <c r="Q163" s="43" t="inlineStr"/>
      <c r="R163" s="16">
        <f>IF($C163="","",IFERROR(IF(INDEX(Deals!$U$2:$U$355,MATCH($C163,Deals!$A$2:$A$355,0))=0,"",INDEX(Deals!$U$2:$U$355,MATCH($C163,Deals!$A$2:$A$355,0))),""))</f>
        <v/>
      </c>
      <c r="S163" s="34">
        <f>IFERROR(IF($U163="",1,INDEX(Deals!$V$2:$V$355,MATCH($C163,Deals!$A$2:$A$355,0))),1)</f>
        <v/>
      </c>
      <c r="T163" s="34">
        <f>IFERROR(IF($U163="",1,INDEX(Deals!$W$2:$W$355,MATCH($C163,Deals!$A$2:$A$355,0))),1)</f>
        <v/>
      </c>
      <c r="U163" s="22">
        <f>IF($C163="","",IFERROR(IF(INDEX(Deals!$Y$2:$Y$355,MATCH($C163,Deals!$A$2:$A$355,0))=0,"",INDEX(Deals!$Y$2:$Y$355,MATCH($C163,Deals!$A$2:$A$355,0))),""))</f>
        <v/>
      </c>
      <c r="V163" s="35">
        <f>IF($U163="",DATE(1900,1,1),$N163)</f>
        <v/>
      </c>
      <c r="W163" s="35">
        <f>IF($U163="",DATE(2100,12,31),$U163)</f>
        <v/>
      </c>
      <c r="X163" s="32">
        <f>IF($U163="",$K163,$K163*$S163)</f>
        <v/>
      </c>
      <c r="Y163" s="35">
        <f>IF($U163="",DATE(2100,12,31),$U163+1)</f>
        <v/>
      </c>
      <c r="Z163" s="35">
        <f>IF($U163="",DATE(1900,1,1),$O163)</f>
        <v/>
      </c>
      <c r="AA163" s="32">
        <f>IF($U163="",0,$K163*$T163)</f>
        <v/>
      </c>
      <c r="AB163" s="21">
        <f>IF($C163="",0,IFERROR(INDEX(Deals!$AD$2:$AD$355,MATCH($C163,Deals!$A$2:$A$355,0)),0))</f>
        <v/>
      </c>
      <c r="AC163" s="32">
        <f>IF(Settings!$B$4="Yes",$I163*$AB163,$I163)</f>
        <v/>
      </c>
      <c r="AD163" s="22">
        <f>IF($C163="","",IFERROR(IF(INDEX(Deals!$AE$2:$AE$355,MATCH($C163,Deals!$A$2:$A$355,0))=0,"",INDEX(Deals!$AE$2:$AE$355,MATCH($C163,Deals!$A$2:$A$355,0))),""))</f>
        <v/>
      </c>
      <c r="AE163" s="22">
        <f>IF($C163="","",IFERROR(IF(INDEX(Deals!$AF$2:$AF$355,MATCH($C163,Deals!$A$2:$A$355,0))=0,"",INDEX(Deals!$AF$2:$AF$355,MATCH($C163,Deals!$A$2:$A$355,0))),""))</f>
        <v/>
      </c>
      <c r="AF163" s="35">
        <f>IF($AD163="",DATE(1900,1,1),$AD163)</f>
        <v/>
      </c>
      <c r="AG163" s="35">
        <f>IF($AE163="",DATE(2100,12,31),$AE163)</f>
        <v/>
      </c>
      <c r="AH163" s="22">
        <f>IF($C163="","",IFERROR(IF(INDEX(Deals!$AG$2:$AG$355,MATCH($C163,Deals!$A$2:$A$355,0))=0,"",INDEX(Deals!$AG$2:$AG$355,MATCH($C163,Deals!$A$2:$A$355,0))),""))</f>
        <v/>
      </c>
      <c r="AI163" s="35">
        <f>IF($AH163="",DATE(1900,1,1),$AF163)</f>
        <v/>
      </c>
      <c r="AJ163" s="35">
        <f>IF($AH163="",DATE(2100,12,31),$AH163)</f>
        <v/>
      </c>
      <c r="AK163" s="32">
        <f>IF($AH163="",$AC163,$AC163*$S163)</f>
        <v/>
      </c>
      <c r="AL163" s="35">
        <f>IF($AH163="",DATE(2100,12,31),$AH163+1)</f>
        <v/>
      </c>
      <c r="AM163" s="35">
        <f>IF($AH163="",DATE(1900,1,1),$AG163)</f>
        <v/>
      </c>
      <c r="AN163" s="32">
        <f>IF($AH163="",0,$AC163*$T163)</f>
        <v/>
      </c>
    </row>
    <row r="164">
      <c r="A164" s="28" t="inlineStr">
        <is>
          <t>Ethan</t>
        </is>
      </c>
      <c r="B164" s="16">
        <f>IF($A164="","",IFERROR(INDEX(Roster!$B$2:$B$40,MATCH($A164,Roster!$A$2:$A$40,0)),"?"))</f>
        <v/>
      </c>
      <c r="C164" s="28" t="inlineStr">
        <is>
          <t>Bay_2</t>
        </is>
      </c>
      <c r="D164" s="16">
        <f>IF($C164="","",IFERROR(IF(INDEX(Deals!$C$2:$C$355,MATCH($C164,Deals!$A$2:$A$355,0))=0,"",INDEX(Deals!$C$2:$C$355,MATCH($C164,Deals!$A$2:$A$355,0))),"?"))</f>
        <v/>
      </c>
      <c r="E164" s="16">
        <f>IF($C164="","",IFERROR(INDEX(Deals!$F$2:$F$355,MATCH($C164,Deals!$A$2:$A$355,0)),"?"))</f>
        <v/>
      </c>
      <c r="F164" s="28" t="inlineStr">
        <is>
          <t>MD</t>
        </is>
      </c>
      <c r="G164" s="28" t="inlineStr">
        <is>
          <t>Active</t>
        </is>
      </c>
      <c r="H164" s="31" t="n"/>
      <c r="I164" s="32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1">
        <f>IF($C164="",0,IFERROR(INDEX(Deals!$H$2:$H$355,MATCH($C164,Deals!$A$2:$A$355,0)),0))</f>
        <v/>
      </c>
      <c r="K164" s="32">
        <f>IF(Settings!$B$4="Yes",$I164*$J164,$I164)</f>
        <v/>
      </c>
      <c r="L164" s="22">
        <f>IF($C164="","",IFERROR(IF(INDEX(Deals!$I$2:$I$355,MATCH($C164,Deals!$A$2:$A$355,0))=0,"",INDEX(Deals!$I$2:$I$355,MATCH($C164,Deals!$A$2:$A$355,0))),""))</f>
        <v/>
      </c>
      <c r="M164" s="22">
        <f>IF($C164="","",IFERROR(IF(INDEX(Deals!$J$2:$J$355,MATCH($C164,Deals!$A$2:$A$355,0))=0,"",INDEX(Deals!$J$2:$J$355,MATCH($C164,Deals!$A$2:$A$355,0))),""))</f>
        <v/>
      </c>
      <c r="N164" s="35">
        <f>IF($L164="",DATE(1900,1,1),$L164)</f>
        <v/>
      </c>
      <c r="O164" s="35">
        <f>IF($M164="",DATE(2100,12,31),$M164)</f>
        <v/>
      </c>
      <c r="P164" s="20" t="inlineStr"/>
      <c r="Q164" s="43" t="inlineStr"/>
      <c r="R164" s="16">
        <f>IF($C164="","",IFERROR(IF(INDEX(Deals!$U$2:$U$355,MATCH($C164,Deals!$A$2:$A$355,0))=0,"",INDEX(Deals!$U$2:$U$355,MATCH($C164,Deals!$A$2:$A$355,0))),""))</f>
        <v/>
      </c>
      <c r="S164" s="34">
        <f>IFERROR(IF($U164="",1,INDEX(Deals!$V$2:$V$355,MATCH($C164,Deals!$A$2:$A$355,0))),1)</f>
        <v/>
      </c>
      <c r="T164" s="34">
        <f>IFERROR(IF($U164="",1,INDEX(Deals!$W$2:$W$355,MATCH($C164,Deals!$A$2:$A$355,0))),1)</f>
        <v/>
      </c>
      <c r="U164" s="22">
        <f>IF($C164="","",IFERROR(IF(INDEX(Deals!$Y$2:$Y$355,MATCH($C164,Deals!$A$2:$A$355,0))=0,"",INDEX(Deals!$Y$2:$Y$355,MATCH($C164,Deals!$A$2:$A$355,0))),""))</f>
        <v/>
      </c>
      <c r="V164" s="35">
        <f>IF($U164="",DATE(1900,1,1),$N164)</f>
        <v/>
      </c>
      <c r="W164" s="35">
        <f>IF($U164="",DATE(2100,12,31),$U164)</f>
        <v/>
      </c>
      <c r="X164" s="32">
        <f>IF($U164="",$K164,$K164*$S164)</f>
        <v/>
      </c>
      <c r="Y164" s="35">
        <f>IF($U164="",DATE(2100,12,31),$U164+1)</f>
        <v/>
      </c>
      <c r="Z164" s="35">
        <f>IF($U164="",DATE(1900,1,1),$O164)</f>
        <v/>
      </c>
      <c r="AA164" s="32">
        <f>IF($U164="",0,$K164*$T164)</f>
        <v/>
      </c>
      <c r="AB164" s="21">
        <f>IF($C164="",0,IFERROR(INDEX(Deals!$AD$2:$AD$355,MATCH($C164,Deals!$A$2:$A$355,0)),0))</f>
        <v/>
      </c>
      <c r="AC164" s="32">
        <f>IF(Settings!$B$4="Yes",$I164*$AB164,$I164)</f>
        <v/>
      </c>
      <c r="AD164" s="22">
        <f>IF($C164="","",IFERROR(IF(INDEX(Deals!$AE$2:$AE$355,MATCH($C164,Deals!$A$2:$A$355,0))=0,"",INDEX(Deals!$AE$2:$AE$355,MATCH($C164,Deals!$A$2:$A$355,0))),""))</f>
        <v/>
      </c>
      <c r="AE164" s="22">
        <f>IF($C164="","",IFERROR(IF(INDEX(Deals!$AF$2:$AF$355,MATCH($C164,Deals!$A$2:$A$355,0))=0,"",INDEX(Deals!$AF$2:$AF$355,MATCH($C164,Deals!$A$2:$A$355,0))),""))</f>
        <v/>
      </c>
      <c r="AF164" s="35">
        <f>IF($AD164="",DATE(1900,1,1),$AD164)</f>
        <v/>
      </c>
      <c r="AG164" s="35">
        <f>IF($AE164="",DATE(2100,12,31),$AE164)</f>
        <v/>
      </c>
      <c r="AH164" s="22">
        <f>IF($C164="","",IFERROR(IF(INDEX(Deals!$AG$2:$AG$355,MATCH($C164,Deals!$A$2:$A$355,0))=0,"",INDEX(Deals!$AG$2:$AG$355,MATCH($C164,Deals!$A$2:$A$355,0))),""))</f>
        <v/>
      </c>
      <c r="AI164" s="35">
        <f>IF($AH164="",DATE(1900,1,1),$AF164)</f>
        <v/>
      </c>
      <c r="AJ164" s="35">
        <f>IF($AH164="",DATE(2100,12,31),$AH164)</f>
        <v/>
      </c>
      <c r="AK164" s="32">
        <f>IF($AH164="",$AC164,$AC164*$S164)</f>
        <v/>
      </c>
      <c r="AL164" s="35">
        <f>IF($AH164="",DATE(2100,12,31),$AH164+1)</f>
        <v/>
      </c>
      <c r="AM164" s="35">
        <f>IF($AH164="",DATE(1900,1,1),$AG164)</f>
        <v/>
      </c>
      <c r="AN164" s="32">
        <f>IF($AH164="",0,$AC164*$T164)</f>
        <v/>
      </c>
    </row>
    <row r="165">
      <c r="A165" s="28" t="inlineStr">
        <is>
          <t>Ethan</t>
        </is>
      </c>
      <c r="B165" s="16">
        <f>IF($A165="","",IFERROR(INDEX(Roster!$B$2:$B$40,MATCH($A165,Roster!$A$2:$A$40,0)),"?"))</f>
        <v/>
      </c>
      <c r="C165" s="28" t="inlineStr">
        <is>
          <t>Bernhard_3</t>
        </is>
      </c>
      <c r="D165" s="16">
        <f>IF($C165="","",IFERROR(IF(INDEX(Deals!$C$2:$C$355,MATCH($C165,Deals!$A$2:$A$355,0))=0,"",INDEX(Deals!$C$2:$C$355,MATCH($C165,Deals!$A$2:$A$355,0))),"?"))</f>
        <v/>
      </c>
      <c r="E165" s="16">
        <f>IF($C165="","",IFERROR(INDEX(Deals!$F$2:$F$355,MATCH($C165,Deals!$A$2:$A$355,0)),"?"))</f>
        <v/>
      </c>
      <c r="F165" s="28" t="inlineStr">
        <is>
          <t>MD</t>
        </is>
      </c>
      <c r="G165" s="28" t="inlineStr">
        <is>
          <t>Active</t>
        </is>
      </c>
      <c r="H165" s="31" t="n"/>
      <c r="I165" s="32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1">
        <f>IF($C165="",0,IFERROR(INDEX(Deals!$H$2:$H$355,MATCH($C165,Deals!$A$2:$A$355,0)),0))</f>
        <v/>
      </c>
      <c r="K165" s="32">
        <f>IF(Settings!$B$4="Yes",$I165*$J165,$I165)</f>
        <v/>
      </c>
      <c r="L165" s="22">
        <f>IF($C165="","",IFERROR(IF(INDEX(Deals!$I$2:$I$355,MATCH($C165,Deals!$A$2:$A$355,0))=0,"",INDEX(Deals!$I$2:$I$355,MATCH($C165,Deals!$A$2:$A$355,0))),""))</f>
        <v/>
      </c>
      <c r="M165" s="22">
        <f>IF($C165="","",IFERROR(IF(INDEX(Deals!$J$2:$J$355,MATCH($C165,Deals!$A$2:$A$355,0))=0,"",INDEX(Deals!$J$2:$J$355,MATCH($C165,Deals!$A$2:$A$355,0))),""))</f>
        <v/>
      </c>
      <c r="N165" s="35">
        <f>IF($L165="",DATE(1900,1,1),$L165)</f>
        <v/>
      </c>
      <c r="O165" s="35">
        <f>IF($M165="",DATE(2100,12,31),$M165)</f>
        <v/>
      </c>
      <c r="P165" s="20" t="inlineStr"/>
      <c r="Q165" s="43" t="inlineStr"/>
      <c r="R165" s="16">
        <f>IF($C165="","",IFERROR(IF(INDEX(Deals!$U$2:$U$355,MATCH($C165,Deals!$A$2:$A$355,0))=0,"",INDEX(Deals!$U$2:$U$355,MATCH($C165,Deals!$A$2:$A$355,0))),""))</f>
        <v/>
      </c>
      <c r="S165" s="34">
        <f>IFERROR(IF($U165="",1,INDEX(Deals!$V$2:$V$355,MATCH($C165,Deals!$A$2:$A$355,0))),1)</f>
        <v/>
      </c>
      <c r="T165" s="34">
        <f>IFERROR(IF($U165="",1,INDEX(Deals!$W$2:$W$355,MATCH($C165,Deals!$A$2:$A$355,0))),1)</f>
        <v/>
      </c>
      <c r="U165" s="22">
        <f>IF($C165="","",IFERROR(IF(INDEX(Deals!$Y$2:$Y$355,MATCH($C165,Deals!$A$2:$A$355,0))=0,"",INDEX(Deals!$Y$2:$Y$355,MATCH($C165,Deals!$A$2:$A$355,0))),""))</f>
        <v/>
      </c>
      <c r="V165" s="35">
        <f>IF($U165="",DATE(1900,1,1),$N165)</f>
        <v/>
      </c>
      <c r="W165" s="35">
        <f>IF($U165="",DATE(2100,12,31),$U165)</f>
        <v/>
      </c>
      <c r="X165" s="32">
        <f>IF($U165="",$K165,$K165*$S165)</f>
        <v/>
      </c>
      <c r="Y165" s="35">
        <f>IF($U165="",DATE(2100,12,31),$U165+1)</f>
        <v/>
      </c>
      <c r="Z165" s="35">
        <f>IF($U165="",DATE(1900,1,1),$O165)</f>
        <v/>
      </c>
      <c r="AA165" s="32">
        <f>IF($U165="",0,$K165*$T165)</f>
        <v/>
      </c>
      <c r="AB165" s="21">
        <f>IF($C165="",0,IFERROR(INDEX(Deals!$AD$2:$AD$355,MATCH($C165,Deals!$A$2:$A$355,0)),0))</f>
        <v/>
      </c>
      <c r="AC165" s="32">
        <f>IF(Settings!$B$4="Yes",$I165*$AB165,$I165)</f>
        <v/>
      </c>
      <c r="AD165" s="22">
        <f>IF($C165="","",IFERROR(IF(INDEX(Deals!$AE$2:$AE$355,MATCH($C165,Deals!$A$2:$A$355,0))=0,"",INDEX(Deals!$AE$2:$AE$355,MATCH($C165,Deals!$A$2:$A$355,0))),""))</f>
        <v/>
      </c>
      <c r="AE165" s="22">
        <f>IF($C165="","",IFERROR(IF(INDEX(Deals!$AF$2:$AF$355,MATCH($C165,Deals!$A$2:$A$355,0))=0,"",INDEX(Deals!$AF$2:$AF$355,MATCH($C165,Deals!$A$2:$A$355,0))),""))</f>
        <v/>
      </c>
      <c r="AF165" s="35">
        <f>IF($AD165="",DATE(1900,1,1),$AD165)</f>
        <v/>
      </c>
      <c r="AG165" s="35">
        <f>IF($AE165="",DATE(2100,12,31),$AE165)</f>
        <v/>
      </c>
      <c r="AH165" s="22">
        <f>IF($C165="","",IFERROR(IF(INDEX(Deals!$AG$2:$AG$355,MATCH($C165,Deals!$A$2:$A$355,0))=0,"",INDEX(Deals!$AG$2:$AG$355,MATCH($C165,Deals!$A$2:$A$355,0))),""))</f>
        <v/>
      </c>
      <c r="AI165" s="35">
        <f>IF($AH165="",DATE(1900,1,1),$AF165)</f>
        <v/>
      </c>
      <c r="AJ165" s="35">
        <f>IF($AH165="",DATE(2100,12,31),$AH165)</f>
        <v/>
      </c>
      <c r="AK165" s="32">
        <f>IF($AH165="",$AC165,$AC165*$S165)</f>
        <v/>
      </c>
      <c r="AL165" s="35">
        <f>IF($AH165="",DATE(2100,12,31),$AH165+1)</f>
        <v/>
      </c>
      <c r="AM165" s="35">
        <f>IF($AH165="",DATE(1900,1,1),$AG165)</f>
        <v/>
      </c>
      <c r="AN165" s="32">
        <f>IF($AH165="",0,$AC165*$T165)</f>
        <v/>
      </c>
    </row>
    <row r="166">
      <c r="A166" s="28" t="inlineStr">
        <is>
          <t>Ethan</t>
        </is>
      </c>
      <c r="B166" s="16">
        <f>IF($A166="","",IFERROR(INDEX(Roster!$B$2:$B$40,MATCH($A166,Roster!$A$2:$A$40,0)),"?"))</f>
        <v/>
      </c>
      <c r="C166" s="28" t="inlineStr">
        <is>
          <t>Bledsoe_1</t>
        </is>
      </c>
      <c r="D166" s="16">
        <f>IF($C166="","",IFERROR(IF(INDEX(Deals!$C$2:$C$355,MATCH($C166,Deals!$A$2:$A$355,0))=0,"",INDEX(Deals!$C$2:$C$355,MATCH($C166,Deals!$A$2:$A$355,0))),"?"))</f>
        <v/>
      </c>
      <c r="E166" s="16">
        <f>IF($C166="","",IFERROR(INDEX(Deals!$F$2:$F$355,MATCH($C166,Deals!$A$2:$A$355,0)),"?"))</f>
        <v/>
      </c>
      <c r="F166" s="28" t="inlineStr">
        <is>
          <t>MD</t>
        </is>
      </c>
      <c r="G166" s="28" t="inlineStr">
        <is>
          <t>Active</t>
        </is>
      </c>
      <c r="H166" s="31" t="n"/>
      <c r="I166" s="32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1">
        <f>IF($C166="",0,IFERROR(INDEX(Deals!$H$2:$H$355,MATCH($C166,Deals!$A$2:$A$355,0)),0))</f>
        <v/>
      </c>
      <c r="K166" s="32">
        <f>IF(Settings!$B$4="Yes",$I166*$J166,$I166)</f>
        <v/>
      </c>
      <c r="L166" s="22">
        <f>IF($C166="","",IFERROR(IF(INDEX(Deals!$I$2:$I$355,MATCH($C166,Deals!$A$2:$A$355,0))=0,"",INDEX(Deals!$I$2:$I$355,MATCH($C166,Deals!$A$2:$A$355,0))),""))</f>
        <v/>
      </c>
      <c r="M166" s="22">
        <f>IF($C166="","",IFERROR(IF(INDEX(Deals!$J$2:$J$355,MATCH($C166,Deals!$A$2:$A$355,0))=0,"",INDEX(Deals!$J$2:$J$355,MATCH($C166,Deals!$A$2:$A$355,0))),""))</f>
        <v/>
      </c>
      <c r="N166" s="35">
        <f>IF($L166="",DATE(1900,1,1),$L166)</f>
        <v/>
      </c>
      <c r="O166" s="35">
        <f>IF($M166="",DATE(2100,12,31),$M166)</f>
        <v/>
      </c>
      <c r="P166" s="20" t="inlineStr"/>
      <c r="Q166" s="43" t="inlineStr"/>
      <c r="R166" s="16">
        <f>IF($C166="","",IFERROR(IF(INDEX(Deals!$U$2:$U$355,MATCH($C166,Deals!$A$2:$A$355,0))=0,"",INDEX(Deals!$U$2:$U$355,MATCH($C166,Deals!$A$2:$A$355,0))),""))</f>
        <v/>
      </c>
      <c r="S166" s="34">
        <f>IFERROR(IF($U166="",1,INDEX(Deals!$V$2:$V$355,MATCH($C166,Deals!$A$2:$A$355,0))),1)</f>
        <v/>
      </c>
      <c r="T166" s="34">
        <f>IFERROR(IF($U166="",1,INDEX(Deals!$W$2:$W$355,MATCH($C166,Deals!$A$2:$A$355,0))),1)</f>
        <v/>
      </c>
      <c r="U166" s="22">
        <f>IF($C166="","",IFERROR(IF(INDEX(Deals!$Y$2:$Y$355,MATCH($C166,Deals!$A$2:$A$355,0))=0,"",INDEX(Deals!$Y$2:$Y$355,MATCH($C166,Deals!$A$2:$A$355,0))),""))</f>
        <v/>
      </c>
      <c r="V166" s="35">
        <f>IF($U166="",DATE(1900,1,1),$N166)</f>
        <v/>
      </c>
      <c r="W166" s="35">
        <f>IF($U166="",DATE(2100,12,31),$U166)</f>
        <v/>
      </c>
      <c r="X166" s="32">
        <f>IF($U166="",$K166,$K166*$S166)</f>
        <v/>
      </c>
      <c r="Y166" s="35">
        <f>IF($U166="",DATE(2100,12,31),$U166+1)</f>
        <v/>
      </c>
      <c r="Z166" s="35">
        <f>IF($U166="",DATE(1900,1,1),$O166)</f>
        <v/>
      </c>
      <c r="AA166" s="32">
        <f>IF($U166="",0,$K166*$T166)</f>
        <v/>
      </c>
      <c r="AB166" s="21">
        <f>IF($C166="",0,IFERROR(INDEX(Deals!$AD$2:$AD$355,MATCH($C166,Deals!$A$2:$A$355,0)),0))</f>
        <v/>
      </c>
      <c r="AC166" s="32">
        <f>IF(Settings!$B$4="Yes",$I166*$AB166,$I166)</f>
        <v/>
      </c>
      <c r="AD166" s="22">
        <f>IF($C166="","",IFERROR(IF(INDEX(Deals!$AE$2:$AE$355,MATCH($C166,Deals!$A$2:$A$355,0))=0,"",INDEX(Deals!$AE$2:$AE$355,MATCH($C166,Deals!$A$2:$A$355,0))),""))</f>
        <v/>
      </c>
      <c r="AE166" s="22">
        <f>IF($C166="","",IFERROR(IF(INDEX(Deals!$AF$2:$AF$355,MATCH($C166,Deals!$A$2:$A$355,0))=0,"",INDEX(Deals!$AF$2:$AF$355,MATCH($C166,Deals!$A$2:$A$355,0))),""))</f>
        <v/>
      </c>
      <c r="AF166" s="35">
        <f>IF($AD166="",DATE(1900,1,1),$AD166)</f>
        <v/>
      </c>
      <c r="AG166" s="35">
        <f>IF($AE166="",DATE(2100,12,31),$AE166)</f>
        <v/>
      </c>
      <c r="AH166" s="22">
        <f>IF($C166="","",IFERROR(IF(INDEX(Deals!$AG$2:$AG$355,MATCH($C166,Deals!$A$2:$A$355,0))=0,"",INDEX(Deals!$AG$2:$AG$355,MATCH($C166,Deals!$A$2:$A$355,0))),""))</f>
        <v/>
      </c>
      <c r="AI166" s="35">
        <f>IF($AH166="",DATE(1900,1,1),$AF166)</f>
        <v/>
      </c>
      <c r="AJ166" s="35">
        <f>IF($AH166="",DATE(2100,12,31),$AH166)</f>
        <v/>
      </c>
      <c r="AK166" s="32">
        <f>IF($AH166="",$AC166,$AC166*$S166)</f>
        <v/>
      </c>
      <c r="AL166" s="35">
        <f>IF($AH166="",DATE(2100,12,31),$AH166+1)</f>
        <v/>
      </c>
      <c r="AM166" s="35">
        <f>IF($AH166="",DATE(1900,1,1),$AG166)</f>
        <v/>
      </c>
      <c r="AN166" s="32">
        <f>IF($AH166="",0,$AC166*$T166)</f>
        <v/>
      </c>
    </row>
    <row r="167">
      <c r="A167" s="28" t="inlineStr">
        <is>
          <t>Ethan</t>
        </is>
      </c>
      <c r="B167" s="16">
        <f>IF($A167="","",IFERROR(INDEX(Roster!$B$2:$B$40,MATCH($A167,Roster!$A$2:$A$40,0)),"?"))</f>
        <v/>
      </c>
      <c r="C167" s="28" t="inlineStr">
        <is>
          <t>Broadway_1</t>
        </is>
      </c>
      <c r="D167" s="16">
        <f>IF($C167="","",IFERROR(IF(INDEX(Deals!$C$2:$C$355,MATCH($C167,Deals!$A$2:$A$355,0))=0,"",INDEX(Deals!$C$2:$C$355,MATCH($C167,Deals!$A$2:$A$355,0))),"?"))</f>
        <v/>
      </c>
      <c r="E167" s="16">
        <f>IF($C167="","",IFERROR(INDEX(Deals!$F$2:$F$355,MATCH($C167,Deals!$A$2:$A$355,0)),"?"))</f>
        <v/>
      </c>
      <c r="F167" s="28" t="inlineStr">
        <is>
          <t>MD</t>
        </is>
      </c>
      <c r="G167" s="28" t="inlineStr">
        <is>
          <t>Active</t>
        </is>
      </c>
      <c r="H167" s="31" t="n"/>
      <c r="I167" s="32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1">
        <f>IF($C167="",0,IFERROR(INDEX(Deals!$H$2:$H$355,MATCH($C167,Deals!$A$2:$A$355,0)),0))</f>
        <v/>
      </c>
      <c r="K167" s="32">
        <f>IF(Settings!$B$4="Yes",$I167*$J167,$I167)</f>
        <v/>
      </c>
      <c r="L167" s="22">
        <f>IF($C167="","",IFERROR(IF(INDEX(Deals!$I$2:$I$355,MATCH($C167,Deals!$A$2:$A$355,0))=0,"",INDEX(Deals!$I$2:$I$355,MATCH($C167,Deals!$A$2:$A$355,0))),""))</f>
        <v/>
      </c>
      <c r="M167" s="22">
        <f>IF($C167="","",IFERROR(IF(INDEX(Deals!$J$2:$J$355,MATCH($C167,Deals!$A$2:$A$355,0))=0,"",INDEX(Deals!$J$2:$J$355,MATCH($C167,Deals!$A$2:$A$355,0))),""))</f>
        <v/>
      </c>
      <c r="N167" s="35">
        <f>IF($L167="",DATE(1900,1,1),$L167)</f>
        <v/>
      </c>
      <c r="O167" s="35">
        <f>IF($M167="",DATE(2100,12,31),$M167)</f>
        <v/>
      </c>
      <c r="P167" s="20" t="inlineStr"/>
      <c r="Q167" s="43" t="inlineStr"/>
      <c r="R167" s="16">
        <f>IF($C167="","",IFERROR(IF(INDEX(Deals!$U$2:$U$355,MATCH($C167,Deals!$A$2:$A$355,0))=0,"",INDEX(Deals!$U$2:$U$355,MATCH($C167,Deals!$A$2:$A$355,0))),""))</f>
        <v/>
      </c>
      <c r="S167" s="34">
        <f>IFERROR(IF($U167="",1,INDEX(Deals!$V$2:$V$355,MATCH($C167,Deals!$A$2:$A$355,0))),1)</f>
        <v/>
      </c>
      <c r="T167" s="34">
        <f>IFERROR(IF($U167="",1,INDEX(Deals!$W$2:$W$355,MATCH($C167,Deals!$A$2:$A$355,0))),1)</f>
        <v/>
      </c>
      <c r="U167" s="22">
        <f>IF($C167="","",IFERROR(IF(INDEX(Deals!$Y$2:$Y$355,MATCH($C167,Deals!$A$2:$A$355,0))=0,"",INDEX(Deals!$Y$2:$Y$355,MATCH($C167,Deals!$A$2:$A$355,0))),""))</f>
        <v/>
      </c>
      <c r="V167" s="35">
        <f>IF($U167="",DATE(1900,1,1),$N167)</f>
        <v/>
      </c>
      <c r="W167" s="35">
        <f>IF($U167="",DATE(2100,12,31),$U167)</f>
        <v/>
      </c>
      <c r="X167" s="32">
        <f>IF($U167="",$K167,$K167*$S167)</f>
        <v/>
      </c>
      <c r="Y167" s="35">
        <f>IF($U167="",DATE(2100,12,31),$U167+1)</f>
        <v/>
      </c>
      <c r="Z167" s="35">
        <f>IF($U167="",DATE(1900,1,1),$O167)</f>
        <v/>
      </c>
      <c r="AA167" s="32">
        <f>IF($U167="",0,$K167*$T167)</f>
        <v/>
      </c>
      <c r="AB167" s="21">
        <f>IF($C167="",0,IFERROR(INDEX(Deals!$AD$2:$AD$355,MATCH($C167,Deals!$A$2:$A$355,0)),0))</f>
        <v/>
      </c>
      <c r="AC167" s="32">
        <f>IF(Settings!$B$4="Yes",$I167*$AB167,$I167)</f>
        <v/>
      </c>
      <c r="AD167" s="22">
        <f>IF($C167="","",IFERROR(IF(INDEX(Deals!$AE$2:$AE$355,MATCH($C167,Deals!$A$2:$A$355,0))=0,"",INDEX(Deals!$AE$2:$AE$355,MATCH($C167,Deals!$A$2:$A$355,0))),""))</f>
        <v/>
      </c>
      <c r="AE167" s="22">
        <f>IF($C167="","",IFERROR(IF(INDEX(Deals!$AF$2:$AF$355,MATCH($C167,Deals!$A$2:$A$355,0))=0,"",INDEX(Deals!$AF$2:$AF$355,MATCH($C167,Deals!$A$2:$A$355,0))),""))</f>
        <v/>
      </c>
      <c r="AF167" s="35">
        <f>IF($AD167="",DATE(1900,1,1),$AD167)</f>
        <v/>
      </c>
      <c r="AG167" s="35">
        <f>IF($AE167="",DATE(2100,12,31),$AE167)</f>
        <v/>
      </c>
      <c r="AH167" s="22">
        <f>IF($C167="","",IFERROR(IF(INDEX(Deals!$AG$2:$AG$355,MATCH($C167,Deals!$A$2:$A$355,0))=0,"",INDEX(Deals!$AG$2:$AG$355,MATCH($C167,Deals!$A$2:$A$355,0))),""))</f>
        <v/>
      </c>
      <c r="AI167" s="35">
        <f>IF($AH167="",DATE(1900,1,1),$AF167)</f>
        <v/>
      </c>
      <c r="AJ167" s="35">
        <f>IF($AH167="",DATE(2100,12,31),$AH167)</f>
        <v/>
      </c>
      <c r="AK167" s="32">
        <f>IF($AH167="",$AC167,$AC167*$S167)</f>
        <v/>
      </c>
      <c r="AL167" s="35">
        <f>IF($AH167="",DATE(2100,12,31),$AH167+1)</f>
        <v/>
      </c>
      <c r="AM167" s="35">
        <f>IF($AH167="",DATE(1900,1,1),$AG167)</f>
        <v/>
      </c>
      <c r="AN167" s="32">
        <f>IF($AH167="",0,$AC167*$T167)</f>
        <v/>
      </c>
    </row>
    <row r="168">
      <c r="A168" s="28" t="inlineStr">
        <is>
          <t>Ethan</t>
        </is>
      </c>
      <c r="B168" s="16">
        <f>IF($A168="","",IFERROR(INDEX(Roster!$B$2:$B$40,MATCH($A168,Roster!$A$2:$A$40,0)),"?"))</f>
        <v/>
      </c>
      <c r="C168" s="28" t="inlineStr">
        <is>
          <t>Camaro_1</t>
        </is>
      </c>
      <c r="D168" s="16">
        <f>IF($C168="","",IFERROR(IF(INDEX(Deals!$C$2:$C$355,MATCH($C168,Deals!$A$2:$A$355,0))=0,"",INDEX(Deals!$C$2:$C$355,MATCH($C168,Deals!$A$2:$A$355,0))),"?"))</f>
        <v/>
      </c>
      <c r="E168" s="16">
        <f>IF($C168="","",IFERROR(INDEX(Deals!$F$2:$F$355,MATCH($C168,Deals!$A$2:$A$355,0)),"?"))</f>
        <v/>
      </c>
      <c r="F168" s="28" t="inlineStr">
        <is>
          <t>MD</t>
        </is>
      </c>
      <c r="G168" s="28" t="inlineStr">
        <is>
          <t>Active</t>
        </is>
      </c>
      <c r="H168" s="31" t="n"/>
      <c r="I168" s="32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1">
        <f>IF($C168="",0,IFERROR(INDEX(Deals!$H$2:$H$355,MATCH($C168,Deals!$A$2:$A$355,0)),0))</f>
        <v/>
      </c>
      <c r="K168" s="32">
        <f>IF(Settings!$B$4="Yes",$I168*$J168,$I168)</f>
        <v/>
      </c>
      <c r="L168" s="22">
        <f>IF($C168="","",IFERROR(IF(INDEX(Deals!$I$2:$I$355,MATCH($C168,Deals!$A$2:$A$355,0))=0,"",INDEX(Deals!$I$2:$I$355,MATCH($C168,Deals!$A$2:$A$355,0))),""))</f>
        <v/>
      </c>
      <c r="M168" s="22">
        <f>IF($C168="","",IFERROR(IF(INDEX(Deals!$J$2:$J$355,MATCH($C168,Deals!$A$2:$A$355,0))=0,"",INDEX(Deals!$J$2:$J$355,MATCH($C168,Deals!$A$2:$A$355,0))),""))</f>
        <v/>
      </c>
      <c r="N168" s="35">
        <f>IF($L168="",DATE(1900,1,1),$L168)</f>
        <v/>
      </c>
      <c r="O168" s="35">
        <f>IF($M168="",DATE(2100,12,31),$M168)</f>
        <v/>
      </c>
      <c r="P168" s="20" t="inlineStr"/>
      <c r="Q168" s="43" t="inlineStr"/>
      <c r="R168" s="16">
        <f>IF($C168="","",IFERROR(IF(INDEX(Deals!$U$2:$U$355,MATCH($C168,Deals!$A$2:$A$355,0))=0,"",INDEX(Deals!$U$2:$U$355,MATCH($C168,Deals!$A$2:$A$355,0))),""))</f>
        <v/>
      </c>
      <c r="S168" s="34">
        <f>IFERROR(IF($U168="",1,INDEX(Deals!$V$2:$V$355,MATCH($C168,Deals!$A$2:$A$355,0))),1)</f>
        <v/>
      </c>
      <c r="T168" s="34">
        <f>IFERROR(IF($U168="",1,INDEX(Deals!$W$2:$W$355,MATCH($C168,Deals!$A$2:$A$355,0))),1)</f>
        <v/>
      </c>
      <c r="U168" s="22">
        <f>IF($C168="","",IFERROR(IF(INDEX(Deals!$Y$2:$Y$355,MATCH($C168,Deals!$A$2:$A$355,0))=0,"",INDEX(Deals!$Y$2:$Y$355,MATCH($C168,Deals!$A$2:$A$355,0))),""))</f>
        <v/>
      </c>
      <c r="V168" s="35">
        <f>IF($U168="",DATE(1900,1,1),$N168)</f>
        <v/>
      </c>
      <c r="W168" s="35">
        <f>IF($U168="",DATE(2100,12,31),$U168)</f>
        <v/>
      </c>
      <c r="X168" s="32">
        <f>IF($U168="",$K168,$K168*$S168)</f>
        <v/>
      </c>
      <c r="Y168" s="35">
        <f>IF($U168="",DATE(2100,12,31),$U168+1)</f>
        <v/>
      </c>
      <c r="Z168" s="35">
        <f>IF($U168="",DATE(1900,1,1),$O168)</f>
        <v/>
      </c>
      <c r="AA168" s="32">
        <f>IF($U168="",0,$K168*$T168)</f>
        <v/>
      </c>
      <c r="AB168" s="21">
        <f>IF($C168="",0,IFERROR(INDEX(Deals!$AD$2:$AD$355,MATCH($C168,Deals!$A$2:$A$355,0)),0))</f>
        <v/>
      </c>
      <c r="AC168" s="32">
        <f>IF(Settings!$B$4="Yes",$I168*$AB168,$I168)</f>
        <v/>
      </c>
      <c r="AD168" s="22">
        <f>IF($C168="","",IFERROR(IF(INDEX(Deals!$AE$2:$AE$355,MATCH($C168,Deals!$A$2:$A$355,0))=0,"",INDEX(Deals!$AE$2:$AE$355,MATCH($C168,Deals!$A$2:$A$355,0))),""))</f>
        <v/>
      </c>
      <c r="AE168" s="22">
        <f>IF($C168="","",IFERROR(IF(INDEX(Deals!$AF$2:$AF$355,MATCH($C168,Deals!$A$2:$A$355,0))=0,"",INDEX(Deals!$AF$2:$AF$355,MATCH($C168,Deals!$A$2:$A$355,0))),""))</f>
        <v/>
      </c>
      <c r="AF168" s="35">
        <f>IF($AD168="",DATE(1900,1,1),$AD168)</f>
        <v/>
      </c>
      <c r="AG168" s="35">
        <f>IF($AE168="",DATE(2100,12,31),$AE168)</f>
        <v/>
      </c>
      <c r="AH168" s="22">
        <f>IF($C168="","",IFERROR(IF(INDEX(Deals!$AG$2:$AG$355,MATCH($C168,Deals!$A$2:$A$355,0))=0,"",INDEX(Deals!$AG$2:$AG$355,MATCH($C168,Deals!$A$2:$A$355,0))),""))</f>
        <v/>
      </c>
      <c r="AI168" s="35">
        <f>IF($AH168="",DATE(1900,1,1),$AF168)</f>
        <v/>
      </c>
      <c r="AJ168" s="35">
        <f>IF($AH168="",DATE(2100,12,31),$AH168)</f>
        <v/>
      </c>
      <c r="AK168" s="32">
        <f>IF($AH168="",$AC168,$AC168*$S168)</f>
        <v/>
      </c>
      <c r="AL168" s="35">
        <f>IF($AH168="",DATE(2100,12,31),$AH168+1)</f>
        <v/>
      </c>
      <c r="AM168" s="35">
        <f>IF($AH168="",DATE(1900,1,1),$AG168)</f>
        <v/>
      </c>
      <c r="AN168" s="32">
        <f>IF($AH168="",0,$AC168*$T168)</f>
        <v/>
      </c>
    </row>
    <row r="169">
      <c r="A169" s="28" t="inlineStr">
        <is>
          <t>Ethan</t>
        </is>
      </c>
      <c r="B169" s="16">
        <f>IF($A169="","",IFERROR(INDEX(Roster!$B$2:$B$40,MATCH($A169,Roster!$A$2:$A$40,0)),"?"))</f>
        <v/>
      </c>
      <c r="C169" s="28" t="inlineStr">
        <is>
          <t>Coral II_1</t>
        </is>
      </c>
      <c r="D169" s="16">
        <f>IF($C169="","",IFERROR(IF(INDEX(Deals!$C$2:$C$355,MATCH($C169,Deals!$A$2:$A$355,0))=0,"",INDEX(Deals!$C$2:$C$355,MATCH($C169,Deals!$A$2:$A$355,0))),"?"))</f>
        <v/>
      </c>
      <c r="E169" s="16">
        <f>IF($C169="","",IFERROR(INDEX(Deals!$F$2:$F$355,MATCH($C169,Deals!$A$2:$A$355,0)),"?"))</f>
        <v/>
      </c>
      <c r="F169" s="28" t="inlineStr">
        <is>
          <t>MD</t>
        </is>
      </c>
      <c r="G169" s="28" t="inlineStr">
        <is>
          <t>Active</t>
        </is>
      </c>
      <c r="H169" s="31" t="n"/>
      <c r="I169" s="32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1">
        <f>IF($C169="",0,IFERROR(INDEX(Deals!$H$2:$H$355,MATCH($C169,Deals!$A$2:$A$355,0)),0))</f>
        <v/>
      </c>
      <c r="K169" s="32">
        <f>IF(Settings!$B$4="Yes",$I169*$J169,$I169)</f>
        <v/>
      </c>
      <c r="L169" s="22">
        <f>IF($C169="","",IFERROR(IF(INDEX(Deals!$I$2:$I$355,MATCH($C169,Deals!$A$2:$A$355,0))=0,"",INDEX(Deals!$I$2:$I$355,MATCH($C169,Deals!$A$2:$A$355,0))),""))</f>
        <v/>
      </c>
      <c r="M169" s="22">
        <f>IF($C169="","",IFERROR(IF(INDEX(Deals!$J$2:$J$355,MATCH($C169,Deals!$A$2:$A$355,0))=0,"",INDEX(Deals!$J$2:$J$355,MATCH($C169,Deals!$A$2:$A$355,0))),""))</f>
        <v/>
      </c>
      <c r="N169" s="35">
        <f>IF($L169="",DATE(1900,1,1),$L169)</f>
        <v/>
      </c>
      <c r="O169" s="35">
        <f>IF($M169="",DATE(2100,12,31),$M169)</f>
        <v/>
      </c>
      <c r="P169" s="20" t="inlineStr"/>
      <c r="Q169" s="43" t="inlineStr"/>
      <c r="R169" s="16">
        <f>IF($C169="","",IFERROR(IF(INDEX(Deals!$U$2:$U$355,MATCH($C169,Deals!$A$2:$A$355,0))=0,"",INDEX(Deals!$U$2:$U$355,MATCH($C169,Deals!$A$2:$A$355,0))),""))</f>
        <v/>
      </c>
      <c r="S169" s="34">
        <f>IFERROR(IF($U169="",1,INDEX(Deals!$V$2:$V$355,MATCH($C169,Deals!$A$2:$A$355,0))),1)</f>
        <v/>
      </c>
      <c r="T169" s="34">
        <f>IFERROR(IF($U169="",1,INDEX(Deals!$W$2:$W$355,MATCH($C169,Deals!$A$2:$A$355,0))),1)</f>
        <v/>
      </c>
      <c r="U169" s="22">
        <f>IF($C169="","",IFERROR(IF(INDEX(Deals!$Y$2:$Y$355,MATCH($C169,Deals!$A$2:$A$355,0))=0,"",INDEX(Deals!$Y$2:$Y$355,MATCH($C169,Deals!$A$2:$A$355,0))),""))</f>
        <v/>
      </c>
      <c r="V169" s="35">
        <f>IF($U169="",DATE(1900,1,1),$N169)</f>
        <v/>
      </c>
      <c r="W169" s="35">
        <f>IF($U169="",DATE(2100,12,31),$U169)</f>
        <v/>
      </c>
      <c r="X169" s="32">
        <f>IF($U169="",$K169,$K169*$S169)</f>
        <v/>
      </c>
      <c r="Y169" s="35">
        <f>IF($U169="",DATE(2100,12,31),$U169+1)</f>
        <v/>
      </c>
      <c r="Z169" s="35">
        <f>IF($U169="",DATE(1900,1,1),$O169)</f>
        <v/>
      </c>
      <c r="AA169" s="32">
        <f>IF($U169="",0,$K169*$T169)</f>
        <v/>
      </c>
      <c r="AB169" s="21">
        <f>IF($C169="",0,IFERROR(INDEX(Deals!$AD$2:$AD$355,MATCH($C169,Deals!$A$2:$A$355,0)),0))</f>
        <v/>
      </c>
      <c r="AC169" s="32">
        <f>IF(Settings!$B$4="Yes",$I169*$AB169,$I169)</f>
        <v/>
      </c>
      <c r="AD169" s="22">
        <f>IF($C169="","",IFERROR(IF(INDEX(Deals!$AE$2:$AE$355,MATCH($C169,Deals!$A$2:$A$355,0))=0,"",INDEX(Deals!$AE$2:$AE$355,MATCH($C169,Deals!$A$2:$A$355,0))),""))</f>
        <v/>
      </c>
      <c r="AE169" s="22">
        <f>IF($C169="","",IFERROR(IF(INDEX(Deals!$AF$2:$AF$355,MATCH($C169,Deals!$A$2:$A$355,0))=0,"",INDEX(Deals!$AF$2:$AF$355,MATCH($C169,Deals!$A$2:$A$355,0))),""))</f>
        <v/>
      </c>
      <c r="AF169" s="35">
        <f>IF($AD169="",DATE(1900,1,1),$AD169)</f>
        <v/>
      </c>
      <c r="AG169" s="35">
        <f>IF($AE169="",DATE(2100,12,31),$AE169)</f>
        <v/>
      </c>
      <c r="AH169" s="22">
        <f>IF($C169="","",IFERROR(IF(INDEX(Deals!$AG$2:$AG$355,MATCH($C169,Deals!$A$2:$A$355,0))=0,"",INDEX(Deals!$AG$2:$AG$355,MATCH($C169,Deals!$A$2:$A$355,0))),""))</f>
        <v/>
      </c>
      <c r="AI169" s="35">
        <f>IF($AH169="",DATE(1900,1,1),$AF169)</f>
        <v/>
      </c>
      <c r="AJ169" s="35">
        <f>IF($AH169="",DATE(2100,12,31),$AH169)</f>
        <v/>
      </c>
      <c r="AK169" s="32">
        <f>IF($AH169="",$AC169,$AC169*$S169)</f>
        <v/>
      </c>
      <c r="AL169" s="35">
        <f>IF($AH169="",DATE(2100,12,31),$AH169+1)</f>
        <v/>
      </c>
      <c r="AM169" s="35">
        <f>IF($AH169="",DATE(1900,1,1),$AG169)</f>
        <v/>
      </c>
      <c r="AN169" s="32">
        <f>IF($AH169="",0,$AC169*$T169)</f>
        <v/>
      </c>
    </row>
    <row r="170">
      <c r="A170" s="28" t="inlineStr">
        <is>
          <t>Ethan</t>
        </is>
      </c>
      <c r="B170" s="16">
        <f>IF($A170="","",IFERROR(INDEX(Roster!$B$2:$B$40,MATCH($A170,Roster!$A$2:$A$40,0)),"?"))</f>
        <v/>
      </c>
      <c r="C170" s="28" t="inlineStr">
        <is>
          <t>Dawn_1</t>
        </is>
      </c>
      <c r="D170" s="16">
        <f>IF($C170="","",IFERROR(IF(INDEX(Deals!$C$2:$C$355,MATCH($C170,Deals!$A$2:$A$355,0))=0,"",INDEX(Deals!$C$2:$C$355,MATCH($C170,Deals!$A$2:$A$355,0))),"?"))</f>
        <v/>
      </c>
      <c r="E170" s="16">
        <f>IF($C170="","",IFERROR(INDEX(Deals!$F$2:$F$355,MATCH($C170,Deals!$A$2:$A$355,0)),"?"))</f>
        <v/>
      </c>
      <c r="F170" s="28" t="inlineStr">
        <is>
          <t>MD</t>
        </is>
      </c>
      <c r="G170" s="28" t="inlineStr">
        <is>
          <t>Active</t>
        </is>
      </c>
      <c r="H170" s="31" t="n"/>
      <c r="I170" s="32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1">
        <f>IF($C170="",0,IFERROR(INDEX(Deals!$H$2:$H$355,MATCH($C170,Deals!$A$2:$A$355,0)),0))</f>
        <v/>
      </c>
      <c r="K170" s="32">
        <f>IF(Settings!$B$4="Yes",$I170*$J170,$I170)</f>
        <v/>
      </c>
      <c r="L170" s="22">
        <f>IF($C170="","",IFERROR(IF(INDEX(Deals!$I$2:$I$355,MATCH($C170,Deals!$A$2:$A$355,0))=0,"",INDEX(Deals!$I$2:$I$355,MATCH($C170,Deals!$A$2:$A$355,0))),""))</f>
        <v/>
      </c>
      <c r="M170" s="22">
        <f>IF($C170="","",IFERROR(IF(INDEX(Deals!$J$2:$J$355,MATCH($C170,Deals!$A$2:$A$355,0))=0,"",INDEX(Deals!$J$2:$J$355,MATCH($C170,Deals!$A$2:$A$355,0))),""))</f>
        <v/>
      </c>
      <c r="N170" s="35">
        <f>IF($L170="",DATE(1900,1,1),$L170)</f>
        <v/>
      </c>
      <c r="O170" s="35">
        <f>IF($M170="",DATE(2100,12,31),$M170)</f>
        <v/>
      </c>
      <c r="P170" s="20" t="inlineStr"/>
      <c r="Q170" s="43" t="inlineStr"/>
      <c r="R170" s="16">
        <f>IF($C170="","",IFERROR(IF(INDEX(Deals!$U$2:$U$355,MATCH($C170,Deals!$A$2:$A$355,0))=0,"",INDEX(Deals!$U$2:$U$355,MATCH($C170,Deals!$A$2:$A$355,0))),""))</f>
        <v/>
      </c>
      <c r="S170" s="34">
        <f>IFERROR(IF($U170="",1,INDEX(Deals!$V$2:$V$355,MATCH($C170,Deals!$A$2:$A$355,0))),1)</f>
        <v/>
      </c>
      <c r="T170" s="34">
        <f>IFERROR(IF($U170="",1,INDEX(Deals!$W$2:$W$355,MATCH($C170,Deals!$A$2:$A$355,0))),1)</f>
        <v/>
      </c>
      <c r="U170" s="22">
        <f>IF($C170="","",IFERROR(IF(INDEX(Deals!$Y$2:$Y$355,MATCH($C170,Deals!$A$2:$A$355,0))=0,"",INDEX(Deals!$Y$2:$Y$355,MATCH($C170,Deals!$A$2:$A$355,0))),""))</f>
        <v/>
      </c>
      <c r="V170" s="35">
        <f>IF($U170="",DATE(1900,1,1),$N170)</f>
        <v/>
      </c>
      <c r="W170" s="35">
        <f>IF($U170="",DATE(2100,12,31),$U170)</f>
        <v/>
      </c>
      <c r="X170" s="32">
        <f>IF($U170="",$K170,$K170*$S170)</f>
        <v/>
      </c>
      <c r="Y170" s="35">
        <f>IF($U170="",DATE(2100,12,31),$U170+1)</f>
        <v/>
      </c>
      <c r="Z170" s="35">
        <f>IF($U170="",DATE(1900,1,1),$O170)</f>
        <v/>
      </c>
      <c r="AA170" s="32">
        <f>IF($U170="",0,$K170*$T170)</f>
        <v/>
      </c>
      <c r="AB170" s="21">
        <f>IF($C170="",0,IFERROR(INDEX(Deals!$AD$2:$AD$355,MATCH($C170,Deals!$A$2:$A$355,0)),0))</f>
        <v/>
      </c>
      <c r="AC170" s="32">
        <f>IF(Settings!$B$4="Yes",$I170*$AB170,$I170)</f>
        <v/>
      </c>
      <c r="AD170" s="22">
        <f>IF($C170="","",IFERROR(IF(INDEX(Deals!$AE$2:$AE$355,MATCH($C170,Deals!$A$2:$A$355,0))=0,"",INDEX(Deals!$AE$2:$AE$355,MATCH($C170,Deals!$A$2:$A$355,0))),""))</f>
        <v/>
      </c>
      <c r="AE170" s="22">
        <f>IF($C170="","",IFERROR(IF(INDEX(Deals!$AF$2:$AF$355,MATCH($C170,Deals!$A$2:$A$355,0))=0,"",INDEX(Deals!$AF$2:$AF$355,MATCH($C170,Deals!$A$2:$A$355,0))),""))</f>
        <v/>
      </c>
      <c r="AF170" s="35">
        <f>IF($AD170="",DATE(1900,1,1),$AD170)</f>
        <v/>
      </c>
      <c r="AG170" s="35">
        <f>IF($AE170="",DATE(2100,12,31),$AE170)</f>
        <v/>
      </c>
      <c r="AH170" s="22">
        <f>IF($C170="","",IFERROR(IF(INDEX(Deals!$AG$2:$AG$355,MATCH($C170,Deals!$A$2:$A$355,0))=0,"",INDEX(Deals!$AG$2:$AG$355,MATCH($C170,Deals!$A$2:$A$355,0))),""))</f>
        <v/>
      </c>
      <c r="AI170" s="35">
        <f>IF($AH170="",DATE(1900,1,1),$AF170)</f>
        <v/>
      </c>
      <c r="AJ170" s="35">
        <f>IF($AH170="",DATE(2100,12,31),$AH170)</f>
        <v/>
      </c>
      <c r="AK170" s="32">
        <f>IF($AH170="",$AC170,$AC170*$S170)</f>
        <v/>
      </c>
      <c r="AL170" s="35">
        <f>IF($AH170="",DATE(2100,12,31),$AH170+1)</f>
        <v/>
      </c>
      <c r="AM170" s="35">
        <f>IF($AH170="",DATE(1900,1,1),$AG170)</f>
        <v/>
      </c>
      <c r="AN170" s="32">
        <f>IF($AH170="",0,$AC170*$T170)</f>
        <v/>
      </c>
    </row>
    <row r="171">
      <c r="A171" s="28" t="inlineStr">
        <is>
          <t>Ethan</t>
        </is>
      </c>
      <c r="B171" s="16">
        <f>IF($A171="","",IFERROR(INDEX(Roster!$B$2:$B$40,MATCH($A171,Roster!$A$2:$A$40,0)),"?"))</f>
        <v/>
      </c>
      <c r="C171" s="28" t="inlineStr">
        <is>
          <t>Dupont_1</t>
        </is>
      </c>
      <c r="D171" s="16">
        <f>IF($C171="","",IFERROR(IF(INDEX(Deals!$C$2:$C$355,MATCH($C171,Deals!$A$2:$A$355,0))=0,"",INDEX(Deals!$C$2:$C$355,MATCH($C171,Deals!$A$2:$A$355,0))),"?"))</f>
        <v/>
      </c>
      <c r="E171" s="16">
        <f>IF($C171="","",IFERROR(INDEX(Deals!$F$2:$F$355,MATCH($C171,Deals!$A$2:$A$355,0)),"?"))</f>
        <v/>
      </c>
      <c r="F171" s="28" t="inlineStr">
        <is>
          <t>MD</t>
        </is>
      </c>
      <c r="G171" s="28" t="inlineStr">
        <is>
          <t>Active</t>
        </is>
      </c>
      <c r="H171" s="31" t="n"/>
      <c r="I171" s="32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1">
        <f>IF($C171="",0,IFERROR(INDEX(Deals!$H$2:$H$355,MATCH($C171,Deals!$A$2:$A$355,0)),0))</f>
        <v/>
      </c>
      <c r="K171" s="32">
        <f>IF(Settings!$B$4="Yes",$I171*$J171,$I171)</f>
        <v/>
      </c>
      <c r="L171" s="22">
        <f>IF($C171="","",IFERROR(IF(INDEX(Deals!$I$2:$I$355,MATCH($C171,Deals!$A$2:$A$355,0))=0,"",INDEX(Deals!$I$2:$I$355,MATCH($C171,Deals!$A$2:$A$355,0))),""))</f>
        <v/>
      </c>
      <c r="M171" s="22">
        <f>IF($C171="","",IFERROR(IF(INDEX(Deals!$J$2:$J$355,MATCH($C171,Deals!$A$2:$A$355,0))=0,"",INDEX(Deals!$J$2:$J$355,MATCH($C171,Deals!$A$2:$A$355,0))),""))</f>
        <v/>
      </c>
      <c r="N171" s="35">
        <f>IF($L171="",DATE(1900,1,1),$L171)</f>
        <v/>
      </c>
      <c r="O171" s="35">
        <f>IF($M171="",DATE(2100,12,31),$M171)</f>
        <v/>
      </c>
      <c r="P171" s="20" t="inlineStr"/>
      <c r="Q171" s="43" t="inlineStr"/>
      <c r="R171" s="16">
        <f>IF($C171="","",IFERROR(IF(INDEX(Deals!$U$2:$U$355,MATCH($C171,Deals!$A$2:$A$355,0))=0,"",INDEX(Deals!$U$2:$U$355,MATCH($C171,Deals!$A$2:$A$355,0))),""))</f>
        <v/>
      </c>
      <c r="S171" s="34">
        <f>IFERROR(IF($U171="",1,INDEX(Deals!$V$2:$V$355,MATCH($C171,Deals!$A$2:$A$355,0))),1)</f>
        <v/>
      </c>
      <c r="T171" s="34">
        <f>IFERROR(IF($U171="",1,INDEX(Deals!$W$2:$W$355,MATCH($C171,Deals!$A$2:$A$355,0))),1)</f>
        <v/>
      </c>
      <c r="U171" s="22">
        <f>IF($C171="","",IFERROR(IF(INDEX(Deals!$Y$2:$Y$355,MATCH($C171,Deals!$A$2:$A$355,0))=0,"",INDEX(Deals!$Y$2:$Y$355,MATCH($C171,Deals!$A$2:$A$355,0))),""))</f>
        <v/>
      </c>
      <c r="V171" s="35">
        <f>IF($U171="",DATE(1900,1,1),$N171)</f>
        <v/>
      </c>
      <c r="W171" s="35">
        <f>IF($U171="",DATE(2100,12,31),$U171)</f>
        <v/>
      </c>
      <c r="X171" s="32">
        <f>IF($U171="",$K171,$K171*$S171)</f>
        <v/>
      </c>
      <c r="Y171" s="35">
        <f>IF($U171="",DATE(2100,12,31),$U171+1)</f>
        <v/>
      </c>
      <c r="Z171" s="35">
        <f>IF($U171="",DATE(1900,1,1),$O171)</f>
        <v/>
      </c>
      <c r="AA171" s="32">
        <f>IF($U171="",0,$K171*$T171)</f>
        <v/>
      </c>
      <c r="AB171" s="21">
        <f>IF($C171="",0,IFERROR(INDEX(Deals!$AD$2:$AD$355,MATCH($C171,Deals!$A$2:$A$355,0)),0))</f>
        <v/>
      </c>
      <c r="AC171" s="32">
        <f>IF(Settings!$B$4="Yes",$I171*$AB171,$I171)</f>
        <v/>
      </c>
      <c r="AD171" s="22">
        <f>IF($C171="","",IFERROR(IF(INDEX(Deals!$AE$2:$AE$355,MATCH($C171,Deals!$A$2:$A$355,0))=0,"",INDEX(Deals!$AE$2:$AE$355,MATCH($C171,Deals!$A$2:$A$355,0))),""))</f>
        <v/>
      </c>
      <c r="AE171" s="22">
        <f>IF($C171="","",IFERROR(IF(INDEX(Deals!$AF$2:$AF$355,MATCH($C171,Deals!$A$2:$A$355,0))=0,"",INDEX(Deals!$AF$2:$AF$355,MATCH($C171,Deals!$A$2:$A$355,0))),""))</f>
        <v/>
      </c>
      <c r="AF171" s="35">
        <f>IF($AD171="",DATE(1900,1,1),$AD171)</f>
        <v/>
      </c>
      <c r="AG171" s="35">
        <f>IF($AE171="",DATE(2100,12,31),$AE171)</f>
        <v/>
      </c>
      <c r="AH171" s="22">
        <f>IF($C171="","",IFERROR(IF(INDEX(Deals!$AG$2:$AG$355,MATCH($C171,Deals!$A$2:$A$355,0))=0,"",INDEX(Deals!$AG$2:$AG$355,MATCH($C171,Deals!$A$2:$A$355,0))),""))</f>
        <v/>
      </c>
      <c r="AI171" s="35">
        <f>IF($AH171="",DATE(1900,1,1),$AF171)</f>
        <v/>
      </c>
      <c r="AJ171" s="35">
        <f>IF($AH171="",DATE(2100,12,31),$AH171)</f>
        <v/>
      </c>
      <c r="AK171" s="32">
        <f>IF($AH171="",$AC171,$AC171*$S171)</f>
        <v/>
      </c>
      <c r="AL171" s="35">
        <f>IF($AH171="",DATE(2100,12,31),$AH171+1)</f>
        <v/>
      </c>
      <c r="AM171" s="35">
        <f>IF($AH171="",DATE(1900,1,1),$AG171)</f>
        <v/>
      </c>
      <c r="AN171" s="32">
        <f>IF($AH171="",0,$AC171*$T171)</f>
        <v/>
      </c>
    </row>
    <row r="172">
      <c r="A172" s="28" t="inlineStr">
        <is>
          <t>Ethan</t>
        </is>
      </c>
      <c r="B172" s="16">
        <f>IF($A172="","",IFERROR(INDEX(Roster!$B$2:$B$40,MATCH($A172,Roster!$A$2:$A$40,0)),"?"))</f>
        <v/>
      </c>
      <c r="C172" s="28" t="inlineStr">
        <is>
          <t>Gambit_1</t>
        </is>
      </c>
      <c r="D172" s="16">
        <f>IF($C172="","",IFERROR(IF(INDEX(Deals!$C$2:$C$355,MATCH($C172,Deals!$A$2:$A$355,0))=0,"",INDEX(Deals!$C$2:$C$355,MATCH($C172,Deals!$A$2:$A$355,0))),"?"))</f>
        <v/>
      </c>
      <c r="E172" s="16">
        <f>IF($C172="","",IFERROR(INDEX(Deals!$F$2:$F$355,MATCH($C172,Deals!$A$2:$A$355,0)),"?"))</f>
        <v/>
      </c>
      <c r="F172" s="28" t="inlineStr">
        <is>
          <t>MD</t>
        </is>
      </c>
      <c r="G172" s="28" t="inlineStr">
        <is>
          <t>Active</t>
        </is>
      </c>
      <c r="H172" s="31" t="n"/>
      <c r="I172" s="32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1">
        <f>IF($C172="",0,IFERROR(INDEX(Deals!$H$2:$H$355,MATCH($C172,Deals!$A$2:$A$355,0)),0))</f>
        <v/>
      </c>
      <c r="K172" s="32">
        <f>IF(Settings!$B$4="Yes",$I172*$J172,$I172)</f>
        <v/>
      </c>
      <c r="L172" s="22">
        <f>IF($C172="","",IFERROR(IF(INDEX(Deals!$I$2:$I$355,MATCH($C172,Deals!$A$2:$A$355,0))=0,"",INDEX(Deals!$I$2:$I$355,MATCH($C172,Deals!$A$2:$A$355,0))),""))</f>
        <v/>
      </c>
      <c r="M172" s="22">
        <f>IF($C172="","",IFERROR(IF(INDEX(Deals!$J$2:$J$355,MATCH($C172,Deals!$A$2:$A$355,0))=0,"",INDEX(Deals!$J$2:$J$355,MATCH($C172,Deals!$A$2:$A$355,0))),""))</f>
        <v/>
      </c>
      <c r="N172" s="35">
        <f>IF($L172="",DATE(1900,1,1),$L172)</f>
        <v/>
      </c>
      <c r="O172" s="35">
        <f>IF($M172="",DATE(2100,12,31),$M172)</f>
        <v/>
      </c>
      <c r="P172" s="20" t="inlineStr"/>
      <c r="Q172" s="43" t="inlineStr"/>
      <c r="R172" s="16">
        <f>IF($C172="","",IFERROR(IF(INDEX(Deals!$U$2:$U$355,MATCH($C172,Deals!$A$2:$A$355,0))=0,"",INDEX(Deals!$U$2:$U$355,MATCH($C172,Deals!$A$2:$A$355,0))),""))</f>
        <v/>
      </c>
      <c r="S172" s="34">
        <f>IFERROR(IF($U172="",1,INDEX(Deals!$V$2:$V$355,MATCH($C172,Deals!$A$2:$A$355,0))),1)</f>
        <v/>
      </c>
      <c r="T172" s="34">
        <f>IFERROR(IF($U172="",1,INDEX(Deals!$W$2:$W$355,MATCH($C172,Deals!$A$2:$A$355,0))),1)</f>
        <v/>
      </c>
      <c r="U172" s="22">
        <f>IF($C172="","",IFERROR(IF(INDEX(Deals!$Y$2:$Y$355,MATCH($C172,Deals!$A$2:$A$355,0))=0,"",INDEX(Deals!$Y$2:$Y$355,MATCH($C172,Deals!$A$2:$A$355,0))),""))</f>
        <v/>
      </c>
      <c r="V172" s="35">
        <f>IF($U172="",DATE(1900,1,1),$N172)</f>
        <v/>
      </c>
      <c r="W172" s="35">
        <f>IF($U172="",DATE(2100,12,31),$U172)</f>
        <v/>
      </c>
      <c r="X172" s="32">
        <f>IF($U172="",$K172,$K172*$S172)</f>
        <v/>
      </c>
      <c r="Y172" s="35">
        <f>IF($U172="",DATE(2100,12,31),$U172+1)</f>
        <v/>
      </c>
      <c r="Z172" s="35">
        <f>IF($U172="",DATE(1900,1,1),$O172)</f>
        <v/>
      </c>
      <c r="AA172" s="32">
        <f>IF($U172="",0,$K172*$T172)</f>
        <v/>
      </c>
      <c r="AB172" s="21">
        <f>IF($C172="",0,IFERROR(INDEX(Deals!$AD$2:$AD$355,MATCH($C172,Deals!$A$2:$A$355,0)),0))</f>
        <v/>
      </c>
      <c r="AC172" s="32">
        <f>IF(Settings!$B$4="Yes",$I172*$AB172,$I172)</f>
        <v/>
      </c>
      <c r="AD172" s="22">
        <f>IF($C172="","",IFERROR(IF(INDEX(Deals!$AE$2:$AE$355,MATCH($C172,Deals!$A$2:$A$355,0))=0,"",INDEX(Deals!$AE$2:$AE$355,MATCH($C172,Deals!$A$2:$A$355,0))),""))</f>
        <v/>
      </c>
      <c r="AE172" s="22">
        <f>IF($C172="","",IFERROR(IF(INDEX(Deals!$AF$2:$AF$355,MATCH($C172,Deals!$A$2:$A$355,0))=0,"",INDEX(Deals!$AF$2:$AF$355,MATCH($C172,Deals!$A$2:$A$355,0))),""))</f>
        <v/>
      </c>
      <c r="AF172" s="35">
        <f>IF($AD172="",DATE(1900,1,1),$AD172)</f>
        <v/>
      </c>
      <c r="AG172" s="35">
        <f>IF($AE172="",DATE(2100,12,31),$AE172)</f>
        <v/>
      </c>
      <c r="AH172" s="22">
        <f>IF($C172="","",IFERROR(IF(INDEX(Deals!$AG$2:$AG$355,MATCH($C172,Deals!$A$2:$A$355,0))=0,"",INDEX(Deals!$AG$2:$AG$355,MATCH($C172,Deals!$A$2:$A$355,0))),""))</f>
        <v/>
      </c>
      <c r="AI172" s="35">
        <f>IF($AH172="",DATE(1900,1,1),$AF172)</f>
        <v/>
      </c>
      <c r="AJ172" s="35">
        <f>IF($AH172="",DATE(2100,12,31),$AH172)</f>
        <v/>
      </c>
      <c r="AK172" s="32">
        <f>IF($AH172="",$AC172,$AC172*$S172)</f>
        <v/>
      </c>
      <c r="AL172" s="35">
        <f>IF($AH172="",DATE(2100,12,31),$AH172+1)</f>
        <v/>
      </c>
      <c r="AM172" s="35">
        <f>IF($AH172="",DATE(1900,1,1),$AG172)</f>
        <v/>
      </c>
      <c r="AN172" s="32">
        <f>IF($AH172="",0,$AC172*$T172)</f>
        <v/>
      </c>
    </row>
    <row r="173">
      <c r="A173" s="28" t="inlineStr">
        <is>
          <t>Ethan</t>
        </is>
      </c>
      <c r="B173" s="16">
        <f>IF($A173="","",IFERROR(INDEX(Roster!$B$2:$B$40,MATCH($A173,Roster!$A$2:$A$40,0)),"?"))</f>
        <v/>
      </c>
      <c r="C173" s="28" t="inlineStr">
        <is>
          <t>Geneseo_1</t>
        </is>
      </c>
      <c r="D173" s="16">
        <f>IF($C173="","",IFERROR(IF(INDEX(Deals!$C$2:$C$355,MATCH($C173,Deals!$A$2:$A$355,0))=0,"",INDEX(Deals!$C$2:$C$355,MATCH($C173,Deals!$A$2:$A$355,0))),"?"))</f>
        <v/>
      </c>
      <c r="E173" s="16">
        <f>IF($C173="","",IFERROR(INDEX(Deals!$F$2:$F$355,MATCH($C173,Deals!$A$2:$A$355,0)),"?"))</f>
        <v/>
      </c>
      <c r="F173" s="28" t="inlineStr">
        <is>
          <t>MD</t>
        </is>
      </c>
      <c r="G173" s="28" t="inlineStr">
        <is>
          <t>Active</t>
        </is>
      </c>
      <c r="H173" s="31" t="n"/>
      <c r="I173" s="32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1">
        <f>IF($C173="",0,IFERROR(INDEX(Deals!$H$2:$H$355,MATCH($C173,Deals!$A$2:$A$355,0)),0))</f>
        <v/>
      </c>
      <c r="K173" s="32">
        <f>IF(Settings!$B$4="Yes",$I173*$J173,$I173)</f>
        <v/>
      </c>
      <c r="L173" s="22">
        <f>IF($C173="","",IFERROR(IF(INDEX(Deals!$I$2:$I$355,MATCH($C173,Deals!$A$2:$A$355,0))=0,"",INDEX(Deals!$I$2:$I$355,MATCH($C173,Deals!$A$2:$A$355,0))),""))</f>
        <v/>
      </c>
      <c r="M173" s="22">
        <f>IF($C173="","",IFERROR(IF(INDEX(Deals!$J$2:$J$355,MATCH($C173,Deals!$A$2:$A$355,0))=0,"",INDEX(Deals!$J$2:$J$355,MATCH($C173,Deals!$A$2:$A$355,0))),""))</f>
        <v/>
      </c>
      <c r="N173" s="35">
        <f>IF($L173="",DATE(1900,1,1),$L173)</f>
        <v/>
      </c>
      <c r="O173" s="35">
        <f>IF($M173="",DATE(2100,12,31),$M173)</f>
        <v/>
      </c>
      <c r="P173" s="20" t="inlineStr"/>
      <c r="Q173" s="43" t="inlineStr"/>
      <c r="R173" s="16">
        <f>IF($C173="","",IFERROR(IF(INDEX(Deals!$U$2:$U$355,MATCH($C173,Deals!$A$2:$A$355,0))=0,"",INDEX(Deals!$U$2:$U$355,MATCH($C173,Deals!$A$2:$A$355,0))),""))</f>
        <v/>
      </c>
      <c r="S173" s="34">
        <f>IFERROR(IF($U173="",1,INDEX(Deals!$V$2:$V$355,MATCH($C173,Deals!$A$2:$A$355,0))),1)</f>
        <v/>
      </c>
      <c r="T173" s="34">
        <f>IFERROR(IF($U173="",1,INDEX(Deals!$W$2:$W$355,MATCH($C173,Deals!$A$2:$A$355,0))),1)</f>
        <v/>
      </c>
      <c r="U173" s="22">
        <f>IF($C173="","",IFERROR(IF(INDEX(Deals!$Y$2:$Y$355,MATCH($C173,Deals!$A$2:$A$355,0))=0,"",INDEX(Deals!$Y$2:$Y$355,MATCH($C173,Deals!$A$2:$A$355,0))),""))</f>
        <v/>
      </c>
      <c r="V173" s="35">
        <f>IF($U173="",DATE(1900,1,1),$N173)</f>
        <v/>
      </c>
      <c r="W173" s="35">
        <f>IF($U173="",DATE(2100,12,31),$U173)</f>
        <v/>
      </c>
      <c r="X173" s="32">
        <f>IF($U173="",$K173,$K173*$S173)</f>
        <v/>
      </c>
      <c r="Y173" s="35">
        <f>IF($U173="",DATE(2100,12,31),$U173+1)</f>
        <v/>
      </c>
      <c r="Z173" s="35">
        <f>IF($U173="",DATE(1900,1,1),$O173)</f>
        <v/>
      </c>
      <c r="AA173" s="32">
        <f>IF($U173="",0,$K173*$T173)</f>
        <v/>
      </c>
      <c r="AB173" s="21">
        <f>IF($C173="",0,IFERROR(INDEX(Deals!$AD$2:$AD$355,MATCH($C173,Deals!$A$2:$A$355,0)),0))</f>
        <v/>
      </c>
      <c r="AC173" s="32">
        <f>IF(Settings!$B$4="Yes",$I173*$AB173,$I173)</f>
        <v/>
      </c>
      <c r="AD173" s="22">
        <f>IF($C173="","",IFERROR(IF(INDEX(Deals!$AE$2:$AE$355,MATCH($C173,Deals!$A$2:$A$355,0))=0,"",INDEX(Deals!$AE$2:$AE$355,MATCH($C173,Deals!$A$2:$A$355,0))),""))</f>
        <v/>
      </c>
      <c r="AE173" s="22">
        <f>IF($C173="","",IFERROR(IF(INDEX(Deals!$AF$2:$AF$355,MATCH($C173,Deals!$A$2:$A$355,0))=0,"",INDEX(Deals!$AF$2:$AF$355,MATCH($C173,Deals!$A$2:$A$355,0))),""))</f>
        <v/>
      </c>
      <c r="AF173" s="35">
        <f>IF($AD173="",DATE(1900,1,1),$AD173)</f>
        <v/>
      </c>
      <c r="AG173" s="35">
        <f>IF($AE173="",DATE(2100,12,31),$AE173)</f>
        <v/>
      </c>
      <c r="AH173" s="22">
        <f>IF($C173="","",IFERROR(IF(INDEX(Deals!$AG$2:$AG$355,MATCH($C173,Deals!$A$2:$A$355,0))=0,"",INDEX(Deals!$AG$2:$AG$355,MATCH($C173,Deals!$A$2:$A$355,0))),""))</f>
        <v/>
      </c>
      <c r="AI173" s="35">
        <f>IF($AH173="",DATE(1900,1,1),$AF173)</f>
        <v/>
      </c>
      <c r="AJ173" s="35">
        <f>IF($AH173="",DATE(2100,12,31),$AH173)</f>
        <v/>
      </c>
      <c r="AK173" s="32">
        <f>IF($AH173="",$AC173,$AC173*$S173)</f>
        <v/>
      </c>
      <c r="AL173" s="35">
        <f>IF($AH173="",DATE(2100,12,31),$AH173+1)</f>
        <v/>
      </c>
      <c r="AM173" s="35">
        <f>IF($AH173="",DATE(1900,1,1),$AG173)</f>
        <v/>
      </c>
      <c r="AN173" s="32">
        <f>IF($AH173="",0,$AC173*$T173)</f>
        <v/>
      </c>
    </row>
    <row r="174">
      <c r="A174" s="28" t="inlineStr">
        <is>
          <t>Ethan</t>
        </is>
      </c>
      <c r="B174" s="16">
        <f>IF($A174="","",IFERROR(INDEX(Roster!$B$2:$B$40,MATCH($A174,Roster!$A$2:$A$40,0)),"?"))</f>
        <v/>
      </c>
      <c r="C174" s="28" t="inlineStr">
        <is>
          <t>Mash_1</t>
        </is>
      </c>
      <c r="D174" s="16">
        <f>IF($C174="","",IFERROR(IF(INDEX(Deals!$C$2:$C$355,MATCH($C174,Deals!$A$2:$A$355,0))=0,"",INDEX(Deals!$C$2:$C$355,MATCH($C174,Deals!$A$2:$A$355,0))),"?"))</f>
        <v/>
      </c>
      <c r="E174" s="16">
        <f>IF($C174="","",IFERROR(INDEX(Deals!$F$2:$F$355,MATCH($C174,Deals!$A$2:$A$355,0)),"?"))</f>
        <v/>
      </c>
      <c r="F174" s="28" t="inlineStr">
        <is>
          <t>MD</t>
        </is>
      </c>
      <c r="G174" s="28" t="inlineStr">
        <is>
          <t>Active</t>
        </is>
      </c>
      <c r="H174" s="31" t="n"/>
      <c r="I174" s="32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1">
        <f>IF($C174="",0,IFERROR(INDEX(Deals!$H$2:$H$355,MATCH($C174,Deals!$A$2:$A$355,0)),0))</f>
        <v/>
      </c>
      <c r="K174" s="32">
        <f>IF(Settings!$B$4="Yes",$I174*$J174,$I174)</f>
        <v/>
      </c>
      <c r="L174" s="22">
        <f>IF($C174="","",IFERROR(IF(INDEX(Deals!$I$2:$I$355,MATCH($C174,Deals!$A$2:$A$355,0))=0,"",INDEX(Deals!$I$2:$I$355,MATCH($C174,Deals!$A$2:$A$355,0))),""))</f>
        <v/>
      </c>
      <c r="M174" s="22">
        <f>IF($C174="","",IFERROR(IF(INDEX(Deals!$J$2:$J$355,MATCH($C174,Deals!$A$2:$A$355,0))=0,"",INDEX(Deals!$J$2:$J$355,MATCH($C174,Deals!$A$2:$A$355,0))),""))</f>
        <v/>
      </c>
      <c r="N174" s="35">
        <f>IF($L174="",DATE(1900,1,1),$L174)</f>
        <v/>
      </c>
      <c r="O174" s="35">
        <f>IF($M174="",DATE(2100,12,31),$M174)</f>
        <v/>
      </c>
      <c r="P174" s="20" t="inlineStr"/>
      <c r="Q174" s="43" t="inlineStr"/>
      <c r="R174" s="16">
        <f>IF($C174="","",IFERROR(IF(INDEX(Deals!$U$2:$U$355,MATCH($C174,Deals!$A$2:$A$355,0))=0,"",INDEX(Deals!$U$2:$U$355,MATCH($C174,Deals!$A$2:$A$355,0))),""))</f>
        <v/>
      </c>
      <c r="S174" s="34">
        <f>IFERROR(IF($U174="",1,INDEX(Deals!$V$2:$V$355,MATCH($C174,Deals!$A$2:$A$355,0))),1)</f>
        <v/>
      </c>
      <c r="T174" s="34">
        <f>IFERROR(IF($U174="",1,INDEX(Deals!$W$2:$W$355,MATCH($C174,Deals!$A$2:$A$355,0))),1)</f>
        <v/>
      </c>
      <c r="U174" s="22">
        <f>IF($C174="","",IFERROR(IF(INDEX(Deals!$Y$2:$Y$355,MATCH($C174,Deals!$A$2:$A$355,0))=0,"",INDEX(Deals!$Y$2:$Y$355,MATCH($C174,Deals!$A$2:$A$355,0))),""))</f>
        <v/>
      </c>
      <c r="V174" s="35">
        <f>IF($U174="",DATE(1900,1,1),$N174)</f>
        <v/>
      </c>
      <c r="W174" s="35">
        <f>IF($U174="",DATE(2100,12,31),$U174)</f>
        <v/>
      </c>
      <c r="X174" s="32">
        <f>IF($U174="",$K174,$K174*$S174)</f>
        <v/>
      </c>
      <c r="Y174" s="35">
        <f>IF($U174="",DATE(2100,12,31),$U174+1)</f>
        <v/>
      </c>
      <c r="Z174" s="35">
        <f>IF($U174="",DATE(1900,1,1),$O174)</f>
        <v/>
      </c>
      <c r="AA174" s="32">
        <f>IF($U174="",0,$K174*$T174)</f>
        <v/>
      </c>
      <c r="AB174" s="21">
        <f>IF($C174="",0,IFERROR(INDEX(Deals!$AD$2:$AD$355,MATCH($C174,Deals!$A$2:$A$355,0)),0))</f>
        <v/>
      </c>
      <c r="AC174" s="32">
        <f>IF(Settings!$B$4="Yes",$I174*$AB174,$I174)</f>
        <v/>
      </c>
      <c r="AD174" s="22">
        <f>IF($C174="","",IFERROR(IF(INDEX(Deals!$AE$2:$AE$355,MATCH($C174,Deals!$A$2:$A$355,0))=0,"",INDEX(Deals!$AE$2:$AE$355,MATCH($C174,Deals!$A$2:$A$355,0))),""))</f>
        <v/>
      </c>
      <c r="AE174" s="22">
        <f>IF($C174="","",IFERROR(IF(INDEX(Deals!$AF$2:$AF$355,MATCH($C174,Deals!$A$2:$A$355,0))=0,"",INDEX(Deals!$AF$2:$AF$355,MATCH($C174,Deals!$A$2:$A$355,0))),""))</f>
        <v/>
      </c>
      <c r="AF174" s="35">
        <f>IF($AD174="",DATE(1900,1,1),$AD174)</f>
        <v/>
      </c>
      <c r="AG174" s="35">
        <f>IF($AE174="",DATE(2100,12,31),$AE174)</f>
        <v/>
      </c>
      <c r="AH174" s="22">
        <f>IF($C174="","",IFERROR(IF(INDEX(Deals!$AG$2:$AG$355,MATCH($C174,Deals!$A$2:$A$355,0))=0,"",INDEX(Deals!$AG$2:$AG$355,MATCH($C174,Deals!$A$2:$A$355,0))),""))</f>
        <v/>
      </c>
      <c r="AI174" s="35">
        <f>IF($AH174="",DATE(1900,1,1),$AF174)</f>
        <v/>
      </c>
      <c r="AJ174" s="35">
        <f>IF($AH174="",DATE(2100,12,31),$AH174)</f>
        <v/>
      </c>
      <c r="AK174" s="32">
        <f>IF($AH174="",$AC174,$AC174*$S174)</f>
        <v/>
      </c>
      <c r="AL174" s="35">
        <f>IF($AH174="",DATE(2100,12,31),$AH174+1)</f>
        <v/>
      </c>
      <c r="AM174" s="35">
        <f>IF($AH174="",DATE(1900,1,1),$AG174)</f>
        <v/>
      </c>
      <c r="AN174" s="32">
        <f>IF($AH174="",0,$AC174*$T174)</f>
        <v/>
      </c>
    </row>
    <row r="175">
      <c r="A175" s="28" t="inlineStr">
        <is>
          <t>Ethan</t>
        </is>
      </c>
      <c r="B175" s="16">
        <f>IF($A175="","",IFERROR(INDEX(Roster!$B$2:$B$40,MATCH($A175,Roster!$A$2:$A$40,0)),"?"))</f>
        <v/>
      </c>
      <c r="C175" s="28" t="inlineStr">
        <is>
          <t>Pelican_1</t>
        </is>
      </c>
      <c r="D175" s="16">
        <f>IF($C175="","",IFERROR(IF(INDEX(Deals!$C$2:$C$355,MATCH($C175,Deals!$A$2:$A$355,0))=0,"",INDEX(Deals!$C$2:$C$355,MATCH($C175,Deals!$A$2:$A$355,0))),"?"))</f>
        <v/>
      </c>
      <c r="E175" s="16">
        <f>IF($C175="","",IFERROR(INDEX(Deals!$F$2:$F$355,MATCH($C175,Deals!$A$2:$A$355,0)),"?"))</f>
        <v/>
      </c>
      <c r="F175" s="28" t="inlineStr">
        <is>
          <t>MD</t>
        </is>
      </c>
      <c r="G175" s="28" t="inlineStr">
        <is>
          <t>Active</t>
        </is>
      </c>
      <c r="H175" s="31" t="n"/>
      <c r="I175" s="32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1">
        <f>IF($C175="",0,IFERROR(INDEX(Deals!$H$2:$H$355,MATCH($C175,Deals!$A$2:$A$355,0)),0))</f>
        <v/>
      </c>
      <c r="K175" s="32">
        <f>IF(Settings!$B$4="Yes",$I175*$J175,$I175)</f>
        <v/>
      </c>
      <c r="L175" s="22">
        <f>IF($C175="","",IFERROR(IF(INDEX(Deals!$I$2:$I$355,MATCH($C175,Deals!$A$2:$A$355,0))=0,"",INDEX(Deals!$I$2:$I$355,MATCH($C175,Deals!$A$2:$A$355,0))),""))</f>
        <v/>
      </c>
      <c r="M175" s="22">
        <f>IF($C175="","",IFERROR(IF(INDEX(Deals!$J$2:$J$355,MATCH($C175,Deals!$A$2:$A$355,0))=0,"",INDEX(Deals!$J$2:$J$355,MATCH($C175,Deals!$A$2:$A$355,0))),""))</f>
        <v/>
      </c>
      <c r="N175" s="35">
        <f>IF($L175="",DATE(1900,1,1),$L175)</f>
        <v/>
      </c>
      <c r="O175" s="35">
        <f>IF($M175="",DATE(2100,12,31),$M175)</f>
        <v/>
      </c>
      <c r="P175" s="20" t="inlineStr"/>
      <c r="Q175" s="43" t="inlineStr"/>
      <c r="R175" s="16">
        <f>IF($C175="","",IFERROR(IF(INDEX(Deals!$U$2:$U$355,MATCH($C175,Deals!$A$2:$A$355,0))=0,"",INDEX(Deals!$U$2:$U$355,MATCH($C175,Deals!$A$2:$A$355,0))),""))</f>
        <v/>
      </c>
      <c r="S175" s="34">
        <f>IFERROR(IF($U175="",1,INDEX(Deals!$V$2:$V$355,MATCH($C175,Deals!$A$2:$A$355,0))),1)</f>
        <v/>
      </c>
      <c r="T175" s="34">
        <f>IFERROR(IF($U175="",1,INDEX(Deals!$W$2:$W$355,MATCH($C175,Deals!$A$2:$A$355,0))),1)</f>
        <v/>
      </c>
      <c r="U175" s="22">
        <f>IF($C175="","",IFERROR(IF(INDEX(Deals!$Y$2:$Y$355,MATCH($C175,Deals!$A$2:$A$355,0))=0,"",INDEX(Deals!$Y$2:$Y$355,MATCH($C175,Deals!$A$2:$A$355,0))),""))</f>
        <v/>
      </c>
      <c r="V175" s="35">
        <f>IF($U175="",DATE(1900,1,1),$N175)</f>
        <v/>
      </c>
      <c r="W175" s="35">
        <f>IF($U175="",DATE(2100,12,31),$U175)</f>
        <v/>
      </c>
      <c r="X175" s="32">
        <f>IF($U175="",$K175,$K175*$S175)</f>
        <v/>
      </c>
      <c r="Y175" s="35">
        <f>IF($U175="",DATE(2100,12,31),$U175+1)</f>
        <v/>
      </c>
      <c r="Z175" s="35">
        <f>IF($U175="",DATE(1900,1,1),$O175)</f>
        <v/>
      </c>
      <c r="AA175" s="32">
        <f>IF($U175="",0,$K175*$T175)</f>
        <v/>
      </c>
      <c r="AB175" s="21">
        <f>IF($C175="",0,IFERROR(INDEX(Deals!$AD$2:$AD$355,MATCH($C175,Deals!$A$2:$A$355,0)),0))</f>
        <v/>
      </c>
      <c r="AC175" s="32">
        <f>IF(Settings!$B$4="Yes",$I175*$AB175,$I175)</f>
        <v/>
      </c>
      <c r="AD175" s="22">
        <f>IF($C175="","",IFERROR(IF(INDEX(Deals!$AE$2:$AE$355,MATCH($C175,Deals!$A$2:$A$355,0))=0,"",INDEX(Deals!$AE$2:$AE$355,MATCH($C175,Deals!$A$2:$A$355,0))),""))</f>
        <v/>
      </c>
      <c r="AE175" s="22">
        <f>IF($C175="","",IFERROR(IF(INDEX(Deals!$AF$2:$AF$355,MATCH($C175,Deals!$A$2:$A$355,0))=0,"",INDEX(Deals!$AF$2:$AF$355,MATCH($C175,Deals!$A$2:$A$355,0))),""))</f>
        <v/>
      </c>
      <c r="AF175" s="35">
        <f>IF($AD175="",DATE(1900,1,1),$AD175)</f>
        <v/>
      </c>
      <c r="AG175" s="35">
        <f>IF($AE175="",DATE(2100,12,31),$AE175)</f>
        <v/>
      </c>
      <c r="AH175" s="22">
        <f>IF($C175="","",IFERROR(IF(INDEX(Deals!$AG$2:$AG$355,MATCH($C175,Deals!$A$2:$A$355,0))=0,"",INDEX(Deals!$AG$2:$AG$355,MATCH($C175,Deals!$A$2:$A$355,0))),""))</f>
        <v/>
      </c>
      <c r="AI175" s="35">
        <f>IF($AH175="",DATE(1900,1,1),$AF175)</f>
        <v/>
      </c>
      <c r="AJ175" s="35">
        <f>IF($AH175="",DATE(2100,12,31),$AH175)</f>
        <v/>
      </c>
      <c r="AK175" s="32">
        <f>IF($AH175="",$AC175,$AC175*$S175)</f>
        <v/>
      </c>
      <c r="AL175" s="35">
        <f>IF($AH175="",DATE(2100,12,31),$AH175+1)</f>
        <v/>
      </c>
      <c r="AM175" s="35">
        <f>IF($AH175="",DATE(1900,1,1),$AG175)</f>
        <v/>
      </c>
      <c r="AN175" s="32">
        <f>IF($AH175="",0,$AC175*$T175)</f>
        <v/>
      </c>
    </row>
    <row r="176">
      <c r="A176" s="28" t="inlineStr">
        <is>
          <t>Ethan</t>
        </is>
      </c>
      <c r="B176" s="16">
        <f>IF($A176="","",IFERROR(INDEX(Roster!$B$2:$B$40,MATCH($A176,Roster!$A$2:$A$40,0)),"?"))</f>
        <v/>
      </c>
      <c r="C176" s="28" t="inlineStr">
        <is>
          <t>Pennsylvania_1</t>
        </is>
      </c>
      <c r="D176" s="16">
        <f>IF($C176="","",IFERROR(IF(INDEX(Deals!$C$2:$C$355,MATCH($C176,Deals!$A$2:$A$355,0))=0,"",INDEX(Deals!$C$2:$C$355,MATCH($C176,Deals!$A$2:$A$355,0))),"?"))</f>
        <v/>
      </c>
      <c r="E176" s="16">
        <f>IF($C176="","",IFERROR(INDEX(Deals!$F$2:$F$355,MATCH($C176,Deals!$A$2:$A$355,0)),"?"))</f>
        <v/>
      </c>
      <c r="F176" s="28" t="inlineStr">
        <is>
          <t>MD</t>
        </is>
      </c>
      <c r="G176" s="28" t="inlineStr">
        <is>
          <t>Active</t>
        </is>
      </c>
      <c r="H176" s="31" t="n"/>
      <c r="I176" s="32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1">
        <f>IF($C176="",0,IFERROR(INDEX(Deals!$H$2:$H$355,MATCH($C176,Deals!$A$2:$A$355,0)),0))</f>
        <v/>
      </c>
      <c r="K176" s="32">
        <f>IF(Settings!$B$4="Yes",$I176*$J176,$I176)</f>
        <v/>
      </c>
      <c r="L176" s="22">
        <f>IF($C176="","",IFERROR(IF(INDEX(Deals!$I$2:$I$355,MATCH($C176,Deals!$A$2:$A$355,0))=0,"",INDEX(Deals!$I$2:$I$355,MATCH($C176,Deals!$A$2:$A$355,0))),""))</f>
        <v/>
      </c>
      <c r="M176" s="22">
        <f>IF($C176="","",IFERROR(IF(INDEX(Deals!$J$2:$J$355,MATCH($C176,Deals!$A$2:$A$355,0))=0,"",INDEX(Deals!$J$2:$J$355,MATCH($C176,Deals!$A$2:$A$355,0))),""))</f>
        <v/>
      </c>
      <c r="N176" s="35">
        <f>IF($L176="",DATE(1900,1,1),$L176)</f>
        <v/>
      </c>
      <c r="O176" s="35">
        <f>IF($M176="",DATE(2100,12,31),$M176)</f>
        <v/>
      </c>
      <c r="P176" s="20" t="inlineStr"/>
      <c r="Q176" s="43" t="inlineStr"/>
      <c r="R176" s="16">
        <f>IF($C176="","",IFERROR(IF(INDEX(Deals!$U$2:$U$355,MATCH($C176,Deals!$A$2:$A$355,0))=0,"",INDEX(Deals!$U$2:$U$355,MATCH($C176,Deals!$A$2:$A$355,0))),""))</f>
        <v/>
      </c>
      <c r="S176" s="34">
        <f>IFERROR(IF($U176="",1,INDEX(Deals!$V$2:$V$355,MATCH($C176,Deals!$A$2:$A$355,0))),1)</f>
        <v/>
      </c>
      <c r="T176" s="34">
        <f>IFERROR(IF($U176="",1,INDEX(Deals!$W$2:$W$355,MATCH($C176,Deals!$A$2:$A$355,0))),1)</f>
        <v/>
      </c>
      <c r="U176" s="22">
        <f>IF($C176="","",IFERROR(IF(INDEX(Deals!$Y$2:$Y$355,MATCH($C176,Deals!$A$2:$A$355,0))=0,"",INDEX(Deals!$Y$2:$Y$355,MATCH($C176,Deals!$A$2:$A$355,0))),""))</f>
        <v/>
      </c>
      <c r="V176" s="35">
        <f>IF($U176="",DATE(1900,1,1),$N176)</f>
        <v/>
      </c>
      <c r="W176" s="35">
        <f>IF($U176="",DATE(2100,12,31),$U176)</f>
        <v/>
      </c>
      <c r="X176" s="32">
        <f>IF($U176="",$K176,$K176*$S176)</f>
        <v/>
      </c>
      <c r="Y176" s="35">
        <f>IF($U176="",DATE(2100,12,31),$U176+1)</f>
        <v/>
      </c>
      <c r="Z176" s="35">
        <f>IF($U176="",DATE(1900,1,1),$O176)</f>
        <v/>
      </c>
      <c r="AA176" s="32">
        <f>IF($U176="",0,$K176*$T176)</f>
        <v/>
      </c>
      <c r="AB176" s="21">
        <f>IF($C176="",0,IFERROR(INDEX(Deals!$AD$2:$AD$355,MATCH($C176,Deals!$A$2:$A$355,0)),0))</f>
        <v/>
      </c>
      <c r="AC176" s="32">
        <f>IF(Settings!$B$4="Yes",$I176*$AB176,$I176)</f>
        <v/>
      </c>
      <c r="AD176" s="22">
        <f>IF($C176="","",IFERROR(IF(INDEX(Deals!$AE$2:$AE$355,MATCH($C176,Deals!$A$2:$A$355,0))=0,"",INDEX(Deals!$AE$2:$AE$355,MATCH($C176,Deals!$A$2:$A$355,0))),""))</f>
        <v/>
      </c>
      <c r="AE176" s="22">
        <f>IF($C176="","",IFERROR(IF(INDEX(Deals!$AF$2:$AF$355,MATCH($C176,Deals!$A$2:$A$355,0))=0,"",INDEX(Deals!$AF$2:$AF$355,MATCH($C176,Deals!$A$2:$A$355,0))),""))</f>
        <v/>
      </c>
      <c r="AF176" s="35">
        <f>IF($AD176="",DATE(1900,1,1),$AD176)</f>
        <v/>
      </c>
      <c r="AG176" s="35">
        <f>IF($AE176="",DATE(2100,12,31),$AE176)</f>
        <v/>
      </c>
      <c r="AH176" s="22">
        <f>IF($C176="","",IFERROR(IF(INDEX(Deals!$AG$2:$AG$355,MATCH($C176,Deals!$A$2:$A$355,0))=0,"",INDEX(Deals!$AG$2:$AG$355,MATCH($C176,Deals!$A$2:$A$355,0))),""))</f>
        <v/>
      </c>
      <c r="AI176" s="35">
        <f>IF($AH176="",DATE(1900,1,1),$AF176)</f>
        <v/>
      </c>
      <c r="AJ176" s="35">
        <f>IF($AH176="",DATE(2100,12,31),$AH176)</f>
        <v/>
      </c>
      <c r="AK176" s="32">
        <f>IF($AH176="",$AC176,$AC176*$S176)</f>
        <v/>
      </c>
      <c r="AL176" s="35">
        <f>IF($AH176="",DATE(2100,12,31),$AH176+1)</f>
        <v/>
      </c>
      <c r="AM176" s="35">
        <f>IF($AH176="",DATE(1900,1,1),$AG176)</f>
        <v/>
      </c>
      <c r="AN176" s="32">
        <f>IF($AH176="",0,$AC176*$T176)</f>
        <v/>
      </c>
    </row>
    <row r="177">
      <c r="A177" s="28" t="inlineStr">
        <is>
          <t>Ethan</t>
        </is>
      </c>
      <c r="B177" s="16">
        <f>IF($A177="","",IFERROR(INDEX(Roster!$B$2:$B$40,MATCH($A177,Roster!$A$2:$A$40,0)),"?"))</f>
        <v/>
      </c>
      <c r="C177" s="28" t="inlineStr">
        <is>
          <t>Pisces 2_1</t>
        </is>
      </c>
      <c r="D177" s="16">
        <f>IF($C177="","",IFERROR(IF(INDEX(Deals!$C$2:$C$355,MATCH($C177,Deals!$A$2:$A$355,0))=0,"",INDEX(Deals!$C$2:$C$355,MATCH($C177,Deals!$A$2:$A$355,0))),"?"))</f>
        <v/>
      </c>
      <c r="E177" s="16">
        <f>IF($C177="","",IFERROR(INDEX(Deals!$F$2:$F$355,MATCH($C177,Deals!$A$2:$A$355,0)),"?"))</f>
        <v/>
      </c>
      <c r="F177" s="28" t="inlineStr">
        <is>
          <t>MD</t>
        </is>
      </c>
      <c r="G177" s="28" t="inlineStr">
        <is>
          <t>Active</t>
        </is>
      </c>
      <c r="H177" s="31" t="n"/>
      <c r="I177" s="32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1">
        <f>IF($C177="",0,IFERROR(INDEX(Deals!$H$2:$H$355,MATCH($C177,Deals!$A$2:$A$355,0)),0))</f>
        <v/>
      </c>
      <c r="K177" s="32">
        <f>IF(Settings!$B$4="Yes",$I177*$J177,$I177)</f>
        <v/>
      </c>
      <c r="L177" s="22">
        <f>IF($C177="","",IFERROR(IF(INDEX(Deals!$I$2:$I$355,MATCH($C177,Deals!$A$2:$A$355,0))=0,"",INDEX(Deals!$I$2:$I$355,MATCH($C177,Deals!$A$2:$A$355,0))),""))</f>
        <v/>
      </c>
      <c r="M177" s="22">
        <f>IF($C177="","",IFERROR(IF(INDEX(Deals!$J$2:$J$355,MATCH($C177,Deals!$A$2:$A$355,0))=0,"",INDEX(Deals!$J$2:$J$355,MATCH($C177,Deals!$A$2:$A$355,0))),""))</f>
        <v/>
      </c>
      <c r="N177" s="35">
        <f>IF($L177="",DATE(1900,1,1),$L177)</f>
        <v/>
      </c>
      <c r="O177" s="35">
        <f>IF($M177="",DATE(2100,12,31),$M177)</f>
        <v/>
      </c>
      <c r="P177" s="20" t="inlineStr"/>
      <c r="Q177" s="43" t="inlineStr"/>
      <c r="R177" s="16">
        <f>IF($C177="","",IFERROR(IF(INDEX(Deals!$U$2:$U$355,MATCH($C177,Deals!$A$2:$A$355,0))=0,"",INDEX(Deals!$U$2:$U$355,MATCH($C177,Deals!$A$2:$A$355,0))),""))</f>
        <v/>
      </c>
      <c r="S177" s="34">
        <f>IFERROR(IF($U177="",1,INDEX(Deals!$V$2:$V$355,MATCH($C177,Deals!$A$2:$A$355,0))),1)</f>
        <v/>
      </c>
      <c r="T177" s="34">
        <f>IFERROR(IF($U177="",1,INDEX(Deals!$W$2:$W$355,MATCH($C177,Deals!$A$2:$A$355,0))),1)</f>
        <v/>
      </c>
      <c r="U177" s="22">
        <f>IF($C177="","",IFERROR(IF(INDEX(Deals!$Y$2:$Y$355,MATCH($C177,Deals!$A$2:$A$355,0))=0,"",INDEX(Deals!$Y$2:$Y$355,MATCH($C177,Deals!$A$2:$A$355,0))),""))</f>
        <v/>
      </c>
      <c r="V177" s="35">
        <f>IF($U177="",DATE(1900,1,1),$N177)</f>
        <v/>
      </c>
      <c r="W177" s="35">
        <f>IF($U177="",DATE(2100,12,31),$U177)</f>
        <v/>
      </c>
      <c r="X177" s="32">
        <f>IF($U177="",$K177,$K177*$S177)</f>
        <v/>
      </c>
      <c r="Y177" s="35">
        <f>IF($U177="",DATE(2100,12,31),$U177+1)</f>
        <v/>
      </c>
      <c r="Z177" s="35">
        <f>IF($U177="",DATE(1900,1,1),$O177)</f>
        <v/>
      </c>
      <c r="AA177" s="32">
        <f>IF($U177="",0,$K177*$T177)</f>
        <v/>
      </c>
      <c r="AB177" s="21">
        <f>IF($C177="",0,IFERROR(INDEX(Deals!$AD$2:$AD$355,MATCH($C177,Deals!$A$2:$A$355,0)),0))</f>
        <v/>
      </c>
      <c r="AC177" s="32">
        <f>IF(Settings!$B$4="Yes",$I177*$AB177,$I177)</f>
        <v/>
      </c>
      <c r="AD177" s="22">
        <f>IF($C177="","",IFERROR(IF(INDEX(Deals!$AE$2:$AE$355,MATCH($C177,Deals!$A$2:$A$355,0))=0,"",INDEX(Deals!$AE$2:$AE$355,MATCH($C177,Deals!$A$2:$A$355,0))),""))</f>
        <v/>
      </c>
      <c r="AE177" s="22">
        <f>IF($C177="","",IFERROR(IF(INDEX(Deals!$AF$2:$AF$355,MATCH($C177,Deals!$A$2:$A$355,0))=0,"",INDEX(Deals!$AF$2:$AF$355,MATCH($C177,Deals!$A$2:$A$355,0))),""))</f>
        <v/>
      </c>
      <c r="AF177" s="35">
        <f>IF($AD177="",DATE(1900,1,1),$AD177)</f>
        <v/>
      </c>
      <c r="AG177" s="35">
        <f>IF($AE177="",DATE(2100,12,31),$AE177)</f>
        <v/>
      </c>
      <c r="AH177" s="22">
        <f>IF($C177="","",IFERROR(IF(INDEX(Deals!$AG$2:$AG$355,MATCH($C177,Deals!$A$2:$A$355,0))=0,"",INDEX(Deals!$AG$2:$AG$355,MATCH($C177,Deals!$A$2:$A$355,0))),""))</f>
        <v/>
      </c>
      <c r="AI177" s="35">
        <f>IF($AH177="",DATE(1900,1,1),$AF177)</f>
        <v/>
      </c>
      <c r="AJ177" s="35">
        <f>IF($AH177="",DATE(2100,12,31),$AH177)</f>
        <v/>
      </c>
      <c r="AK177" s="32">
        <f>IF($AH177="",$AC177,$AC177*$S177)</f>
        <v/>
      </c>
      <c r="AL177" s="35">
        <f>IF($AH177="",DATE(2100,12,31),$AH177+1)</f>
        <v/>
      </c>
      <c r="AM177" s="35">
        <f>IF($AH177="",DATE(1900,1,1),$AG177)</f>
        <v/>
      </c>
      <c r="AN177" s="32">
        <f>IF($AH177="",0,$AC177*$T177)</f>
        <v/>
      </c>
    </row>
    <row r="178">
      <c r="A178" s="28" t="inlineStr">
        <is>
          <t>Ethan</t>
        </is>
      </c>
      <c r="B178" s="16">
        <f>IF($A178="","",IFERROR(INDEX(Roster!$B$2:$B$40,MATCH($A178,Roster!$A$2:$A$40,0)),"?"))</f>
        <v/>
      </c>
      <c r="C178" s="28" t="inlineStr">
        <is>
          <t>Tennessee_1</t>
        </is>
      </c>
      <c r="D178" s="16">
        <f>IF($C178="","",IFERROR(IF(INDEX(Deals!$C$2:$C$355,MATCH($C178,Deals!$A$2:$A$355,0))=0,"",INDEX(Deals!$C$2:$C$355,MATCH($C178,Deals!$A$2:$A$355,0))),"?"))</f>
        <v/>
      </c>
      <c r="E178" s="16">
        <f>IF($C178="","",IFERROR(INDEX(Deals!$F$2:$F$355,MATCH($C178,Deals!$A$2:$A$355,0)),"?"))</f>
        <v/>
      </c>
      <c r="F178" s="28" t="inlineStr">
        <is>
          <t>MD</t>
        </is>
      </c>
      <c r="G178" s="28" t="inlineStr">
        <is>
          <t>Active</t>
        </is>
      </c>
      <c r="H178" s="31" t="n"/>
      <c r="I178" s="32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1">
        <f>IF($C178="",0,IFERROR(INDEX(Deals!$H$2:$H$355,MATCH($C178,Deals!$A$2:$A$355,0)),0))</f>
        <v/>
      </c>
      <c r="K178" s="32">
        <f>IF(Settings!$B$4="Yes",$I178*$J178,$I178)</f>
        <v/>
      </c>
      <c r="L178" s="22">
        <f>IF($C178="","",IFERROR(IF(INDEX(Deals!$I$2:$I$355,MATCH($C178,Deals!$A$2:$A$355,0))=0,"",INDEX(Deals!$I$2:$I$355,MATCH($C178,Deals!$A$2:$A$355,0))),""))</f>
        <v/>
      </c>
      <c r="M178" s="22">
        <f>IF($C178="","",IFERROR(IF(INDEX(Deals!$J$2:$J$355,MATCH($C178,Deals!$A$2:$A$355,0))=0,"",INDEX(Deals!$J$2:$J$355,MATCH($C178,Deals!$A$2:$A$355,0))),""))</f>
        <v/>
      </c>
      <c r="N178" s="35">
        <f>IF($L178="",DATE(1900,1,1),$L178)</f>
        <v/>
      </c>
      <c r="O178" s="35">
        <f>IF($M178="",DATE(2100,12,31),$M178)</f>
        <v/>
      </c>
      <c r="P178" s="20" t="inlineStr"/>
      <c r="Q178" s="43" t="inlineStr"/>
      <c r="R178" s="16">
        <f>IF($C178="","",IFERROR(IF(INDEX(Deals!$U$2:$U$355,MATCH($C178,Deals!$A$2:$A$355,0))=0,"",INDEX(Deals!$U$2:$U$355,MATCH($C178,Deals!$A$2:$A$355,0))),""))</f>
        <v/>
      </c>
      <c r="S178" s="34">
        <f>IFERROR(IF($U178="",1,INDEX(Deals!$V$2:$V$355,MATCH($C178,Deals!$A$2:$A$355,0))),1)</f>
        <v/>
      </c>
      <c r="T178" s="34">
        <f>IFERROR(IF($U178="",1,INDEX(Deals!$W$2:$W$355,MATCH($C178,Deals!$A$2:$A$355,0))),1)</f>
        <v/>
      </c>
      <c r="U178" s="22">
        <f>IF($C178="","",IFERROR(IF(INDEX(Deals!$Y$2:$Y$355,MATCH($C178,Deals!$A$2:$A$355,0))=0,"",INDEX(Deals!$Y$2:$Y$355,MATCH($C178,Deals!$A$2:$A$355,0))),""))</f>
        <v/>
      </c>
      <c r="V178" s="35">
        <f>IF($U178="",DATE(1900,1,1),$N178)</f>
        <v/>
      </c>
      <c r="W178" s="35">
        <f>IF($U178="",DATE(2100,12,31),$U178)</f>
        <v/>
      </c>
      <c r="X178" s="32">
        <f>IF($U178="",$K178,$K178*$S178)</f>
        <v/>
      </c>
      <c r="Y178" s="35">
        <f>IF($U178="",DATE(2100,12,31),$U178+1)</f>
        <v/>
      </c>
      <c r="Z178" s="35">
        <f>IF($U178="",DATE(1900,1,1),$O178)</f>
        <v/>
      </c>
      <c r="AA178" s="32">
        <f>IF($U178="",0,$K178*$T178)</f>
        <v/>
      </c>
      <c r="AB178" s="21">
        <f>IF($C178="",0,IFERROR(INDEX(Deals!$AD$2:$AD$355,MATCH($C178,Deals!$A$2:$A$355,0)),0))</f>
        <v/>
      </c>
      <c r="AC178" s="32">
        <f>IF(Settings!$B$4="Yes",$I178*$AB178,$I178)</f>
        <v/>
      </c>
      <c r="AD178" s="22">
        <f>IF($C178="","",IFERROR(IF(INDEX(Deals!$AE$2:$AE$355,MATCH($C178,Deals!$A$2:$A$355,0))=0,"",INDEX(Deals!$AE$2:$AE$355,MATCH($C178,Deals!$A$2:$A$355,0))),""))</f>
        <v/>
      </c>
      <c r="AE178" s="22">
        <f>IF($C178="","",IFERROR(IF(INDEX(Deals!$AF$2:$AF$355,MATCH($C178,Deals!$A$2:$A$355,0))=0,"",INDEX(Deals!$AF$2:$AF$355,MATCH($C178,Deals!$A$2:$A$355,0))),""))</f>
        <v/>
      </c>
      <c r="AF178" s="35">
        <f>IF($AD178="",DATE(1900,1,1),$AD178)</f>
        <v/>
      </c>
      <c r="AG178" s="35">
        <f>IF($AE178="",DATE(2100,12,31),$AE178)</f>
        <v/>
      </c>
      <c r="AH178" s="22">
        <f>IF($C178="","",IFERROR(IF(INDEX(Deals!$AG$2:$AG$355,MATCH($C178,Deals!$A$2:$A$355,0))=0,"",INDEX(Deals!$AG$2:$AG$355,MATCH($C178,Deals!$A$2:$A$355,0))),""))</f>
        <v/>
      </c>
      <c r="AI178" s="35">
        <f>IF($AH178="",DATE(1900,1,1),$AF178)</f>
        <v/>
      </c>
      <c r="AJ178" s="35">
        <f>IF($AH178="",DATE(2100,12,31),$AH178)</f>
        <v/>
      </c>
      <c r="AK178" s="32">
        <f>IF($AH178="",$AC178,$AC178*$S178)</f>
        <v/>
      </c>
      <c r="AL178" s="35">
        <f>IF($AH178="",DATE(2100,12,31),$AH178+1)</f>
        <v/>
      </c>
      <c r="AM178" s="35">
        <f>IF($AH178="",DATE(1900,1,1),$AG178)</f>
        <v/>
      </c>
      <c r="AN178" s="32">
        <f>IF($AH178="",0,$AC178*$T178)</f>
        <v/>
      </c>
    </row>
    <row r="179">
      <c r="A179" s="28" t="inlineStr">
        <is>
          <t>Ethan</t>
        </is>
      </c>
      <c r="B179" s="16">
        <f>IF($A179="","",IFERROR(INDEX(Roster!$B$2:$B$40,MATCH($A179,Roster!$A$2:$A$40,0)),"?"))</f>
        <v/>
      </c>
      <c r="C179" s="28" t="inlineStr">
        <is>
          <t>ValorC3_1</t>
        </is>
      </c>
      <c r="D179" s="16">
        <f>IF($C179="","",IFERROR(IF(INDEX(Deals!$C$2:$C$355,MATCH($C179,Deals!$A$2:$A$355,0))=0,"",INDEX(Deals!$C$2:$C$355,MATCH($C179,Deals!$A$2:$A$355,0))),"?"))</f>
        <v/>
      </c>
      <c r="E179" s="16">
        <f>IF($C179="","",IFERROR(INDEX(Deals!$F$2:$F$355,MATCH($C179,Deals!$A$2:$A$355,0)),"?"))</f>
        <v/>
      </c>
      <c r="F179" s="28" t="inlineStr">
        <is>
          <t>MD</t>
        </is>
      </c>
      <c r="G179" s="28" t="inlineStr">
        <is>
          <t>Active</t>
        </is>
      </c>
      <c r="H179" s="31" t="n"/>
      <c r="I179" s="32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1">
        <f>IF($C179="",0,IFERROR(INDEX(Deals!$H$2:$H$355,MATCH($C179,Deals!$A$2:$A$355,0)),0))</f>
        <v/>
      </c>
      <c r="K179" s="32">
        <f>IF(Settings!$B$4="Yes",$I179*$J179,$I179)</f>
        <v/>
      </c>
      <c r="L179" s="22">
        <f>IF($C179="","",IFERROR(IF(INDEX(Deals!$I$2:$I$355,MATCH($C179,Deals!$A$2:$A$355,0))=0,"",INDEX(Deals!$I$2:$I$355,MATCH($C179,Deals!$A$2:$A$355,0))),""))</f>
        <v/>
      </c>
      <c r="M179" s="22">
        <f>IF($C179="","",IFERROR(IF(INDEX(Deals!$J$2:$J$355,MATCH($C179,Deals!$A$2:$A$355,0))=0,"",INDEX(Deals!$J$2:$J$355,MATCH($C179,Deals!$A$2:$A$355,0))),""))</f>
        <v/>
      </c>
      <c r="N179" s="35">
        <f>IF($L179="",DATE(1900,1,1),$L179)</f>
        <v/>
      </c>
      <c r="O179" s="35">
        <f>IF($M179="",DATE(2100,12,31),$M179)</f>
        <v/>
      </c>
      <c r="P179" s="20" t="inlineStr"/>
      <c r="Q179" s="43" t="inlineStr"/>
      <c r="R179" s="16">
        <f>IF($C179="","",IFERROR(IF(INDEX(Deals!$U$2:$U$355,MATCH($C179,Deals!$A$2:$A$355,0))=0,"",INDEX(Deals!$U$2:$U$355,MATCH($C179,Deals!$A$2:$A$355,0))),""))</f>
        <v/>
      </c>
      <c r="S179" s="34">
        <f>IFERROR(IF($U179="",1,INDEX(Deals!$V$2:$V$355,MATCH($C179,Deals!$A$2:$A$355,0))),1)</f>
        <v/>
      </c>
      <c r="T179" s="34">
        <f>IFERROR(IF($U179="",1,INDEX(Deals!$W$2:$W$355,MATCH($C179,Deals!$A$2:$A$355,0))),1)</f>
        <v/>
      </c>
      <c r="U179" s="22">
        <f>IF($C179="","",IFERROR(IF(INDEX(Deals!$Y$2:$Y$355,MATCH($C179,Deals!$A$2:$A$355,0))=0,"",INDEX(Deals!$Y$2:$Y$355,MATCH($C179,Deals!$A$2:$A$355,0))),""))</f>
        <v/>
      </c>
      <c r="V179" s="35">
        <f>IF($U179="",DATE(1900,1,1),$N179)</f>
        <v/>
      </c>
      <c r="W179" s="35">
        <f>IF($U179="",DATE(2100,12,31),$U179)</f>
        <v/>
      </c>
      <c r="X179" s="32">
        <f>IF($U179="",$K179,$K179*$S179)</f>
        <v/>
      </c>
      <c r="Y179" s="35">
        <f>IF($U179="",DATE(2100,12,31),$U179+1)</f>
        <v/>
      </c>
      <c r="Z179" s="35">
        <f>IF($U179="",DATE(1900,1,1),$O179)</f>
        <v/>
      </c>
      <c r="AA179" s="32">
        <f>IF($U179="",0,$K179*$T179)</f>
        <v/>
      </c>
      <c r="AB179" s="21">
        <f>IF($C179="",0,IFERROR(INDEX(Deals!$AD$2:$AD$355,MATCH($C179,Deals!$A$2:$A$355,0)),0))</f>
        <v/>
      </c>
      <c r="AC179" s="32">
        <f>IF(Settings!$B$4="Yes",$I179*$AB179,$I179)</f>
        <v/>
      </c>
      <c r="AD179" s="22">
        <f>IF($C179="","",IFERROR(IF(INDEX(Deals!$AE$2:$AE$355,MATCH($C179,Deals!$A$2:$A$355,0))=0,"",INDEX(Deals!$AE$2:$AE$355,MATCH($C179,Deals!$A$2:$A$355,0))),""))</f>
        <v/>
      </c>
      <c r="AE179" s="22">
        <f>IF($C179="","",IFERROR(IF(INDEX(Deals!$AF$2:$AF$355,MATCH($C179,Deals!$A$2:$A$355,0))=0,"",INDEX(Deals!$AF$2:$AF$355,MATCH($C179,Deals!$A$2:$A$355,0))),""))</f>
        <v/>
      </c>
      <c r="AF179" s="35">
        <f>IF($AD179="",DATE(1900,1,1),$AD179)</f>
        <v/>
      </c>
      <c r="AG179" s="35">
        <f>IF($AE179="",DATE(2100,12,31),$AE179)</f>
        <v/>
      </c>
      <c r="AH179" s="22">
        <f>IF($C179="","",IFERROR(IF(INDEX(Deals!$AG$2:$AG$355,MATCH($C179,Deals!$A$2:$A$355,0))=0,"",INDEX(Deals!$AG$2:$AG$355,MATCH($C179,Deals!$A$2:$A$355,0))),""))</f>
        <v/>
      </c>
      <c r="AI179" s="35">
        <f>IF($AH179="",DATE(1900,1,1),$AF179)</f>
        <v/>
      </c>
      <c r="AJ179" s="35">
        <f>IF($AH179="",DATE(2100,12,31),$AH179)</f>
        <v/>
      </c>
      <c r="AK179" s="32">
        <f>IF($AH179="",$AC179,$AC179*$S179)</f>
        <v/>
      </c>
      <c r="AL179" s="35">
        <f>IF($AH179="",DATE(2100,12,31),$AH179+1)</f>
        <v/>
      </c>
      <c r="AM179" s="35">
        <f>IF($AH179="",DATE(1900,1,1),$AG179)</f>
        <v/>
      </c>
      <c r="AN179" s="32">
        <f>IF($AH179="",0,$AC179*$T179)</f>
        <v/>
      </c>
    </row>
    <row r="180">
      <c r="A180" s="28" t="inlineStr">
        <is>
          <t>Jeremy</t>
        </is>
      </c>
      <c r="B180" s="16">
        <f>IF($A180="","",IFERROR(INDEX(Roster!$B$2:$B$40,MATCH($A180,Roster!$A$2:$A$40,0)),"?"))</f>
        <v/>
      </c>
      <c r="C180" s="28" t="inlineStr">
        <is>
          <t>Blue_8</t>
        </is>
      </c>
      <c r="D180" s="16">
        <f>IF($C180="","",IFERROR(IF(INDEX(Deals!$C$2:$C$355,MATCH($C180,Deals!$A$2:$A$355,0))=0,"",INDEX(Deals!$C$2:$C$355,MATCH($C180,Deals!$A$2:$A$355,0))),"?"))</f>
        <v/>
      </c>
      <c r="E180" s="16">
        <f>IF($C180="","",IFERROR(INDEX(Deals!$F$2:$F$355,MATCH($C180,Deals!$A$2:$A$355,0)),"?"))</f>
        <v/>
      </c>
      <c r="F180" s="28" t="inlineStr">
        <is>
          <t>MD</t>
        </is>
      </c>
      <c r="G180" s="28" t="inlineStr">
        <is>
          <t>Active</t>
        </is>
      </c>
      <c r="H180" s="31" t="n"/>
      <c r="I180" s="32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1">
        <f>IF($C180="",0,IFERROR(INDEX(Deals!$H$2:$H$355,MATCH($C180,Deals!$A$2:$A$355,0)),0))</f>
        <v/>
      </c>
      <c r="K180" s="32">
        <f>IF(Settings!$B$4="Yes",$I180*$J180,$I180)</f>
        <v/>
      </c>
      <c r="L180" s="22">
        <f>IF($C180="","",IFERROR(IF(INDEX(Deals!$I$2:$I$355,MATCH($C180,Deals!$A$2:$A$355,0))=0,"",INDEX(Deals!$I$2:$I$355,MATCH($C180,Deals!$A$2:$A$355,0))),""))</f>
        <v/>
      </c>
      <c r="M180" s="22">
        <f>IF($C180="","",IFERROR(IF(INDEX(Deals!$J$2:$J$355,MATCH($C180,Deals!$A$2:$A$355,0))=0,"",INDEX(Deals!$J$2:$J$355,MATCH($C180,Deals!$A$2:$A$355,0))),""))</f>
        <v/>
      </c>
      <c r="N180" s="35">
        <f>IF($L180="",DATE(1900,1,1),$L180)</f>
        <v/>
      </c>
      <c r="O180" s="35">
        <f>IF($M180="",DATE(2100,12,31),$M180)</f>
        <v/>
      </c>
      <c r="P180" s="20" t="inlineStr"/>
      <c r="Q180" s="43" t="inlineStr"/>
      <c r="R180" s="16">
        <f>IF($C180="","",IFERROR(IF(INDEX(Deals!$U$2:$U$355,MATCH($C180,Deals!$A$2:$A$355,0))=0,"",INDEX(Deals!$U$2:$U$355,MATCH($C180,Deals!$A$2:$A$355,0))),""))</f>
        <v/>
      </c>
      <c r="S180" s="34">
        <f>IFERROR(IF($U180="",1,INDEX(Deals!$V$2:$V$355,MATCH($C180,Deals!$A$2:$A$355,0))),1)</f>
        <v/>
      </c>
      <c r="T180" s="34">
        <f>IFERROR(IF($U180="",1,INDEX(Deals!$W$2:$W$355,MATCH($C180,Deals!$A$2:$A$355,0))),1)</f>
        <v/>
      </c>
      <c r="U180" s="22">
        <f>IF($C180="","",IFERROR(IF(INDEX(Deals!$Y$2:$Y$355,MATCH($C180,Deals!$A$2:$A$355,0))=0,"",INDEX(Deals!$Y$2:$Y$355,MATCH($C180,Deals!$A$2:$A$355,0))),""))</f>
        <v/>
      </c>
      <c r="V180" s="35">
        <f>IF($U180="",DATE(1900,1,1),$N180)</f>
        <v/>
      </c>
      <c r="W180" s="35">
        <f>IF($U180="",DATE(2100,12,31),$U180)</f>
        <v/>
      </c>
      <c r="X180" s="32">
        <f>IF($U180="",$K180,$K180*$S180)</f>
        <v/>
      </c>
      <c r="Y180" s="35">
        <f>IF($U180="",DATE(2100,12,31),$U180+1)</f>
        <v/>
      </c>
      <c r="Z180" s="35">
        <f>IF($U180="",DATE(1900,1,1),$O180)</f>
        <v/>
      </c>
      <c r="AA180" s="32">
        <f>IF($U180="",0,$K180*$T180)</f>
        <v/>
      </c>
      <c r="AB180" s="21">
        <f>IF($C180="",0,IFERROR(INDEX(Deals!$AD$2:$AD$355,MATCH($C180,Deals!$A$2:$A$355,0)),0))</f>
        <v/>
      </c>
      <c r="AC180" s="32">
        <f>IF(Settings!$B$4="Yes",$I180*$AB180,$I180)</f>
        <v/>
      </c>
      <c r="AD180" s="22">
        <f>IF($C180="","",IFERROR(IF(INDEX(Deals!$AE$2:$AE$355,MATCH($C180,Deals!$A$2:$A$355,0))=0,"",INDEX(Deals!$AE$2:$AE$355,MATCH($C180,Deals!$A$2:$A$355,0))),""))</f>
        <v/>
      </c>
      <c r="AE180" s="22">
        <f>IF($C180="","",IFERROR(IF(INDEX(Deals!$AF$2:$AF$355,MATCH($C180,Deals!$A$2:$A$355,0))=0,"",INDEX(Deals!$AF$2:$AF$355,MATCH($C180,Deals!$A$2:$A$355,0))),""))</f>
        <v/>
      </c>
      <c r="AF180" s="35">
        <f>IF($AD180="",DATE(1900,1,1),$AD180)</f>
        <v/>
      </c>
      <c r="AG180" s="35">
        <f>IF($AE180="",DATE(2100,12,31),$AE180)</f>
        <v/>
      </c>
      <c r="AH180" s="22">
        <f>IF($C180="","",IFERROR(IF(INDEX(Deals!$AG$2:$AG$355,MATCH($C180,Deals!$A$2:$A$355,0))=0,"",INDEX(Deals!$AG$2:$AG$355,MATCH($C180,Deals!$A$2:$A$355,0))),""))</f>
        <v/>
      </c>
      <c r="AI180" s="35">
        <f>IF($AH180="",DATE(1900,1,1),$AF180)</f>
        <v/>
      </c>
      <c r="AJ180" s="35">
        <f>IF($AH180="",DATE(2100,12,31),$AH180)</f>
        <v/>
      </c>
      <c r="AK180" s="32">
        <f>IF($AH180="",$AC180,$AC180*$S180)</f>
        <v/>
      </c>
      <c r="AL180" s="35">
        <f>IF($AH180="",DATE(2100,12,31),$AH180+1)</f>
        <v/>
      </c>
      <c r="AM180" s="35">
        <f>IF($AH180="",DATE(1900,1,1),$AG180)</f>
        <v/>
      </c>
      <c r="AN180" s="32">
        <f>IF($AH180="",0,$AC180*$T180)</f>
        <v/>
      </c>
    </row>
    <row r="181">
      <c r="A181" s="28" t="inlineStr">
        <is>
          <t>Jeremy</t>
        </is>
      </c>
      <c r="B181" s="16">
        <f>IF($A181="","",IFERROR(INDEX(Roster!$B$2:$B$40,MATCH($A181,Roster!$A$2:$A$40,0)),"?"))</f>
        <v/>
      </c>
      <c r="C181" s="28" t="inlineStr">
        <is>
          <t>Cohost_1</t>
        </is>
      </c>
      <c r="D181" s="16">
        <f>IF($C181="","",IFERROR(IF(INDEX(Deals!$C$2:$C$355,MATCH($C181,Deals!$A$2:$A$355,0))=0,"",INDEX(Deals!$C$2:$C$355,MATCH($C181,Deals!$A$2:$A$355,0))),"?"))</f>
        <v/>
      </c>
      <c r="E181" s="16">
        <f>IF($C181="","",IFERROR(INDEX(Deals!$F$2:$F$355,MATCH($C181,Deals!$A$2:$A$355,0)),"?"))</f>
        <v/>
      </c>
      <c r="F181" s="28" t="inlineStr">
        <is>
          <t>MD</t>
        </is>
      </c>
      <c r="G181" s="28" t="inlineStr">
        <is>
          <t>Active</t>
        </is>
      </c>
      <c r="H181" s="31" t="n"/>
      <c r="I181" s="32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1">
        <f>IF($C181="",0,IFERROR(INDEX(Deals!$H$2:$H$355,MATCH($C181,Deals!$A$2:$A$355,0)),0))</f>
        <v/>
      </c>
      <c r="K181" s="32">
        <f>IF(Settings!$B$4="Yes",$I181*$J181,$I181)</f>
        <v/>
      </c>
      <c r="L181" s="22">
        <f>IF($C181="","",IFERROR(IF(INDEX(Deals!$I$2:$I$355,MATCH($C181,Deals!$A$2:$A$355,0))=0,"",INDEX(Deals!$I$2:$I$355,MATCH($C181,Deals!$A$2:$A$355,0))),""))</f>
        <v/>
      </c>
      <c r="M181" s="22">
        <f>IF($C181="","",IFERROR(IF(INDEX(Deals!$J$2:$J$355,MATCH($C181,Deals!$A$2:$A$355,0))=0,"",INDEX(Deals!$J$2:$J$355,MATCH($C181,Deals!$A$2:$A$355,0))),""))</f>
        <v/>
      </c>
      <c r="N181" s="35">
        <f>IF($L181="",DATE(1900,1,1),$L181)</f>
        <v/>
      </c>
      <c r="O181" s="35">
        <f>IF($M181="",DATE(2100,12,31),$M181)</f>
        <v/>
      </c>
      <c r="P181" s="20" t="inlineStr"/>
      <c r="Q181" s="43" t="inlineStr"/>
      <c r="R181" s="16">
        <f>IF($C181="","",IFERROR(IF(INDEX(Deals!$U$2:$U$355,MATCH($C181,Deals!$A$2:$A$355,0))=0,"",INDEX(Deals!$U$2:$U$355,MATCH($C181,Deals!$A$2:$A$355,0))),""))</f>
        <v/>
      </c>
      <c r="S181" s="34">
        <f>IFERROR(IF($U181="",1,INDEX(Deals!$V$2:$V$355,MATCH($C181,Deals!$A$2:$A$355,0))),1)</f>
        <v/>
      </c>
      <c r="T181" s="34">
        <f>IFERROR(IF($U181="",1,INDEX(Deals!$W$2:$W$355,MATCH($C181,Deals!$A$2:$A$355,0))),1)</f>
        <v/>
      </c>
      <c r="U181" s="22">
        <f>IF($C181="","",IFERROR(IF(INDEX(Deals!$Y$2:$Y$355,MATCH($C181,Deals!$A$2:$A$355,0))=0,"",INDEX(Deals!$Y$2:$Y$355,MATCH($C181,Deals!$A$2:$A$355,0))),""))</f>
        <v/>
      </c>
      <c r="V181" s="35">
        <f>IF($U181="",DATE(1900,1,1),$N181)</f>
        <v/>
      </c>
      <c r="W181" s="35">
        <f>IF($U181="",DATE(2100,12,31),$U181)</f>
        <v/>
      </c>
      <c r="X181" s="32">
        <f>IF($U181="",$K181,$K181*$S181)</f>
        <v/>
      </c>
      <c r="Y181" s="35">
        <f>IF($U181="",DATE(2100,12,31),$U181+1)</f>
        <v/>
      </c>
      <c r="Z181" s="35">
        <f>IF($U181="",DATE(1900,1,1),$O181)</f>
        <v/>
      </c>
      <c r="AA181" s="32">
        <f>IF($U181="",0,$K181*$T181)</f>
        <v/>
      </c>
      <c r="AB181" s="21">
        <f>IF($C181="",0,IFERROR(INDEX(Deals!$AD$2:$AD$355,MATCH($C181,Deals!$A$2:$A$355,0)),0))</f>
        <v/>
      </c>
      <c r="AC181" s="32">
        <f>IF(Settings!$B$4="Yes",$I181*$AB181,$I181)</f>
        <v/>
      </c>
      <c r="AD181" s="22">
        <f>IF($C181="","",IFERROR(IF(INDEX(Deals!$AE$2:$AE$355,MATCH($C181,Deals!$A$2:$A$355,0))=0,"",INDEX(Deals!$AE$2:$AE$355,MATCH($C181,Deals!$A$2:$A$355,0))),""))</f>
        <v/>
      </c>
      <c r="AE181" s="22">
        <f>IF($C181="","",IFERROR(IF(INDEX(Deals!$AF$2:$AF$355,MATCH($C181,Deals!$A$2:$A$355,0))=0,"",INDEX(Deals!$AF$2:$AF$355,MATCH($C181,Deals!$A$2:$A$355,0))),""))</f>
        <v/>
      </c>
      <c r="AF181" s="35">
        <f>IF($AD181="",DATE(1900,1,1),$AD181)</f>
        <v/>
      </c>
      <c r="AG181" s="35">
        <f>IF($AE181="",DATE(2100,12,31),$AE181)</f>
        <v/>
      </c>
      <c r="AH181" s="22">
        <f>IF($C181="","",IFERROR(IF(INDEX(Deals!$AG$2:$AG$355,MATCH($C181,Deals!$A$2:$A$355,0))=0,"",INDEX(Deals!$AG$2:$AG$355,MATCH($C181,Deals!$A$2:$A$355,0))),""))</f>
        <v/>
      </c>
      <c r="AI181" s="35">
        <f>IF($AH181="",DATE(1900,1,1),$AF181)</f>
        <v/>
      </c>
      <c r="AJ181" s="35">
        <f>IF($AH181="",DATE(2100,12,31),$AH181)</f>
        <v/>
      </c>
      <c r="AK181" s="32">
        <f>IF($AH181="",$AC181,$AC181*$S181)</f>
        <v/>
      </c>
      <c r="AL181" s="35">
        <f>IF($AH181="",DATE(2100,12,31),$AH181+1)</f>
        <v/>
      </c>
      <c r="AM181" s="35">
        <f>IF($AH181="",DATE(1900,1,1),$AG181)</f>
        <v/>
      </c>
      <c r="AN181" s="32">
        <f>IF($AH181="",0,$AC181*$T181)</f>
        <v/>
      </c>
    </row>
    <row r="182">
      <c r="A182" s="28" t="inlineStr">
        <is>
          <t>Jeremy</t>
        </is>
      </c>
      <c r="B182" s="16">
        <f>IF($A182="","",IFERROR(INDEX(Roster!$B$2:$B$40,MATCH($A182,Roster!$A$2:$A$40,0)),"?"))</f>
        <v/>
      </c>
      <c r="C182" s="28" t="inlineStr">
        <is>
          <t>Concrete_1</t>
        </is>
      </c>
      <c r="D182" s="16">
        <f>IF($C182="","",IFERROR(IF(INDEX(Deals!$C$2:$C$355,MATCH($C182,Deals!$A$2:$A$355,0))=0,"",INDEX(Deals!$C$2:$C$355,MATCH($C182,Deals!$A$2:$A$355,0))),"?"))</f>
        <v/>
      </c>
      <c r="E182" s="16">
        <f>IF($C182="","",IFERROR(INDEX(Deals!$F$2:$F$355,MATCH($C182,Deals!$A$2:$A$355,0)),"?"))</f>
        <v/>
      </c>
      <c r="F182" s="28" t="inlineStr">
        <is>
          <t>MD</t>
        </is>
      </c>
      <c r="G182" s="28" t="inlineStr">
        <is>
          <t>Active</t>
        </is>
      </c>
      <c r="H182" s="31" t="n"/>
      <c r="I182" s="32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1">
        <f>IF($C182="",0,IFERROR(INDEX(Deals!$H$2:$H$355,MATCH($C182,Deals!$A$2:$A$355,0)),0))</f>
        <v/>
      </c>
      <c r="K182" s="32">
        <f>IF(Settings!$B$4="Yes",$I182*$J182,$I182)</f>
        <v/>
      </c>
      <c r="L182" s="22">
        <f>IF($C182="","",IFERROR(IF(INDEX(Deals!$I$2:$I$355,MATCH($C182,Deals!$A$2:$A$355,0))=0,"",INDEX(Deals!$I$2:$I$355,MATCH($C182,Deals!$A$2:$A$355,0))),""))</f>
        <v/>
      </c>
      <c r="M182" s="22">
        <f>IF($C182="","",IFERROR(IF(INDEX(Deals!$J$2:$J$355,MATCH($C182,Deals!$A$2:$A$355,0))=0,"",INDEX(Deals!$J$2:$J$355,MATCH($C182,Deals!$A$2:$A$355,0))),""))</f>
        <v/>
      </c>
      <c r="N182" s="35">
        <f>IF($L182="",DATE(1900,1,1),$L182)</f>
        <v/>
      </c>
      <c r="O182" s="35">
        <f>IF($M182="",DATE(2100,12,31),$M182)</f>
        <v/>
      </c>
      <c r="P182" s="20" t="inlineStr"/>
      <c r="Q182" s="43" t="inlineStr"/>
      <c r="R182" s="16">
        <f>IF($C182="","",IFERROR(IF(INDEX(Deals!$U$2:$U$355,MATCH($C182,Deals!$A$2:$A$355,0))=0,"",INDEX(Deals!$U$2:$U$355,MATCH($C182,Deals!$A$2:$A$355,0))),""))</f>
        <v/>
      </c>
      <c r="S182" s="34">
        <f>IFERROR(IF($U182="",1,INDEX(Deals!$V$2:$V$355,MATCH($C182,Deals!$A$2:$A$355,0))),1)</f>
        <v/>
      </c>
      <c r="T182" s="34">
        <f>IFERROR(IF($U182="",1,INDEX(Deals!$W$2:$W$355,MATCH($C182,Deals!$A$2:$A$355,0))),1)</f>
        <v/>
      </c>
      <c r="U182" s="22">
        <f>IF($C182="","",IFERROR(IF(INDEX(Deals!$Y$2:$Y$355,MATCH($C182,Deals!$A$2:$A$355,0))=0,"",INDEX(Deals!$Y$2:$Y$355,MATCH($C182,Deals!$A$2:$A$355,0))),""))</f>
        <v/>
      </c>
      <c r="V182" s="35">
        <f>IF($U182="",DATE(1900,1,1),$N182)</f>
        <v/>
      </c>
      <c r="W182" s="35">
        <f>IF($U182="",DATE(2100,12,31),$U182)</f>
        <v/>
      </c>
      <c r="X182" s="32">
        <f>IF($U182="",$K182,$K182*$S182)</f>
        <v/>
      </c>
      <c r="Y182" s="35">
        <f>IF($U182="",DATE(2100,12,31),$U182+1)</f>
        <v/>
      </c>
      <c r="Z182" s="35">
        <f>IF($U182="",DATE(1900,1,1),$O182)</f>
        <v/>
      </c>
      <c r="AA182" s="32">
        <f>IF($U182="",0,$K182*$T182)</f>
        <v/>
      </c>
      <c r="AB182" s="21">
        <f>IF($C182="",0,IFERROR(INDEX(Deals!$AD$2:$AD$355,MATCH($C182,Deals!$A$2:$A$355,0)),0))</f>
        <v/>
      </c>
      <c r="AC182" s="32">
        <f>IF(Settings!$B$4="Yes",$I182*$AB182,$I182)</f>
        <v/>
      </c>
      <c r="AD182" s="22">
        <f>IF($C182="","",IFERROR(IF(INDEX(Deals!$AE$2:$AE$355,MATCH($C182,Deals!$A$2:$A$355,0))=0,"",INDEX(Deals!$AE$2:$AE$355,MATCH($C182,Deals!$A$2:$A$355,0))),""))</f>
        <v/>
      </c>
      <c r="AE182" s="22">
        <f>IF($C182="","",IFERROR(IF(INDEX(Deals!$AF$2:$AF$355,MATCH($C182,Deals!$A$2:$A$355,0))=0,"",INDEX(Deals!$AF$2:$AF$355,MATCH($C182,Deals!$A$2:$A$355,0))),""))</f>
        <v/>
      </c>
      <c r="AF182" s="35">
        <f>IF($AD182="",DATE(1900,1,1),$AD182)</f>
        <v/>
      </c>
      <c r="AG182" s="35">
        <f>IF($AE182="",DATE(2100,12,31),$AE182)</f>
        <v/>
      </c>
      <c r="AH182" s="22">
        <f>IF($C182="","",IFERROR(IF(INDEX(Deals!$AG$2:$AG$355,MATCH($C182,Deals!$A$2:$A$355,0))=0,"",INDEX(Deals!$AG$2:$AG$355,MATCH($C182,Deals!$A$2:$A$355,0))),""))</f>
        <v/>
      </c>
      <c r="AI182" s="35">
        <f>IF($AH182="",DATE(1900,1,1),$AF182)</f>
        <v/>
      </c>
      <c r="AJ182" s="35">
        <f>IF($AH182="",DATE(2100,12,31),$AH182)</f>
        <v/>
      </c>
      <c r="AK182" s="32">
        <f>IF($AH182="",$AC182,$AC182*$S182)</f>
        <v/>
      </c>
      <c r="AL182" s="35">
        <f>IF($AH182="",DATE(2100,12,31),$AH182+1)</f>
        <v/>
      </c>
      <c r="AM182" s="35">
        <f>IF($AH182="",DATE(1900,1,1),$AG182)</f>
        <v/>
      </c>
      <c r="AN182" s="32">
        <f>IF($AH182="",0,$AC182*$T182)</f>
        <v/>
      </c>
    </row>
    <row r="183">
      <c r="A183" s="28" t="inlineStr">
        <is>
          <t>Jeremy</t>
        </is>
      </c>
      <c r="B183" s="16">
        <f>IF($A183="","",IFERROR(INDEX(Roster!$B$2:$B$40,MATCH($A183,Roster!$A$2:$A$40,0)),"?"))</f>
        <v/>
      </c>
      <c r="C183" s="28" t="inlineStr">
        <is>
          <t>DEBT analysis_1</t>
        </is>
      </c>
      <c r="D183" s="16">
        <f>IF($C183="","",IFERROR(IF(INDEX(Deals!$C$2:$C$355,MATCH($C183,Deals!$A$2:$A$355,0))=0,"",INDEX(Deals!$C$2:$C$355,MATCH($C183,Deals!$A$2:$A$355,0))),"?"))</f>
        <v/>
      </c>
      <c r="E183" s="16">
        <f>IF($C183="","",IFERROR(INDEX(Deals!$F$2:$F$355,MATCH($C183,Deals!$A$2:$A$355,0)),"?"))</f>
        <v/>
      </c>
      <c r="F183" s="28" t="inlineStr">
        <is>
          <t>MD</t>
        </is>
      </c>
      <c r="G183" s="28" t="inlineStr">
        <is>
          <t>Active</t>
        </is>
      </c>
      <c r="H183" s="31" t="n"/>
      <c r="I183" s="32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1">
        <f>IF($C183="",0,IFERROR(INDEX(Deals!$H$2:$H$355,MATCH($C183,Deals!$A$2:$A$355,0)),0))</f>
        <v/>
      </c>
      <c r="K183" s="32">
        <f>IF(Settings!$B$4="Yes",$I183*$J183,$I183)</f>
        <v/>
      </c>
      <c r="L183" s="22">
        <f>IF($C183="","",IFERROR(IF(INDEX(Deals!$I$2:$I$355,MATCH($C183,Deals!$A$2:$A$355,0))=0,"",INDEX(Deals!$I$2:$I$355,MATCH($C183,Deals!$A$2:$A$355,0))),""))</f>
        <v/>
      </c>
      <c r="M183" s="22">
        <f>IF($C183="","",IFERROR(IF(INDEX(Deals!$J$2:$J$355,MATCH($C183,Deals!$A$2:$A$355,0))=0,"",INDEX(Deals!$J$2:$J$355,MATCH($C183,Deals!$A$2:$A$355,0))),""))</f>
        <v/>
      </c>
      <c r="N183" s="35">
        <f>IF($L183="",DATE(1900,1,1),$L183)</f>
        <v/>
      </c>
      <c r="O183" s="35">
        <f>IF($M183="",DATE(2100,12,31),$M183)</f>
        <v/>
      </c>
      <c r="P183" s="20" t="inlineStr"/>
      <c r="Q183" s="43" t="inlineStr"/>
      <c r="R183" s="16">
        <f>IF($C183="","",IFERROR(IF(INDEX(Deals!$U$2:$U$355,MATCH($C183,Deals!$A$2:$A$355,0))=0,"",INDEX(Deals!$U$2:$U$355,MATCH($C183,Deals!$A$2:$A$355,0))),""))</f>
        <v/>
      </c>
      <c r="S183" s="34">
        <f>IFERROR(IF($U183="",1,INDEX(Deals!$V$2:$V$355,MATCH($C183,Deals!$A$2:$A$355,0))),1)</f>
        <v/>
      </c>
      <c r="T183" s="34">
        <f>IFERROR(IF($U183="",1,INDEX(Deals!$W$2:$W$355,MATCH($C183,Deals!$A$2:$A$355,0))),1)</f>
        <v/>
      </c>
      <c r="U183" s="22">
        <f>IF($C183="","",IFERROR(IF(INDEX(Deals!$Y$2:$Y$355,MATCH($C183,Deals!$A$2:$A$355,0))=0,"",INDEX(Deals!$Y$2:$Y$355,MATCH($C183,Deals!$A$2:$A$355,0))),""))</f>
        <v/>
      </c>
      <c r="V183" s="35">
        <f>IF($U183="",DATE(1900,1,1),$N183)</f>
        <v/>
      </c>
      <c r="W183" s="35">
        <f>IF($U183="",DATE(2100,12,31),$U183)</f>
        <v/>
      </c>
      <c r="X183" s="32">
        <f>IF($U183="",$K183,$K183*$S183)</f>
        <v/>
      </c>
      <c r="Y183" s="35">
        <f>IF($U183="",DATE(2100,12,31),$U183+1)</f>
        <v/>
      </c>
      <c r="Z183" s="35">
        <f>IF($U183="",DATE(1900,1,1),$O183)</f>
        <v/>
      </c>
      <c r="AA183" s="32">
        <f>IF($U183="",0,$K183*$T183)</f>
        <v/>
      </c>
      <c r="AB183" s="21">
        <f>IF($C183="",0,IFERROR(INDEX(Deals!$AD$2:$AD$355,MATCH($C183,Deals!$A$2:$A$355,0)),0))</f>
        <v/>
      </c>
      <c r="AC183" s="32">
        <f>IF(Settings!$B$4="Yes",$I183*$AB183,$I183)</f>
        <v/>
      </c>
      <c r="AD183" s="22">
        <f>IF($C183="","",IFERROR(IF(INDEX(Deals!$AE$2:$AE$355,MATCH($C183,Deals!$A$2:$A$355,0))=0,"",INDEX(Deals!$AE$2:$AE$355,MATCH($C183,Deals!$A$2:$A$355,0))),""))</f>
        <v/>
      </c>
      <c r="AE183" s="22">
        <f>IF($C183="","",IFERROR(IF(INDEX(Deals!$AF$2:$AF$355,MATCH($C183,Deals!$A$2:$A$355,0))=0,"",INDEX(Deals!$AF$2:$AF$355,MATCH($C183,Deals!$A$2:$A$355,0))),""))</f>
        <v/>
      </c>
      <c r="AF183" s="35">
        <f>IF($AD183="",DATE(1900,1,1),$AD183)</f>
        <v/>
      </c>
      <c r="AG183" s="35">
        <f>IF($AE183="",DATE(2100,12,31),$AE183)</f>
        <v/>
      </c>
      <c r="AH183" s="22">
        <f>IF($C183="","",IFERROR(IF(INDEX(Deals!$AG$2:$AG$355,MATCH($C183,Deals!$A$2:$A$355,0))=0,"",INDEX(Deals!$AG$2:$AG$355,MATCH($C183,Deals!$A$2:$A$355,0))),""))</f>
        <v/>
      </c>
      <c r="AI183" s="35">
        <f>IF($AH183="",DATE(1900,1,1),$AF183)</f>
        <v/>
      </c>
      <c r="AJ183" s="35">
        <f>IF($AH183="",DATE(2100,12,31),$AH183)</f>
        <v/>
      </c>
      <c r="AK183" s="32">
        <f>IF($AH183="",$AC183,$AC183*$S183)</f>
        <v/>
      </c>
      <c r="AL183" s="35">
        <f>IF($AH183="",DATE(2100,12,31),$AH183+1)</f>
        <v/>
      </c>
      <c r="AM183" s="35">
        <f>IF($AH183="",DATE(1900,1,1),$AG183)</f>
        <v/>
      </c>
      <c r="AN183" s="32">
        <f>IF($AH183="",0,$AC183*$T183)</f>
        <v/>
      </c>
    </row>
    <row r="184">
      <c r="A184" s="28" t="inlineStr">
        <is>
          <t>Jeremy</t>
        </is>
      </c>
      <c r="B184" s="16">
        <f>IF($A184="","",IFERROR(INDEX(Roster!$B$2:$B$40,MATCH($A184,Roster!$A$2:$A$40,0)),"?"))</f>
        <v/>
      </c>
      <c r="C184" s="28" t="inlineStr">
        <is>
          <t>DIF Twister_2</t>
        </is>
      </c>
      <c r="D184" s="16">
        <f>IF($C184="","",IFERROR(IF(INDEX(Deals!$C$2:$C$355,MATCH($C184,Deals!$A$2:$A$355,0))=0,"",INDEX(Deals!$C$2:$C$355,MATCH($C184,Deals!$A$2:$A$355,0))),"?"))</f>
        <v/>
      </c>
      <c r="E184" s="16">
        <f>IF($C184="","",IFERROR(INDEX(Deals!$F$2:$F$355,MATCH($C184,Deals!$A$2:$A$355,0)),"?"))</f>
        <v/>
      </c>
      <c r="F184" s="28" t="inlineStr">
        <is>
          <t>MD</t>
        </is>
      </c>
      <c r="G184" s="28" t="inlineStr">
        <is>
          <t>Active</t>
        </is>
      </c>
      <c r="H184" s="31" t="n"/>
      <c r="I184" s="32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1">
        <f>IF($C184="",0,IFERROR(INDEX(Deals!$H$2:$H$355,MATCH($C184,Deals!$A$2:$A$355,0)),0))</f>
        <v/>
      </c>
      <c r="K184" s="32">
        <f>IF(Settings!$B$4="Yes",$I184*$J184,$I184)</f>
        <v/>
      </c>
      <c r="L184" s="22">
        <f>IF($C184="","",IFERROR(IF(INDEX(Deals!$I$2:$I$355,MATCH($C184,Deals!$A$2:$A$355,0))=0,"",INDEX(Deals!$I$2:$I$355,MATCH($C184,Deals!$A$2:$A$355,0))),""))</f>
        <v/>
      </c>
      <c r="M184" s="22">
        <f>IF($C184="","",IFERROR(IF(INDEX(Deals!$J$2:$J$355,MATCH($C184,Deals!$A$2:$A$355,0))=0,"",INDEX(Deals!$J$2:$J$355,MATCH($C184,Deals!$A$2:$A$355,0))),""))</f>
        <v/>
      </c>
      <c r="N184" s="35">
        <f>IF($L184="",DATE(1900,1,1),$L184)</f>
        <v/>
      </c>
      <c r="O184" s="35">
        <f>IF($M184="",DATE(2100,12,31),$M184)</f>
        <v/>
      </c>
      <c r="P184" s="20" t="inlineStr"/>
      <c r="Q184" s="43" t="inlineStr"/>
      <c r="R184" s="16">
        <f>IF($C184="","",IFERROR(IF(INDEX(Deals!$U$2:$U$355,MATCH($C184,Deals!$A$2:$A$355,0))=0,"",INDEX(Deals!$U$2:$U$355,MATCH($C184,Deals!$A$2:$A$355,0))),""))</f>
        <v/>
      </c>
      <c r="S184" s="34">
        <f>IFERROR(IF($U184="",1,INDEX(Deals!$V$2:$V$355,MATCH($C184,Deals!$A$2:$A$355,0))),1)</f>
        <v/>
      </c>
      <c r="T184" s="34">
        <f>IFERROR(IF($U184="",1,INDEX(Deals!$W$2:$W$355,MATCH($C184,Deals!$A$2:$A$355,0))),1)</f>
        <v/>
      </c>
      <c r="U184" s="22">
        <f>IF($C184="","",IFERROR(IF(INDEX(Deals!$Y$2:$Y$355,MATCH($C184,Deals!$A$2:$A$355,0))=0,"",INDEX(Deals!$Y$2:$Y$355,MATCH($C184,Deals!$A$2:$A$355,0))),""))</f>
        <v/>
      </c>
      <c r="V184" s="35">
        <f>IF($U184="",DATE(1900,1,1),$N184)</f>
        <v/>
      </c>
      <c r="W184" s="35">
        <f>IF($U184="",DATE(2100,12,31),$U184)</f>
        <v/>
      </c>
      <c r="X184" s="32">
        <f>IF($U184="",$K184,$K184*$S184)</f>
        <v/>
      </c>
      <c r="Y184" s="35">
        <f>IF($U184="",DATE(2100,12,31),$U184+1)</f>
        <v/>
      </c>
      <c r="Z184" s="35">
        <f>IF($U184="",DATE(1900,1,1),$O184)</f>
        <v/>
      </c>
      <c r="AA184" s="32">
        <f>IF($U184="",0,$K184*$T184)</f>
        <v/>
      </c>
      <c r="AB184" s="21">
        <f>IF($C184="",0,IFERROR(INDEX(Deals!$AD$2:$AD$355,MATCH($C184,Deals!$A$2:$A$355,0)),0))</f>
        <v/>
      </c>
      <c r="AC184" s="32">
        <f>IF(Settings!$B$4="Yes",$I184*$AB184,$I184)</f>
        <v/>
      </c>
      <c r="AD184" s="22">
        <f>IF($C184="","",IFERROR(IF(INDEX(Deals!$AE$2:$AE$355,MATCH($C184,Deals!$A$2:$A$355,0))=0,"",INDEX(Deals!$AE$2:$AE$355,MATCH($C184,Deals!$A$2:$A$355,0))),""))</f>
        <v/>
      </c>
      <c r="AE184" s="22">
        <f>IF($C184="","",IFERROR(IF(INDEX(Deals!$AF$2:$AF$355,MATCH($C184,Deals!$A$2:$A$355,0))=0,"",INDEX(Deals!$AF$2:$AF$355,MATCH($C184,Deals!$A$2:$A$355,0))),""))</f>
        <v/>
      </c>
      <c r="AF184" s="35">
        <f>IF($AD184="",DATE(1900,1,1),$AD184)</f>
        <v/>
      </c>
      <c r="AG184" s="35">
        <f>IF($AE184="",DATE(2100,12,31),$AE184)</f>
        <v/>
      </c>
      <c r="AH184" s="22">
        <f>IF($C184="","",IFERROR(IF(INDEX(Deals!$AG$2:$AG$355,MATCH($C184,Deals!$A$2:$A$355,0))=0,"",INDEX(Deals!$AG$2:$AG$355,MATCH($C184,Deals!$A$2:$A$355,0))),""))</f>
        <v/>
      </c>
      <c r="AI184" s="35">
        <f>IF($AH184="",DATE(1900,1,1),$AF184)</f>
        <v/>
      </c>
      <c r="AJ184" s="35">
        <f>IF($AH184="",DATE(2100,12,31),$AH184)</f>
        <v/>
      </c>
      <c r="AK184" s="32">
        <f>IF($AH184="",$AC184,$AC184*$S184)</f>
        <v/>
      </c>
      <c r="AL184" s="35">
        <f>IF($AH184="",DATE(2100,12,31),$AH184+1)</f>
        <v/>
      </c>
      <c r="AM184" s="35">
        <f>IF($AH184="",DATE(1900,1,1),$AG184)</f>
        <v/>
      </c>
      <c r="AN184" s="32">
        <f>IF($AH184="",0,$AC184*$T184)</f>
        <v/>
      </c>
    </row>
    <row r="185">
      <c r="A185" s="28" t="inlineStr">
        <is>
          <t>Jeremy</t>
        </is>
      </c>
      <c r="B185" s="16">
        <f>IF($A185="","",IFERROR(INDEX(Roster!$B$2:$B$40,MATCH($A185,Roster!$A$2:$A$40,0)),"?"))</f>
        <v/>
      </c>
      <c r="C185" s="28" t="inlineStr">
        <is>
          <t>Dupont_1</t>
        </is>
      </c>
      <c r="D185" s="16">
        <f>IF($C185="","",IFERROR(IF(INDEX(Deals!$C$2:$C$355,MATCH($C185,Deals!$A$2:$A$355,0))=0,"",INDEX(Deals!$C$2:$C$355,MATCH($C185,Deals!$A$2:$A$355,0))),"?"))</f>
        <v/>
      </c>
      <c r="E185" s="16">
        <f>IF($C185="","",IFERROR(INDEX(Deals!$F$2:$F$355,MATCH($C185,Deals!$A$2:$A$355,0)),"?"))</f>
        <v/>
      </c>
      <c r="F185" s="28" t="inlineStr">
        <is>
          <t>MD</t>
        </is>
      </c>
      <c r="G185" s="28" t="inlineStr">
        <is>
          <t>Active</t>
        </is>
      </c>
      <c r="H185" s="31" t="n"/>
      <c r="I185" s="32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1">
        <f>IF($C185="",0,IFERROR(INDEX(Deals!$H$2:$H$355,MATCH($C185,Deals!$A$2:$A$355,0)),0))</f>
        <v/>
      </c>
      <c r="K185" s="32">
        <f>IF(Settings!$B$4="Yes",$I185*$J185,$I185)</f>
        <v/>
      </c>
      <c r="L185" s="22">
        <f>IF($C185="","",IFERROR(IF(INDEX(Deals!$I$2:$I$355,MATCH($C185,Deals!$A$2:$A$355,0))=0,"",INDEX(Deals!$I$2:$I$355,MATCH($C185,Deals!$A$2:$A$355,0))),""))</f>
        <v/>
      </c>
      <c r="M185" s="22">
        <f>IF($C185="","",IFERROR(IF(INDEX(Deals!$J$2:$J$355,MATCH($C185,Deals!$A$2:$A$355,0))=0,"",INDEX(Deals!$J$2:$J$355,MATCH($C185,Deals!$A$2:$A$355,0))),""))</f>
        <v/>
      </c>
      <c r="N185" s="35">
        <f>IF($L185="",DATE(1900,1,1),$L185)</f>
        <v/>
      </c>
      <c r="O185" s="35">
        <f>IF($M185="",DATE(2100,12,31),$M185)</f>
        <v/>
      </c>
      <c r="P185" s="20" t="inlineStr"/>
      <c r="Q185" s="43" t="inlineStr"/>
      <c r="R185" s="16">
        <f>IF($C185="","",IFERROR(IF(INDEX(Deals!$U$2:$U$355,MATCH($C185,Deals!$A$2:$A$355,0))=0,"",INDEX(Deals!$U$2:$U$355,MATCH($C185,Deals!$A$2:$A$355,0))),""))</f>
        <v/>
      </c>
      <c r="S185" s="34">
        <f>IFERROR(IF($U185="",1,INDEX(Deals!$V$2:$V$355,MATCH($C185,Deals!$A$2:$A$355,0))),1)</f>
        <v/>
      </c>
      <c r="T185" s="34">
        <f>IFERROR(IF($U185="",1,INDEX(Deals!$W$2:$W$355,MATCH($C185,Deals!$A$2:$A$355,0))),1)</f>
        <v/>
      </c>
      <c r="U185" s="22">
        <f>IF($C185="","",IFERROR(IF(INDEX(Deals!$Y$2:$Y$355,MATCH($C185,Deals!$A$2:$A$355,0))=0,"",INDEX(Deals!$Y$2:$Y$355,MATCH($C185,Deals!$A$2:$A$355,0))),""))</f>
        <v/>
      </c>
      <c r="V185" s="35">
        <f>IF($U185="",DATE(1900,1,1),$N185)</f>
        <v/>
      </c>
      <c r="W185" s="35">
        <f>IF($U185="",DATE(2100,12,31),$U185)</f>
        <v/>
      </c>
      <c r="X185" s="32">
        <f>IF($U185="",$K185,$K185*$S185)</f>
        <v/>
      </c>
      <c r="Y185" s="35">
        <f>IF($U185="",DATE(2100,12,31),$U185+1)</f>
        <v/>
      </c>
      <c r="Z185" s="35">
        <f>IF($U185="",DATE(1900,1,1),$O185)</f>
        <v/>
      </c>
      <c r="AA185" s="32">
        <f>IF($U185="",0,$K185*$T185)</f>
        <v/>
      </c>
      <c r="AB185" s="21">
        <f>IF($C185="",0,IFERROR(INDEX(Deals!$AD$2:$AD$355,MATCH($C185,Deals!$A$2:$A$355,0)),0))</f>
        <v/>
      </c>
      <c r="AC185" s="32">
        <f>IF(Settings!$B$4="Yes",$I185*$AB185,$I185)</f>
        <v/>
      </c>
      <c r="AD185" s="22">
        <f>IF($C185="","",IFERROR(IF(INDEX(Deals!$AE$2:$AE$355,MATCH($C185,Deals!$A$2:$A$355,0))=0,"",INDEX(Deals!$AE$2:$AE$355,MATCH($C185,Deals!$A$2:$A$355,0))),""))</f>
        <v/>
      </c>
      <c r="AE185" s="22">
        <f>IF($C185="","",IFERROR(IF(INDEX(Deals!$AF$2:$AF$355,MATCH($C185,Deals!$A$2:$A$355,0))=0,"",INDEX(Deals!$AF$2:$AF$355,MATCH($C185,Deals!$A$2:$A$355,0))),""))</f>
        <v/>
      </c>
      <c r="AF185" s="35">
        <f>IF($AD185="",DATE(1900,1,1),$AD185)</f>
        <v/>
      </c>
      <c r="AG185" s="35">
        <f>IF($AE185="",DATE(2100,12,31),$AE185)</f>
        <v/>
      </c>
      <c r="AH185" s="22">
        <f>IF($C185="","",IFERROR(IF(INDEX(Deals!$AG$2:$AG$355,MATCH($C185,Deals!$A$2:$A$355,0))=0,"",INDEX(Deals!$AG$2:$AG$355,MATCH($C185,Deals!$A$2:$A$355,0))),""))</f>
        <v/>
      </c>
      <c r="AI185" s="35">
        <f>IF($AH185="",DATE(1900,1,1),$AF185)</f>
        <v/>
      </c>
      <c r="AJ185" s="35">
        <f>IF($AH185="",DATE(2100,12,31),$AH185)</f>
        <v/>
      </c>
      <c r="AK185" s="32">
        <f>IF($AH185="",$AC185,$AC185*$S185)</f>
        <v/>
      </c>
      <c r="AL185" s="35">
        <f>IF($AH185="",DATE(2100,12,31),$AH185+1)</f>
        <v/>
      </c>
      <c r="AM185" s="35">
        <f>IF($AH185="",DATE(1900,1,1),$AG185)</f>
        <v/>
      </c>
      <c r="AN185" s="32">
        <f>IF($AH185="",0,$AC185*$T185)</f>
        <v/>
      </c>
    </row>
    <row r="186">
      <c r="A186" s="28" t="inlineStr">
        <is>
          <t>Jeremy</t>
        </is>
      </c>
      <c r="B186" s="16">
        <f>IF($A186="","",IFERROR(INDEX(Roster!$B$2:$B$40,MATCH($A186,Roster!$A$2:$A$40,0)),"?"))</f>
        <v/>
      </c>
      <c r="C186" s="28" t="inlineStr">
        <is>
          <t>Eagle_7</t>
        </is>
      </c>
      <c r="D186" s="16">
        <f>IF($C186="","",IFERROR(IF(INDEX(Deals!$C$2:$C$355,MATCH($C186,Deals!$A$2:$A$355,0))=0,"",INDEX(Deals!$C$2:$C$355,MATCH($C186,Deals!$A$2:$A$355,0))),"?"))</f>
        <v/>
      </c>
      <c r="E186" s="16">
        <f>IF($C186="","",IFERROR(INDEX(Deals!$F$2:$F$355,MATCH($C186,Deals!$A$2:$A$355,0)),"?"))</f>
        <v/>
      </c>
      <c r="F186" s="28" t="inlineStr">
        <is>
          <t>MD</t>
        </is>
      </c>
      <c r="G186" s="28" t="inlineStr">
        <is>
          <t>Active</t>
        </is>
      </c>
      <c r="H186" s="31" t="n"/>
      <c r="I186" s="32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1">
        <f>IF($C186="",0,IFERROR(INDEX(Deals!$H$2:$H$355,MATCH($C186,Deals!$A$2:$A$355,0)),0))</f>
        <v/>
      </c>
      <c r="K186" s="32">
        <f>IF(Settings!$B$4="Yes",$I186*$J186,$I186)</f>
        <v/>
      </c>
      <c r="L186" s="22">
        <f>IF($C186="","",IFERROR(IF(INDEX(Deals!$I$2:$I$355,MATCH($C186,Deals!$A$2:$A$355,0))=0,"",INDEX(Deals!$I$2:$I$355,MATCH($C186,Deals!$A$2:$A$355,0))),""))</f>
        <v/>
      </c>
      <c r="M186" s="22">
        <f>IF($C186="","",IFERROR(IF(INDEX(Deals!$J$2:$J$355,MATCH($C186,Deals!$A$2:$A$355,0))=0,"",INDEX(Deals!$J$2:$J$355,MATCH($C186,Deals!$A$2:$A$355,0))),""))</f>
        <v/>
      </c>
      <c r="N186" s="35">
        <f>IF($L186="",DATE(1900,1,1),$L186)</f>
        <v/>
      </c>
      <c r="O186" s="35">
        <f>IF($M186="",DATE(2100,12,31),$M186)</f>
        <v/>
      </c>
      <c r="P186" s="20" t="inlineStr"/>
      <c r="Q186" s="43" t="inlineStr"/>
      <c r="R186" s="16">
        <f>IF($C186="","",IFERROR(IF(INDEX(Deals!$U$2:$U$355,MATCH($C186,Deals!$A$2:$A$355,0))=0,"",INDEX(Deals!$U$2:$U$355,MATCH($C186,Deals!$A$2:$A$355,0))),""))</f>
        <v/>
      </c>
      <c r="S186" s="34">
        <f>IFERROR(IF($U186="",1,INDEX(Deals!$V$2:$V$355,MATCH($C186,Deals!$A$2:$A$355,0))),1)</f>
        <v/>
      </c>
      <c r="T186" s="34">
        <f>IFERROR(IF($U186="",1,INDEX(Deals!$W$2:$W$355,MATCH($C186,Deals!$A$2:$A$355,0))),1)</f>
        <v/>
      </c>
      <c r="U186" s="22">
        <f>IF($C186="","",IFERROR(IF(INDEX(Deals!$Y$2:$Y$355,MATCH($C186,Deals!$A$2:$A$355,0))=0,"",INDEX(Deals!$Y$2:$Y$355,MATCH($C186,Deals!$A$2:$A$355,0))),""))</f>
        <v/>
      </c>
      <c r="V186" s="35">
        <f>IF($U186="",DATE(1900,1,1),$N186)</f>
        <v/>
      </c>
      <c r="W186" s="35">
        <f>IF($U186="",DATE(2100,12,31),$U186)</f>
        <v/>
      </c>
      <c r="X186" s="32">
        <f>IF($U186="",$K186,$K186*$S186)</f>
        <v/>
      </c>
      <c r="Y186" s="35">
        <f>IF($U186="",DATE(2100,12,31),$U186+1)</f>
        <v/>
      </c>
      <c r="Z186" s="35">
        <f>IF($U186="",DATE(1900,1,1),$O186)</f>
        <v/>
      </c>
      <c r="AA186" s="32">
        <f>IF($U186="",0,$K186*$T186)</f>
        <v/>
      </c>
      <c r="AB186" s="21">
        <f>IF($C186="",0,IFERROR(INDEX(Deals!$AD$2:$AD$355,MATCH($C186,Deals!$A$2:$A$355,0)),0))</f>
        <v/>
      </c>
      <c r="AC186" s="32">
        <f>IF(Settings!$B$4="Yes",$I186*$AB186,$I186)</f>
        <v/>
      </c>
      <c r="AD186" s="22">
        <f>IF($C186="","",IFERROR(IF(INDEX(Deals!$AE$2:$AE$355,MATCH($C186,Deals!$A$2:$A$355,0))=0,"",INDEX(Deals!$AE$2:$AE$355,MATCH($C186,Deals!$A$2:$A$355,0))),""))</f>
        <v/>
      </c>
      <c r="AE186" s="22">
        <f>IF($C186="","",IFERROR(IF(INDEX(Deals!$AF$2:$AF$355,MATCH($C186,Deals!$A$2:$A$355,0))=0,"",INDEX(Deals!$AF$2:$AF$355,MATCH($C186,Deals!$A$2:$A$355,0))),""))</f>
        <v/>
      </c>
      <c r="AF186" s="35">
        <f>IF($AD186="",DATE(1900,1,1),$AD186)</f>
        <v/>
      </c>
      <c r="AG186" s="35">
        <f>IF($AE186="",DATE(2100,12,31),$AE186)</f>
        <v/>
      </c>
      <c r="AH186" s="22">
        <f>IF($C186="","",IFERROR(IF(INDEX(Deals!$AG$2:$AG$355,MATCH($C186,Deals!$A$2:$A$355,0))=0,"",INDEX(Deals!$AG$2:$AG$355,MATCH($C186,Deals!$A$2:$A$355,0))),""))</f>
        <v/>
      </c>
      <c r="AI186" s="35">
        <f>IF($AH186="",DATE(1900,1,1),$AF186)</f>
        <v/>
      </c>
      <c r="AJ186" s="35">
        <f>IF($AH186="",DATE(2100,12,31),$AH186)</f>
        <v/>
      </c>
      <c r="AK186" s="32">
        <f>IF($AH186="",$AC186,$AC186*$S186)</f>
        <v/>
      </c>
      <c r="AL186" s="35">
        <f>IF($AH186="",DATE(2100,12,31),$AH186+1)</f>
        <v/>
      </c>
      <c r="AM186" s="35">
        <f>IF($AH186="",DATE(1900,1,1),$AG186)</f>
        <v/>
      </c>
      <c r="AN186" s="32">
        <f>IF($AH186="",0,$AC186*$T186)</f>
        <v/>
      </c>
    </row>
    <row r="187">
      <c r="A187" s="28" t="inlineStr">
        <is>
          <t>Jeremy</t>
        </is>
      </c>
      <c r="B187" s="16">
        <f>IF($A187="","",IFERROR(INDEX(Roster!$B$2:$B$40,MATCH($A187,Roster!$A$2:$A$40,0)),"?"))</f>
        <v/>
      </c>
      <c r="C187" s="28" t="inlineStr">
        <is>
          <t>Elm_2</t>
        </is>
      </c>
      <c r="D187" s="16">
        <f>IF($C187="","",IFERROR(IF(INDEX(Deals!$C$2:$C$355,MATCH($C187,Deals!$A$2:$A$355,0))=0,"",INDEX(Deals!$C$2:$C$355,MATCH($C187,Deals!$A$2:$A$355,0))),"?"))</f>
        <v/>
      </c>
      <c r="E187" s="16">
        <f>IF($C187="","",IFERROR(INDEX(Deals!$F$2:$F$355,MATCH($C187,Deals!$A$2:$A$355,0)),"?"))</f>
        <v/>
      </c>
      <c r="F187" s="28" t="inlineStr">
        <is>
          <t>MD</t>
        </is>
      </c>
      <c r="G187" s="28" t="inlineStr">
        <is>
          <t>Active</t>
        </is>
      </c>
      <c r="H187" s="31" t="n"/>
      <c r="I187" s="32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1">
        <f>IF($C187="",0,IFERROR(INDEX(Deals!$H$2:$H$355,MATCH($C187,Deals!$A$2:$A$355,0)),0))</f>
        <v/>
      </c>
      <c r="K187" s="32">
        <f>IF(Settings!$B$4="Yes",$I187*$J187,$I187)</f>
        <v/>
      </c>
      <c r="L187" s="22">
        <f>IF($C187="","",IFERROR(IF(INDEX(Deals!$I$2:$I$355,MATCH($C187,Deals!$A$2:$A$355,0))=0,"",INDEX(Deals!$I$2:$I$355,MATCH($C187,Deals!$A$2:$A$355,0))),""))</f>
        <v/>
      </c>
      <c r="M187" s="22">
        <f>IF($C187="","",IFERROR(IF(INDEX(Deals!$J$2:$J$355,MATCH($C187,Deals!$A$2:$A$355,0))=0,"",INDEX(Deals!$J$2:$J$355,MATCH($C187,Deals!$A$2:$A$355,0))),""))</f>
        <v/>
      </c>
      <c r="N187" s="35">
        <f>IF($L187="",DATE(1900,1,1),$L187)</f>
        <v/>
      </c>
      <c r="O187" s="35">
        <f>IF($M187="",DATE(2100,12,31),$M187)</f>
        <v/>
      </c>
      <c r="P187" s="20" t="inlineStr"/>
      <c r="Q187" s="43" t="inlineStr"/>
      <c r="R187" s="16">
        <f>IF($C187="","",IFERROR(IF(INDEX(Deals!$U$2:$U$355,MATCH($C187,Deals!$A$2:$A$355,0))=0,"",INDEX(Deals!$U$2:$U$355,MATCH($C187,Deals!$A$2:$A$355,0))),""))</f>
        <v/>
      </c>
      <c r="S187" s="34">
        <f>IFERROR(IF($U187="",1,INDEX(Deals!$V$2:$V$355,MATCH($C187,Deals!$A$2:$A$355,0))),1)</f>
        <v/>
      </c>
      <c r="T187" s="34">
        <f>IFERROR(IF($U187="",1,INDEX(Deals!$W$2:$W$355,MATCH($C187,Deals!$A$2:$A$355,0))),1)</f>
        <v/>
      </c>
      <c r="U187" s="22">
        <f>IF($C187="","",IFERROR(IF(INDEX(Deals!$Y$2:$Y$355,MATCH($C187,Deals!$A$2:$A$355,0))=0,"",INDEX(Deals!$Y$2:$Y$355,MATCH($C187,Deals!$A$2:$A$355,0))),""))</f>
        <v/>
      </c>
      <c r="V187" s="35">
        <f>IF($U187="",DATE(1900,1,1),$N187)</f>
        <v/>
      </c>
      <c r="W187" s="35">
        <f>IF($U187="",DATE(2100,12,31),$U187)</f>
        <v/>
      </c>
      <c r="X187" s="32">
        <f>IF($U187="",$K187,$K187*$S187)</f>
        <v/>
      </c>
      <c r="Y187" s="35">
        <f>IF($U187="",DATE(2100,12,31),$U187+1)</f>
        <v/>
      </c>
      <c r="Z187" s="35">
        <f>IF($U187="",DATE(1900,1,1),$O187)</f>
        <v/>
      </c>
      <c r="AA187" s="32">
        <f>IF($U187="",0,$K187*$T187)</f>
        <v/>
      </c>
      <c r="AB187" s="21">
        <f>IF($C187="",0,IFERROR(INDEX(Deals!$AD$2:$AD$355,MATCH($C187,Deals!$A$2:$A$355,0)),0))</f>
        <v/>
      </c>
      <c r="AC187" s="32">
        <f>IF(Settings!$B$4="Yes",$I187*$AB187,$I187)</f>
        <v/>
      </c>
      <c r="AD187" s="22">
        <f>IF($C187="","",IFERROR(IF(INDEX(Deals!$AE$2:$AE$355,MATCH($C187,Deals!$A$2:$A$355,0))=0,"",INDEX(Deals!$AE$2:$AE$355,MATCH($C187,Deals!$A$2:$A$355,0))),""))</f>
        <v/>
      </c>
      <c r="AE187" s="22">
        <f>IF($C187="","",IFERROR(IF(INDEX(Deals!$AF$2:$AF$355,MATCH($C187,Deals!$A$2:$A$355,0))=0,"",INDEX(Deals!$AF$2:$AF$355,MATCH($C187,Deals!$A$2:$A$355,0))),""))</f>
        <v/>
      </c>
      <c r="AF187" s="35">
        <f>IF($AD187="",DATE(1900,1,1),$AD187)</f>
        <v/>
      </c>
      <c r="AG187" s="35">
        <f>IF($AE187="",DATE(2100,12,31),$AE187)</f>
        <v/>
      </c>
      <c r="AH187" s="22">
        <f>IF($C187="","",IFERROR(IF(INDEX(Deals!$AG$2:$AG$355,MATCH($C187,Deals!$A$2:$A$355,0))=0,"",INDEX(Deals!$AG$2:$AG$355,MATCH($C187,Deals!$A$2:$A$355,0))),""))</f>
        <v/>
      </c>
      <c r="AI187" s="35">
        <f>IF($AH187="",DATE(1900,1,1),$AF187)</f>
        <v/>
      </c>
      <c r="AJ187" s="35">
        <f>IF($AH187="",DATE(2100,12,31),$AH187)</f>
        <v/>
      </c>
      <c r="AK187" s="32">
        <f>IF($AH187="",$AC187,$AC187*$S187)</f>
        <v/>
      </c>
      <c r="AL187" s="35">
        <f>IF($AH187="",DATE(2100,12,31),$AH187+1)</f>
        <v/>
      </c>
      <c r="AM187" s="35">
        <f>IF($AH187="",DATE(1900,1,1),$AG187)</f>
        <v/>
      </c>
      <c r="AN187" s="32">
        <f>IF($AH187="",0,$AC187*$T187)</f>
        <v/>
      </c>
    </row>
    <row r="188">
      <c r="A188" s="28" t="inlineStr">
        <is>
          <t>Jeremy</t>
        </is>
      </c>
      <c r="B188" s="16">
        <f>IF($A188="","",IFERROR(INDEX(Roster!$B$2:$B$40,MATCH($A188,Roster!$A$2:$A$40,0)),"?"))</f>
        <v/>
      </c>
      <c r="C188" s="28" t="inlineStr">
        <is>
          <t>Gambit_1</t>
        </is>
      </c>
      <c r="D188" s="16">
        <f>IF($C188="","",IFERROR(IF(INDEX(Deals!$C$2:$C$355,MATCH($C188,Deals!$A$2:$A$355,0))=0,"",INDEX(Deals!$C$2:$C$355,MATCH($C188,Deals!$A$2:$A$355,0))),"?"))</f>
        <v/>
      </c>
      <c r="E188" s="16">
        <f>IF($C188="","",IFERROR(INDEX(Deals!$F$2:$F$355,MATCH($C188,Deals!$A$2:$A$355,0)),"?"))</f>
        <v/>
      </c>
      <c r="F188" s="28" t="inlineStr">
        <is>
          <t>MD</t>
        </is>
      </c>
      <c r="G188" s="28" t="inlineStr">
        <is>
          <t>Active</t>
        </is>
      </c>
      <c r="H188" s="31" t="n"/>
      <c r="I188" s="32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1">
        <f>IF($C188="",0,IFERROR(INDEX(Deals!$H$2:$H$355,MATCH($C188,Deals!$A$2:$A$355,0)),0))</f>
        <v/>
      </c>
      <c r="K188" s="32">
        <f>IF(Settings!$B$4="Yes",$I188*$J188,$I188)</f>
        <v/>
      </c>
      <c r="L188" s="22">
        <f>IF($C188="","",IFERROR(IF(INDEX(Deals!$I$2:$I$355,MATCH($C188,Deals!$A$2:$A$355,0))=0,"",INDEX(Deals!$I$2:$I$355,MATCH($C188,Deals!$A$2:$A$355,0))),""))</f>
        <v/>
      </c>
      <c r="M188" s="22">
        <f>IF($C188="","",IFERROR(IF(INDEX(Deals!$J$2:$J$355,MATCH($C188,Deals!$A$2:$A$355,0))=0,"",INDEX(Deals!$J$2:$J$355,MATCH($C188,Deals!$A$2:$A$355,0))),""))</f>
        <v/>
      </c>
      <c r="N188" s="35">
        <f>IF($L188="",DATE(1900,1,1),$L188)</f>
        <v/>
      </c>
      <c r="O188" s="35">
        <f>IF($M188="",DATE(2100,12,31),$M188)</f>
        <v/>
      </c>
      <c r="P188" s="20" t="inlineStr"/>
      <c r="Q188" s="43" t="inlineStr"/>
      <c r="R188" s="16">
        <f>IF($C188="","",IFERROR(IF(INDEX(Deals!$U$2:$U$355,MATCH($C188,Deals!$A$2:$A$355,0))=0,"",INDEX(Deals!$U$2:$U$355,MATCH($C188,Deals!$A$2:$A$355,0))),""))</f>
        <v/>
      </c>
      <c r="S188" s="34">
        <f>IFERROR(IF($U188="",1,INDEX(Deals!$V$2:$V$355,MATCH($C188,Deals!$A$2:$A$355,0))),1)</f>
        <v/>
      </c>
      <c r="T188" s="34">
        <f>IFERROR(IF($U188="",1,INDEX(Deals!$W$2:$W$355,MATCH($C188,Deals!$A$2:$A$355,0))),1)</f>
        <v/>
      </c>
      <c r="U188" s="22">
        <f>IF($C188="","",IFERROR(IF(INDEX(Deals!$Y$2:$Y$355,MATCH($C188,Deals!$A$2:$A$355,0))=0,"",INDEX(Deals!$Y$2:$Y$355,MATCH($C188,Deals!$A$2:$A$355,0))),""))</f>
        <v/>
      </c>
      <c r="V188" s="35">
        <f>IF($U188="",DATE(1900,1,1),$N188)</f>
        <v/>
      </c>
      <c r="W188" s="35">
        <f>IF($U188="",DATE(2100,12,31),$U188)</f>
        <v/>
      </c>
      <c r="X188" s="32">
        <f>IF($U188="",$K188,$K188*$S188)</f>
        <v/>
      </c>
      <c r="Y188" s="35">
        <f>IF($U188="",DATE(2100,12,31),$U188+1)</f>
        <v/>
      </c>
      <c r="Z188" s="35">
        <f>IF($U188="",DATE(1900,1,1),$O188)</f>
        <v/>
      </c>
      <c r="AA188" s="32">
        <f>IF($U188="",0,$K188*$T188)</f>
        <v/>
      </c>
      <c r="AB188" s="21">
        <f>IF($C188="",0,IFERROR(INDEX(Deals!$AD$2:$AD$355,MATCH($C188,Deals!$A$2:$A$355,0)),0))</f>
        <v/>
      </c>
      <c r="AC188" s="32">
        <f>IF(Settings!$B$4="Yes",$I188*$AB188,$I188)</f>
        <v/>
      </c>
      <c r="AD188" s="22">
        <f>IF($C188="","",IFERROR(IF(INDEX(Deals!$AE$2:$AE$355,MATCH($C188,Deals!$A$2:$A$355,0))=0,"",INDEX(Deals!$AE$2:$AE$355,MATCH($C188,Deals!$A$2:$A$355,0))),""))</f>
        <v/>
      </c>
      <c r="AE188" s="22">
        <f>IF($C188="","",IFERROR(IF(INDEX(Deals!$AF$2:$AF$355,MATCH($C188,Deals!$A$2:$A$355,0))=0,"",INDEX(Deals!$AF$2:$AF$355,MATCH($C188,Deals!$A$2:$A$355,0))),""))</f>
        <v/>
      </c>
      <c r="AF188" s="35">
        <f>IF($AD188="",DATE(1900,1,1),$AD188)</f>
        <v/>
      </c>
      <c r="AG188" s="35">
        <f>IF($AE188="",DATE(2100,12,31),$AE188)</f>
        <v/>
      </c>
      <c r="AH188" s="22">
        <f>IF($C188="","",IFERROR(IF(INDEX(Deals!$AG$2:$AG$355,MATCH($C188,Deals!$A$2:$A$355,0))=0,"",INDEX(Deals!$AG$2:$AG$355,MATCH($C188,Deals!$A$2:$A$355,0))),""))</f>
        <v/>
      </c>
      <c r="AI188" s="35">
        <f>IF($AH188="",DATE(1900,1,1),$AF188)</f>
        <v/>
      </c>
      <c r="AJ188" s="35">
        <f>IF($AH188="",DATE(2100,12,31),$AH188)</f>
        <v/>
      </c>
      <c r="AK188" s="32">
        <f>IF($AH188="",$AC188,$AC188*$S188)</f>
        <v/>
      </c>
      <c r="AL188" s="35">
        <f>IF($AH188="",DATE(2100,12,31),$AH188+1)</f>
        <v/>
      </c>
      <c r="AM188" s="35">
        <f>IF($AH188="",DATE(1900,1,1),$AG188)</f>
        <v/>
      </c>
      <c r="AN188" s="32">
        <f>IF($AH188="",0,$AC188*$T188)</f>
        <v/>
      </c>
    </row>
    <row r="189">
      <c r="A189" s="28" t="inlineStr">
        <is>
          <t>Jeremy</t>
        </is>
      </c>
      <c r="B189" s="16">
        <f>IF($A189="","",IFERROR(INDEX(Roster!$B$2:$B$40,MATCH($A189,Roster!$A$2:$A$40,0)),"?"))</f>
        <v/>
      </c>
      <c r="C189" s="28" t="inlineStr">
        <is>
          <t>Geneseo_1</t>
        </is>
      </c>
      <c r="D189" s="16">
        <f>IF($C189="","",IFERROR(IF(INDEX(Deals!$C$2:$C$355,MATCH($C189,Deals!$A$2:$A$355,0))=0,"",INDEX(Deals!$C$2:$C$355,MATCH($C189,Deals!$A$2:$A$355,0))),"?"))</f>
        <v/>
      </c>
      <c r="E189" s="16">
        <f>IF($C189="","",IFERROR(INDEX(Deals!$F$2:$F$355,MATCH($C189,Deals!$A$2:$A$355,0)),"?"))</f>
        <v/>
      </c>
      <c r="F189" s="28" t="inlineStr">
        <is>
          <t>MD</t>
        </is>
      </c>
      <c r="G189" s="28" t="inlineStr">
        <is>
          <t>Active</t>
        </is>
      </c>
      <c r="H189" s="31" t="n"/>
      <c r="I189" s="32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1">
        <f>IF($C189="",0,IFERROR(INDEX(Deals!$H$2:$H$355,MATCH($C189,Deals!$A$2:$A$355,0)),0))</f>
        <v/>
      </c>
      <c r="K189" s="32">
        <f>IF(Settings!$B$4="Yes",$I189*$J189,$I189)</f>
        <v/>
      </c>
      <c r="L189" s="22">
        <f>IF($C189="","",IFERROR(IF(INDEX(Deals!$I$2:$I$355,MATCH($C189,Deals!$A$2:$A$355,0))=0,"",INDEX(Deals!$I$2:$I$355,MATCH($C189,Deals!$A$2:$A$355,0))),""))</f>
        <v/>
      </c>
      <c r="M189" s="22">
        <f>IF($C189="","",IFERROR(IF(INDEX(Deals!$J$2:$J$355,MATCH($C189,Deals!$A$2:$A$355,0))=0,"",INDEX(Deals!$J$2:$J$355,MATCH($C189,Deals!$A$2:$A$355,0))),""))</f>
        <v/>
      </c>
      <c r="N189" s="35">
        <f>IF($L189="",DATE(1900,1,1),$L189)</f>
        <v/>
      </c>
      <c r="O189" s="35">
        <f>IF($M189="",DATE(2100,12,31),$M189)</f>
        <v/>
      </c>
      <c r="P189" s="20" t="inlineStr"/>
      <c r="Q189" s="43" t="inlineStr"/>
      <c r="R189" s="16">
        <f>IF($C189="","",IFERROR(IF(INDEX(Deals!$U$2:$U$355,MATCH($C189,Deals!$A$2:$A$355,0))=0,"",INDEX(Deals!$U$2:$U$355,MATCH($C189,Deals!$A$2:$A$355,0))),""))</f>
        <v/>
      </c>
      <c r="S189" s="34">
        <f>IFERROR(IF($U189="",1,INDEX(Deals!$V$2:$V$355,MATCH($C189,Deals!$A$2:$A$355,0))),1)</f>
        <v/>
      </c>
      <c r="T189" s="34">
        <f>IFERROR(IF($U189="",1,INDEX(Deals!$W$2:$W$355,MATCH($C189,Deals!$A$2:$A$355,0))),1)</f>
        <v/>
      </c>
      <c r="U189" s="22">
        <f>IF($C189="","",IFERROR(IF(INDEX(Deals!$Y$2:$Y$355,MATCH($C189,Deals!$A$2:$A$355,0))=0,"",INDEX(Deals!$Y$2:$Y$355,MATCH($C189,Deals!$A$2:$A$355,0))),""))</f>
        <v/>
      </c>
      <c r="V189" s="35">
        <f>IF($U189="",DATE(1900,1,1),$N189)</f>
        <v/>
      </c>
      <c r="W189" s="35">
        <f>IF($U189="",DATE(2100,12,31),$U189)</f>
        <v/>
      </c>
      <c r="X189" s="32">
        <f>IF($U189="",$K189,$K189*$S189)</f>
        <v/>
      </c>
      <c r="Y189" s="35">
        <f>IF($U189="",DATE(2100,12,31),$U189+1)</f>
        <v/>
      </c>
      <c r="Z189" s="35">
        <f>IF($U189="",DATE(1900,1,1),$O189)</f>
        <v/>
      </c>
      <c r="AA189" s="32">
        <f>IF($U189="",0,$K189*$T189)</f>
        <v/>
      </c>
      <c r="AB189" s="21">
        <f>IF($C189="",0,IFERROR(INDEX(Deals!$AD$2:$AD$355,MATCH($C189,Deals!$A$2:$A$355,0)),0))</f>
        <v/>
      </c>
      <c r="AC189" s="32">
        <f>IF(Settings!$B$4="Yes",$I189*$AB189,$I189)</f>
        <v/>
      </c>
      <c r="AD189" s="22">
        <f>IF($C189="","",IFERROR(IF(INDEX(Deals!$AE$2:$AE$355,MATCH($C189,Deals!$A$2:$A$355,0))=0,"",INDEX(Deals!$AE$2:$AE$355,MATCH($C189,Deals!$A$2:$A$355,0))),""))</f>
        <v/>
      </c>
      <c r="AE189" s="22">
        <f>IF($C189="","",IFERROR(IF(INDEX(Deals!$AF$2:$AF$355,MATCH($C189,Deals!$A$2:$A$355,0))=0,"",INDEX(Deals!$AF$2:$AF$355,MATCH($C189,Deals!$A$2:$A$355,0))),""))</f>
        <v/>
      </c>
      <c r="AF189" s="35">
        <f>IF($AD189="",DATE(1900,1,1),$AD189)</f>
        <v/>
      </c>
      <c r="AG189" s="35">
        <f>IF($AE189="",DATE(2100,12,31),$AE189)</f>
        <v/>
      </c>
      <c r="AH189" s="22">
        <f>IF($C189="","",IFERROR(IF(INDEX(Deals!$AG$2:$AG$355,MATCH($C189,Deals!$A$2:$A$355,0))=0,"",INDEX(Deals!$AG$2:$AG$355,MATCH($C189,Deals!$A$2:$A$355,0))),""))</f>
        <v/>
      </c>
      <c r="AI189" s="35">
        <f>IF($AH189="",DATE(1900,1,1),$AF189)</f>
        <v/>
      </c>
      <c r="AJ189" s="35">
        <f>IF($AH189="",DATE(2100,12,31),$AH189)</f>
        <v/>
      </c>
      <c r="AK189" s="32">
        <f>IF($AH189="",$AC189,$AC189*$S189)</f>
        <v/>
      </c>
      <c r="AL189" s="35">
        <f>IF($AH189="",DATE(2100,12,31),$AH189+1)</f>
        <v/>
      </c>
      <c r="AM189" s="35">
        <f>IF($AH189="",DATE(1900,1,1),$AG189)</f>
        <v/>
      </c>
      <c r="AN189" s="32">
        <f>IF($AH189="",0,$AC189*$T189)</f>
        <v/>
      </c>
    </row>
    <row r="190">
      <c r="A190" s="28" t="inlineStr">
        <is>
          <t>Jeremy</t>
        </is>
      </c>
      <c r="B190" s="16">
        <f>IF($A190="","",IFERROR(INDEX(Roster!$B$2:$B$40,MATCH($A190,Roster!$A$2:$A$40,0)),"?"))</f>
        <v/>
      </c>
      <c r="C190" s="28" t="inlineStr">
        <is>
          <t>Georgia_3</t>
        </is>
      </c>
      <c r="D190" s="16">
        <f>IF($C190="","",IFERROR(IF(INDEX(Deals!$C$2:$C$355,MATCH($C190,Deals!$A$2:$A$355,0))=0,"",INDEX(Deals!$C$2:$C$355,MATCH($C190,Deals!$A$2:$A$355,0))),"?"))</f>
        <v/>
      </c>
      <c r="E190" s="16">
        <f>IF($C190="","",IFERROR(INDEX(Deals!$F$2:$F$355,MATCH($C190,Deals!$A$2:$A$355,0)),"?"))</f>
        <v/>
      </c>
      <c r="F190" s="28" t="inlineStr">
        <is>
          <t>MD</t>
        </is>
      </c>
      <c r="G190" s="28" t="inlineStr">
        <is>
          <t>Active</t>
        </is>
      </c>
      <c r="H190" s="31" t="n"/>
      <c r="I190" s="32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1">
        <f>IF($C190="",0,IFERROR(INDEX(Deals!$H$2:$H$355,MATCH($C190,Deals!$A$2:$A$355,0)),0))</f>
        <v/>
      </c>
      <c r="K190" s="32">
        <f>IF(Settings!$B$4="Yes",$I190*$J190,$I190)</f>
        <v/>
      </c>
      <c r="L190" s="22">
        <f>IF($C190="","",IFERROR(IF(INDEX(Deals!$I$2:$I$355,MATCH($C190,Deals!$A$2:$A$355,0))=0,"",INDEX(Deals!$I$2:$I$355,MATCH($C190,Deals!$A$2:$A$355,0))),""))</f>
        <v/>
      </c>
      <c r="M190" s="22">
        <f>IF($C190="","",IFERROR(IF(INDEX(Deals!$J$2:$J$355,MATCH($C190,Deals!$A$2:$A$355,0))=0,"",INDEX(Deals!$J$2:$J$355,MATCH($C190,Deals!$A$2:$A$355,0))),""))</f>
        <v/>
      </c>
      <c r="N190" s="35">
        <f>IF($L190="",DATE(1900,1,1),$L190)</f>
        <v/>
      </c>
      <c r="O190" s="35">
        <f>IF($M190="",DATE(2100,12,31),$M190)</f>
        <v/>
      </c>
      <c r="P190" s="20" t="inlineStr"/>
      <c r="Q190" s="43" t="inlineStr"/>
      <c r="R190" s="16">
        <f>IF($C190="","",IFERROR(IF(INDEX(Deals!$U$2:$U$355,MATCH($C190,Deals!$A$2:$A$355,0))=0,"",INDEX(Deals!$U$2:$U$355,MATCH($C190,Deals!$A$2:$A$355,0))),""))</f>
        <v/>
      </c>
      <c r="S190" s="34">
        <f>IFERROR(IF($U190="",1,INDEX(Deals!$V$2:$V$355,MATCH($C190,Deals!$A$2:$A$355,0))),1)</f>
        <v/>
      </c>
      <c r="T190" s="34">
        <f>IFERROR(IF($U190="",1,INDEX(Deals!$W$2:$W$355,MATCH($C190,Deals!$A$2:$A$355,0))),1)</f>
        <v/>
      </c>
      <c r="U190" s="22">
        <f>IF($C190="","",IFERROR(IF(INDEX(Deals!$Y$2:$Y$355,MATCH($C190,Deals!$A$2:$A$355,0))=0,"",INDEX(Deals!$Y$2:$Y$355,MATCH($C190,Deals!$A$2:$A$355,0))),""))</f>
        <v/>
      </c>
      <c r="V190" s="35">
        <f>IF($U190="",DATE(1900,1,1),$N190)</f>
        <v/>
      </c>
      <c r="W190" s="35">
        <f>IF($U190="",DATE(2100,12,31),$U190)</f>
        <v/>
      </c>
      <c r="X190" s="32">
        <f>IF($U190="",$K190,$K190*$S190)</f>
        <v/>
      </c>
      <c r="Y190" s="35">
        <f>IF($U190="",DATE(2100,12,31),$U190+1)</f>
        <v/>
      </c>
      <c r="Z190" s="35">
        <f>IF($U190="",DATE(1900,1,1),$O190)</f>
        <v/>
      </c>
      <c r="AA190" s="32">
        <f>IF($U190="",0,$K190*$T190)</f>
        <v/>
      </c>
      <c r="AB190" s="21">
        <f>IF($C190="",0,IFERROR(INDEX(Deals!$AD$2:$AD$355,MATCH($C190,Deals!$A$2:$A$355,0)),0))</f>
        <v/>
      </c>
      <c r="AC190" s="32">
        <f>IF(Settings!$B$4="Yes",$I190*$AB190,$I190)</f>
        <v/>
      </c>
      <c r="AD190" s="22">
        <f>IF($C190="","",IFERROR(IF(INDEX(Deals!$AE$2:$AE$355,MATCH($C190,Deals!$A$2:$A$355,0))=0,"",INDEX(Deals!$AE$2:$AE$355,MATCH($C190,Deals!$A$2:$A$355,0))),""))</f>
        <v/>
      </c>
      <c r="AE190" s="22">
        <f>IF($C190="","",IFERROR(IF(INDEX(Deals!$AF$2:$AF$355,MATCH($C190,Deals!$A$2:$A$355,0))=0,"",INDEX(Deals!$AF$2:$AF$355,MATCH($C190,Deals!$A$2:$A$355,0))),""))</f>
        <v/>
      </c>
      <c r="AF190" s="35">
        <f>IF($AD190="",DATE(1900,1,1),$AD190)</f>
        <v/>
      </c>
      <c r="AG190" s="35">
        <f>IF($AE190="",DATE(2100,12,31),$AE190)</f>
        <v/>
      </c>
      <c r="AH190" s="22">
        <f>IF($C190="","",IFERROR(IF(INDEX(Deals!$AG$2:$AG$355,MATCH($C190,Deals!$A$2:$A$355,0))=0,"",INDEX(Deals!$AG$2:$AG$355,MATCH($C190,Deals!$A$2:$A$355,0))),""))</f>
        <v/>
      </c>
      <c r="AI190" s="35">
        <f>IF($AH190="",DATE(1900,1,1),$AF190)</f>
        <v/>
      </c>
      <c r="AJ190" s="35">
        <f>IF($AH190="",DATE(2100,12,31),$AH190)</f>
        <v/>
      </c>
      <c r="AK190" s="32">
        <f>IF($AH190="",$AC190,$AC190*$S190)</f>
        <v/>
      </c>
      <c r="AL190" s="35">
        <f>IF($AH190="",DATE(2100,12,31),$AH190+1)</f>
        <v/>
      </c>
      <c r="AM190" s="35">
        <f>IF($AH190="",DATE(1900,1,1),$AG190)</f>
        <v/>
      </c>
      <c r="AN190" s="32">
        <f>IF($AH190="",0,$AC190*$T190)</f>
        <v/>
      </c>
    </row>
    <row r="191">
      <c r="A191" s="28" t="inlineStr">
        <is>
          <t>Jeremy</t>
        </is>
      </c>
      <c r="B191" s="16">
        <f>IF($A191="","",IFERROR(INDEX(Roster!$B$2:$B$40,MATCH($A191,Roster!$A$2:$A$40,0)),"?"))</f>
        <v/>
      </c>
      <c r="C191" s="28" t="inlineStr">
        <is>
          <t>Goose_2</t>
        </is>
      </c>
      <c r="D191" s="16">
        <f>IF($C191="","",IFERROR(IF(INDEX(Deals!$C$2:$C$355,MATCH($C191,Deals!$A$2:$A$355,0))=0,"",INDEX(Deals!$C$2:$C$355,MATCH($C191,Deals!$A$2:$A$355,0))),"?"))</f>
        <v/>
      </c>
      <c r="E191" s="16">
        <f>IF($C191="","",IFERROR(INDEX(Deals!$F$2:$F$355,MATCH($C191,Deals!$A$2:$A$355,0)),"?"))</f>
        <v/>
      </c>
      <c r="F191" s="28" t="inlineStr">
        <is>
          <t>MD</t>
        </is>
      </c>
      <c r="G191" s="28" t="inlineStr">
        <is>
          <t>Active</t>
        </is>
      </c>
      <c r="H191" s="31" t="n"/>
      <c r="I191" s="32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1">
        <f>IF($C191="",0,IFERROR(INDEX(Deals!$H$2:$H$355,MATCH($C191,Deals!$A$2:$A$355,0)),0))</f>
        <v/>
      </c>
      <c r="K191" s="32">
        <f>IF(Settings!$B$4="Yes",$I191*$J191,$I191)</f>
        <v/>
      </c>
      <c r="L191" s="22">
        <f>IF($C191="","",IFERROR(IF(INDEX(Deals!$I$2:$I$355,MATCH($C191,Deals!$A$2:$A$355,0))=0,"",INDEX(Deals!$I$2:$I$355,MATCH($C191,Deals!$A$2:$A$355,0))),""))</f>
        <v/>
      </c>
      <c r="M191" s="22">
        <f>IF($C191="","",IFERROR(IF(INDEX(Deals!$J$2:$J$355,MATCH($C191,Deals!$A$2:$A$355,0))=0,"",INDEX(Deals!$J$2:$J$355,MATCH($C191,Deals!$A$2:$A$355,0))),""))</f>
        <v/>
      </c>
      <c r="N191" s="35">
        <f>IF($L191="",DATE(1900,1,1),$L191)</f>
        <v/>
      </c>
      <c r="O191" s="35">
        <f>IF($M191="",DATE(2100,12,31),$M191)</f>
        <v/>
      </c>
      <c r="P191" s="20" t="inlineStr"/>
      <c r="Q191" s="43" t="inlineStr"/>
      <c r="R191" s="16">
        <f>IF($C191="","",IFERROR(IF(INDEX(Deals!$U$2:$U$355,MATCH($C191,Deals!$A$2:$A$355,0))=0,"",INDEX(Deals!$U$2:$U$355,MATCH($C191,Deals!$A$2:$A$355,0))),""))</f>
        <v/>
      </c>
      <c r="S191" s="34">
        <f>IFERROR(IF($U191="",1,INDEX(Deals!$V$2:$V$355,MATCH($C191,Deals!$A$2:$A$355,0))),1)</f>
        <v/>
      </c>
      <c r="T191" s="34">
        <f>IFERROR(IF($U191="",1,INDEX(Deals!$W$2:$W$355,MATCH($C191,Deals!$A$2:$A$355,0))),1)</f>
        <v/>
      </c>
      <c r="U191" s="22">
        <f>IF($C191="","",IFERROR(IF(INDEX(Deals!$Y$2:$Y$355,MATCH($C191,Deals!$A$2:$A$355,0))=0,"",INDEX(Deals!$Y$2:$Y$355,MATCH($C191,Deals!$A$2:$A$355,0))),""))</f>
        <v/>
      </c>
      <c r="V191" s="35">
        <f>IF($U191="",DATE(1900,1,1),$N191)</f>
        <v/>
      </c>
      <c r="W191" s="35">
        <f>IF($U191="",DATE(2100,12,31),$U191)</f>
        <v/>
      </c>
      <c r="X191" s="32">
        <f>IF($U191="",$K191,$K191*$S191)</f>
        <v/>
      </c>
      <c r="Y191" s="35">
        <f>IF($U191="",DATE(2100,12,31),$U191+1)</f>
        <v/>
      </c>
      <c r="Z191" s="35">
        <f>IF($U191="",DATE(1900,1,1),$O191)</f>
        <v/>
      </c>
      <c r="AA191" s="32">
        <f>IF($U191="",0,$K191*$T191)</f>
        <v/>
      </c>
      <c r="AB191" s="21">
        <f>IF($C191="",0,IFERROR(INDEX(Deals!$AD$2:$AD$355,MATCH($C191,Deals!$A$2:$A$355,0)),0))</f>
        <v/>
      </c>
      <c r="AC191" s="32">
        <f>IF(Settings!$B$4="Yes",$I191*$AB191,$I191)</f>
        <v/>
      </c>
      <c r="AD191" s="22">
        <f>IF($C191="","",IFERROR(IF(INDEX(Deals!$AE$2:$AE$355,MATCH($C191,Deals!$A$2:$A$355,0))=0,"",INDEX(Deals!$AE$2:$AE$355,MATCH($C191,Deals!$A$2:$A$355,0))),""))</f>
        <v/>
      </c>
      <c r="AE191" s="22">
        <f>IF($C191="","",IFERROR(IF(INDEX(Deals!$AF$2:$AF$355,MATCH($C191,Deals!$A$2:$A$355,0))=0,"",INDEX(Deals!$AF$2:$AF$355,MATCH($C191,Deals!$A$2:$A$355,0))),""))</f>
        <v/>
      </c>
      <c r="AF191" s="35">
        <f>IF($AD191="",DATE(1900,1,1),$AD191)</f>
        <v/>
      </c>
      <c r="AG191" s="35">
        <f>IF($AE191="",DATE(2100,12,31),$AE191)</f>
        <v/>
      </c>
      <c r="AH191" s="22">
        <f>IF($C191="","",IFERROR(IF(INDEX(Deals!$AG$2:$AG$355,MATCH($C191,Deals!$A$2:$A$355,0))=0,"",INDEX(Deals!$AG$2:$AG$355,MATCH($C191,Deals!$A$2:$A$355,0))),""))</f>
        <v/>
      </c>
      <c r="AI191" s="35">
        <f>IF($AH191="",DATE(1900,1,1),$AF191)</f>
        <v/>
      </c>
      <c r="AJ191" s="35">
        <f>IF($AH191="",DATE(2100,12,31),$AH191)</f>
        <v/>
      </c>
      <c r="AK191" s="32">
        <f>IF($AH191="",$AC191,$AC191*$S191)</f>
        <v/>
      </c>
      <c r="AL191" s="35">
        <f>IF($AH191="",DATE(2100,12,31),$AH191+1)</f>
        <v/>
      </c>
      <c r="AM191" s="35">
        <f>IF($AH191="",DATE(1900,1,1),$AG191)</f>
        <v/>
      </c>
      <c r="AN191" s="32">
        <f>IF($AH191="",0,$AC191*$T191)</f>
        <v/>
      </c>
    </row>
    <row r="192">
      <c r="A192" s="28" t="inlineStr">
        <is>
          <t>Jeremy</t>
        </is>
      </c>
      <c r="B192" s="16">
        <f>IF($A192="","",IFERROR(INDEX(Roster!$B$2:$B$40,MATCH($A192,Roster!$A$2:$A$40,0)),"?"))</f>
        <v/>
      </c>
      <c r="C192" s="28" t="inlineStr">
        <is>
          <t>MIP_1</t>
        </is>
      </c>
      <c r="D192" s="16">
        <f>IF($C192="","",IFERROR(IF(INDEX(Deals!$C$2:$C$355,MATCH($C192,Deals!$A$2:$A$355,0))=0,"",INDEX(Deals!$C$2:$C$355,MATCH($C192,Deals!$A$2:$A$355,0))),"?"))</f>
        <v/>
      </c>
      <c r="E192" s="16">
        <f>IF($C192="","",IFERROR(INDEX(Deals!$F$2:$F$355,MATCH($C192,Deals!$A$2:$A$355,0)),"?"))</f>
        <v/>
      </c>
      <c r="F192" s="28" t="inlineStr">
        <is>
          <t>MD</t>
        </is>
      </c>
      <c r="G192" s="28" t="inlineStr">
        <is>
          <t>Active</t>
        </is>
      </c>
      <c r="H192" s="31" t="n"/>
      <c r="I192" s="32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1">
        <f>IF($C192="",0,IFERROR(INDEX(Deals!$H$2:$H$355,MATCH($C192,Deals!$A$2:$A$355,0)),0))</f>
        <v/>
      </c>
      <c r="K192" s="32">
        <f>IF(Settings!$B$4="Yes",$I192*$J192,$I192)</f>
        <v/>
      </c>
      <c r="L192" s="22">
        <f>IF($C192="","",IFERROR(IF(INDEX(Deals!$I$2:$I$355,MATCH($C192,Deals!$A$2:$A$355,0))=0,"",INDEX(Deals!$I$2:$I$355,MATCH($C192,Deals!$A$2:$A$355,0))),""))</f>
        <v/>
      </c>
      <c r="M192" s="22">
        <f>IF($C192="","",IFERROR(IF(INDEX(Deals!$J$2:$J$355,MATCH($C192,Deals!$A$2:$A$355,0))=0,"",INDEX(Deals!$J$2:$J$355,MATCH($C192,Deals!$A$2:$A$355,0))),""))</f>
        <v/>
      </c>
      <c r="N192" s="35">
        <f>IF($L192="",DATE(1900,1,1),$L192)</f>
        <v/>
      </c>
      <c r="O192" s="35">
        <f>IF($M192="",DATE(2100,12,31),$M192)</f>
        <v/>
      </c>
      <c r="P192" s="20" t="inlineStr"/>
      <c r="Q192" s="43" t="inlineStr"/>
      <c r="R192" s="16">
        <f>IF($C192="","",IFERROR(IF(INDEX(Deals!$U$2:$U$355,MATCH($C192,Deals!$A$2:$A$355,0))=0,"",INDEX(Deals!$U$2:$U$355,MATCH($C192,Deals!$A$2:$A$355,0))),""))</f>
        <v/>
      </c>
      <c r="S192" s="34">
        <f>IFERROR(IF($U192="",1,INDEX(Deals!$V$2:$V$355,MATCH($C192,Deals!$A$2:$A$355,0))),1)</f>
        <v/>
      </c>
      <c r="T192" s="34">
        <f>IFERROR(IF($U192="",1,INDEX(Deals!$W$2:$W$355,MATCH($C192,Deals!$A$2:$A$355,0))),1)</f>
        <v/>
      </c>
      <c r="U192" s="22">
        <f>IF($C192="","",IFERROR(IF(INDEX(Deals!$Y$2:$Y$355,MATCH($C192,Deals!$A$2:$A$355,0))=0,"",INDEX(Deals!$Y$2:$Y$355,MATCH($C192,Deals!$A$2:$A$355,0))),""))</f>
        <v/>
      </c>
      <c r="V192" s="35">
        <f>IF($U192="",DATE(1900,1,1),$N192)</f>
        <v/>
      </c>
      <c r="W192" s="35">
        <f>IF($U192="",DATE(2100,12,31),$U192)</f>
        <v/>
      </c>
      <c r="X192" s="32">
        <f>IF($U192="",$K192,$K192*$S192)</f>
        <v/>
      </c>
      <c r="Y192" s="35">
        <f>IF($U192="",DATE(2100,12,31),$U192+1)</f>
        <v/>
      </c>
      <c r="Z192" s="35">
        <f>IF($U192="",DATE(1900,1,1),$O192)</f>
        <v/>
      </c>
      <c r="AA192" s="32">
        <f>IF($U192="",0,$K192*$T192)</f>
        <v/>
      </c>
      <c r="AB192" s="21">
        <f>IF($C192="",0,IFERROR(INDEX(Deals!$AD$2:$AD$355,MATCH($C192,Deals!$A$2:$A$355,0)),0))</f>
        <v/>
      </c>
      <c r="AC192" s="32">
        <f>IF(Settings!$B$4="Yes",$I192*$AB192,$I192)</f>
        <v/>
      </c>
      <c r="AD192" s="22">
        <f>IF($C192="","",IFERROR(IF(INDEX(Deals!$AE$2:$AE$355,MATCH($C192,Deals!$A$2:$A$355,0))=0,"",INDEX(Deals!$AE$2:$AE$355,MATCH($C192,Deals!$A$2:$A$355,0))),""))</f>
        <v/>
      </c>
      <c r="AE192" s="22">
        <f>IF($C192="","",IFERROR(IF(INDEX(Deals!$AF$2:$AF$355,MATCH($C192,Deals!$A$2:$A$355,0))=0,"",INDEX(Deals!$AF$2:$AF$355,MATCH($C192,Deals!$A$2:$A$355,0))),""))</f>
        <v/>
      </c>
      <c r="AF192" s="35">
        <f>IF($AD192="",DATE(1900,1,1),$AD192)</f>
        <v/>
      </c>
      <c r="AG192" s="35">
        <f>IF($AE192="",DATE(2100,12,31),$AE192)</f>
        <v/>
      </c>
      <c r="AH192" s="22">
        <f>IF($C192="","",IFERROR(IF(INDEX(Deals!$AG$2:$AG$355,MATCH($C192,Deals!$A$2:$A$355,0))=0,"",INDEX(Deals!$AG$2:$AG$355,MATCH($C192,Deals!$A$2:$A$355,0))),""))</f>
        <v/>
      </c>
      <c r="AI192" s="35">
        <f>IF($AH192="",DATE(1900,1,1),$AF192)</f>
        <v/>
      </c>
      <c r="AJ192" s="35">
        <f>IF($AH192="",DATE(2100,12,31),$AH192)</f>
        <v/>
      </c>
      <c r="AK192" s="32">
        <f>IF($AH192="",$AC192,$AC192*$S192)</f>
        <v/>
      </c>
      <c r="AL192" s="35">
        <f>IF($AH192="",DATE(2100,12,31),$AH192+1)</f>
        <v/>
      </c>
      <c r="AM192" s="35">
        <f>IF($AH192="",DATE(1900,1,1),$AG192)</f>
        <v/>
      </c>
      <c r="AN192" s="32">
        <f>IF($AH192="",0,$AC192*$T192)</f>
        <v/>
      </c>
    </row>
    <row r="193">
      <c r="A193" s="28" t="inlineStr">
        <is>
          <t>Jeremy</t>
        </is>
      </c>
      <c r="B193" s="16">
        <f>IF($A193="","",IFERROR(INDEX(Roster!$B$2:$B$40,MATCH($A193,Roster!$A$2:$A$40,0)),"?"))</f>
        <v/>
      </c>
      <c r="C193" s="28" t="inlineStr">
        <is>
          <t>Nemrut_1</t>
        </is>
      </c>
      <c r="D193" s="16">
        <f>IF($C193="","",IFERROR(IF(INDEX(Deals!$C$2:$C$355,MATCH($C193,Deals!$A$2:$A$355,0))=0,"",INDEX(Deals!$C$2:$C$355,MATCH($C193,Deals!$A$2:$A$355,0))),"?"))</f>
        <v/>
      </c>
      <c r="E193" s="16">
        <f>IF($C193="","",IFERROR(INDEX(Deals!$F$2:$F$355,MATCH($C193,Deals!$A$2:$A$355,0)),"?"))</f>
        <v/>
      </c>
      <c r="F193" s="28" t="inlineStr">
        <is>
          <t>MD</t>
        </is>
      </c>
      <c r="G193" s="28" t="inlineStr">
        <is>
          <t>Active</t>
        </is>
      </c>
      <c r="H193" s="31" t="n"/>
      <c r="I193" s="32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1">
        <f>IF($C193="",0,IFERROR(INDEX(Deals!$H$2:$H$355,MATCH($C193,Deals!$A$2:$A$355,0)),0))</f>
        <v/>
      </c>
      <c r="K193" s="32">
        <f>IF(Settings!$B$4="Yes",$I193*$J193,$I193)</f>
        <v/>
      </c>
      <c r="L193" s="22">
        <f>IF($C193="","",IFERROR(IF(INDEX(Deals!$I$2:$I$355,MATCH($C193,Deals!$A$2:$A$355,0))=0,"",INDEX(Deals!$I$2:$I$355,MATCH($C193,Deals!$A$2:$A$355,0))),""))</f>
        <v/>
      </c>
      <c r="M193" s="22">
        <f>IF($C193="","",IFERROR(IF(INDEX(Deals!$J$2:$J$355,MATCH($C193,Deals!$A$2:$A$355,0))=0,"",INDEX(Deals!$J$2:$J$355,MATCH($C193,Deals!$A$2:$A$355,0))),""))</f>
        <v/>
      </c>
      <c r="N193" s="35">
        <f>IF($L193="",DATE(1900,1,1),$L193)</f>
        <v/>
      </c>
      <c r="O193" s="35">
        <f>IF($M193="",DATE(2100,12,31),$M193)</f>
        <v/>
      </c>
      <c r="P193" s="20" t="inlineStr"/>
      <c r="Q193" s="43" t="inlineStr"/>
      <c r="R193" s="16">
        <f>IF($C193="","",IFERROR(IF(INDEX(Deals!$U$2:$U$355,MATCH($C193,Deals!$A$2:$A$355,0))=0,"",INDEX(Deals!$U$2:$U$355,MATCH($C193,Deals!$A$2:$A$355,0))),""))</f>
        <v/>
      </c>
      <c r="S193" s="34">
        <f>IFERROR(IF($U193="",1,INDEX(Deals!$V$2:$V$355,MATCH($C193,Deals!$A$2:$A$355,0))),1)</f>
        <v/>
      </c>
      <c r="T193" s="34">
        <f>IFERROR(IF($U193="",1,INDEX(Deals!$W$2:$W$355,MATCH($C193,Deals!$A$2:$A$355,0))),1)</f>
        <v/>
      </c>
      <c r="U193" s="22">
        <f>IF($C193="","",IFERROR(IF(INDEX(Deals!$Y$2:$Y$355,MATCH($C193,Deals!$A$2:$A$355,0))=0,"",INDEX(Deals!$Y$2:$Y$355,MATCH($C193,Deals!$A$2:$A$355,0))),""))</f>
        <v/>
      </c>
      <c r="V193" s="35">
        <f>IF($U193="",DATE(1900,1,1),$N193)</f>
        <v/>
      </c>
      <c r="W193" s="35">
        <f>IF($U193="",DATE(2100,12,31),$U193)</f>
        <v/>
      </c>
      <c r="X193" s="32">
        <f>IF($U193="",$K193,$K193*$S193)</f>
        <v/>
      </c>
      <c r="Y193" s="35">
        <f>IF($U193="",DATE(2100,12,31),$U193+1)</f>
        <v/>
      </c>
      <c r="Z193" s="35">
        <f>IF($U193="",DATE(1900,1,1),$O193)</f>
        <v/>
      </c>
      <c r="AA193" s="32">
        <f>IF($U193="",0,$K193*$T193)</f>
        <v/>
      </c>
      <c r="AB193" s="21">
        <f>IF($C193="",0,IFERROR(INDEX(Deals!$AD$2:$AD$355,MATCH($C193,Deals!$A$2:$A$355,0)),0))</f>
        <v/>
      </c>
      <c r="AC193" s="32">
        <f>IF(Settings!$B$4="Yes",$I193*$AB193,$I193)</f>
        <v/>
      </c>
      <c r="AD193" s="22">
        <f>IF($C193="","",IFERROR(IF(INDEX(Deals!$AE$2:$AE$355,MATCH($C193,Deals!$A$2:$A$355,0))=0,"",INDEX(Deals!$AE$2:$AE$355,MATCH($C193,Deals!$A$2:$A$355,0))),""))</f>
        <v/>
      </c>
      <c r="AE193" s="22">
        <f>IF($C193="","",IFERROR(IF(INDEX(Deals!$AF$2:$AF$355,MATCH($C193,Deals!$A$2:$A$355,0))=0,"",INDEX(Deals!$AF$2:$AF$355,MATCH($C193,Deals!$A$2:$A$355,0))),""))</f>
        <v/>
      </c>
      <c r="AF193" s="35">
        <f>IF($AD193="",DATE(1900,1,1),$AD193)</f>
        <v/>
      </c>
      <c r="AG193" s="35">
        <f>IF($AE193="",DATE(2100,12,31),$AE193)</f>
        <v/>
      </c>
      <c r="AH193" s="22">
        <f>IF($C193="","",IFERROR(IF(INDEX(Deals!$AG$2:$AG$355,MATCH($C193,Deals!$A$2:$A$355,0))=0,"",INDEX(Deals!$AG$2:$AG$355,MATCH($C193,Deals!$A$2:$A$355,0))),""))</f>
        <v/>
      </c>
      <c r="AI193" s="35">
        <f>IF($AH193="",DATE(1900,1,1),$AF193)</f>
        <v/>
      </c>
      <c r="AJ193" s="35">
        <f>IF($AH193="",DATE(2100,12,31),$AH193)</f>
        <v/>
      </c>
      <c r="AK193" s="32">
        <f>IF($AH193="",$AC193,$AC193*$S193)</f>
        <v/>
      </c>
      <c r="AL193" s="35">
        <f>IF($AH193="",DATE(2100,12,31),$AH193+1)</f>
        <v/>
      </c>
      <c r="AM193" s="35">
        <f>IF($AH193="",DATE(1900,1,1),$AG193)</f>
        <v/>
      </c>
      <c r="AN193" s="32">
        <f>IF($AH193="",0,$AC193*$T193)</f>
        <v/>
      </c>
    </row>
    <row r="194">
      <c r="A194" s="28" t="inlineStr">
        <is>
          <t>Jeremy</t>
        </is>
      </c>
      <c r="B194" s="16">
        <f>IF($A194="","",IFERROR(INDEX(Roster!$B$2:$B$40,MATCH($A194,Roster!$A$2:$A$40,0)),"?"))</f>
        <v/>
      </c>
      <c r="C194" s="28" t="inlineStr">
        <is>
          <t>Orca_1</t>
        </is>
      </c>
      <c r="D194" s="16">
        <f>IF($C194="","",IFERROR(IF(INDEX(Deals!$C$2:$C$355,MATCH($C194,Deals!$A$2:$A$355,0))=0,"",INDEX(Deals!$C$2:$C$355,MATCH($C194,Deals!$A$2:$A$355,0))),"?"))</f>
        <v/>
      </c>
      <c r="E194" s="16">
        <f>IF($C194="","",IFERROR(INDEX(Deals!$F$2:$F$355,MATCH($C194,Deals!$A$2:$A$355,0)),"?"))</f>
        <v/>
      </c>
      <c r="F194" s="28" t="inlineStr">
        <is>
          <t>MD</t>
        </is>
      </c>
      <c r="G194" s="28" t="inlineStr">
        <is>
          <t>Active</t>
        </is>
      </c>
      <c r="H194" s="31" t="n"/>
      <c r="I194" s="32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1">
        <f>IF($C194="",0,IFERROR(INDEX(Deals!$H$2:$H$355,MATCH($C194,Deals!$A$2:$A$355,0)),0))</f>
        <v/>
      </c>
      <c r="K194" s="32">
        <f>IF(Settings!$B$4="Yes",$I194*$J194,$I194)</f>
        <v/>
      </c>
      <c r="L194" s="22">
        <f>IF($C194="","",IFERROR(IF(INDEX(Deals!$I$2:$I$355,MATCH($C194,Deals!$A$2:$A$355,0))=0,"",INDEX(Deals!$I$2:$I$355,MATCH($C194,Deals!$A$2:$A$355,0))),""))</f>
        <v/>
      </c>
      <c r="M194" s="22">
        <f>IF($C194="","",IFERROR(IF(INDEX(Deals!$J$2:$J$355,MATCH($C194,Deals!$A$2:$A$355,0))=0,"",INDEX(Deals!$J$2:$J$355,MATCH($C194,Deals!$A$2:$A$355,0))),""))</f>
        <v/>
      </c>
      <c r="N194" s="35">
        <f>IF($L194="",DATE(1900,1,1),$L194)</f>
        <v/>
      </c>
      <c r="O194" s="35">
        <f>IF($M194="",DATE(2100,12,31),$M194)</f>
        <v/>
      </c>
      <c r="P194" s="20" t="inlineStr"/>
      <c r="Q194" s="43" t="inlineStr"/>
      <c r="R194" s="16">
        <f>IF($C194="","",IFERROR(IF(INDEX(Deals!$U$2:$U$355,MATCH($C194,Deals!$A$2:$A$355,0))=0,"",INDEX(Deals!$U$2:$U$355,MATCH($C194,Deals!$A$2:$A$355,0))),""))</f>
        <v/>
      </c>
      <c r="S194" s="34">
        <f>IFERROR(IF($U194="",1,INDEX(Deals!$V$2:$V$355,MATCH($C194,Deals!$A$2:$A$355,0))),1)</f>
        <v/>
      </c>
      <c r="T194" s="34">
        <f>IFERROR(IF($U194="",1,INDEX(Deals!$W$2:$W$355,MATCH($C194,Deals!$A$2:$A$355,0))),1)</f>
        <v/>
      </c>
      <c r="U194" s="22">
        <f>IF($C194="","",IFERROR(IF(INDEX(Deals!$Y$2:$Y$355,MATCH($C194,Deals!$A$2:$A$355,0))=0,"",INDEX(Deals!$Y$2:$Y$355,MATCH($C194,Deals!$A$2:$A$355,0))),""))</f>
        <v/>
      </c>
      <c r="V194" s="35">
        <f>IF($U194="",DATE(1900,1,1),$N194)</f>
        <v/>
      </c>
      <c r="W194" s="35">
        <f>IF($U194="",DATE(2100,12,31),$U194)</f>
        <v/>
      </c>
      <c r="X194" s="32">
        <f>IF($U194="",$K194,$K194*$S194)</f>
        <v/>
      </c>
      <c r="Y194" s="35">
        <f>IF($U194="",DATE(2100,12,31),$U194+1)</f>
        <v/>
      </c>
      <c r="Z194" s="35">
        <f>IF($U194="",DATE(1900,1,1),$O194)</f>
        <v/>
      </c>
      <c r="AA194" s="32">
        <f>IF($U194="",0,$K194*$T194)</f>
        <v/>
      </c>
      <c r="AB194" s="21">
        <f>IF($C194="",0,IFERROR(INDEX(Deals!$AD$2:$AD$355,MATCH($C194,Deals!$A$2:$A$355,0)),0))</f>
        <v/>
      </c>
      <c r="AC194" s="32">
        <f>IF(Settings!$B$4="Yes",$I194*$AB194,$I194)</f>
        <v/>
      </c>
      <c r="AD194" s="22">
        <f>IF($C194="","",IFERROR(IF(INDEX(Deals!$AE$2:$AE$355,MATCH($C194,Deals!$A$2:$A$355,0))=0,"",INDEX(Deals!$AE$2:$AE$355,MATCH($C194,Deals!$A$2:$A$355,0))),""))</f>
        <v/>
      </c>
      <c r="AE194" s="22">
        <f>IF($C194="","",IFERROR(IF(INDEX(Deals!$AF$2:$AF$355,MATCH($C194,Deals!$A$2:$A$355,0))=0,"",INDEX(Deals!$AF$2:$AF$355,MATCH($C194,Deals!$A$2:$A$355,0))),""))</f>
        <v/>
      </c>
      <c r="AF194" s="35">
        <f>IF($AD194="",DATE(1900,1,1),$AD194)</f>
        <v/>
      </c>
      <c r="AG194" s="35">
        <f>IF($AE194="",DATE(2100,12,31),$AE194)</f>
        <v/>
      </c>
      <c r="AH194" s="22">
        <f>IF($C194="","",IFERROR(IF(INDEX(Deals!$AG$2:$AG$355,MATCH($C194,Deals!$A$2:$A$355,0))=0,"",INDEX(Deals!$AG$2:$AG$355,MATCH($C194,Deals!$A$2:$A$355,0))),""))</f>
        <v/>
      </c>
      <c r="AI194" s="35">
        <f>IF($AH194="",DATE(1900,1,1),$AF194)</f>
        <v/>
      </c>
      <c r="AJ194" s="35">
        <f>IF($AH194="",DATE(2100,12,31),$AH194)</f>
        <v/>
      </c>
      <c r="AK194" s="32">
        <f>IF($AH194="",$AC194,$AC194*$S194)</f>
        <v/>
      </c>
      <c r="AL194" s="35">
        <f>IF($AH194="",DATE(2100,12,31),$AH194+1)</f>
        <v/>
      </c>
      <c r="AM194" s="35">
        <f>IF($AH194="",DATE(1900,1,1),$AG194)</f>
        <v/>
      </c>
      <c r="AN194" s="32">
        <f>IF($AH194="",0,$AC194*$T194)</f>
        <v/>
      </c>
    </row>
    <row r="195">
      <c r="A195" s="28" t="inlineStr">
        <is>
          <t>Jeremy</t>
        </is>
      </c>
      <c r="B195" s="16">
        <f>IF($A195="","",IFERROR(INDEX(Roster!$B$2:$B$40,MATCH($A195,Roster!$A$2:$A$40,0)),"?"))</f>
        <v/>
      </c>
      <c r="C195" s="28" t="inlineStr">
        <is>
          <t>Redwood_1</t>
        </is>
      </c>
      <c r="D195" s="16">
        <f>IF($C195="","",IFERROR(IF(INDEX(Deals!$C$2:$C$355,MATCH($C195,Deals!$A$2:$A$355,0))=0,"",INDEX(Deals!$C$2:$C$355,MATCH($C195,Deals!$A$2:$A$355,0))),"?"))</f>
        <v/>
      </c>
      <c r="E195" s="16">
        <f>IF($C195="","",IFERROR(INDEX(Deals!$F$2:$F$355,MATCH($C195,Deals!$A$2:$A$355,0)),"?"))</f>
        <v/>
      </c>
      <c r="F195" s="28" t="inlineStr">
        <is>
          <t>MD</t>
        </is>
      </c>
      <c r="G195" s="28" t="inlineStr">
        <is>
          <t>Active</t>
        </is>
      </c>
      <c r="H195" s="31" t="n"/>
      <c r="I195" s="32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1">
        <f>IF($C195="",0,IFERROR(INDEX(Deals!$H$2:$H$355,MATCH($C195,Deals!$A$2:$A$355,0)),0))</f>
        <v/>
      </c>
      <c r="K195" s="32">
        <f>IF(Settings!$B$4="Yes",$I195*$J195,$I195)</f>
        <v/>
      </c>
      <c r="L195" s="22">
        <f>IF($C195="","",IFERROR(IF(INDEX(Deals!$I$2:$I$355,MATCH($C195,Deals!$A$2:$A$355,0))=0,"",INDEX(Deals!$I$2:$I$355,MATCH($C195,Deals!$A$2:$A$355,0))),""))</f>
        <v/>
      </c>
      <c r="M195" s="22">
        <f>IF($C195="","",IFERROR(IF(INDEX(Deals!$J$2:$J$355,MATCH($C195,Deals!$A$2:$A$355,0))=0,"",INDEX(Deals!$J$2:$J$355,MATCH($C195,Deals!$A$2:$A$355,0))),""))</f>
        <v/>
      </c>
      <c r="N195" s="35">
        <f>IF($L195="",DATE(1900,1,1),$L195)</f>
        <v/>
      </c>
      <c r="O195" s="35">
        <f>IF($M195="",DATE(2100,12,31),$M195)</f>
        <v/>
      </c>
      <c r="P195" s="20" t="inlineStr"/>
      <c r="Q195" s="43" t="inlineStr"/>
      <c r="R195" s="16">
        <f>IF($C195="","",IFERROR(IF(INDEX(Deals!$U$2:$U$355,MATCH($C195,Deals!$A$2:$A$355,0))=0,"",INDEX(Deals!$U$2:$U$355,MATCH($C195,Deals!$A$2:$A$355,0))),""))</f>
        <v/>
      </c>
      <c r="S195" s="34">
        <f>IFERROR(IF($U195="",1,INDEX(Deals!$V$2:$V$355,MATCH($C195,Deals!$A$2:$A$355,0))),1)</f>
        <v/>
      </c>
      <c r="T195" s="34">
        <f>IFERROR(IF($U195="",1,INDEX(Deals!$W$2:$W$355,MATCH($C195,Deals!$A$2:$A$355,0))),1)</f>
        <v/>
      </c>
      <c r="U195" s="22">
        <f>IF($C195="","",IFERROR(IF(INDEX(Deals!$Y$2:$Y$355,MATCH($C195,Deals!$A$2:$A$355,0))=0,"",INDEX(Deals!$Y$2:$Y$355,MATCH($C195,Deals!$A$2:$A$355,0))),""))</f>
        <v/>
      </c>
      <c r="V195" s="35">
        <f>IF($U195="",DATE(1900,1,1),$N195)</f>
        <v/>
      </c>
      <c r="W195" s="35">
        <f>IF($U195="",DATE(2100,12,31),$U195)</f>
        <v/>
      </c>
      <c r="X195" s="32">
        <f>IF($U195="",$K195,$K195*$S195)</f>
        <v/>
      </c>
      <c r="Y195" s="35">
        <f>IF($U195="",DATE(2100,12,31),$U195+1)</f>
        <v/>
      </c>
      <c r="Z195" s="35">
        <f>IF($U195="",DATE(1900,1,1),$O195)</f>
        <v/>
      </c>
      <c r="AA195" s="32">
        <f>IF($U195="",0,$K195*$T195)</f>
        <v/>
      </c>
      <c r="AB195" s="21">
        <f>IF($C195="",0,IFERROR(INDEX(Deals!$AD$2:$AD$355,MATCH($C195,Deals!$A$2:$A$355,0)),0))</f>
        <v/>
      </c>
      <c r="AC195" s="32">
        <f>IF(Settings!$B$4="Yes",$I195*$AB195,$I195)</f>
        <v/>
      </c>
      <c r="AD195" s="22">
        <f>IF($C195="","",IFERROR(IF(INDEX(Deals!$AE$2:$AE$355,MATCH($C195,Deals!$A$2:$A$355,0))=0,"",INDEX(Deals!$AE$2:$AE$355,MATCH($C195,Deals!$A$2:$A$355,0))),""))</f>
        <v/>
      </c>
      <c r="AE195" s="22">
        <f>IF($C195="","",IFERROR(IF(INDEX(Deals!$AF$2:$AF$355,MATCH($C195,Deals!$A$2:$A$355,0))=0,"",INDEX(Deals!$AF$2:$AF$355,MATCH($C195,Deals!$A$2:$A$355,0))),""))</f>
        <v/>
      </c>
      <c r="AF195" s="35">
        <f>IF($AD195="",DATE(1900,1,1),$AD195)</f>
        <v/>
      </c>
      <c r="AG195" s="35">
        <f>IF($AE195="",DATE(2100,12,31),$AE195)</f>
        <v/>
      </c>
      <c r="AH195" s="22">
        <f>IF($C195="","",IFERROR(IF(INDEX(Deals!$AG$2:$AG$355,MATCH($C195,Deals!$A$2:$A$355,0))=0,"",INDEX(Deals!$AG$2:$AG$355,MATCH($C195,Deals!$A$2:$A$355,0))),""))</f>
        <v/>
      </c>
      <c r="AI195" s="35">
        <f>IF($AH195="",DATE(1900,1,1),$AF195)</f>
        <v/>
      </c>
      <c r="AJ195" s="35">
        <f>IF($AH195="",DATE(2100,12,31),$AH195)</f>
        <v/>
      </c>
      <c r="AK195" s="32">
        <f>IF($AH195="",$AC195,$AC195*$S195)</f>
        <v/>
      </c>
      <c r="AL195" s="35">
        <f>IF($AH195="",DATE(2100,12,31),$AH195+1)</f>
        <v/>
      </c>
      <c r="AM195" s="35">
        <f>IF($AH195="",DATE(1900,1,1),$AG195)</f>
        <v/>
      </c>
      <c r="AN195" s="32">
        <f>IF($AH195="",0,$AC195*$T195)</f>
        <v/>
      </c>
    </row>
    <row r="196">
      <c r="A196" s="28" t="inlineStr">
        <is>
          <t>Jeremy</t>
        </is>
      </c>
      <c r="B196" s="16">
        <f>IF($A196="","",IFERROR(INDEX(Roster!$B$2:$B$40,MATCH($A196,Roster!$A$2:$A$40,0)),"?"))</f>
        <v/>
      </c>
      <c r="C196" s="28" t="inlineStr">
        <is>
          <t>Rosa_1</t>
        </is>
      </c>
      <c r="D196" s="16">
        <f>IF($C196="","",IFERROR(IF(INDEX(Deals!$C$2:$C$355,MATCH($C196,Deals!$A$2:$A$355,0))=0,"",INDEX(Deals!$C$2:$C$355,MATCH($C196,Deals!$A$2:$A$355,0))),"?"))</f>
        <v/>
      </c>
      <c r="E196" s="16">
        <f>IF($C196="","",IFERROR(INDEX(Deals!$F$2:$F$355,MATCH($C196,Deals!$A$2:$A$355,0)),"?"))</f>
        <v/>
      </c>
      <c r="F196" s="28" t="inlineStr">
        <is>
          <t>MD</t>
        </is>
      </c>
      <c r="G196" s="28" t="inlineStr">
        <is>
          <t>Active</t>
        </is>
      </c>
      <c r="H196" s="31" t="n"/>
      <c r="I196" s="32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1">
        <f>IF($C196="",0,IFERROR(INDEX(Deals!$H$2:$H$355,MATCH($C196,Deals!$A$2:$A$355,0)),0))</f>
        <v/>
      </c>
      <c r="K196" s="32">
        <f>IF(Settings!$B$4="Yes",$I196*$J196,$I196)</f>
        <v/>
      </c>
      <c r="L196" s="22">
        <f>IF($C196="","",IFERROR(IF(INDEX(Deals!$I$2:$I$355,MATCH($C196,Deals!$A$2:$A$355,0))=0,"",INDEX(Deals!$I$2:$I$355,MATCH($C196,Deals!$A$2:$A$355,0))),""))</f>
        <v/>
      </c>
      <c r="M196" s="22">
        <f>IF($C196="","",IFERROR(IF(INDEX(Deals!$J$2:$J$355,MATCH($C196,Deals!$A$2:$A$355,0))=0,"",INDEX(Deals!$J$2:$J$355,MATCH($C196,Deals!$A$2:$A$355,0))),""))</f>
        <v/>
      </c>
      <c r="N196" s="35">
        <f>IF($L196="",DATE(1900,1,1),$L196)</f>
        <v/>
      </c>
      <c r="O196" s="35">
        <f>IF($M196="",DATE(2100,12,31),$M196)</f>
        <v/>
      </c>
      <c r="P196" s="20" t="inlineStr"/>
      <c r="Q196" s="43" t="inlineStr"/>
      <c r="R196" s="16">
        <f>IF($C196="","",IFERROR(IF(INDEX(Deals!$U$2:$U$355,MATCH($C196,Deals!$A$2:$A$355,0))=0,"",INDEX(Deals!$U$2:$U$355,MATCH($C196,Deals!$A$2:$A$355,0))),""))</f>
        <v/>
      </c>
      <c r="S196" s="34">
        <f>IFERROR(IF($U196="",1,INDEX(Deals!$V$2:$V$355,MATCH($C196,Deals!$A$2:$A$355,0))),1)</f>
        <v/>
      </c>
      <c r="T196" s="34">
        <f>IFERROR(IF($U196="",1,INDEX(Deals!$W$2:$W$355,MATCH($C196,Deals!$A$2:$A$355,0))),1)</f>
        <v/>
      </c>
      <c r="U196" s="22">
        <f>IF($C196="","",IFERROR(IF(INDEX(Deals!$Y$2:$Y$355,MATCH($C196,Deals!$A$2:$A$355,0))=0,"",INDEX(Deals!$Y$2:$Y$355,MATCH($C196,Deals!$A$2:$A$355,0))),""))</f>
        <v/>
      </c>
      <c r="V196" s="35">
        <f>IF($U196="",DATE(1900,1,1),$N196)</f>
        <v/>
      </c>
      <c r="W196" s="35">
        <f>IF($U196="",DATE(2100,12,31),$U196)</f>
        <v/>
      </c>
      <c r="X196" s="32">
        <f>IF($U196="",$K196,$K196*$S196)</f>
        <v/>
      </c>
      <c r="Y196" s="35">
        <f>IF($U196="",DATE(2100,12,31),$U196+1)</f>
        <v/>
      </c>
      <c r="Z196" s="35">
        <f>IF($U196="",DATE(1900,1,1),$O196)</f>
        <v/>
      </c>
      <c r="AA196" s="32">
        <f>IF($U196="",0,$K196*$T196)</f>
        <v/>
      </c>
      <c r="AB196" s="21">
        <f>IF($C196="",0,IFERROR(INDEX(Deals!$AD$2:$AD$355,MATCH($C196,Deals!$A$2:$A$355,0)),0))</f>
        <v/>
      </c>
      <c r="AC196" s="32">
        <f>IF(Settings!$B$4="Yes",$I196*$AB196,$I196)</f>
        <v/>
      </c>
      <c r="AD196" s="22">
        <f>IF($C196="","",IFERROR(IF(INDEX(Deals!$AE$2:$AE$355,MATCH($C196,Deals!$A$2:$A$355,0))=0,"",INDEX(Deals!$AE$2:$AE$355,MATCH($C196,Deals!$A$2:$A$355,0))),""))</f>
        <v/>
      </c>
      <c r="AE196" s="22">
        <f>IF($C196="","",IFERROR(IF(INDEX(Deals!$AF$2:$AF$355,MATCH($C196,Deals!$A$2:$A$355,0))=0,"",INDEX(Deals!$AF$2:$AF$355,MATCH($C196,Deals!$A$2:$A$355,0))),""))</f>
        <v/>
      </c>
      <c r="AF196" s="35">
        <f>IF($AD196="",DATE(1900,1,1),$AD196)</f>
        <v/>
      </c>
      <c r="AG196" s="35">
        <f>IF($AE196="",DATE(2100,12,31),$AE196)</f>
        <v/>
      </c>
      <c r="AH196" s="22">
        <f>IF($C196="","",IFERROR(IF(INDEX(Deals!$AG$2:$AG$355,MATCH($C196,Deals!$A$2:$A$355,0))=0,"",INDEX(Deals!$AG$2:$AG$355,MATCH($C196,Deals!$A$2:$A$355,0))),""))</f>
        <v/>
      </c>
      <c r="AI196" s="35">
        <f>IF($AH196="",DATE(1900,1,1),$AF196)</f>
        <v/>
      </c>
      <c r="AJ196" s="35">
        <f>IF($AH196="",DATE(2100,12,31),$AH196)</f>
        <v/>
      </c>
      <c r="AK196" s="32">
        <f>IF($AH196="",$AC196,$AC196*$S196)</f>
        <v/>
      </c>
      <c r="AL196" s="35">
        <f>IF($AH196="",DATE(2100,12,31),$AH196+1)</f>
        <v/>
      </c>
      <c r="AM196" s="35">
        <f>IF($AH196="",DATE(1900,1,1),$AG196)</f>
        <v/>
      </c>
      <c r="AN196" s="32">
        <f>IF($AH196="",0,$AC196*$T196)</f>
        <v/>
      </c>
    </row>
    <row r="197">
      <c r="A197" s="28" t="inlineStr">
        <is>
          <t>Jeremy</t>
        </is>
      </c>
      <c r="B197" s="16">
        <f>IF($A197="","",IFERROR(INDEX(Roster!$B$2:$B$40,MATCH($A197,Roster!$A$2:$A$40,0)),"?"))</f>
        <v/>
      </c>
      <c r="C197" s="28" t="inlineStr">
        <is>
          <t>Sentinel_2</t>
        </is>
      </c>
      <c r="D197" s="16">
        <f>IF($C197="","",IFERROR(IF(INDEX(Deals!$C$2:$C$355,MATCH($C197,Deals!$A$2:$A$355,0))=0,"",INDEX(Deals!$C$2:$C$355,MATCH($C197,Deals!$A$2:$A$355,0))),"?"))</f>
        <v/>
      </c>
      <c r="E197" s="16">
        <f>IF($C197="","",IFERROR(INDEX(Deals!$F$2:$F$355,MATCH($C197,Deals!$A$2:$A$355,0)),"?"))</f>
        <v/>
      </c>
      <c r="F197" s="28" t="inlineStr">
        <is>
          <t>MD</t>
        </is>
      </c>
      <c r="G197" s="28" t="inlineStr">
        <is>
          <t>Active</t>
        </is>
      </c>
      <c r="H197" s="31" t="n"/>
      <c r="I197" s="32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1">
        <f>IF($C197="",0,IFERROR(INDEX(Deals!$H$2:$H$355,MATCH($C197,Deals!$A$2:$A$355,0)),0))</f>
        <v/>
      </c>
      <c r="K197" s="32">
        <f>IF(Settings!$B$4="Yes",$I197*$J197,$I197)</f>
        <v/>
      </c>
      <c r="L197" s="22">
        <f>IF($C197="","",IFERROR(IF(INDEX(Deals!$I$2:$I$355,MATCH($C197,Deals!$A$2:$A$355,0))=0,"",INDEX(Deals!$I$2:$I$355,MATCH($C197,Deals!$A$2:$A$355,0))),""))</f>
        <v/>
      </c>
      <c r="M197" s="22">
        <f>IF($C197="","",IFERROR(IF(INDEX(Deals!$J$2:$J$355,MATCH($C197,Deals!$A$2:$A$355,0))=0,"",INDEX(Deals!$J$2:$J$355,MATCH($C197,Deals!$A$2:$A$355,0))),""))</f>
        <v/>
      </c>
      <c r="N197" s="35">
        <f>IF($L197="",DATE(1900,1,1),$L197)</f>
        <v/>
      </c>
      <c r="O197" s="35">
        <f>IF($M197="",DATE(2100,12,31),$M197)</f>
        <v/>
      </c>
      <c r="P197" s="20" t="inlineStr"/>
      <c r="Q197" s="43" t="inlineStr"/>
      <c r="R197" s="16">
        <f>IF($C197="","",IFERROR(IF(INDEX(Deals!$U$2:$U$355,MATCH($C197,Deals!$A$2:$A$355,0))=0,"",INDEX(Deals!$U$2:$U$355,MATCH($C197,Deals!$A$2:$A$355,0))),""))</f>
        <v/>
      </c>
      <c r="S197" s="34">
        <f>IFERROR(IF($U197="",1,INDEX(Deals!$V$2:$V$355,MATCH($C197,Deals!$A$2:$A$355,0))),1)</f>
        <v/>
      </c>
      <c r="T197" s="34">
        <f>IFERROR(IF($U197="",1,INDEX(Deals!$W$2:$W$355,MATCH($C197,Deals!$A$2:$A$355,0))),1)</f>
        <v/>
      </c>
      <c r="U197" s="22">
        <f>IF($C197="","",IFERROR(IF(INDEX(Deals!$Y$2:$Y$355,MATCH($C197,Deals!$A$2:$A$355,0))=0,"",INDEX(Deals!$Y$2:$Y$355,MATCH($C197,Deals!$A$2:$A$355,0))),""))</f>
        <v/>
      </c>
      <c r="V197" s="35">
        <f>IF($U197="",DATE(1900,1,1),$N197)</f>
        <v/>
      </c>
      <c r="W197" s="35">
        <f>IF($U197="",DATE(2100,12,31),$U197)</f>
        <v/>
      </c>
      <c r="X197" s="32">
        <f>IF($U197="",$K197,$K197*$S197)</f>
        <v/>
      </c>
      <c r="Y197" s="35">
        <f>IF($U197="",DATE(2100,12,31),$U197+1)</f>
        <v/>
      </c>
      <c r="Z197" s="35">
        <f>IF($U197="",DATE(1900,1,1),$O197)</f>
        <v/>
      </c>
      <c r="AA197" s="32">
        <f>IF($U197="",0,$K197*$T197)</f>
        <v/>
      </c>
      <c r="AB197" s="21">
        <f>IF($C197="",0,IFERROR(INDEX(Deals!$AD$2:$AD$355,MATCH($C197,Deals!$A$2:$A$355,0)),0))</f>
        <v/>
      </c>
      <c r="AC197" s="32">
        <f>IF(Settings!$B$4="Yes",$I197*$AB197,$I197)</f>
        <v/>
      </c>
      <c r="AD197" s="22">
        <f>IF($C197="","",IFERROR(IF(INDEX(Deals!$AE$2:$AE$355,MATCH($C197,Deals!$A$2:$A$355,0))=0,"",INDEX(Deals!$AE$2:$AE$355,MATCH($C197,Deals!$A$2:$A$355,0))),""))</f>
        <v/>
      </c>
      <c r="AE197" s="22">
        <f>IF($C197="","",IFERROR(IF(INDEX(Deals!$AF$2:$AF$355,MATCH($C197,Deals!$A$2:$A$355,0))=0,"",INDEX(Deals!$AF$2:$AF$355,MATCH($C197,Deals!$A$2:$A$355,0))),""))</f>
        <v/>
      </c>
      <c r="AF197" s="35">
        <f>IF($AD197="",DATE(1900,1,1),$AD197)</f>
        <v/>
      </c>
      <c r="AG197" s="35">
        <f>IF($AE197="",DATE(2100,12,31),$AE197)</f>
        <v/>
      </c>
      <c r="AH197" s="22">
        <f>IF($C197="","",IFERROR(IF(INDEX(Deals!$AG$2:$AG$355,MATCH($C197,Deals!$A$2:$A$355,0))=0,"",INDEX(Deals!$AG$2:$AG$355,MATCH($C197,Deals!$A$2:$A$355,0))),""))</f>
        <v/>
      </c>
      <c r="AI197" s="35">
        <f>IF($AH197="",DATE(1900,1,1),$AF197)</f>
        <v/>
      </c>
      <c r="AJ197" s="35">
        <f>IF($AH197="",DATE(2100,12,31),$AH197)</f>
        <v/>
      </c>
      <c r="AK197" s="32">
        <f>IF($AH197="",$AC197,$AC197*$S197)</f>
        <v/>
      </c>
      <c r="AL197" s="35">
        <f>IF($AH197="",DATE(2100,12,31),$AH197+1)</f>
        <v/>
      </c>
      <c r="AM197" s="35">
        <f>IF($AH197="",DATE(1900,1,1),$AG197)</f>
        <v/>
      </c>
      <c r="AN197" s="32">
        <f>IF($AH197="",0,$AC197*$T197)</f>
        <v/>
      </c>
    </row>
    <row r="198">
      <c r="A198" s="28" t="inlineStr">
        <is>
          <t>Jeremy</t>
        </is>
      </c>
      <c r="B198" s="16">
        <f>IF($A198="","",IFERROR(INDEX(Roster!$B$2:$B$40,MATCH($A198,Roster!$A$2:$A$40,0)),"?"))</f>
        <v/>
      </c>
      <c r="C198" s="28" t="inlineStr">
        <is>
          <t>Seven2 PFIC_1</t>
        </is>
      </c>
      <c r="D198" s="16">
        <f>IF($C198="","",IFERROR(IF(INDEX(Deals!$C$2:$C$355,MATCH($C198,Deals!$A$2:$A$355,0))=0,"",INDEX(Deals!$C$2:$C$355,MATCH($C198,Deals!$A$2:$A$355,0))),"?"))</f>
        <v/>
      </c>
      <c r="E198" s="16">
        <f>IF($C198="","",IFERROR(INDEX(Deals!$F$2:$F$355,MATCH($C198,Deals!$A$2:$A$355,0)),"?"))</f>
        <v/>
      </c>
      <c r="F198" s="28" t="inlineStr">
        <is>
          <t>MD</t>
        </is>
      </c>
      <c r="G198" s="28" t="inlineStr">
        <is>
          <t>Active</t>
        </is>
      </c>
      <c r="H198" s="31" t="n"/>
      <c r="I198" s="32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1">
        <f>IF($C198="",0,IFERROR(INDEX(Deals!$H$2:$H$355,MATCH($C198,Deals!$A$2:$A$355,0)),0))</f>
        <v/>
      </c>
      <c r="K198" s="32">
        <f>IF(Settings!$B$4="Yes",$I198*$J198,$I198)</f>
        <v/>
      </c>
      <c r="L198" s="22">
        <f>IF($C198="","",IFERROR(IF(INDEX(Deals!$I$2:$I$355,MATCH($C198,Deals!$A$2:$A$355,0))=0,"",INDEX(Deals!$I$2:$I$355,MATCH($C198,Deals!$A$2:$A$355,0))),""))</f>
        <v/>
      </c>
      <c r="M198" s="22">
        <f>IF($C198="","",IFERROR(IF(INDEX(Deals!$J$2:$J$355,MATCH($C198,Deals!$A$2:$A$355,0))=0,"",INDEX(Deals!$J$2:$J$355,MATCH($C198,Deals!$A$2:$A$355,0))),""))</f>
        <v/>
      </c>
      <c r="N198" s="35">
        <f>IF($L198="",DATE(1900,1,1),$L198)</f>
        <v/>
      </c>
      <c r="O198" s="35">
        <f>IF($M198="",DATE(2100,12,31),$M198)</f>
        <v/>
      </c>
      <c r="P198" s="20" t="inlineStr"/>
      <c r="Q198" s="43" t="inlineStr"/>
      <c r="R198" s="16">
        <f>IF($C198="","",IFERROR(IF(INDEX(Deals!$U$2:$U$355,MATCH($C198,Deals!$A$2:$A$355,0))=0,"",INDEX(Deals!$U$2:$U$355,MATCH($C198,Deals!$A$2:$A$355,0))),""))</f>
        <v/>
      </c>
      <c r="S198" s="34">
        <f>IFERROR(IF($U198="",1,INDEX(Deals!$V$2:$V$355,MATCH($C198,Deals!$A$2:$A$355,0))),1)</f>
        <v/>
      </c>
      <c r="T198" s="34">
        <f>IFERROR(IF($U198="",1,INDEX(Deals!$W$2:$W$355,MATCH($C198,Deals!$A$2:$A$355,0))),1)</f>
        <v/>
      </c>
      <c r="U198" s="22">
        <f>IF($C198="","",IFERROR(IF(INDEX(Deals!$Y$2:$Y$355,MATCH($C198,Deals!$A$2:$A$355,0))=0,"",INDEX(Deals!$Y$2:$Y$355,MATCH($C198,Deals!$A$2:$A$355,0))),""))</f>
        <v/>
      </c>
      <c r="V198" s="35">
        <f>IF($U198="",DATE(1900,1,1),$N198)</f>
        <v/>
      </c>
      <c r="W198" s="35">
        <f>IF($U198="",DATE(2100,12,31),$U198)</f>
        <v/>
      </c>
      <c r="X198" s="32">
        <f>IF($U198="",$K198,$K198*$S198)</f>
        <v/>
      </c>
      <c r="Y198" s="35">
        <f>IF($U198="",DATE(2100,12,31),$U198+1)</f>
        <v/>
      </c>
      <c r="Z198" s="35">
        <f>IF($U198="",DATE(1900,1,1),$O198)</f>
        <v/>
      </c>
      <c r="AA198" s="32">
        <f>IF($U198="",0,$K198*$T198)</f>
        <v/>
      </c>
      <c r="AB198" s="21">
        <f>IF($C198="",0,IFERROR(INDEX(Deals!$AD$2:$AD$355,MATCH($C198,Deals!$A$2:$A$355,0)),0))</f>
        <v/>
      </c>
      <c r="AC198" s="32">
        <f>IF(Settings!$B$4="Yes",$I198*$AB198,$I198)</f>
        <v/>
      </c>
      <c r="AD198" s="22">
        <f>IF($C198="","",IFERROR(IF(INDEX(Deals!$AE$2:$AE$355,MATCH($C198,Deals!$A$2:$A$355,0))=0,"",INDEX(Deals!$AE$2:$AE$355,MATCH($C198,Deals!$A$2:$A$355,0))),""))</f>
        <v/>
      </c>
      <c r="AE198" s="22">
        <f>IF($C198="","",IFERROR(IF(INDEX(Deals!$AF$2:$AF$355,MATCH($C198,Deals!$A$2:$A$355,0))=0,"",INDEX(Deals!$AF$2:$AF$355,MATCH($C198,Deals!$A$2:$A$355,0))),""))</f>
        <v/>
      </c>
      <c r="AF198" s="35">
        <f>IF($AD198="",DATE(1900,1,1),$AD198)</f>
        <v/>
      </c>
      <c r="AG198" s="35">
        <f>IF($AE198="",DATE(2100,12,31),$AE198)</f>
        <v/>
      </c>
      <c r="AH198" s="22">
        <f>IF($C198="","",IFERROR(IF(INDEX(Deals!$AG$2:$AG$355,MATCH($C198,Deals!$A$2:$A$355,0))=0,"",INDEX(Deals!$AG$2:$AG$355,MATCH($C198,Deals!$A$2:$A$355,0))),""))</f>
        <v/>
      </c>
      <c r="AI198" s="35">
        <f>IF($AH198="",DATE(1900,1,1),$AF198)</f>
        <v/>
      </c>
      <c r="AJ198" s="35">
        <f>IF($AH198="",DATE(2100,12,31),$AH198)</f>
        <v/>
      </c>
      <c r="AK198" s="32">
        <f>IF($AH198="",$AC198,$AC198*$S198)</f>
        <v/>
      </c>
      <c r="AL198" s="35">
        <f>IF($AH198="",DATE(2100,12,31),$AH198+1)</f>
        <v/>
      </c>
      <c r="AM198" s="35">
        <f>IF($AH198="",DATE(1900,1,1),$AG198)</f>
        <v/>
      </c>
      <c r="AN198" s="32">
        <f>IF($AH198="",0,$AC198*$T198)</f>
        <v/>
      </c>
    </row>
    <row r="199">
      <c r="A199" s="28" t="inlineStr">
        <is>
          <t>Jeremy</t>
        </is>
      </c>
      <c r="B199" s="16">
        <f>IF($A199="","",IFERROR(INDEX(Roster!$B$2:$B$40,MATCH($A199,Roster!$A$2:$A$40,0)),"?"))</f>
        <v/>
      </c>
      <c r="C199" s="28" t="inlineStr">
        <is>
          <t>Theoden_1</t>
        </is>
      </c>
      <c r="D199" s="16">
        <f>IF($C199="","",IFERROR(IF(INDEX(Deals!$C$2:$C$355,MATCH($C199,Deals!$A$2:$A$355,0))=0,"",INDEX(Deals!$C$2:$C$355,MATCH($C199,Deals!$A$2:$A$355,0))),"?"))</f>
        <v/>
      </c>
      <c r="E199" s="16">
        <f>IF($C199="","",IFERROR(INDEX(Deals!$F$2:$F$355,MATCH($C199,Deals!$A$2:$A$355,0)),"?"))</f>
        <v/>
      </c>
      <c r="F199" s="28" t="inlineStr">
        <is>
          <t>MD</t>
        </is>
      </c>
      <c r="G199" s="28" t="inlineStr">
        <is>
          <t>Active</t>
        </is>
      </c>
      <c r="H199" s="31" t="n"/>
      <c r="I199" s="32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1">
        <f>IF($C199="",0,IFERROR(INDEX(Deals!$H$2:$H$355,MATCH($C199,Deals!$A$2:$A$355,0)),0))</f>
        <v/>
      </c>
      <c r="K199" s="32">
        <f>IF(Settings!$B$4="Yes",$I199*$J199,$I199)</f>
        <v/>
      </c>
      <c r="L199" s="22">
        <f>IF($C199="","",IFERROR(IF(INDEX(Deals!$I$2:$I$355,MATCH($C199,Deals!$A$2:$A$355,0))=0,"",INDEX(Deals!$I$2:$I$355,MATCH($C199,Deals!$A$2:$A$355,0))),""))</f>
        <v/>
      </c>
      <c r="M199" s="22">
        <f>IF($C199="","",IFERROR(IF(INDEX(Deals!$J$2:$J$355,MATCH($C199,Deals!$A$2:$A$355,0))=0,"",INDEX(Deals!$J$2:$J$355,MATCH($C199,Deals!$A$2:$A$355,0))),""))</f>
        <v/>
      </c>
      <c r="N199" s="35">
        <f>IF($L199="",DATE(1900,1,1),$L199)</f>
        <v/>
      </c>
      <c r="O199" s="35">
        <f>IF($M199="",DATE(2100,12,31),$M199)</f>
        <v/>
      </c>
      <c r="P199" s="20" t="inlineStr"/>
      <c r="Q199" s="43" t="inlineStr"/>
      <c r="R199" s="16">
        <f>IF($C199="","",IFERROR(IF(INDEX(Deals!$U$2:$U$355,MATCH($C199,Deals!$A$2:$A$355,0))=0,"",INDEX(Deals!$U$2:$U$355,MATCH($C199,Deals!$A$2:$A$355,0))),""))</f>
        <v/>
      </c>
      <c r="S199" s="34">
        <f>IFERROR(IF($U199="",1,INDEX(Deals!$V$2:$V$355,MATCH($C199,Deals!$A$2:$A$355,0))),1)</f>
        <v/>
      </c>
      <c r="T199" s="34">
        <f>IFERROR(IF($U199="",1,INDEX(Deals!$W$2:$W$355,MATCH($C199,Deals!$A$2:$A$355,0))),1)</f>
        <v/>
      </c>
      <c r="U199" s="22">
        <f>IF($C199="","",IFERROR(IF(INDEX(Deals!$Y$2:$Y$355,MATCH($C199,Deals!$A$2:$A$355,0))=0,"",INDEX(Deals!$Y$2:$Y$355,MATCH($C199,Deals!$A$2:$A$355,0))),""))</f>
        <v/>
      </c>
      <c r="V199" s="35">
        <f>IF($U199="",DATE(1900,1,1),$N199)</f>
        <v/>
      </c>
      <c r="W199" s="35">
        <f>IF($U199="",DATE(2100,12,31),$U199)</f>
        <v/>
      </c>
      <c r="X199" s="32">
        <f>IF($U199="",$K199,$K199*$S199)</f>
        <v/>
      </c>
      <c r="Y199" s="35">
        <f>IF($U199="",DATE(2100,12,31),$U199+1)</f>
        <v/>
      </c>
      <c r="Z199" s="35">
        <f>IF($U199="",DATE(1900,1,1),$O199)</f>
        <v/>
      </c>
      <c r="AA199" s="32">
        <f>IF($U199="",0,$K199*$T199)</f>
        <v/>
      </c>
      <c r="AB199" s="21">
        <f>IF($C199="",0,IFERROR(INDEX(Deals!$AD$2:$AD$355,MATCH($C199,Deals!$A$2:$A$355,0)),0))</f>
        <v/>
      </c>
      <c r="AC199" s="32">
        <f>IF(Settings!$B$4="Yes",$I199*$AB199,$I199)</f>
        <v/>
      </c>
      <c r="AD199" s="22">
        <f>IF($C199="","",IFERROR(IF(INDEX(Deals!$AE$2:$AE$355,MATCH($C199,Deals!$A$2:$A$355,0))=0,"",INDEX(Deals!$AE$2:$AE$355,MATCH($C199,Deals!$A$2:$A$355,0))),""))</f>
        <v/>
      </c>
      <c r="AE199" s="22">
        <f>IF($C199="","",IFERROR(IF(INDEX(Deals!$AF$2:$AF$355,MATCH($C199,Deals!$A$2:$A$355,0))=0,"",INDEX(Deals!$AF$2:$AF$355,MATCH($C199,Deals!$A$2:$A$355,0))),""))</f>
        <v/>
      </c>
      <c r="AF199" s="35">
        <f>IF($AD199="",DATE(1900,1,1),$AD199)</f>
        <v/>
      </c>
      <c r="AG199" s="35">
        <f>IF($AE199="",DATE(2100,12,31),$AE199)</f>
        <v/>
      </c>
      <c r="AH199" s="22">
        <f>IF($C199="","",IFERROR(IF(INDEX(Deals!$AG$2:$AG$355,MATCH($C199,Deals!$A$2:$A$355,0))=0,"",INDEX(Deals!$AG$2:$AG$355,MATCH($C199,Deals!$A$2:$A$355,0))),""))</f>
        <v/>
      </c>
      <c r="AI199" s="35">
        <f>IF($AH199="",DATE(1900,1,1),$AF199)</f>
        <v/>
      </c>
      <c r="AJ199" s="35">
        <f>IF($AH199="",DATE(2100,12,31),$AH199)</f>
        <v/>
      </c>
      <c r="AK199" s="32">
        <f>IF($AH199="",$AC199,$AC199*$S199)</f>
        <v/>
      </c>
      <c r="AL199" s="35">
        <f>IF($AH199="",DATE(2100,12,31),$AH199+1)</f>
        <v/>
      </c>
      <c r="AM199" s="35">
        <f>IF($AH199="",DATE(1900,1,1),$AG199)</f>
        <v/>
      </c>
      <c r="AN199" s="32">
        <f>IF($AH199="",0,$AC199*$T199)</f>
        <v/>
      </c>
    </row>
    <row r="200">
      <c r="A200" s="28" t="inlineStr">
        <is>
          <t>Jeremy</t>
        </is>
      </c>
      <c r="B200" s="16">
        <f>IF($A200="","",IFERROR(INDEX(Roster!$B$2:$B$40,MATCH($A200,Roster!$A$2:$A$40,0)),"?"))</f>
        <v/>
      </c>
      <c r="C200" s="28" t="inlineStr">
        <is>
          <t>Ursa_1</t>
        </is>
      </c>
      <c r="D200" s="16">
        <f>IF($C200="","",IFERROR(IF(INDEX(Deals!$C$2:$C$355,MATCH($C200,Deals!$A$2:$A$355,0))=0,"",INDEX(Deals!$C$2:$C$355,MATCH($C200,Deals!$A$2:$A$355,0))),"?"))</f>
        <v/>
      </c>
      <c r="E200" s="16">
        <f>IF($C200="","",IFERROR(INDEX(Deals!$F$2:$F$355,MATCH($C200,Deals!$A$2:$A$355,0)),"?"))</f>
        <v/>
      </c>
      <c r="F200" s="28" t="inlineStr">
        <is>
          <t>MD</t>
        </is>
      </c>
      <c r="G200" s="28" t="inlineStr">
        <is>
          <t>Active</t>
        </is>
      </c>
      <c r="H200" s="31" t="n"/>
      <c r="I200" s="32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1">
        <f>IF($C200="",0,IFERROR(INDEX(Deals!$H$2:$H$355,MATCH($C200,Deals!$A$2:$A$355,0)),0))</f>
        <v/>
      </c>
      <c r="K200" s="32">
        <f>IF(Settings!$B$4="Yes",$I200*$J200,$I200)</f>
        <v/>
      </c>
      <c r="L200" s="22">
        <f>IF($C200="","",IFERROR(IF(INDEX(Deals!$I$2:$I$355,MATCH($C200,Deals!$A$2:$A$355,0))=0,"",INDEX(Deals!$I$2:$I$355,MATCH($C200,Deals!$A$2:$A$355,0))),""))</f>
        <v/>
      </c>
      <c r="M200" s="22">
        <f>IF($C200="","",IFERROR(IF(INDEX(Deals!$J$2:$J$355,MATCH($C200,Deals!$A$2:$A$355,0))=0,"",INDEX(Deals!$J$2:$J$355,MATCH($C200,Deals!$A$2:$A$355,0))),""))</f>
        <v/>
      </c>
      <c r="N200" s="35">
        <f>IF($L200="",DATE(1900,1,1),$L200)</f>
        <v/>
      </c>
      <c r="O200" s="35">
        <f>IF($M200="",DATE(2100,12,31),$M200)</f>
        <v/>
      </c>
      <c r="P200" s="20" t="inlineStr"/>
      <c r="Q200" s="43" t="inlineStr"/>
      <c r="R200" s="16">
        <f>IF($C200="","",IFERROR(IF(INDEX(Deals!$U$2:$U$355,MATCH($C200,Deals!$A$2:$A$355,0))=0,"",INDEX(Deals!$U$2:$U$355,MATCH($C200,Deals!$A$2:$A$355,0))),""))</f>
        <v/>
      </c>
      <c r="S200" s="34">
        <f>IFERROR(IF($U200="",1,INDEX(Deals!$V$2:$V$355,MATCH($C200,Deals!$A$2:$A$355,0))),1)</f>
        <v/>
      </c>
      <c r="T200" s="34">
        <f>IFERROR(IF($U200="",1,INDEX(Deals!$W$2:$W$355,MATCH($C200,Deals!$A$2:$A$355,0))),1)</f>
        <v/>
      </c>
      <c r="U200" s="22">
        <f>IF($C200="","",IFERROR(IF(INDEX(Deals!$Y$2:$Y$355,MATCH($C200,Deals!$A$2:$A$355,0))=0,"",INDEX(Deals!$Y$2:$Y$355,MATCH($C200,Deals!$A$2:$A$355,0))),""))</f>
        <v/>
      </c>
      <c r="V200" s="35">
        <f>IF($U200="",DATE(1900,1,1),$N200)</f>
        <v/>
      </c>
      <c r="W200" s="35">
        <f>IF($U200="",DATE(2100,12,31),$U200)</f>
        <v/>
      </c>
      <c r="X200" s="32">
        <f>IF($U200="",$K200,$K200*$S200)</f>
        <v/>
      </c>
      <c r="Y200" s="35">
        <f>IF($U200="",DATE(2100,12,31),$U200+1)</f>
        <v/>
      </c>
      <c r="Z200" s="35">
        <f>IF($U200="",DATE(1900,1,1),$O200)</f>
        <v/>
      </c>
      <c r="AA200" s="32">
        <f>IF($U200="",0,$K200*$T200)</f>
        <v/>
      </c>
      <c r="AB200" s="21">
        <f>IF($C200="",0,IFERROR(INDEX(Deals!$AD$2:$AD$355,MATCH($C200,Deals!$A$2:$A$355,0)),0))</f>
        <v/>
      </c>
      <c r="AC200" s="32">
        <f>IF(Settings!$B$4="Yes",$I200*$AB200,$I200)</f>
        <v/>
      </c>
      <c r="AD200" s="22">
        <f>IF($C200="","",IFERROR(IF(INDEX(Deals!$AE$2:$AE$355,MATCH($C200,Deals!$A$2:$A$355,0))=0,"",INDEX(Deals!$AE$2:$AE$355,MATCH($C200,Deals!$A$2:$A$355,0))),""))</f>
        <v/>
      </c>
      <c r="AE200" s="22">
        <f>IF($C200="","",IFERROR(IF(INDEX(Deals!$AF$2:$AF$355,MATCH($C200,Deals!$A$2:$A$355,0))=0,"",INDEX(Deals!$AF$2:$AF$355,MATCH($C200,Deals!$A$2:$A$355,0))),""))</f>
        <v/>
      </c>
      <c r="AF200" s="35">
        <f>IF($AD200="",DATE(1900,1,1),$AD200)</f>
        <v/>
      </c>
      <c r="AG200" s="35">
        <f>IF($AE200="",DATE(2100,12,31),$AE200)</f>
        <v/>
      </c>
      <c r="AH200" s="22">
        <f>IF($C200="","",IFERROR(IF(INDEX(Deals!$AG$2:$AG$355,MATCH($C200,Deals!$A$2:$A$355,0))=0,"",INDEX(Deals!$AG$2:$AG$355,MATCH($C200,Deals!$A$2:$A$355,0))),""))</f>
        <v/>
      </c>
      <c r="AI200" s="35">
        <f>IF($AH200="",DATE(1900,1,1),$AF200)</f>
        <v/>
      </c>
      <c r="AJ200" s="35">
        <f>IF($AH200="",DATE(2100,12,31),$AH200)</f>
        <v/>
      </c>
      <c r="AK200" s="32">
        <f>IF($AH200="",$AC200,$AC200*$S200)</f>
        <v/>
      </c>
      <c r="AL200" s="35">
        <f>IF($AH200="",DATE(2100,12,31),$AH200+1)</f>
        <v/>
      </c>
      <c r="AM200" s="35">
        <f>IF($AH200="",DATE(1900,1,1),$AG200)</f>
        <v/>
      </c>
      <c r="AN200" s="32">
        <f>IF($AH200="",0,$AC200*$T200)</f>
        <v/>
      </c>
    </row>
    <row r="201">
      <c r="A201" s="28" t="inlineStr">
        <is>
          <t>Jeremy</t>
        </is>
      </c>
      <c r="B201" s="16">
        <f>IF($A201="","",IFERROR(INDEX(Roster!$B$2:$B$40,MATCH($A201,Roster!$A$2:$A$40,0)),"?"))</f>
        <v/>
      </c>
      <c r="C201" s="28" t="inlineStr">
        <is>
          <t>Voyager_1</t>
        </is>
      </c>
      <c r="D201" s="16">
        <f>IF($C201="","",IFERROR(IF(INDEX(Deals!$C$2:$C$355,MATCH($C201,Deals!$A$2:$A$355,0))=0,"",INDEX(Deals!$C$2:$C$355,MATCH($C201,Deals!$A$2:$A$355,0))),"?"))</f>
        <v/>
      </c>
      <c r="E201" s="16">
        <f>IF($C201="","",IFERROR(INDEX(Deals!$F$2:$F$355,MATCH($C201,Deals!$A$2:$A$355,0)),"?"))</f>
        <v/>
      </c>
      <c r="F201" s="28" t="inlineStr">
        <is>
          <t>MD</t>
        </is>
      </c>
      <c r="G201" s="28" t="inlineStr">
        <is>
          <t>Active</t>
        </is>
      </c>
      <c r="H201" s="31" t="n"/>
      <c r="I201" s="32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1">
        <f>IF($C201="",0,IFERROR(INDEX(Deals!$H$2:$H$355,MATCH($C201,Deals!$A$2:$A$355,0)),0))</f>
        <v/>
      </c>
      <c r="K201" s="32">
        <f>IF(Settings!$B$4="Yes",$I201*$J201,$I201)</f>
        <v/>
      </c>
      <c r="L201" s="22">
        <f>IF($C201="","",IFERROR(IF(INDEX(Deals!$I$2:$I$355,MATCH($C201,Deals!$A$2:$A$355,0))=0,"",INDEX(Deals!$I$2:$I$355,MATCH($C201,Deals!$A$2:$A$355,0))),""))</f>
        <v/>
      </c>
      <c r="M201" s="22">
        <f>IF($C201="","",IFERROR(IF(INDEX(Deals!$J$2:$J$355,MATCH($C201,Deals!$A$2:$A$355,0))=0,"",INDEX(Deals!$J$2:$J$355,MATCH($C201,Deals!$A$2:$A$355,0))),""))</f>
        <v/>
      </c>
      <c r="N201" s="35">
        <f>IF($L201="",DATE(1900,1,1),$L201)</f>
        <v/>
      </c>
      <c r="O201" s="35">
        <f>IF($M201="",DATE(2100,12,31),$M201)</f>
        <v/>
      </c>
      <c r="P201" s="20" t="inlineStr"/>
      <c r="Q201" s="43" t="inlineStr"/>
      <c r="R201" s="16">
        <f>IF($C201="","",IFERROR(IF(INDEX(Deals!$U$2:$U$355,MATCH($C201,Deals!$A$2:$A$355,0))=0,"",INDEX(Deals!$U$2:$U$355,MATCH($C201,Deals!$A$2:$A$355,0))),""))</f>
        <v/>
      </c>
      <c r="S201" s="34">
        <f>IFERROR(IF($U201="",1,INDEX(Deals!$V$2:$V$355,MATCH($C201,Deals!$A$2:$A$355,0))),1)</f>
        <v/>
      </c>
      <c r="T201" s="34">
        <f>IFERROR(IF($U201="",1,INDEX(Deals!$W$2:$W$355,MATCH($C201,Deals!$A$2:$A$355,0))),1)</f>
        <v/>
      </c>
      <c r="U201" s="22">
        <f>IF($C201="","",IFERROR(IF(INDEX(Deals!$Y$2:$Y$355,MATCH($C201,Deals!$A$2:$A$355,0))=0,"",INDEX(Deals!$Y$2:$Y$355,MATCH($C201,Deals!$A$2:$A$355,0))),""))</f>
        <v/>
      </c>
      <c r="V201" s="35">
        <f>IF($U201="",DATE(1900,1,1),$N201)</f>
        <v/>
      </c>
      <c r="W201" s="35">
        <f>IF($U201="",DATE(2100,12,31),$U201)</f>
        <v/>
      </c>
      <c r="X201" s="32">
        <f>IF($U201="",$K201,$K201*$S201)</f>
        <v/>
      </c>
      <c r="Y201" s="35">
        <f>IF($U201="",DATE(2100,12,31),$U201+1)</f>
        <v/>
      </c>
      <c r="Z201" s="35">
        <f>IF($U201="",DATE(1900,1,1),$O201)</f>
        <v/>
      </c>
      <c r="AA201" s="32">
        <f>IF($U201="",0,$K201*$T201)</f>
        <v/>
      </c>
      <c r="AB201" s="21">
        <f>IF($C201="",0,IFERROR(INDEX(Deals!$AD$2:$AD$355,MATCH($C201,Deals!$A$2:$A$355,0)),0))</f>
        <v/>
      </c>
      <c r="AC201" s="32">
        <f>IF(Settings!$B$4="Yes",$I201*$AB201,$I201)</f>
        <v/>
      </c>
      <c r="AD201" s="22">
        <f>IF($C201="","",IFERROR(IF(INDEX(Deals!$AE$2:$AE$355,MATCH($C201,Deals!$A$2:$A$355,0))=0,"",INDEX(Deals!$AE$2:$AE$355,MATCH($C201,Deals!$A$2:$A$355,0))),""))</f>
        <v/>
      </c>
      <c r="AE201" s="22">
        <f>IF($C201="","",IFERROR(IF(INDEX(Deals!$AF$2:$AF$355,MATCH($C201,Deals!$A$2:$A$355,0))=0,"",INDEX(Deals!$AF$2:$AF$355,MATCH($C201,Deals!$A$2:$A$355,0))),""))</f>
        <v/>
      </c>
      <c r="AF201" s="35">
        <f>IF($AD201="",DATE(1900,1,1),$AD201)</f>
        <v/>
      </c>
      <c r="AG201" s="35">
        <f>IF($AE201="",DATE(2100,12,31),$AE201)</f>
        <v/>
      </c>
      <c r="AH201" s="22">
        <f>IF($C201="","",IFERROR(IF(INDEX(Deals!$AG$2:$AG$355,MATCH($C201,Deals!$A$2:$A$355,0))=0,"",INDEX(Deals!$AG$2:$AG$355,MATCH($C201,Deals!$A$2:$A$355,0))),""))</f>
        <v/>
      </c>
      <c r="AI201" s="35">
        <f>IF($AH201="",DATE(1900,1,1),$AF201)</f>
        <v/>
      </c>
      <c r="AJ201" s="35">
        <f>IF($AH201="",DATE(2100,12,31),$AH201)</f>
        <v/>
      </c>
      <c r="AK201" s="32">
        <f>IF($AH201="",$AC201,$AC201*$S201)</f>
        <v/>
      </c>
      <c r="AL201" s="35">
        <f>IF($AH201="",DATE(2100,12,31),$AH201+1)</f>
        <v/>
      </c>
      <c r="AM201" s="35">
        <f>IF($AH201="",DATE(1900,1,1),$AG201)</f>
        <v/>
      </c>
      <c r="AN201" s="32">
        <f>IF($AH201="",0,$AC201*$T201)</f>
        <v/>
      </c>
    </row>
    <row r="202">
      <c r="A202" s="28" t="inlineStr">
        <is>
          <t>Jason</t>
        </is>
      </c>
      <c r="B202" s="16">
        <f>IF($A202="","",IFERROR(INDEX(Roster!$B$2:$B$40,MATCH($A202,Roster!$A$2:$A$40,0)),"?"))</f>
        <v/>
      </c>
      <c r="C202" s="28" t="inlineStr">
        <is>
          <t>360_2</t>
        </is>
      </c>
      <c r="D202" s="16">
        <f>IF($C202="","",IFERROR(IF(INDEX(Deals!$C$2:$C$355,MATCH($C202,Deals!$A$2:$A$355,0))=0,"",INDEX(Deals!$C$2:$C$355,MATCH($C202,Deals!$A$2:$A$355,0))),"?"))</f>
        <v/>
      </c>
      <c r="E202" s="16">
        <f>IF($C202="","",IFERROR(INDEX(Deals!$F$2:$F$355,MATCH($C202,Deals!$A$2:$A$355,0)),"?"))</f>
        <v/>
      </c>
      <c r="F202" s="28" t="inlineStr">
        <is>
          <t>MD</t>
        </is>
      </c>
      <c r="G202" s="28" t="inlineStr">
        <is>
          <t>Active</t>
        </is>
      </c>
      <c r="H202" s="31" t="n"/>
      <c r="I202" s="32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1">
        <f>IF($C202="",0,IFERROR(INDEX(Deals!$H$2:$H$355,MATCH($C202,Deals!$A$2:$A$355,0)),0))</f>
        <v/>
      </c>
      <c r="K202" s="32">
        <f>IF(Settings!$B$4="Yes",$I202*$J202,$I202)</f>
        <v/>
      </c>
      <c r="L202" s="22">
        <f>IF($C202="","",IFERROR(IF(INDEX(Deals!$I$2:$I$355,MATCH($C202,Deals!$A$2:$A$355,0))=0,"",INDEX(Deals!$I$2:$I$355,MATCH($C202,Deals!$A$2:$A$355,0))),""))</f>
        <v/>
      </c>
      <c r="M202" s="22">
        <f>IF($C202="","",IFERROR(IF(INDEX(Deals!$J$2:$J$355,MATCH($C202,Deals!$A$2:$A$355,0))=0,"",INDEX(Deals!$J$2:$J$355,MATCH($C202,Deals!$A$2:$A$355,0))),""))</f>
        <v/>
      </c>
      <c r="N202" s="35">
        <f>IF($L202="",DATE(1900,1,1),$L202)</f>
        <v/>
      </c>
      <c r="O202" s="35">
        <f>IF($M202="",DATE(2100,12,31),$M202)</f>
        <v/>
      </c>
      <c r="P202" s="20" t="inlineStr"/>
      <c r="Q202" s="43" t="inlineStr"/>
      <c r="R202" s="16">
        <f>IF($C202="","",IFERROR(IF(INDEX(Deals!$U$2:$U$355,MATCH($C202,Deals!$A$2:$A$355,0))=0,"",INDEX(Deals!$U$2:$U$355,MATCH($C202,Deals!$A$2:$A$355,0))),""))</f>
        <v/>
      </c>
      <c r="S202" s="34">
        <f>IFERROR(IF($U202="",1,INDEX(Deals!$V$2:$V$355,MATCH($C202,Deals!$A$2:$A$355,0))),1)</f>
        <v/>
      </c>
      <c r="T202" s="34">
        <f>IFERROR(IF($U202="",1,INDEX(Deals!$W$2:$W$355,MATCH($C202,Deals!$A$2:$A$355,0))),1)</f>
        <v/>
      </c>
      <c r="U202" s="22">
        <f>IF($C202="","",IFERROR(IF(INDEX(Deals!$Y$2:$Y$355,MATCH($C202,Deals!$A$2:$A$355,0))=0,"",INDEX(Deals!$Y$2:$Y$355,MATCH($C202,Deals!$A$2:$A$355,0))),""))</f>
        <v/>
      </c>
      <c r="V202" s="35">
        <f>IF($U202="",DATE(1900,1,1),$N202)</f>
        <v/>
      </c>
      <c r="W202" s="35">
        <f>IF($U202="",DATE(2100,12,31),$U202)</f>
        <v/>
      </c>
      <c r="X202" s="32">
        <f>IF($U202="",$K202,$K202*$S202)</f>
        <v/>
      </c>
      <c r="Y202" s="35">
        <f>IF($U202="",DATE(2100,12,31),$U202+1)</f>
        <v/>
      </c>
      <c r="Z202" s="35">
        <f>IF($U202="",DATE(1900,1,1),$O202)</f>
        <v/>
      </c>
      <c r="AA202" s="32">
        <f>IF($U202="",0,$K202*$T202)</f>
        <v/>
      </c>
      <c r="AB202" s="21">
        <f>IF($C202="",0,IFERROR(INDEX(Deals!$AD$2:$AD$355,MATCH($C202,Deals!$A$2:$A$355,0)),0))</f>
        <v/>
      </c>
      <c r="AC202" s="32">
        <f>IF(Settings!$B$4="Yes",$I202*$AB202,$I202)</f>
        <v/>
      </c>
      <c r="AD202" s="22">
        <f>IF($C202="","",IFERROR(IF(INDEX(Deals!$AE$2:$AE$355,MATCH($C202,Deals!$A$2:$A$355,0))=0,"",INDEX(Deals!$AE$2:$AE$355,MATCH($C202,Deals!$A$2:$A$355,0))),""))</f>
        <v/>
      </c>
      <c r="AE202" s="22">
        <f>IF($C202="","",IFERROR(IF(INDEX(Deals!$AF$2:$AF$355,MATCH($C202,Deals!$A$2:$A$355,0))=0,"",INDEX(Deals!$AF$2:$AF$355,MATCH($C202,Deals!$A$2:$A$355,0))),""))</f>
        <v/>
      </c>
      <c r="AF202" s="35">
        <f>IF($AD202="",DATE(1900,1,1),$AD202)</f>
        <v/>
      </c>
      <c r="AG202" s="35">
        <f>IF($AE202="",DATE(2100,12,31),$AE202)</f>
        <v/>
      </c>
      <c r="AH202" s="22">
        <f>IF($C202="","",IFERROR(IF(INDEX(Deals!$AG$2:$AG$355,MATCH($C202,Deals!$A$2:$A$355,0))=0,"",INDEX(Deals!$AG$2:$AG$355,MATCH($C202,Deals!$A$2:$A$355,0))),""))</f>
        <v/>
      </c>
      <c r="AI202" s="35">
        <f>IF($AH202="",DATE(1900,1,1),$AF202)</f>
        <v/>
      </c>
      <c r="AJ202" s="35">
        <f>IF($AH202="",DATE(2100,12,31),$AH202)</f>
        <v/>
      </c>
      <c r="AK202" s="32">
        <f>IF($AH202="",$AC202,$AC202*$S202)</f>
        <v/>
      </c>
      <c r="AL202" s="35">
        <f>IF($AH202="",DATE(2100,12,31),$AH202+1)</f>
        <v/>
      </c>
      <c r="AM202" s="35">
        <f>IF($AH202="",DATE(1900,1,1),$AG202)</f>
        <v/>
      </c>
      <c r="AN202" s="32">
        <f>IF($AH202="",0,$AC202*$T202)</f>
        <v/>
      </c>
    </row>
    <row r="203">
      <c r="A203" s="28" t="inlineStr">
        <is>
          <t>Jason</t>
        </is>
      </c>
      <c r="B203" s="16">
        <f>IF($A203="","",IFERROR(INDEX(Roster!$B$2:$B$40,MATCH($A203,Roster!$A$2:$A$40,0)),"?"))</f>
        <v/>
      </c>
      <c r="C203" s="28" t="inlineStr">
        <is>
          <t>Beacon_3</t>
        </is>
      </c>
      <c r="D203" s="16">
        <f>IF($C203="","",IFERROR(IF(INDEX(Deals!$C$2:$C$355,MATCH($C203,Deals!$A$2:$A$355,0))=0,"",INDEX(Deals!$C$2:$C$355,MATCH($C203,Deals!$A$2:$A$355,0))),"?"))</f>
        <v/>
      </c>
      <c r="E203" s="16">
        <f>IF($C203="","",IFERROR(INDEX(Deals!$F$2:$F$355,MATCH($C203,Deals!$A$2:$A$355,0)),"?"))</f>
        <v/>
      </c>
      <c r="F203" s="28" t="inlineStr">
        <is>
          <t>MD</t>
        </is>
      </c>
      <c r="G203" s="28" t="inlineStr">
        <is>
          <t>Inactive</t>
        </is>
      </c>
      <c r="H203" s="31" t="n"/>
      <c r="I203" s="32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1">
        <f>IF($C203="",0,IFERROR(INDEX(Deals!$H$2:$H$355,MATCH($C203,Deals!$A$2:$A$355,0)),0))</f>
        <v/>
      </c>
      <c r="K203" s="32">
        <f>IF(Settings!$B$4="Yes",$I203*$J203,$I203)</f>
        <v/>
      </c>
      <c r="L203" s="22">
        <f>IF($C203="","",IFERROR(IF(INDEX(Deals!$I$2:$I$355,MATCH($C203,Deals!$A$2:$A$355,0))=0,"",INDEX(Deals!$I$2:$I$355,MATCH($C203,Deals!$A$2:$A$355,0))),""))</f>
        <v/>
      </c>
      <c r="M203" s="22">
        <f>IF($C203="","",IFERROR(IF(INDEX(Deals!$J$2:$J$355,MATCH($C203,Deals!$A$2:$A$355,0))=0,"",INDEX(Deals!$J$2:$J$355,MATCH($C203,Deals!$A$2:$A$355,0))),""))</f>
        <v/>
      </c>
      <c r="N203" s="35">
        <f>IF($L203="",DATE(1900,1,1),$L203)</f>
        <v/>
      </c>
      <c r="O203" s="35">
        <f>IF($M203="",DATE(2100,12,31),$M203)</f>
        <v/>
      </c>
      <c r="P203" s="20" t="inlineStr"/>
      <c r="Q203" s="43" t="inlineStr">
        <is>
          <t>Deal lifecycle is Dead</t>
        </is>
      </c>
      <c r="R203" s="16">
        <f>IF($C203="","",IFERROR(IF(INDEX(Deals!$U$2:$U$355,MATCH($C203,Deals!$A$2:$A$355,0))=0,"",INDEX(Deals!$U$2:$U$355,MATCH($C203,Deals!$A$2:$A$355,0))),""))</f>
        <v/>
      </c>
      <c r="S203" s="34">
        <f>IFERROR(IF($U203="",1,INDEX(Deals!$V$2:$V$355,MATCH($C203,Deals!$A$2:$A$355,0))),1)</f>
        <v/>
      </c>
      <c r="T203" s="34">
        <f>IFERROR(IF($U203="",1,INDEX(Deals!$W$2:$W$355,MATCH($C203,Deals!$A$2:$A$355,0))),1)</f>
        <v/>
      </c>
      <c r="U203" s="22">
        <f>IF($C203="","",IFERROR(IF(INDEX(Deals!$Y$2:$Y$355,MATCH($C203,Deals!$A$2:$A$355,0))=0,"",INDEX(Deals!$Y$2:$Y$355,MATCH($C203,Deals!$A$2:$A$355,0))),""))</f>
        <v/>
      </c>
      <c r="V203" s="35">
        <f>IF($U203="",DATE(1900,1,1),$N203)</f>
        <v/>
      </c>
      <c r="W203" s="35">
        <f>IF($U203="",DATE(2100,12,31),$U203)</f>
        <v/>
      </c>
      <c r="X203" s="32">
        <f>IF($U203="",$K203,$K203*$S203)</f>
        <v/>
      </c>
      <c r="Y203" s="35">
        <f>IF($U203="",DATE(2100,12,31),$U203+1)</f>
        <v/>
      </c>
      <c r="Z203" s="35">
        <f>IF($U203="",DATE(1900,1,1),$O203)</f>
        <v/>
      </c>
      <c r="AA203" s="32">
        <f>IF($U203="",0,$K203*$T203)</f>
        <v/>
      </c>
      <c r="AB203" s="21">
        <f>IF($C203="",0,IFERROR(INDEX(Deals!$AD$2:$AD$355,MATCH($C203,Deals!$A$2:$A$355,0)),0))</f>
        <v/>
      </c>
      <c r="AC203" s="32">
        <f>IF(Settings!$B$4="Yes",$I203*$AB203,$I203)</f>
        <v/>
      </c>
      <c r="AD203" s="22">
        <f>IF($C203="","",IFERROR(IF(INDEX(Deals!$AE$2:$AE$355,MATCH($C203,Deals!$A$2:$A$355,0))=0,"",INDEX(Deals!$AE$2:$AE$355,MATCH($C203,Deals!$A$2:$A$355,0))),""))</f>
        <v/>
      </c>
      <c r="AE203" s="22">
        <f>IF($C203="","",IFERROR(IF(INDEX(Deals!$AF$2:$AF$355,MATCH($C203,Deals!$A$2:$A$355,0))=0,"",INDEX(Deals!$AF$2:$AF$355,MATCH($C203,Deals!$A$2:$A$355,0))),""))</f>
        <v/>
      </c>
      <c r="AF203" s="35">
        <f>IF($AD203="",DATE(1900,1,1),$AD203)</f>
        <v/>
      </c>
      <c r="AG203" s="35">
        <f>IF($AE203="",DATE(2100,12,31),$AE203)</f>
        <v/>
      </c>
      <c r="AH203" s="22">
        <f>IF($C203="","",IFERROR(IF(INDEX(Deals!$AG$2:$AG$355,MATCH($C203,Deals!$A$2:$A$355,0))=0,"",INDEX(Deals!$AG$2:$AG$355,MATCH($C203,Deals!$A$2:$A$355,0))),""))</f>
        <v/>
      </c>
      <c r="AI203" s="35">
        <f>IF($AH203="",DATE(1900,1,1),$AF203)</f>
        <v/>
      </c>
      <c r="AJ203" s="35">
        <f>IF($AH203="",DATE(2100,12,31),$AH203)</f>
        <v/>
      </c>
      <c r="AK203" s="32">
        <f>IF($AH203="",$AC203,$AC203*$S203)</f>
        <v/>
      </c>
      <c r="AL203" s="35">
        <f>IF($AH203="",DATE(2100,12,31),$AH203+1)</f>
        <v/>
      </c>
      <c r="AM203" s="35">
        <f>IF($AH203="",DATE(1900,1,1),$AG203)</f>
        <v/>
      </c>
      <c r="AN203" s="32">
        <f>IF($AH203="",0,$AC203*$T203)</f>
        <v/>
      </c>
    </row>
    <row r="204">
      <c r="A204" s="28" t="inlineStr">
        <is>
          <t>Jason</t>
        </is>
      </c>
      <c r="B204" s="16">
        <f>IF($A204="","",IFERROR(INDEX(Roster!$B$2:$B$40,MATCH($A204,Roster!$A$2:$A$40,0)),"?"))</f>
        <v/>
      </c>
      <c r="C204" s="28" t="inlineStr">
        <is>
          <t>Fengate_4</t>
        </is>
      </c>
      <c r="D204" s="16">
        <f>IF($C204="","",IFERROR(IF(INDEX(Deals!$C$2:$C$355,MATCH($C204,Deals!$A$2:$A$355,0))=0,"",INDEX(Deals!$C$2:$C$355,MATCH($C204,Deals!$A$2:$A$355,0))),"?"))</f>
        <v/>
      </c>
      <c r="E204" s="16">
        <f>IF($C204="","",IFERROR(INDEX(Deals!$F$2:$F$355,MATCH($C204,Deals!$A$2:$A$355,0)),"?"))</f>
        <v/>
      </c>
      <c r="F204" s="28" t="inlineStr">
        <is>
          <t>MD</t>
        </is>
      </c>
      <c r="G204" s="28" t="inlineStr">
        <is>
          <t>Active</t>
        </is>
      </c>
      <c r="H204" s="31" t="n"/>
      <c r="I204" s="32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1">
        <f>IF($C204="",0,IFERROR(INDEX(Deals!$H$2:$H$355,MATCH($C204,Deals!$A$2:$A$355,0)),0))</f>
        <v/>
      </c>
      <c r="K204" s="32">
        <f>IF(Settings!$B$4="Yes",$I204*$J204,$I204)</f>
        <v/>
      </c>
      <c r="L204" s="22">
        <f>IF($C204="","",IFERROR(IF(INDEX(Deals!$I$2:$I$355,MATCH($C204,Deals!$A$2:$A$355,0))=0,"",INDEX(Deals!$I$2:$I$355,MATCH($C204,Deals!$A$2:$A$355,0))),""))</f>
        <v/>
      </c>
      <c r="M204" s="22">
        <f>IF($C204="","",IFERROR(IF(INDEX(Deals!$J$2:$J$355,MATCH($C204,Deals!$A$2:$A$355,0))=0,"",INDEX(Deals!$J$2:$J$355,MATCH($C204,Deals!$A$2:$A$355,0))),""))</f>
        <v/>
      </c>
      <c r="N204" s="35">
        <f>IF($L204="",DATE(1900,1,1),$L204)</f>
        <v/>
      </c>
      <c r="O204" s="35">
        <f>IF($M204="",DATE(2100,12,31),$M204)</f>
        <v/>
      </c>
      <c r="P204" s="20" t="inlineStr"/>
      <c r="Q204" s="43" t="inlineStr"/>
      <c r="R204" s="16">
        <f>IF($C204="","",IFERROR(IF(INDEX(Deals!$U$2:$U$355,MATCH($C204,Deals!$A$2:$A$355,0))=0,"",INDEX(Deals!$U$2:$U$355,MATCH($C204,Deals!$A$2:$A$355,0))),""))</f>
        <v/>
      </c>
      <c r="S204" s="34">
        <f>IFERROR(IF($U204="",1,INDEX(Deals!$V$2:$V$355,MATCH($C204,Deals!$A$2:$A$355,0))),1)</f>
        <v/>
      </c>
      <c r="T204" s="34">
        <f>IFERROR(IF($U204="",1,INDEX(Deals!$W$2:$W$355,MATCH($C204,Deals!$A$2:$A$355,0))),1)</f>
        <v/>
      </c>
      <c r="U204" s="22">
        <f>IF($C204="","",IFERROR(IF(INDEX(Deals!$Y$2:$Y$355,MATCH($C204,Deals!$A$2:$A$355,0))=0,"",INDEX(Deals!$Y$2:$Y$355,MATCH($C204,Deals!$A$2:$A$355,0))),""))</f>
        <v/>
      </c>
      <c r="V204" s="35">
        <f>IF($U204="",DATE(1900,1,1),$N204)</f>
        <v/>
      </c>
      <c r="W204" s="35">
        <f>IF($U204="",DATE(2100,12,31),$U204)</f>
        <v/>
      </c>
      <c r="X204" s="32">
        <f>IF($U204="",$K204,$K204*$S204)</f>
        <v/>
      </c>
      <c r="Y204" s="35">
        <f>IF($U204="",DATE(2100,12,31),$U204+1)</f>
        <v/>
      </c>
      <c r="Z204" s="35">
        <f>IF($U204="",DATE(1900,1,1),$O204)</f>
        <v/>
      </c>
      <c r="AA204" s="32">
        <f>IF($U204="",0,$K204*$T204)</f>
        <v/>
      </c>
      <c r="AB204" s="21">
        <f>IF($C204="",0,IFERROR(INDEX(Deals!$AD$2:$AD$355,MATCH($C204,Deals!$A$2:$A$355,0)),0))</f>
        <v/>
      </c>
      <c r="AC204" s="32">
        <f>IF(Settings!$B$4="Yes",$I204*$AB204,$I204)</f>
        <v/>
      </c>
      <c r="AD204" s="22">
        <f>IF($C204="","",IFERROR(IF(INDEX(Deals!$AE$2:$AE$355,MATCH($C204,Deals!$A$2:$A$355,0))=0,"",INDEX(Deals!$AE$2:$AE$355,MATCH($C204,Deals!$A$2:$A$355,0))),""))</f>
        <v/>
      </c>
      <c r="AE204" s="22">
        <f>IF($C204="","",IFERROR(IF(INDEX(Deals!$AF$2:$AF$355,MATCH($C204,Deals!$A$2:$A$355,0))=0,"",INDEX(Deals!$AF$2:$AF$355,MATCH($C204,Deals!$A$2:$A$355,0))),""))</f>
        <v/>
      </c>
      <c r="AF204" s="35">
        <f>IF($AD204="",DATE(1900,1,1),$AD204)</f>
        <v/>
      </c>
      <c r="AG204" s="35">
        <f>IF($AE204="",DATE(2100,12,31),$AE204)</f>
        <v/>
      </c>
      <c r="AH204" s="22">
        <f>IF($C204="","",IFERROR(IF(INDEX(Deals!$AG$2:$AG$355,MATCH($C204,Deals!$A$2:$A$355,0))=0,"",INDEX(Deals!$AG$2:$AG$355,MATCH($C204,Deals!$A$2:$A$355,0))),""))</f>
        <v/>
      </c>
      <c r="AI204" s="35">
        <f>IF($AH204="",DATE(1900,1,1),$AF204)</f>
        <v/>
      </c>
      <c r="AJ204" s="35">
        <f>IF($AH204="",DATE(2100,12,31),$AH204)</f>
        <v/>
      </c>
      <c r="AK204" s="32">
        <f>IF($AH204="",$AC204,$AC204*$S204)</f>
        <v/>
      </c>
      <c r="AL204" s="35">
        <f>IF($AH204="",DATE(2100,12,31),$AH204+1)</f>
        <v/>
      </c>
      <c r="AM204" s="35">
        <f>IF($AH204="",DATE(1900,1,1),$AG204)</f>
        <v/>
      </c>
      <c r="AN204" s="32">
        <f>IF($AH204="",0,$AC204*$T204)</f>
        <v/>
      </c>
    </row>
    <row r="205">
      <c r="A205" s="28" t="inlineStr">
        <is>
          <t>Jason</t>
        </is>
      </c>
      <c r="B205" s="16">
        <f>IF($A205="","",IFERROR(INDEX(Roster!$B$2:$B$40,MATCH($A205,Roster!$A$2:$A$40,0)),"?"))</f>
        <v/>
      </c>
      <c r="C205" s="28" t="inlineStr">
        <is>
          <t>Fury_1</t>
        </is>
      </c>
      <c r="D205" s="16">
        <f>IF($C205="","",IFERROR(IF(INDEX(Deals!$C$2:$C$355,MATCH($C205,Deals!$A$2:$A$355,0))=0,"",INDEX(Deals!$C$2:$C$355,MATCH($C205,Deals!$A$2:$A$355,0))),"?"))</f>
        <v/>
      </c>
      <c r="E205" s="16">
        <f>IF($C205="","",IFERROR(INDEX(Deals!$F$2:$F$355,MATCH($C205,Deals!$A$2:$A$355,0)),"?"))</f>
        <v/>
      </c>
      <c r="F205" s="28" t="inlineStr">
        <is>
          <t>MD</t>
        </is>
      </c>
      <c r="G205" s="28" t="inlineStr">
        <is>
          <t>Active</t>
        </is>
      </c>
      <c r="H205" s="31" t="n"/>
      <c r="I205" s="32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1">
        <f>IF($C205="",0,IFERROR(INDEX(Deals!$H$2:$H$355,MATCH($C205,Deals!$A$2:$A$355,0)),0))</f>
        <v/>
      </c>
      <c r="K205" s="32">
        <f>IF(Settings!$B$4="Yes",$I205*$J205,$I205)</f>
        <v/>
      </c>
      <c r="L205" s="22">
        <f>IF($C205="","",IFERROR(IF(INDEX(Deals!$I$2:$I$355,MATCH($C205,Deals!$A$2:$A$355,0))=0,"",INDEX(Deals!$I$2:$I$355,MATCH($C205,Deals!$A$2:$A$355,0))),""))</f>
        <v/>
      </c>
      <c r="M205" s="22">
        <f>IF($C205="","",IFERROR(IF(INDEX(Deals!$J$2:$J$355,MATCH($C205,Deals!$A$2:$A$355,0))=0,"",INDEX(Deals!$J$2:$J$355,MATCH($C205,Deals!$A$2:$A$355,0))),""))</f>
        <v/>
      </c>
      <c r="N205" s="35">
        <f>IF($L205="",DATE(1900,1,1),$L205)</f>
        <v/>
      </c>
      <c r="O205" s="35">
        <f>IF($M205="",DATE(2100,12,31),$M205)</f>
        <v/>
      </c>
      <c r="P205" s="20" t="inlineStr"/>
      <c r="Q205" s="43" t="inlineStr"/>
      <c r="R205" s="16">
        <f>IF($C205="","",IFERROR(IF(INDEX(Deals!$U$2:$U$355,MATCH($C205,Deals!$A$2:$A$355,0))=0,"",INDEX(Deals!$U$2:$U$355,MATCH($C205,Deals!$A$2:$A$355,0))),""))</f>
        <v/>
      </c>
      <c r="S205" s="34">
        <f>IFERROR(IF($U205="",1,INDEX(Deals!$V$2:$V$355,MATCH($C205,Deals!$A$2:$A$355,0))),1)</f>
        <v/>
      </c>
      <c r="T205" s="34">
        <f>IFERROR(IF($U205="",1,INDEX(Deals!$W$2:$W$355,MATCH($C205,Deals!$A$2:$A$355,0))),1)</f>
        <v/>
      </c>
      <c r="U205" s="22">
        <f>IF($C205="","",IFERROR(IF(INDEX(Deals!$Y$2:$Y$355,MATCH($C205,Deals!$A$2:$A$355,0))=0,"",INDEX(Deals!$Y$2:$Y$355,MATCH($C205,Deals!$A$2:$A$355,0))),""))</f>
        <v/>
      </c>
      <c r="V205" s="35">
        <f>IF($U205="",DATE(1900,1,1),$N205)</f>
        <v/>
      </c>
      <c r="W205" s="35">
        <f>IF($U205="",DATE(2100,12,31),$U205)</f>
        <v/>
      </c>
      <c r="X205" s="32">
        <f>IF($U205="",$K205,$K205*$S205)</f>
        <v/>
      </c>
      <c r="Y205" s="35">
        <f>IF($U205="",DATE(2100,12,31),$U205+1)</f>
        <v/>
      </c>
      <c r="Z205" s="35">
        <f>IF($U205="",DATE(1900,1,1),$O205)</f>
        <v/>
      </c>
      <c r="AA205" s="32">
        <f>IF($U205="",0,$K205*$T205)</f>
        <v/>
      </c>
      <c r="AB205" s="21">
        <f>IF($C205="",0,IFERROR(INDEX(Deals!$AD$2:$AD$355,MATCH($C205,Deals!$A$2:$A$355,0)),0))</f>
        <v/>
      </c>
      <c r="AC205" s="32">
        <f>IF(Settings!$B$4="Yes",$I205*$AB205,$I205)</f>
        <v/>
      </c>
      <c r="AD205" s="22">
        <f>IF($C205="","",IFERROR(IF(INDEX(Deals!$AE$2:$AE$355,MATCH($C205,Deals!$A$2:$A$355,0))=0,"",INDEX(Deals!$AE$2:$AE$355,MATCH($C205,Deals!$A$2:$A$355,0))),""))</f>
        <v/>
      </c>
      <c r="AE205" s="22">
        <f>IF($C205="","",IFERROR(IF(INDEX(Deals!$AF$2:$AF$355,MATCH($C205,Deals!$A$2:$A$355,0))=0,"",INDEX(Deals!$AF$2:$AF$355,MATCH($C205,Deals!$A$2:$A$355,0))),""))</f>
        <v/>
      </c>
      <c r="AF205" s="35">
        <f>IF($AD205="",DATE(1900,1,1),$AD205)</f>
        <v/>
      </c>
      <c r="AG205" s="35">
        <f>IF($AE205="",DATE(2100,12,31),$AE205)</f>
        <v/>
      </c>
      <c r="AH205" s="22">
        <f>IF($C205="","",IFERROR(IF(INDEX(Deals!$AG$2:$AG$355,MATCH($C205,Deals!$A$2:$A$355,0))=0,"",INDEX(Deals!$AG$2:$AG$355,MATCH($C205,Deals!$A$2:$A$355,0))),""))</f>
        <v/>
      </c>
      <c r="AI205" s="35">
        <f>IF($AH205="",DATE(1900,1,1),$AF205)</f>
        <v/>
      </c>
      <c r="AJ205" s="35">
        <f>IF($AH205="",DATE(2100,12,31),$AH205)</f>
        <v/>
      </c>
      <c r="AK205" s="32">
        <f>IF($AH205="",$AC205,$AC205*$S205)</f>
        <v/>
      </c>
      <c r="AL205" s="35">
        <f>IF($AH205="",DATE(2100,12,31),$AH205+1)</f>
        <v/>
      </c>
      <c r="AM205" s="35">
        <f>IF($AH205="",DATE(1900,1,1),$AG205)</f>
        <v/>
      </c>
      <c r="AN205" s="32">
        <f>IF($AH205="",0,$AC205*$T205)</f>
        <v/>
      </c>
    </row>
    <row r="206">
      <c r="A206" s="28" t="inlineStr">
        <is>
          <t>Jason</t>
        </is>
      </c>
      <c r="B206" s="16">
        <f>IF($A206="","",IFERROR(INDEX(Roster!$B$2:$B$40,MATCH($A206,Roster!$A$2:$A$40,0)),"?"))</f>
        <v/>
      </c>
      <c r="C206" s="28" t="inlineStr">
        <is>
          <t>Galaxy_1</t>
        </is>
      </c>
      <c r="D206" s="16">
        <f>IF($C206="","",IFERROR(IF(INDEX(Deals!$C$2:$C$355,MATCH($C206,Deals!$A$2:$A$355,0))=0,"",INDEX(Deals!$C$2:$C$355,MATCH($C206,Deals!$A$2:$A$355,0))),"?"))</f>
        <v/>
      </c>
      <c r="E206" s="16">
        <f>IF($C206="","",IFERROR(INDEX(Deals!$F$2:$F$355,MATCH($C206,Deals!$A$2:$A$355,0)),"?"))</f>
        <v/>
      </c>
      <c r="F206" s="28" t="inlineStr">
        <is>
          <t>MD</t>
        </is>
      </c>
      <c r="G206" s="28" t="inlineStr">
        <is>
          <t>Active</t>
        </is>
      </c>
      <c r="H206" s="31" t="n"/>
      <c r="I206" s="32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1">
        <f>IF($C206="",0,IFERROR(INDEX(Deals!$H$2:$H$355,MATCH($C206,Deals!$A$2:$A$355,0)),0))</f>
        <v/>
      </c>
      <c r="K206" s="32">
        <f>IF(Settings!$B$4="Yes",$I206*$J206,$I206)</f>
        <v/>
      </c>
      <c r="L206" s="22">
        <f>IF($C206="","",IFERROR(IF(INDEX(Deals!$I$2:$I$355,MATCH($C206,Deals!$A$2:$A$355,0))=0,"",INDEX(Deals!$I$2:$I$355,MATCH($C206,Deals!$A$2:$A$355,0))),""))</f>
        <v/>
      </c>
      <c r="M206" s="22">
        <f>IF($C206="","",IFERROR(IF(INDEX(Deals!$J$2:$J$355,MATCH($C206,Deals!$A$2:$A$355,0))=0,"",INDEX(Deals!$J$2:$J$355,MATCH($C206,Deals!$A$2:$A$355,0))),""))</f>
        <v/>
      </c>
      <c r="N206" s="35">
        <f>IF($L206="",DATE(1900,1,1),$L206)</f>
        <v/>
      </c>
      <c r="O206" s="35">
        <f>IF($M206="",DATE(2100,12,31),$M206)</f>
        <v/>
      </c>
      <c r="P206" s="20" t="inlineStr"/>
      <c r="Q206" s="43" t="inlineStr"/>
      <c r="R206" s="16">
        <f>IF($C206="","",IFERROR(IF(INDEX(Deals!$U$2:$U$355,MATCH($C206,Deals!$A$2:$A$355,0))=0,"",INDEX(Deals!$U$2:$U$355,MATCH($C206,Deals!$A$2:$A$355,0))),""))</f>
        <v/>
      </c>
      <c r="S206" s="34">
        <f>IFERROR(IF($U206="",1,INDEX(Deals!$V$2:$V$355,MATCH($C206,Deals!$A$2:$A$355,0))),1)</f>
        <v/>
      </c>
      <c r="T206" s="34">
        <f>IFERROR(IF($U206="",1,INDEX(Deals!$W$2:$W$355,MATCH($C206,Deals!$A$2:$A$355,0))),1)</f>
        <v/>
      </c>
      <c r="U206" s="22">
        <f>IF($C206="","",IFERROR(IF(INDEX(Deals!$Y$2:$Y$355,MATCH($C206,Deals!$A$2:$A$355,0))=0,"",INDEX(Deals!$Y$2:$Y$355,MATCH($C206,Deals!$A$2:$A$355,0))),""))</f>
        <v/>
      </c>
      <c r="V206" s="35">
        <f>IF($U206="",DATE(1900,1,1),$N206)</f>
        <v/>
      </c>
      <c r="W206" s="35">
        <f>IF($U206="",DATE(2100,12,31),$U206)</f>
        <v/>
      </c>
      <c r="X206" s="32">
        <f>IF($U206="",$K206,$K206*$S206)</f>
        <v/>
      </c>
      <c r="Y206" s="35">
        <f>IF($U206="",DATE(2100,12,31),$U206+1)</f>
        <v/>
      </c>
      <c r="Z206" s="35">
        <f>IF($U206="",DATE(1900,1,1),$O206)</f>
        <v/>
      </c>
      <c r="AA206" s="32">
        <f>IF($U206="",0,$K206*$T206)</f>
        <v/>
      </c>
      <c r="AB206" s="21">
        <f>IF($C206="",0,IFERROR(INDEX(Deals!$AD$2:$AD$355,MATCH($C206,Deals!$A$2:$A$355,0)),0))</f>
        <v/>
      </c>
      <c r="AC206" s="32">
        <f>IF(Settings!$B$4="Yes",$I206*$AB206,$I206)</f>
        <v/>
      </c>
      <c r="AD206" s="22">
        <f>IF($C206="","",IFERROR(IF(INDEX(Deals!$AE$2:$AE$355,MATCH($C206,Deals!$A$2:$A$355,0))=0,"",INDEX(Deals!$AE$2:$AE$355,MATCH($C206,Deals!$A$2:$A$355,0))),""))</f>
        <v/>
      </c>
      <c r="AE206" s="22">
        <f>IF($C206="","",IFERROR(IF(INDEX(Deals!$AF$2:$AF$355,MATCH($C206,Deals!$A$2:$A$355,0))=0,"",INDEX(Deals!$AF$2:$AF$355,MATCH($C206,Deals!$A$2:$A$355,0))),""))</f>
        <v/>
      </c>
      <c r="AF206" s="35">
        <f>IF($AD206="",DATE(1900,1,1),$AD206)</f>
        <v/>
      </c>
      <c r="AG206" s="35">
        <f>IF($AE206="",DATE(2100,12,31),$AE206)</f>
        <v/>
      </c>
      <c r="AH206" s="22">
        <f>IF($C206="","",IFERROR(IF(INDEX(Deals!$AG$2:$AG$355,MATCH($C206,Deals!$A$2:$A$355,0))=0,"",INDEX(Deals!$AG$2:$AG$355,MATCH($C206,Deals!$A$2:$A$355,0))),""))</f>
        <v/>
      </c>
      <c r="AI206" s="35">
        <f>IF($AH206="",DATE(1900,1,1),$AF206)</f>
        <v/>
      </c>
      <c r="AJ206" s="35">
        <f>IF($AH206="",DATE(2100,12,31),$AH206)</f>
        <v/>
      </c>
      <c r="AK206" s="32">
        <f>IF($AH206="",$AC206,$AC206*$S206)</f>
        <v/>
      </c>
      <c r="AL206" s="35">
        <f>IF($AH206="",DATE(2100,12,31),$AH206+1)</f>
        <v/>
      </c>
      <c r="AM206" s="35">
        <f>IF($AH206="",DATE(1900,1,1),$AG206)</f>
        <v/>
      </c>
      <c r="AN206" s="32">
        <f>IF($AH206="",0,$AC206*$T206)</f>
        <v/>
      </c>
    </row>
    <row r="207">
      <c r="A207" s="28" t="inlineStr">
        <is>
          <t>Jason</t>
        </is>
      </c>
      <c r="B207" s="16">
        <f>IF($A207="","",IFERROR(INDEX(Roster!$B$2:$B$40,MATCH($A207,Roster!$A$2:$A$40,0)),"?"))</f>
        <v/>
      </c>
      <c r="C207" s="28" t="inlineStr">
        <is>
          <t>Mont_1</t>
        </is>
      </c>
      <c r="D207" s="16">
        <f>IF($C207="","",IFERROR(IF(INDEX(Deals!$C$2:$C$355,MATCH($C207,Deals!$A$2:$A$355,0))=0,"",INDEX(Deals!$C$2:$C$355,MATCH($C207,Deals!$A$2:$A$355,0))),"?"))</f>
        <v/>
      </c>
      <c r="E207" s="16">
        <f>IF($C207="","",IFERROR(INDEX(Deals!$F$2:$F$355,MATCH($C207,Deals!$A$2:$A$355,0)),"?"))</f>
        <v/>
      </c>
      <c r="F207" s="28" t="inlineStr">
        <is>
          <t>MD</t>
        </is>
      </c>
      <c r="G207" s="28" t="inlineStr">
        <is>
          <t>Active</t>
        </is>
      </c>
      <c r="H207" s="31" t="n"/>
      <c r="I207" s="32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1">
        <f>IF($C207="",0,IFERROR(INDEX(Deals!$H$2:$H$355,MATCH($C207,Deals!$A$2:$A$355,0)),0))</f>
        <v/>
      </c>
      <c r="K207" s="32">
        <f>IF(Settings!$B$4="Yes",$I207*$J207,$I207)</f>
        <v/>
      </c>
      <c r="L207" s="22">
        <f>IF($C207="","",IFERROR(IF(INDEX(Deals!$I$2:$I$355,MATCH($C207,Deals!$A$2:$A$355,0))=0,"",INDEX(Deals!$I$2:$I$355,MATCH($C207,Deals!$A$2:$A$355,0))),""))</f>
        <v/>
      </c>
      <c r="M207" s="22">
        <f>IF($C207="","",IFERROR(IF(INDEX(Deals!$J$2:$J$355,MATCH($C207,Deals!$A$2:$A$355,0))=0,"",INDEX(Deals!$J$2:$J$355,MATCH($C207,Deals!$A$2:$A$355,0))),""))</f>
        <v/>
      </c>
      <c r="N207" s="35">
        <f>IF($L207="",DATE(1900,1,1),$L207)</f>
        <v/>
      </c>
      <c r="O207" s="35">
        <f>IF($M207="",DATE(2100,12,31),$M207)</f>
        <v/>
      </c>
      <c r="P207" s="20" t="inlineStr"/>
      <c r="Q207" s="43" t="inlineStr"/>
      <c r="R207" s="16">
        <f>IF($C207="","",IFERROR(IF(INDEX(Deals!$U$2:$U$355,MATCH($C207,Deals!$A$2:$A$355,0))=0,"",INDEX(Deals!$U$2:$U$355,MATCH($C207,Deals!$A$2:$A$355,0))),""))</f>
        <v/>
      </c>
      <c r="S207" s="34">
        <f>IFERROR(IF($U207="",1,INDEX(Deals!$V$2:$V$355,MATCH($C207,Deals!$A$2:$A$355,0))),1)</f>
        <v/>
      </c>
      <c r="T207" s="34">
        <f>IFERROR(IF($U207="",1,INDEX(Deals!$W$2:$W$355,MATCH($C207,Deals!$A$2:$A$355,0))),1)</f>
        <v/>
      </c>
      <c r="U207" s="22">
        <f>IF($C207="","",IFERROR(IF(INDEX(Deals!$Y$2:$Y$355,MATCH($C207,Deals!$A$2:$A$355,0))=0,"",INDEX(Deals!$Y$2:$Y$355,MATCH($C207,Deals!$A$2:$A$355,0))),""))</f>
        <v/>
      </c>
      <c r="V207" s="35">
        <f>IF($U207="",DATE(1900,1,1),$N207)</f>
        <v/>
      </c>
      <c r="W207" s="35">
        <f>IF($U207="",DATE(2100,12,31),$U207)</f>
        <v/>
      </c>
      <c r="X207" s="32">
        <f>IF($U207="",$K207,$K207*$S207)</f>
        <v/>
      </c>
      <c r="Y207" s="35">
        <f>IF($U207="",DATE(2100,12,31),$U207+1)</f>
        <v/>
      </c>
      <c r="Z207" s="35">
        <f>IF($U207="",DATE(1900,1,1),$O207)</f>
        <v/>
      </c>
      <c r="AA207" s="32">
        <f>IF($U207="",0,$K207*$T207)</f>
        <v/>
      </c>
      <c r="AB207" s="21">
        <f>IF($C207="",0,IFERROR(INDEX(Deals!$AD$2:$AD$355,MATCH($C207,Deals!$A$2:$A$355,0)),0))</f>
        <v/>
      </c>
      <c r="AC207" s="32">
        <f>IF(Settings!$B$4="Yes",$I207*$AB207,$I207)</f>
        <v/>
      </c>
      <c r="AD207" s="22">
        <f>IF($C207="","",IFERROR(IF(INDEX(Deals!$AE$2:$AE$355,MATCH($C207,Deals!$A$2:$A$355,0))=0,"",INDEX(Deals!$AE$2:$AE$355,MATCH($C207,Deals!$A$2:$A$355,0))),""))</f>
        <v/>
      </c>
      <c r="AE207" s="22">
        <f>IF($C207="","",IFERROR(IF(INDEX(Deals!$AF$2:$AF$355,MATCH($C207,Deals!$A$2:$A$355,0))=0,"",INDEX(Deals!$AF$2:$AF$355,MATCH($C207,Deals!$A$2:$A$355,0))),""))</f>
        <v/>
      </c>
      <c r="AF207" s="35">
        <f>IF($AD207="",DATE(1900,1,1),$AD207)</f>
        <v/>
      </c>
      <c r="AG207" s="35">
        <f>IF($AE207="",DATE(2100,12,31),$AE207)</f>
        <v/>
      </c>
      <c r="AH207" s="22">
        <f>IF($C207="","",IFERROR(IF(INDEX(Deals!$AG$2:$AG$355,MATCH($C207,Deals!$A$2:$A$355,0))=0,"",INDEX(Deals!$AG$2:$AG$355,MATCH($C207,Deals!$A$2:$A$355,0))),""))</f>
        <v/>
      </c>
      <c r="AI207" s="35">
        <f>IF($AH207="",DATE(1900,1,1),$AF207)</f>
        <v/>
      </c>
      <c r="AJ207" s="35">
        <f>IF($AH207="",DATE(2100,12,31),$AH207)</f>
        <v/>
      </c>
      <c r="AK207" s="32">
        <f>IF($AH207="",$AC207,$AC207*$S207)</f>
        <v/>
      </c>
      <c r="AL207" s="35">
        <f>IF($AH207="",DATE(2100,12,31),$AH207+1)</f>
        <v/>
      </c>
      <c r="AM207" s="35">
        <f>IF($AH207="",DATE(1900,1,1),$AG207)</f>
        <v/>
      </c>
      <c r="AN207" s="32">
        <f>IF($AH207="",0,$AC207*$T207)</f>
        <v/>
      </c>
    </row>
    <row r="208">
      <c r="A208" s="28" t="inlineStr">
        <is>
          <t>Jason</t>
        </is>
      </c>
      <c r="B208" s="16">
        <f>IF($A208="","",IFERROR(INDEX(Roster!$B$2:$B$40,MATCH($A208,Roster!$A$2:$A$40,0)),"?"))</f>
        <v/>
      </c>
      <c r="C208" s="28" t="inlineStr">
        <is>
          <t>Naples_2</t>
        </is>
      </c>
      <c r="D208" s="16">
        <f>IF($C208="","",IFERROR(IF(INDEX(Deals!$C$2:$C$355,MATCH($C208,Deals!$A$2:$A$355,0))=0,"",INDEX(Deals!$C$2:$C$355,MATCH($C208,Deals!$A$2:$A$355,0))),"?"))</f>
        <v/>
      </c>
      <c r="E208" s="16">
        <f>IF($C208="","",IFERROR(INDEX(Deals!$F$2:$F$355,MATCH($C208,Deals!$A$2:$A$355,0)),"?"))</f>
        <v/>
      </c>
      <c r="F208" s="28" t="inlineStr">
        <is>
          <t>MD</t>
        </is>
      </c>
      <c r="G208" s="28" t="inlineStr">
        <is>
          <t>Active</t>
        </is>
      </c>
      <c r="H208" s="31" t="n"/>
      <c r="I208" s="32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1">
        <f>IF($C208="",0,IFERROR(INDEX(Deals!$H$2:$H$355,MATCH($C208,Deals!$A$2:$A$355,0)),0))</f>
        <v/>
      </c>
      <c r="K208" s="32">
        <f>IF(Settings!$B$4="Yes",$I208*$J208,$I208)</f>
        <v/>
      </c>
      <c r="L208" s="22">
        <f>IF($C208="","",IFERROR(IF(INDEX(Deals!$I$2:$I$355,MATCH($C208,Deals!$A$2:$A$355,0))=0,"",INDEX(Deals!$I$2:$I$355,MATCH($C208,Deals!$A$2:$A$355,0))),""))</f>
        <v/>
      </c>
      <c r="M208" s="22">
        <f>IF($C208="","",IFERROR(IF(INDEX(Deals!$J$2:$J$355,MATCH($C208,Deals!$A$2:$A$355,0))=0,"",INDEX(Deals!$J$2:$J$355,MATCH($C208,Deals!$A$2:$A$355,0))),""))</f>
        <v/>
      </c>
      <c r="N208" s="35">
        <f>IF($L208="",DATE(1900,1,1),$L208)</f>
        <v/>
      </c>
      <c r="O208" s="35">
        <f>IF($M208="",DATE(2100,12,31),$M208)</f>
        <v/>
      </c>
      <c r="P208" s="20" t="inlineStr"/>
      <c r="Q208" s="43" t="inlineStr"/>
      <c r="R208" s="16">
        <f>IF($C208="","",IFERROR(IF(INDEX(Deals!$U$2:$U$355,MATCH($C208,Deals!$A$2:$A$355,0))=0,"",INDEX(Deals!$U$2:$U$355,MATCH($C208,Deals!$A$2:$A$355,0))),""))</f>
        <v/>
      </c>
      <c r="S208" s="34">
        <f>IFERROR(IF($U208="",1,INDEX(Deals!$V$2:$V$355,MATCH($C208,Deals!$A$2:$A$355,0))),1)</f>
        <v/>
      </c>
      <c r="T208" s="34">
        <f>IFERROR(IF($U208="",1,INDEX(Deals!$W$2:$W$355,MATCH($C208,Deals!$A$2:$A$355,0))),1)</f>
        <v/>
      </c>
      <c r="U208" s="22">
        <f>IF($C208="","",IFERROR(IF(INDEX(Deals!$Y$2:$Y$355,MATCH($C208,Deals!$A$2:$A$355,0))=0,"",INDEX(Deals!$Y$2:$Y$355,MATCH($C208,Deals!$A$2:$A$355,0))),""))</f>
        <v/>
      </c>
      <c r="V208" s="35">
        <f>IF($U208="",DATE(1900,1,1),$N208)</f>
        <v/>
      </c>
      <c r="W208" s="35">
        <f>IF($U208="",DATE(2100,12,31),$U208)</f>
        <v/>
      </c>
      <c r="X208" s="32">
        <f>IF($U208="",$K208,$K208*$S208)</f>
        <v/>
      </c>
      <c r="Y208" s="35">
        <f>IF($U208="",DATE(2100,12,31),$U208+1)</f>
        <v/>
      </c>
      <c r="Z208" s="35">
        <f>IF($U208="",DATE(1900,1,1),$O208)</f>
        <v/>
      </c>
      <c r="AA208" s="32">
        <f>IF($U208="",0,$K208*$T208)</f>
        <v/>
      </c>
      <c r="AB208" s="21">
        <f>IF($C208="",0,IFERROR(INDEX(Deals!$AD$2:$AD$355,MATCH($C208,Deals!$A$2:$A$355,0)),0))</f>
        <v/>
      </c>
      <c r="AC208" s="32">
        <f>IF(Settings!$B$4="Yes",$I208*$AB208,$I208)</f>
        <v/>
      </c>
      <c r="AD208" s="22">
        <f>IF($C208="","",IFERROR(IF(INDEX(Deals!$AE$2:$AE$355,MATCH($C208,Deals!$A$2:$A$355,0))=0,"",INDEX(Deals!$AE$2:$AE$355,MATCH($C208,Deals!$A$2:$A$355,0))),""))</f>
        <v/>
      </c>
      <c r="AE208" s="22">
        <f>IF($C208="","",IFERROR(IF(INDEX(Deals!$AF$2:$AF$355,MATCH($C208,Deals!$A$2:$A$355,0))=0,"",INDEX(Deals!$AF$2:$AF$355,MATCH($C208,Deals!$A$2:$A$355,0))),""))</f>
        <v/>
      </c>
      <c r="AF208" s="35">
        <f>IF($AD208="",DATE(1900,1,1),$AD208)</f>
        <v/>
      </c>
      <c r="AG208" s="35">
        <f>IF($AE208="",DATE(2100,12,31),$AE208)</f>
        <v/>
      </c>
      <c r="AH208" s="22">
        <f>IF($C208="","",IFERROR(IF(INDEX(Deals!$AG$2:$AG$355,MATCH($C208,Deals!$A$2:$A$355,0))=0,"",INDEX(Deals!$AG$2:$AG$355,MATCH($C208,Deals!$A$2:$A$355,0))),""))</f>
        <v/>
      </c>
      <c r="AI208" s="35">
        <f>IF($AH208="",DATE(1900,1,1),$AF208)</f>
        <v/>
      </c>
      <c r="AJ208" s="35">
        <f>IF($AH208="",DATE(2100,12,31),$AH208)</f>
        <v/>
      </c>
      <c r="AK208" s="32">
        <f>IF($AH208="",$AC208,$AC208*$S208)</f>
        <v/>
      </c>
      <c r="AL208" s="35">
        <f>IF($AH208="",DATE(2100,12,31),$AH208+1)</f>
        <v/>
      </c>
      <c r="AM208" s="35">
        <f>IF($AH208="",DATE(1900,1,1),$AG208)</f>
        <v/>
      </c>
      <c r="AN208" s="32">
        <f>IF($AH208="",0,$AC208*$T208)</f>
        <v/>
      </c>
    </row>
    <row r="209">
      <c r="A209" s="28" t="inlineStr">
        <is>
          <t>Jason</t>
        </is>
      </c>
      <c r="B209" s="16">
        <f>IF($A209="","",IFERROR(INDEX(Roster!$B$2:$B$40,MATCH($A209,Roster!$A$2:$A$40,0)),"?"))</f>
        <v/>
      </c>
      <c r="C209" s="28" t="inlineStr">
        <is>
          <t>Pet_1</t>
        </is>
      </c>
      <c r="D209" s="16">
        <f>IF($C209="","",IFERROR(IF(INDEX(Deals!$C$2:$C$355,MATCH($C209,Deals!$A$2:$A$355,0))=0,"",INDEX(Deals!$C$2:$C$355,MATCH($C209,Deals!$A$2:$A$355,0))),"?"))</f>
        <v/>
      </c>
      <c r="E209" s="16">
        <f>IF($C209="","",IFERROR(INDEX(Deals!$F$2:$F$355,MATCH($C209,Deals!$A$2:$A$355,0)),"?"))</f>
        <v/>
      </c>
      <c r="F209" s="28" t="inlineStr">
        <is>
          <t>MD</t>
        </is>
      </c>
      <c r="G209" s="28" t="inlineStr">
        <is>
          <t>Active</t>
        </is>
      </c>
      <c r="H209" s="31" t="n"/>
      <c r="I209" s="32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1">
        <f>IF($C209="",0,IFERROR(INDEX(Deals!$H$2:$H$355,MATCH($C209,Deals!$A$2:$A$355,0)),0))</f>
        <v/>
      </c>
      <c r="K209" s="32">
        <f>IF(Settings!$B$4="Yes",$I209*$J209,$I209)</f>
        <v/>
      </c>
      <c r="L209" s="22">
        <f>IF($C209="","",IFERROR(IF(INDEX(Deals!$I$2:$I$355,MATCH($C209,Deals!$A$2:$A$355,0))=0,"",INDEX(Deals!$I$2:$I$355,MATCH($C209,Deals!$A$2:$A$355,0))),""))</f>
        <v/>
      </c>
      <c r="M209" s="22">
        <f>IF($C209="","",IFERROR(IF(INDEX(Deals!$J$2:$J$355,MATCH($C209,Deals!$A$2:$A$355,0))=0,"",INDEX(Deals!$J$2:$J$355,MATCH($C209,Deals!$A$2:$A$355,0))),""))</f>
        <v/>
      </c>
      <c r="N209" s="35">
        <f>IF($L209="",DATE(1900,1,1),$L209)</f>
        <v/>
      </c>
      <c r="O209" s="35">
        <f>IF($M209="",DATE(2100,12,31),$M209)</f>
        <v/>
      </c>
      <c r="P209" s="20" t="inlineStr"/>
      <c r="Q209" s="43" t="inlineStr"/>
      <c r="R209" s="16">
        <f>IF($C209="","",IFERROR(IF(INDEX(Deals!$U$2:$U$355,MATCH($C209,Deals!$A$2:$A$355,0))=0,"",INDEX(Deals!$U$2:$U$355,MATCH($C209,Deals!$A$2:$A$355,0))),""))</f>
        <v/>
      </c>
      <c r="S209" s="34">
        <f>IFERROR(IF($U209="",1,INDEX(Deals!$V$2:$V$355,MATCH($C209,Deals!$A$2:$A$355,0))),1)</f>
        <v/>
      </c>
      <c r="T209" s="34">
        <f>IFERROR(IF($U209="",1,INDEX(Deals!$W$2:$W$355,MATCH($C209,Deals!$A$2:$A$355,0))),1)</f>
        <v/>
      </c>
      <c r="U209" s="22">
        <f>IF($C209="","",IFERROR(IF(INDEX(Deals!$Y$2:$Y$355,MATCH($C209,Deals!$A$2:$A$355,0))=0,"",INDEX(Deals!$Y$2:$Y$355,MATCH($C209,Deals!$A$2:$A$355,0))),""))</f>
        <v/>
      </c>
      <c r="V209" s="35">
        <f>IF($U209="",DATE(1900,1,1),$N209)</f>
        <v/>
      </c>
      <c r="W209" s="35">
        <f>IF($U209="",DATE(2100,12,31),$U209)</f>
        <v/>
      </c>
      <c r="X209" s="32">
        <f>IF($U209="",$K209,$K209*$S209)</f>
        <v/>
      </c>
      <c r="Y209" s="35">
        <f>IF($U209="",DATE(2100,12,31),$U209+1)</f>
        <v/>
      </c>
      <c r="Z209" s="35">
        <f>IF($U209="",DATE(1900,1,1),$O209)</f>
        <v/>
      </c>
      <c r="AA209" s="32">
        <f>IF($U209="",0,$K209*$T209)</f>
        <v/>
      </c>
      <c r="AB209" s="21">
        <f>IF($C209="",0,IFERROR(INDEX(Deals!$AD$2:$AD$355,MATCH($C209,Deals!$A$2:$A$355,0)),0))</f>
        <v/>
      </c>
      <c r="AC209" s="32">
        <f>IF(Settings!$B$4="Yes",$I209*$AB209,$I209)</f>
        <v/>
      </c>
      <c r="AD209" s="22">
        <f>IF($C209="","",IFERROR(IF(INDEX(Deals!$AE$2:$AE$355,MATCH($C209,Deals!$A$2:$A$355,0))=0,"",INDEX(Deals!$AE$2:$AE$355,MATCH($C209,Deals!$A$2:$A$355,0))),""))</f>
        <v/>
      </c>
      <c r="AE209" s="22">
        <f>IF($C209="","",IFERROR(IF(INDEX(Deals!$AF$2:$AF$355,MATCH($C209,Deals!$A$2:$A$355,0))=0,"",INDEX(Deals!$AF$2:$AF$355,MATCH($C209,Deals!$A$2:$A$355,0))),""))</f>
        <v/>
      </c>
      <c r="AF209" s="35">
        <f>IF($AD209="",DATE(1900,1,1),$AD209)</f>
        <v/>
      </c>
      <c r="AG209" s="35">
        <f>IF($AE209="",DATE(2100,12,31),$AE209)</f>
        <v/>
      </c>
      <c r="AH209" s="22">
        <f>IF($C209="","",IFERROR(IF(INDEX(Deals!$AG$2:$AG$355,MATCH($C209,Deals!$A$2:$A$355,0))=0,"",INDEX(Deals!$AG$2:$AG$355,MATCH($C209,Deals!$A$2:$A$355,0))),""))</f>
        <v/>
      </c>
      <c r="AI209" s="35">
        <f>IF($AH209="",DATE(1900,1,1),$AF209)</f>
        <v/>
      </c>
      <c r="AJ209" s="35">
        <f>IF($AH209="",DATE(2100,12,31),$AH209)</f>
        <v/>
      </c>
      <c r="AK209" s="32">
        <f>IF($AH209="",$AC209,$AC209*$S209)</f>
        <v/>
      </c>
      <c r="AL209" s="35">
        <f>IF($AH209="",DATE(2100,12,31),$AH209+1)</f>
        <v/>
      </c>
      <c r="AM209" s="35">
        <f>IF($AH209="",DATE(1900,1,1),$AG209)</f>
        <v/>
      </c>
      <c r="AN209" s="32">
        <f>IF($AH209="",0,$AC209*$T209)</f>
        <v/>
      </c>
    </row>
    <row r="210">
      <c r="A210" s="28" t="inlineStr">
        <is>
          <t>Jason</t>
        </is>
      </c>
      <c r="B210" s="16">
        <f>IF($A210="","",IFERROR(INDEX(Roster!$B$2:$B$40,MATCH($A210,Roster!$A$2:$A$40,0)),"?"))</f>
        <v/>
      </c>
      <c r="C210" s="28" t="inlineStr">
        <is>
          <t>PMD_1</t>
        </is>
      </c>
      <c r="D210" s="16">
        <f>IF($C210="","",IFERROR(IF(INDEX(Deals!$C$2:$C$355,MATCH($C210,Deals!$A$2:$A$355,0))=0,"",INDEX(Deals!$C$2:$C$355,MATCH($C210,Deals!$A$2:$A$355,0))),"?"))</f>
        <v/>
      </c>
      <c r="E210" s="16">
        <f>IF($C210="","",IFERROR(INDEX(Deals!$F$2:$F$355,MATCH($C210,Deals!$A$2:$A$355,0)),"?"))</f>
        <v/>
      </c>
      <c r="F210" s="28" t="inlineStr">
        <is>
          <t>MD</t>
        </is>
      </c>
      <c r="G210" s="28" t="inlineStr">
        <is>
          <t>Active</t>
        </is>
      </c>
      <c r="H210" s="31" t="n"/>
      <c r="I210" s="32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1">
        <f>IF($C210="",0,IFERROR(INDEX(Deals!$H$2:$H$355,MATCH($C210,Deals!$A$2:$A$355,0)),0))</f>
        <v/>
      </c>
      <c r="K210" s="32">
        <f>IF(Settings!$B$4="Yes",$I210*$J210,$I210)</f>
        <v/>
      </c>
      <c r="L210" s="22">
        <f>IF($C210="","",IFERROR(IF(INDEX(Deals!$I$2:$I$355,MATCH($C210,Deals!$A$2:$A$355,0))=0,"",INDEX(Deals!$I$2:$I$355,MATCH($C210,Deals!$A$2:$A$355,0))),""))</f>
        <v/>
      </c>
      <c r="M210" s="22">
        <f>IF($C210="","",IFERROR(IF(INDEX(Deals!$J$2:$J$355,MATCH($C210,Deals!$A$2:$A$355,0))=0,"",INDEX(Deals!$J$2:$J$355,MATCH($C210,Deals!$A$2:$A$355,0))),""))</f>
        <v/>
      </c>
      <c r="N210" s="35">
        <f>IF($L210="",DATE(1900,1,1),$L210)</f>
        <v/>
      </c>
      <c r="O210" s="35">
        <f>IF($M210="",DATE(2100,12,31),$M210)</f>
        <v/>
      </c>
      <c r="P210" s="20" t="inlineStr"/>
      <c r="Q210" s="43" t="inlineStr"/>
      <c r="R210" s="16">
        <f>IF($C210="","",IFERROR(IF(INDEX(Deals!$U$2:$U$355,MATCH($C210,Deals!$A$2:$A$355,0))=0,"",INDEX(Deals!$U$2:$U$355,MATCH($C210,Deals!$A$2:$A$355,0))),""))</f>
        <v/>
      </c>
      <c r="S210" s="34">
        <f>IFERROR(IF($U210="",1,INDEX(Deals!$V$2:$V$355,MATCH($C210,Deals!$A$2:$A$355,0))),1)</f>
        <v/>
      </c>
      <c r="T210" s="34">
        <f>IFERROR(IF($U210="",1,INDEX(Deals!$W$2:$W$355,MATCH($C210,Deals!$A$2:$A$355,0))),1)</f>
        <v/>
      </c>
      <c r="U210" s="22">
        <f>IF($C210="","",IFERROR(IF(INDEX(Deals!$Y$2:$Y$355,MATCH($C210,Deals!$A$2:$A$355,0))=0,"",INDEX(Deals!$Y$2:$Y$355,MATCH($C210,Deals!$A$2:$A$355,0))),""))</f>
        <v/>
      </c>
      <c r="V210" s="35">
        <f>IF($U210="",DATE(1900,1,1),$N210)</f>
        <v/>
      </c>
      <c r="W210" s="35">
        <f>IF($U210="",DATE(2100,12,31),$U210)</f>
        <v/>
      </c>
      <c r="X210" s="32">
        <f>IF($U210="",$K210,$K210*$S210)</f>
        <v/>
      </c>
      <c r="Y210" s="35">
        <f>IF($U210="",DATE(2100,12,31),$U210+1)</f>
        <v/>
      </c>
      <c r="Z210" s="35">
        <f>IF($U210="",DATE(1900,1,1),$O210)</f>
        <v/>
      </c>
      <c r="AA210" s="32">
        <f>IF($U210="",0,$K210*$T210)</f>
        <v/>
      </c>
      <c r="AB210" s="21">
        <f>IF($C210="",0,IFERROR(INDEX(Deals!$AD$2:$AD$355,MATCH($C210,Deals!$A$2:$A$355,0)),0))</f>
        <v/>
      </c>
      <c r="AC210" s="32">
        <f>IF(Settings!$B$4="Yes",$I210*$AB210,$I210)</f>
        <v/>
      </c>
      <c r="AD210" s="22">
        <f>IF($C210="","",IFERROR(IF(INDEX(Deals!$AE$2:$AE$355,MATCH($C210,Deals!$A$2:$A$355,0))=0,"",INDEX(Deals!$AE$2:$AE$355,MATCH($C210,Deals!$A$2:$A$355,0))),""))</f>
        <v/>
      </c>
      <c r="AE210" s="22">
        <f>IF($C210="","",IFERROR(IF(INDEX(Deals!$AF$2:$AF$355,MATCH($C210,Deals!$A$2:$A$355,0))=0,"",INDEX(Deals!$AF$2:$AF$355,MATCH($C210,Deals!$A$2:$A$355,0))),""))</f>
        <v/>
      </c>
      <c r="AF210" s="35">
        <f>IF($AD210="",DATE(1900,1,1),$AD210)</f>
        <v/>
      </c>
      <c r="AG210" s="35">
        <f>IF($AE210="",DATE(2100,12,31),$AE210)</f>
        <v/>
      </c>
      <c r="AH210" s="22">
        <f>IF($C210="","",IFERROR(IF(INDEX(Deals!$AG$2:$AG$355,MATCH($C210,Deals!$A$2:$A$355,0))=0,"",INDEX(Deals!$AG$2:$AG$355,MATCH($C210,Deals!$A$2:$A$355,0))),""))</f>
        <v/>
      </c>
      <c r="AI210" s="35">
        <f>IF($AH210="",DATE(1900,1,1),$AF210)</f>
        <v/>
      </c>
      <c r="AJ210" s="35">
        <f>IF($AH210="",DATE(2100,12,31),$AH210)</f>
        <v/>
      </c>
      <c r="AK210" s="32">
        <f>IF($AH210="",$AC210,$AC210*$S210)</f>
        <v/>
      </c>
      <c r="AL210" s="35">
        <f>IF($AH210="",DATE(2100,12,31),$AH210+1)</f>
        <v/>
      </c>
      <c r="AM210" s="35">
        <f>IF($AH210="",DATE(1900,1,1),$AG210)</f>
        <v/>
      </c>
      <c r="AN210" s="32">
        <f>IF($AH210="",0,$AC210*$T210)</f>
        <v/>
      </c>
    </row>
    <row r="211">
      <c r="A211" s="28" t="inlineStr">
        <is>
          <t>Jason</t>
        </is>
      </c>
      <c r="B211" s="16">
        <f>IF($A211="","",IFERROR(INDEX(Roster!$B$2:$B$40,MATCH($A211,Roster!$A$2:$A$40,0)),"?"))</f>
        <v/>
      </c>
      <c r="C211" s="28" t="inlineStr">
        <is>
          <t>Pocket_1</t>
        </is>
      </c>
      <c r="D211" s="16">
        <f>IF($C211="","",IFERROR(IF(INDEX(Deals!$C$2:$C$355,MATCH($C211,Deals!$A$2:$A$355,0))=0,"",INDEX(Deals!$C$2:$C$355,MATCH($C211,Deals!$A$2:$A$355,0))),"?"))</f>
        <v/>
      </c>
      <c r="E211" s="16">
        <f>IF($C211="","",IFERROR(INDEX(Deals!$F$2:$F$355,MATCH($C211,Deals!$A$2:$A$355,0)),"?"))</f>
        <v/>
      </c>
      <c r="F211" s="28" t="inlineStr">
        <is>
          <t>MD</t>
        </is>
      </c>
      <c r="G211" s="28" t="inlineStr">
        <is>
          <t>Active</t>
        </is>
      </c>
      <c r="H211" s="31" t="n"/>
      <c r="I211" s="32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1">
        <f>IF($C211="",0,IFERROR(INDEX(Deals!$H$2:$H$355,MATCH($C211,Deals!$A$2:$A$355,0)),0))</f>
        <v/>
      </c>
      <c r="K211" s="32">
        <f>IF(Settings!$B$4="Yes",$I211*$J211,$I211)</f>
        <v/>
      </c>
      <c r="L211" s="22">
        <f>IF($C211="","",IFERROR(IF(INDEX(Deals!$I$2:$I$355,MATCH($C211,Deals!$A$2:$A$355,0))=0,"",INDEX(Deals!$I$2:$I$355,MATCH($C211,Deals!$A$2:$A$355,0))),""))</f>
        <v/>
      </c>
      <c r="M211" s="22">
        <f>IF($C211="","",IFERROR(IF(INDEX(Deals!$J$2:$J$355,MATCH($C211,Deals!$A$2:$A$355,0))=0,"",INDEX(Deals!$J$2:$J$355,MATCH($C211,Deals!$A$2:$A$355,0))),""))</f>
        <v/>
      </c>
      <c r="N211" s="35">
        <f>IF($L211="",DATE(1900,1,1),$L211)</f>
        <v/>
      </c>
      <c r="O211" s="35">
        <f>IF($M211="",DATE(2100,12,31),$M211)</f>
        <v/>
      </c>
      <c r="P211" s="20" t="inlineStr"/>
      <c r="Q211" s="43" t="inlineStr"/>
      <c r="R211" s="16">
        <f>IF($C211="","",IFERROR(IF(INDEX(Deals!$U$2:$U$355,MATCH($C211,Deals!$A$2:$A$355,0))=0,"",INDEX(Deals!$U$2:$U$355,MATCH($C211,Deals!$A$2:$A$355,0))),""))</f>
        <v/>
      </c>
      <c r="S211" s="34">
        <f>IFERROR(IF($U211="",1,INDEX(Deals!$V$2:$V$355,MATCH($C211,Deals!$A$2:$A$355,0))),1)</f>
        <v/>
      </c>
      <c r="T211" s="34">
        <f>IFERROR(IF($U211="",1,INDEX(Deals!$W$2:$W$355,MATCH($C211,Deals!$A$2:$A$355,0))),1)</f>
        <v/>
      </c>
      <c r="U211" s="22">
        <f>IF($C211="","",IFERROR(IF(INDEX(Deals!$Y$2:$Y$355,MATCH($C211,Deals!$A$2:$A$355,0))=0,"",INDEX(Deals!$Y$2:$Y$355,MATCH($C211,Deals!$A$2:$A$355,0))),""))</f>
        <v/>
      </c>
      <c r="V211" s="35">
        <f>IF($U211="",DATE(1900,1,1),$N211)</f>
        <v/>
      </c>
      <c r="W211" s="35">
        <f>IF($U211="",DATE(2100,12,31),$U211)</f>
        <v/>
      </c>
      <c r="X211" s="32">
        <f>IF($U211="",$K211,$K211*$S211)</f>
        <v/>
      </c>
      <c r="Y211" s="35">
        <f>IF($U211="",DATE(2100,12,31),$U211+1)</f>
        <v/>
      </c>
      <c r="Z211" s="35">
        <f>IF($U211="",DATE(1900,1,1),$O211)</f>
        <v/>
      </c>
      <c r="AA211" s="32">
        <f>IF($U211="",0,$K211*$T211)</f>
        <v/>
      </c>
      <c r="AB211" s="21">
        <f>IF($C211="",0,IFERROR(INDEX(Deals!$AD$2:$AD$355,MATCH($C211,Deals!$A$2:$A$355,0)),0))</f>
        <v/>
      </c>
      <c r="AC211" s="32">
        <f>IF(Settings!$B$4="Yes",$I211*$AB211,$I211)</f>
        <v/>
      </c>
      <c r="AD211" s="22">
        <f>IF($C211="","",IFERROR(IF(INDEX(Deals!$AE$2:$AE$355,MATCH($C211,Deals!$A$2:$A$355,0))=0,"",INDEX(Deals!$AE$2:$AE$355,MATCH($C211,Deals!$A$2:$A$355,0))),""))</f>
        <v/>
      </c>
      <c r="AE211" s="22">
        <f>IF($C211="","",IFERROR(IF(INDEX(Deals!$AF$2:$AF$355,MATCH($C211,Deals!$A$2:$A$355,0))=0,"",INDEX(Deals!$AF$2:$AF$355,MATCH($C211,Deals!$A$2:$A$355,0))),""))</f>
        <v/>
      </c>
      <c r="AF211" s="35">
        <f>IF($AD211="",DATE(1900,1,1),$AD211)</f>
        <v/>
      </c>
      <c r="AG211" s="35">
        <f>IF($AE211="",DATE(2100,12,31),$AE211)</f>
        <v/>
      </c>
      <c r="AH211" s="22">
        <f>IF($C211="","",IFERROR(IF(INDEX(Deals!$AG$2:$AG$355,MATCH($C211,Deals!$A$2:$A$355,0))=0,"",INDEX(Deals!$AG$2:$AG$355,MATCH($C211,Deals!$A$2:$A$355,0))),""))</f>
        <v/>
      </c>
      <c r="AI211" s="35">
        <f>IF($AH211="",DATE(1900,1,1),$AF211)</f>
        <v/>
      </c>
      <c r="AJ211" s="35">
        <f>IF($AH211="",DATE(2100,12,31),$AH211)</f>
        <v/>
      </c>
      <c r="AK211" s="32">
        <f>IF($AH211="",$AC211,$AC211*$S211)</f>
        <v/>
      </c>
      <c r="AL211" s="35">
        <f>IF($AH211="",DATE(2100,12,31),$AH211+1)</f>
        <v/>
      </c>
      <c r="AM211" s="35">
        <f>IF($AH211="",DATE(1900,1,1),$AG211)</f>
        <v/>
      </c>
      <c r="AN211" s="32">
        <f>IF($AH211="",0,$AC211*$T211)</f>
        <v/>
      </c>
    </row>
    <row r="212">
      <c r="A212" s="28" t="inlineStr">
        <is>
          <t>Jason</t>
        </is>
      </c>
      <c r="B212" s="16">
        <f>IF($A212="","",IFERROR(INDEX(Roster!$B$2:$B$40,MATCH($A212,Roster!$A$2:$A$40,0)),"?"))</f>
        <v/>
      </c>
      <c r="C212" s="28" t="inlineStr">
        <is>
          <t>Scion_1</t>
        </is>
      </c>
      <c r="D212" s="16">
        <f>IF($C212="","",IFERROR(IF(INDEX(Deals!$C$2:$C$355,MATCH($C212,Deals!$A$2:$A$355,0))=0,"",INDEX(Deals!$C$2:$C$355,MATCH($C212,Deals!$A$2:$A$355,0))),"?"))</f>
        <v/>
      </c>
      <c r="E212" s="16">
        <f>IF($C212="","",IFERROR(INDEX(Deals!$F$2:$F$355,MATCH($C212,Deals!$A$2:$A$355,0)),"?"))</f>
        <v/>
      </c>
      <c r="F212" s="28" t="inlineStr">
        <is>
          <t>MD</t>
        </is>
      </c>
      <c r="G212" s="28" t="inlineStr">
        <is>
          <t>Active</t>
        </is>
      </c>
      <c r="H212" s="31" t="n"/>
      <c r="I212" s="32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1">
        <f>IF($C212="",0,IFERROR(INDEX(Deals!$H$2:$H$355,MATCH($C212,Deals!$A$2:$A$355,0)),0))</f>
        <v/>
      </c>
      <c r="K212" s="32">
        <f>IF(Settings!$B$4="Yes",$I212*$J212,$I212)</f>
        <v/>
      </c>
      <c r="L212" s="22">
        <f>IF($C212="","",IFERROR(IF(INDEX(Deals!$I$2:$I$355,MATCH($C212,Deals!$A$2:$A$355,0))=0,"",INDEX(Deals!$I$2:$I$355,MATCH($C212,Deals!$A$2:$A$355,0))),""))</f>
        <v/>
      </c>
      <c r="M212" s="22">
        <f>IF($C212="","",IFERROR(IF(INDEX(Deals!$J$2:$J$355,MATCH($C212,Deals!$A$2:$A$355,0))=0,"",INDEX(Deals!$J$2:$J$355,MATCH($C212,Deals!$A$2:$A$355,0))),""))</f>
        <v/>
      </c>
      <c r="N212" s="35">
        <f>IF($L212="",DATE(1900,1,1),$L212)</f>
        <v/>
      </c>
      <c r="O212" s="35">
        <f>IF($M212="",DATE(2100,12,31),$M212)</f>
        <v/>
      </c>
      <c r="P212" s="20" t="inlineStr"/>
      <c r="Q212" s="43" t="inlineStr"/>
      <c r="R212" s="16">
        <f>IF($C212="","",IFERROR(IF(INDEX(Deals!$U$2:$U$355,MATCH($C212,Deals!$A$2:$A$355,0))=0,"",INDEX(Deals!$U$2:$U$355,MATCH($C212,Deals!$A$2:$A$355,0))),""))</f>
        <v/>
      </c>
      <c r="S212" s="34">
        <f>IFERROR(IF($U212="",1,INDEX(Deals!$V$2:$V$355,MATCH($C212,Deals!$A$2:$A$355,0))),1)</f>
        <v/>
      </c>
      <c r="T212" s="34">
        <f>IFERROR(IF($U212="",1,INDEX(Deals!$W$2:$W$355,MATCH($C212,Deals!$A$2:$A$355,0))),1)</f>
        <v/>
      </c>
      <c r="U212" s="22">
        <f>IF($C212="","",IFERROR(IF(INDEX(Deals!$Y$2:$Y$355,MATCH($C212,Deals!$A$2:$A$355,0))=0,"",INDEX(Deals!$Y$2:$Y$355,MATCH($C212,Deals!$A$2:$A$355,0))),""))</f>
        <v/>
      </c>
      <c r="V212" s="35">
        <f>IF($U212="",DATE(1900,1,1),$N212)</f>
        <v/>
      </c>
      <c r="W212" s="35">
        <f>IF($U212="",DATE(2100,12,31),$U212)</f>
        <v/>
      </c>
      <c r="X212" s="32">
        <f>IF($U212="",$K212,$K212*$S212)</f>
        <v/>
      </c>
      <c r="Y212" s="35">
        <f>IF($U212="",DATE(2100,12,31),$U212+1)</f>
        <v/>
      </c>
      <c r="Z212" s="35">
        <f>IF($U212="",DATE(1900,1,1),$O212)</f>
        <v/>
      </c>
      <c r="AA212" s="32">
        <f>IF($U212="",0,$K212*$T212)</f>
        <v/>
      </c>
      <c r="AB212" s="21">
        <f>IF($C212="",0,IFERROR(INDEX(Deals!$AD$2:$AD$355,MATCH($C212,Deals!$A$2:$A$355,0)),0))</f>
        <v/>
      </c>
      <c r="AC212" s="32">
        <f>IF(Settings!$B$4="Yes",$I212*$AB212,$I212)</f>
        <v/>
      </c>
      <c r="AD212" s="22">
        <f>IF($C212="","",IFERROR(IF(INDEX(Deals!$AE$2:$AE$355,MATCH($C212,Deals!$A$2:$A$355,0))=0,"",INDEX(Deals!$AE$2:$AE$355,MATCH($C212,Deals!$A$2:$A$355,0))),""))</f>
        <v/>
      </c>
      <c r="AE212" s="22">
        <f>IF($C212="","",IFERROR(IF(INDEX(Deals!$AF$2:$AF$355,MATCH($C212,Deals!$A$2:$A$355,0))=0,"",INDEX(Deals!$AF$2:$AF$355,MATCH($C212,Deals!$A$2:$A$355,0))),""))</f>
        <v/>
      </c>
      <c r="AF212" s="35">
        <f>IF($AD212="",DATE(1900,1,1),$AD212)</f>
        <v/>
      </c>
      <c r="AG212" s="35">
        <f>IF($AE212="",DATE(2100,12,31),$AE212)</f>
        <v/>
      </c>
      <c r="AH212" s="22">
        <f>IF($C212="","",IFERROR(IF(INDEX(Deals!$AG$2:$AG$355,MATCH($C212,Deals!$A$2:$A$355,0))=0,"",INDEX(Deals!$AG$2:$AG$355,MATCH($C212,Deals!$A$2:$A$355,0))),""))</f>
        <v/>
      </c>
      <c r="AI212" s="35">
        <f>IF($AH212="",DATE(1900,1,1),$AF212)</f>
        <v/>
      </c>
      <c r="AJ212" s="35">
        <f>IF($AH212="",DATE(2100,12,31),$AH212)</f>
        <v/>
      </c>
      <c r="AK212" s="32">
        <f>IF($AH212="",$AC212,$AC212*$S212)</f>
        <v/>
      </c>
      <c r="AL212" s="35">
        <f>IF($AH212="",DATE(2100,12,31),$AH212+1)</f>
        <v/>
      </c>
      <c r="AM212" s="35">
        <f>IF($AH212="",DATE(1900,1,1),$AG212)</f>
        <v/>
      </c>
      <c r="AN212" s="32">
        <f>IF($AH212="",0,$AC212*$T212)</f>
        <v/>
      </c>
    </row>
    <row r="213">
      <c r="A213" s="28" t="inlineStr">
        <is>
          <t>Jason</t>
        </is>
      </c>
      <c r="B213" s="16">
        <f>IF($A213="","",IFERROR(INDEX(Roster!$B$2:$B$40,MATCH($A213,Roster!$A$2:$A$40,0)),"?"))</f>
        <v/>
      </c>
      <c r="C213" s="28" t="inlineStr">
        <is>
          <t>Steam_2</t>
        </is>
      </c>
      <c r="D213" s="16">
        <f>IF($C213="","",IFERROR(IF(INDEX(Deals!$C$2:$C$355,MATCH($C213,Deals!$A$2:$A$355,0))=0,"",INDEX(Deals!$C$2:$C$355,MATCH($C213,Deals!$A$2:$A$355,0))),"?"))</f>
        <v/>
      </c>
      <c r="E213" s="16">
        <f>IF($C213="","",IFERROR(INDEX(Deals!$F$2:$F$355,MATCH($C213,Deals!$A$2:$A$355,0)),"?"))</f>
        <v/>
      </c>
      <c r="F213" s="28" t="inlineStr">
        <is>
          <t>MD</t>
        </is>
      </c>
      <c r="G213" s="28" t="inlineStr">
        <is>
          <t>Active</t>
        </is>
      </c>
      <c r="H213" s="31" t="n"/>
      <c r="I213" s="32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1">
        <f>IF($C213="",0,IFERROR(INDEX(Deals!$H$2:$H$355,MATCH($C213,Deals!$A$2:$A$355,0)),0))</f>
        <v/>
      </c>
      <c r="K213" s="32">
        <f>IF(Settings!$B$4="Yes",$I213*$J213,$I213)</f>
        <v/>
      </c>
      <c r="L213" s="22">
        <f>IF($C213="","",IFERROR(IF(INDEX(Deals!$I$2:$I$355,MATCH($C213,Deals!$A$2:$A$355,0))=0,"",INDEX(Deals!$I$2:$I$355,MATCH($C213,Deals!$A$2:$A$355,0))),""))</f>
        <v/>
      </c>
      <c r="M213" s="22">
        <f>IF($C213="","",IFERROR(IF(INDEX(Deals!$J$2:$J$355,MATCH($C213,Deals!$A$2:$A$355,0))=0,"",INDEX(Deals!$J$2:$J$355,MATCH($C213,Deals!$A$2:$A$355,0))),""))</f>
        <v/>
      </c>
      <c r="N213" s="35">
        <f>IF($L213="",DATE(1900,1,1),$L213)</f>
        <v/>
      </c>
      <c r="O213" s="35">
        <f>IF($M213="",DATE(2100,12,31),$M213)</f>
        <v/>
      </c>
      <c r="P213" s="20" t="inlineStr"/>
      <c r="Q213" s="43" t="inlineStr"/>
      <c r="R213" s="16">
        <f>IF($C213="","",IFERROR(IF(INDEX(Deals!$U$2:$U$355,MATCH($C213,Deals!$A$2:$A$355,0))=0,"",INDEX(Deals!$U$2:$U$355,MATCH($C213,Deals!$A$2:$A$355,0))),""))</f>
        <v/>
      </c>
      <c r="S213" s="34">
        <f>IFERROR(IF($U213="",1,INDEX(Deals!$V$2:$V$355,MATCH($C213,Deals!$A$2:$A$355,0))),1)</f>
        <v/>
      </c>
      <c r="T213" s="34">
        <f>IFERROR(IF($U213="",1,INDEX(Deals!$W$2:$W$355,MATCH($C213,Deals!$A$2:$A$355,0))),1)</f>
        <v/>
      </c>
      <c r="U213" s="22">
        <f>IF($C213="","",IFERROR(IF(INDEX(Deals!$Y$2:$Y$355,MATCH($C213,Deals!$A$2:$A$355,0))=0,"",INDEX(Deals!$Y$2:$Y$355,MATCH($C213,Deals!$A$2:$A$355,0))),""))</f>
        <v/>
      </c>
      <c r="V213" s="35">
        <f>IF($U213="",DATE(1900,1,1),$N213)</f>
        <v/>
      </c>
      <c r="W213" s="35">
        <f>IF($U213="",DATE(2100,12,31),$U213)</f>
        <v/>
      </c>
      <c r="X213" s="32">
        <f>IF($U213="",$K213,$K213*$S213)</f>
        <v/>
      </c>
      <c r="Y213" s="35">
        <f>IF($U213="",DATE(2100,12,31),$U213+1)</f>
        <v/>
      </c>
      <c r="Z213" s="35">
        <f>IF($U213="",DATE(1900,1,1),$O213)</f>
        <v/>
      </c>
      <c r="AA213" s="32">
        <f>IF($U213="",0,$K213*$T213)</f>
        <v/>
      </c>
      <c r="AB213" s="21">
        <f>IF($C213="",0,IFERROR(INDEX(Deals!$AD$2:$AD$355,MATCH($C213,Deals!$A$2:$A$355,0)),0))</f>
        <v/>
      </c>
      <c r="AC213" s="32">
        <f>IF(Settings!$B$4="Yes",$I213*$AB213,$I213)</f>
        <v/>
      </c>
      <c r="AD213" s="22">
        <f>IF($C213="","",IFERROR(IF(INDEX(Deals!$AE$2:$AE$355,MATCH($C213,Deals!$A$2:$A$355,0))=0,"",INDEX(Deals!$AE$2:$AE$355,MATCH($C213,Deals!$A$2:$A$355,0))),""))</f>
        <v/>
      </c>
      <c r="AE213" s="22">
        <f>IF($C213="","",IFERROR(IF(INDEX(Deals!$AF$2:$AF$355,MATCH($C213,Deals!$A$2:$A$355,0))=0,"",INDEX(Deals!$AF$2:$AF$355,MATCH($C213,Deals!$A$2:$A$355,0))),""))</f>
        <v/>
      </c>
      <c r="AF213" s="35">
        <f>IF($AD213="",DATE(1900,1,1),$AD213)</f>
        <v/>
      </c>
      <c r="AG213" s="35">
        <f>IF($AE213="",DATE(2100,12,31),$AE213)</f>
        <v/>
      </c>
      <c r="AH213" s="22">
        <f>IF($C213="","",IFERROR(IF(INDEX(Deals!$AG$2:$AG$355,MATCH($C213,Deals!$A$2:$A$355,0))=0,"",INDEX(Deals!$AG$2:$AG$355,MATCH($C213,Deals!$A$2:$A$355,0))),""))</f>
        <v/>
      </c>
      <c r="AI213" s="35">
        <f>IF($AH213="",DATE(1900,1,1),$AF213)</f>
        <v/>
      </c>
      <c r="AJ213" s="35">
        <f>IF($AH213="",DATE(2100,12,31),$AH213)</f>
        <v/>
      </c>
      <c r="AK213" s="32">
        <f>IF($AH213="",$AC213,$AC213*$S213)</f>
        <v/>
      </c>
      <c r="AL213" s="35">
        <f>IF($AH213="",DATE(2100,12,31),$AH213+1)</f>
        <v/>
      </c>
      <c r="AM213" s="35">
        <f>IF($AH213="",DATE(1900,1,1),$AG213)</f>
        <v/>
      </c>
      <c r="AN213" s="32">
        <f>IF($AH213="",0,$AC213*$T213)</f>
        <v/>
      </c>
    </row>
    <row r="214">
      <c r="A214" s="28" t="inlineStr">
        <is>
          <t>Jason</t>
        </is>
      </c>
      <c r="B214" s="16">
        <f>IF($A214="","",IFERROR(INDEX(Roster!$B$2:$B$40,MATCH($A214,Roster!$A$2:$A$40,0)),"?"))</f>
        <v/>
      </c>
      <c r="C214" s="28" t="inlineStr">
        <is>
          <t>Sunrise_5</t>
        </is>
      </c>
      <c r="D214" s="16">
        <f>IF($C214="","",IFERROR(IF(INDEX(Deals!$C$2:$C$355,MATCH($C214,Deals!$A$2:$A$355,0))=0,"",INDEX(Deals!$C$2:$C$355,MATCH($C214,Deals!$A$2:$A$355,0))),"?"))</f>
        <v/>
      </c>
      <c r="E214" s="16">
        <f>IF($C214="","",IFERROR(INDEX(Deals!$F$2:$F$355,MATCH($C214,Deals!$A$2:$A$355,0)),"?"))</f>
        <v/>
      </c>
      <c r="F214" s="28" t="inlineStr">
        <is>
          <t>MD</t>
        </is>
      </c>
      <c r="G214" s="28" t="inlineStr">
        <is>
          <t>Active</t>
        </is>
      </c>
      <c r="H214" s="31" t="n"/>
      <c r="I214" s="32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1">
        <f>IF($C214="",0,IFERROR(INDEX(Deals!$H$2:$H$355,MATCH($C214,Deals!$A$2:$A$355,0)),0))</f>
        <v/>
      </c>
      <c r="K214" s="32">
        <f>IF(Settings!$B$4="Yes",$I214*$J214,$I214)</f>
        <v/>
      </c>
      <c r="L214" s="22">
        <f>IF($C214="","",IFERROR(IF(INDEX(Deals!$I$2:$I$355,MATCH($C214,Deals!$A$2:$A$355,0))=0,"",INDEX(Deals!$I$2:$I$355,MATCH($C214,Deals!$A$2:$A$355,0))),""))</f>
        <v/>
      </c>
      <c r="M214" s="22">
        <f>IF($C214="","",IFERROR(IF(INDEX(Deals!$J$2:$J$355,MATCH($C214,Deals!$A$2:$A$355,0))=0,"",INDEX(Deals!$J$2:$J$355,MATCH($C214,Deals!$A$2:$A$355,0))),""))</f>
        <v/>
      </c>
      <c r="N214" s="35">
        <f>IF($L214="",DATE(1900,1,1),$L214)</f>
        <v/>
      </c>
      <c r="O214" s="35">
        <f>IF($M214="",DATE(2100,12,31),$M214)</f>
        <v/>
      </c>
      <c r="P214" s="20" t="inlineStr"/>
      <c r="Q214" s="43" t="inlineStr"/>
      <c r="R214" s="16">
        <f>IF($C214="","",IFERROR(IF(INDEX(Deals!$U$2:$U$355,MATCH($C214,Deals!$A$2:$A$355,0))=0,"",INDEX(Deals!$U$2:$U$355,MATCH($C214,Deals!$A$2:$A$355,0))),""))</f>
        <v/>
      </c>
      <c r="S214" s="34">
        <f>IFERROR(IF($U214="",1,INDEX(Deals!$V$2:$V$355,MATCH($C214,Deals!$A$2:$A$355,0))),1)</f>
        <v/>
      </c>
      <c r="T214" s="34">
        <f>IFERROR(IF($U214="",1,INDEX(Deals!$W$2:$W$355,MATCH($C214,Deals!$A$2:$A$355,0))),1)</f>
        <v/>
      </c>
      <c r="U214" s="22">
        <f>IF($C214="","",IFERROR(IF(INDEX(Deals!$Y$2:$Y$355,MATCH($C214,Deals!$A$2:$A$355,0))=0,"",INDEX(Deals!$Y$2:$Y$355,MATCH($C214,Deals!$A$2:$A$355,0))),""))</f>
        <v/>
      </c>
      <c r="V214" s="35">
        <f>IF($U214="",DATE(1900,1,1),$N214)</f>
        <v/>
      </c>
      <c r="W214" s="35">
        <f>IF($U214="",DATE(2100,12,31),$U214)</f>
        <v/>
      </c>
      <c r="X214" s="32">
        <f>IF($U214="",$K214,$K214*$S214)</f>
        <v/>
      </c>
      <c r="Y214" s="35">
        <f>IF($U214="",DATE(2100,12,31),$U214+1)</f>
        <v/>
      </c>
      <c r="Z214" s="35">
        <f>IF($U214="",DATE(1900,1,1),$O214)</f>
        <v/>
      </c>
      <c r="AA214" s="32">
        <f>IF($U214="",0,$K214*$T214)</f>
        <v/>
      </c>
      <c r="AB214" s="21">
        <f>IF($C214="",0,IFERROR(INDEX(Deals!$AD$2:$AD$355,MATCH($C214,Deals!$A$2:$A$355,0)),0))</f>
        <v/>
      </c>
      <c r="AC214" s="32">
        <f>IF(Settings!$B$4="Yes",$I214*$AB214,$I214)</f>
        <v/>
      </c>
      <c r="AD214" s="22">
        <f>IF($C214="","",IFERROR(IF(INDEX(Deals!$AE$2:$AE$355,MATCH($C214,Deals!$A$2:$A$355,0))=0,"",INDEX(Deals!$AE$2:$AE$355,MATCH($C214,Deals!$A$2:$A$355,0))),""))</f>
        <v/>
      </c>
      <c r="AE214" s="22">
        <f>IF($C214="","",IFERROR(IF(INDEX(Deals!$AF$2:$AF$355,MATCH($C214,Deals!$A$2:$A$355,0))=0,"",INDEX(Deals!$AF$2:$AF$355,MATCH($C214,Deals!$A$2:$A$355,0))),""))</f>
        <v/>
      </c>
      <c r="AF214" s="35">
        <f>IF($AD214="",DATE(1900,1,1),$AD214)</f>
        <v/>
      </c>
      <c r="AG214" s="35">
        <f>IF($AE214="",DATE(2100,12,31),$AE214)</f>
        <v/>
      </c>
      <c r="AH214" s="22">
        <f>IF($C214="","",IFERROR(IF(INDEX(Deals!$AG$2:$AG$355,MATCH($C214,Deals!$A$2:$A$355,0))=0,"",INDEX(Deals!$AG$2:$AG$355,MATCH($C214,Deals!$A$2:$A$355,0))),""))</f>
        <v/>
      </c>
      <c r="AI214" s="35">
        <f>IF($AH214="",DATE(1900,1,1),$AF214)</f>
        <v/>
      </c>
      <c r="AJ214" s="35">
        <f>IF($AH214="",DATE(2100,12,31),$AH214)</f>
        <v/>
      </c>
      <c r="AK214" s="32">
        <f>IF($AH214="",$AC214,$AC214*$S214)</f>
        <v/>
      </c>
      <c r="AL214" s="35">
        <f>IF($AH214="",DATE(2100,12,31),$AH214+1)</f>
        <v/>
      </c>
      <c r="AM214" s="35">
        <f>IF($AH214="",DATE(1900,1,1),$AG214)</f>
        <v/>
      </c>
      <c r="AN214" s="32">
        <f>IF($AH214="",0,$AC214*$T214)</f>
        <v/>
      </c>
    </row>
    <row r="215">
      <c r="A215" s="28" t="inlineStr">
        <is>
          <t>Jason</t>
        </is>
      </c>
      <c r="B215" s="16">
        <f>IF($A215="","",IFERROR(INDEX(Roster!$B$2:$B$40,MATCH($A215,Roster!$A$2:$A$40,0)),"?"))</f>
        <v/>
      </c>
      <c r="C215" s="28" t="inlineStr">
        <is>
          <t>Truman_1</t>
        </is>
      </c>
      <c r="D215" s="16">
        <f>IF($C215="","",IFERROR(IF(INDEX(Deals!$C$2:$C$355,MATCH($C215,Deals!$A$2:$A$355,0))=0,"",INDEX(Deals!$C$2:$C$355,MATCH($C215,Deals!$A$2:$A$355,0))),"?"))</f>
        <v/>
      </c>
      <c r="E215" s="16">
        <f>IF($C215="","",IFERROR(INDEX(Deals!$F$2:$F$355,MATCH($C215,Deals!$A$2:$A$355,0)),"?"))</f>
        <v/>
      </c>
      <c r="F215" s="28" t="inlineStr">
        <is>
          <t>MD</t>
        </is>
      </c>
      <c r="G215" s="28" t="inlineStr">
        <is>
          <t>Active</t>
        </is>
      </c>
      <c r="H215" s="31" t="n"/>
      <c r="I215" s="32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1">
        <f>IF($C215="",0,IFERROR(INDEX(Deals!$H$2:$H$355,MATCH($C215,Deals!$A$2:$A$355,0)),0))</f>
        <v/>
      </c>
      <c r="K215" s="32">
        <f>IF(Settings!$B$4="Yes",$I215*$J215,$I215)</f>
        <v/>
      </c>
      <c r="L215" s="22">
        <f>IF($C215="","",IFERROR(IF(INDEX(Deals!$I$2:$I$355,MATCH($C215,Deals!$A$2:$A$355,0))=0,"",INDEX(Deals!$I$2:$I$355,MATCH($C215,Deals!$A$2:$A$355,0))),""))</f>
        <v/>
      </c>
      <c r="M215" s="22">
        <f>IF($C215="","",IFERROR(IF(INDEX(Deals!$J$2:$J$355,MATCH($C215,Deals!$A$2:$A$355,0))=0,"",INDEX(Deals!$J$2:$J$355,MATCH($C215,Deals!$A$2:$A$355,0))),""))</f>
        <v/>
      </c>
      <c r="N215" s="35">
        <f>IF($L215="",DATE(1900,1,1),$L215)</f>
        <v/>
      </c>
      <c r="O215" s="35">
        <f>IF($M215="",DATE(2100,12,31),$M215)</f>
        <v/>
      </c>
      <c r="P215" s="20" t="inlineStr"/>
      <c r="Q215" s="43" t="inlineStr"/>
      <c r="R215" s="16">
        <f>IF($C215="","",IFERROR(IF(INDEX(Deals!$U$2:$U$355,MATCH($C215,Deals!$A$2:$A$355,0))=0,"",INDEX(Deals!$U$2:$U$355,MATCH($C215,Deals!$A$2:$A$355,0))),""))</f>
        <v/>
      </c>
      <c r="S215" s="34">
        <f>IFERROR(IF($U215="",1,INDEX(Deals!$V$2:$V$355,MATCH($C215,Deals!$A$2:$A$355,0))),1)</f>
        <v/>
      </c>
      <c r="T215" s="34">
        <f>IFERROR(IF($U215="",1,INDEX(Deals!$W$2:$W$355,MATCH($C215,Deals!$A$2:$A$355,0))),1)</f>
        <v/>
      </c>
      <c r="U215" s="22">
        <f>IF($C215="","",IFERROR(IF(INDEX(Deals!$Y$2:$Y$355,MATCH($C215,Deals!$A$2:$A$355,0))=0,"",INDEX(Deals!$Y$2:$Y$355,MATCH($C215,Deals!$A$2:$A$355,0))),""))</f>
        <v/>
      </c>
      <c r="V215" s="35">
        <f>IF($U215="",DATE(1900,1,1),$N215)</f>
        <v/>
      </c>
      <c r="W215" s="35">
        <f>IF($U215="",DATE(2100,12,31),$U215)</f>
        <v/>
      </c>
      <c r="X215" s="32">
        <f>IF($U215="",$K215,$K215*$S215)</f>
        <v/>
      </c>
      <c r="Y215" s="35">
        <f>IF($U215="",DATE(2100,12,31),$U215+1)</f>
        <v/>
      </c>
      <c r="Z215" s="35">
        <f>IF($U215="",DATE(1900,1,1),$O215)</f>
        <v/>
      </c>
      <c r="AA215" s="32">
        <f>IF($U215="",0,$K215*$T215)</f>
        <v/>
      </c>
      <c r="AB215" s="21">
        <f>IF($C215="",0,IFERROR(INDEX(Deals!$AD$2:$AD$355,MATCH($C215,Deals!$A$2:$A$355,0)),0))</f>
        <v/>
      </c>
      <c r="AC215" s="32">
        <f>IF(Settings!$B$4="Yes",$I215*$AB215,$I215)</f>
        <v/>
      </c>
      <c r="AD215" s="22">
        <f>IF($C215="","",IFERROR(IF(INDEX(Deals!$AE$2:$AE$355,MATCH($C215,Deals!$A$2:$A$355,0))=0,"",INDEX(Deals!$AE$2:$AE$355,MATCH($C215,Deals!$A$2:$A$355,0))),""))</f>
        <v/>
      </c>
      <c r="AE215" s="22">
        <f>IF($C215="","",IFERROR(IF(INDEX(Deals!$AF$2:$AF$355,MATCH($C215,Deals!$A$2:$A$355,0))=0,"",INDEX(Deals!$AF$2:$AF$355,MATCH($C215,Deals!$A$2:$A$355,0))),""))</f>
        <v/>
      </c>
      <c r="AF215" s="35">
        <f>IF($AD215="",DATE(1900,1,1),$AD215)</f>
        <v/>
      </c>
      <c r="AG215" s="35">
        <f>IF($AE215="",DATE(2100,12,31),$AE215)</f>
        <v/>
      </c>
      <c r="AH215" s="22">
        <f>IF($C215="","",IFERROR(IF(INDEX(Deals!$AG$2:$AG$355,MATCH($C215,Deals!$A$2:$A$355,0))=0,"",INDEX(Deals!$AG$2:$AG$355,MATCH($C215,Deals!$A$2:$A$355,0))),""))</f>
        <v/>
      </c>
      <c r="AI215" s="35">
        <f>IF($AH215="",DATE(1900,1,1),$AF215)</f>
        <v/>
      </c>
      <c r="AJ215" s="35">
        <f>IF($AH215="",DATE(2100,12,31),$AH215)</f>
        <v/>
      </c>
      <c r="AK215" s="32">
        <f>IF($AH215="",$AC215,$AC215*$S215)</f>
        <v/>
      </c>
      <c r="AL215" s="35">
        <f>IF($AH215="",DATE(2100,12,31),$AH215+1)</f>
        <v/>
      </c>
      <c r="AM215" s="35">
        <f>IF($AH215="",DATE(1900,1,1),$AG215)</f>
        <v/>
      </c>
      <c r="AN215" s="32">
        <f>IF($AH215="",0,$AC215*$T215)</f>
        <v/>
      </c>
    </row>
    <row r="216">
      <c r="A216" s="28" t="inlineStr">
        <is>
          <t>Justine</t>
        </is>
      </c>
      <c r="B216" s="16">
        <f>IF($A216="","",IFERROR(INDEX(Roster!$B$2:$B$40,MATCH($A216,Roster!$A$2:$A$40,0)),"?"))</f>
        <v/>
      </c>
      <c r="C216" s="28" t="inlineStr">
        <is>
          <t>Advantage_1</t>
        </is>
      </c>
      <c r="D216" s="16">
        <f>IF($C216="","",IFERROR(IF(INDEX(Deals!$C$2:$C$355,MATCH($C216,Deals!$A$2:$A$355,0))=0,"",INDEX(Deals!$C$2:$C$355,MATCH($C216,Deals!$A$2:$A$355,0))),"?"))</f>
        <v/>
      </c>
      <c r="E216" s="16">
        <f>IF($C216="","",IFERROR(INDEX(Deals!$F$2:$F$355,MATCH($C216,Deals!$A$2:$A$355,0)),"?"))</f>
        <v/>
      </c>
      <c r="F216" s="28" t="inlineStr">
        <is>
          <t>Director</t>
        </is>
      </c>
      <c r="G216" s="28" t="inlineStr">
        <is>
          <t>Active</t>
        </is>
      </c>
      <c r="H216" s="31" t="n"/>
      <c r="I216" s="32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1">
        <f>IF($C216="",0,IFERROR(INDEX(Deals!$H$2:$H$355,MATCH($C216,Deals!$A$2:$A$355,0)),0))</f>
        <v/>
      </c>
      <c r="K216" s="32">
        <f>IF(Settings!$B$4="Yes",$I216*$J216,$I216)</f>
        <v/>
      </c>
      <c r="L216" s="22">
        <f>IF($C216="","",IFERROR(IF(INDEX(Deals!$I$2:$I$355,MATCH($C216,Deals!$A$2:$A$355,0))=0,"",INDEX(Deals!$I$2:$I$355,MATCH($C216,Deals!$A$2:$A$355,0))),""))</f>
        <v/>
      </c>
      <c r="M216" s="22">
        <f>IF($C216="","",IFERROR(IF(INDEX(Deals!$J$2:$J$355,MATCH($C216,Deals!$A$2:$A$355,0))=0,"",INDEX(Deals!$J$2:$J$355,MATCH($C216,Deals!$A$2:$A$355,0))),""))</f>
        <v/>
      </c>
      <c r="N216" s="35">
        <f>IF($L216="",DATE(1900,1,1),$L216)</f>
        <v/>
      </c>
      <c r="O216" s="35">
        <f>IF($M216="",DATE(2100,12,31),$M216)</f>
        <v/>
      </c>
      <c r="P216" s="20" t="inlineStr">
        <is>
          <t>Ongoing</t>
        </is>
      </c>
      <c r="Q216" s="43" t="inlineStr"/>
      <c r="R216" s="16">
        <f>IF($C216="","",IFERROR(IF(INDEX(Deals!$U$2:$U$355,MATCH($C216,Deals!$A$2:$A$355,0))=0,"",INDEX(Deals!$U$2:$U$355,MATCH($C216,Deals!$A$2:$A$355,0))),""))</f>
        <v/>
      </c>
      <c r="S216" s="34">
        <f>IFERROR(IF($U216="",1,INDEX(Deals!$V$2:$V$355,MATCH($C216,Deals!$A$2:$A$355,0))),1)</f>
        <v/>
      </c>
      <c r="T216" s="34">
        <f>IFERROR(IF($U216="",1,INDEX(Deals!$W$2:$W$355,MATCH($C216,Deals!$A$2:$A$355,0))),1)</f>
        <v/>
      </c>
      <c r="U216" s="22">
        <f>IF($C216="","",IFERROR(IF(INDEX(Deals!$Y$2:$Y$355,MATCH($C216,Deals!$A$2:$A$355,0))=0,"",INDEX(Deals!$Y$2:$Y$355,MATCH($C216,Deals!$A$2:$A$355,0))),""))</f>
        <v/>
      </c>
      <c r="V216" s="35">
        <f>IF($U216="",DATE(1900,1,1),$N216)</f>
        <v/>
      </c>
      <c r="W216" s="35">
        <f>IF($U216="",DATE(2100,12,31),$U216)</f>
        <v/>
      </c>
      <c r="X216" s="32">
        <f>IF($U216="",$K216,$K216*$S216)</f>
        <v/>
      </c>
      <c r="Y216" s="35">
        <f>IF($U216="",DATE(2100,12,31),$U216+1)</f>
        <v/>
      </c>
      <c r="Z216" s="35">
        <f>IF($U216="",DATE(1900,1,1),$O216)</f>
        <v/>
      </c>
      <c r="AA216" s="32">
        <f>IF($U216="",0,$K216*$T216)</f>
        <v/>
      </c>
      <c r="AB216" s="21">
        <f>IF($C216="",0,IFERROR(INDEX(Deals!$AD$2:$AD$355,MATCH($C216,Deals!$A$2:$A$355,0)),0))</f>
        <v/>
      </c>
      <c r="AC216" s="32">
        <f>IF(Settings!$B$4="Yes",$I216*$AB216,$I216)</f>
        <v/>
      </c>
      <c r="AD216" s="22">
        <f>IF($C216="","",IFERROR(IF(INDEX(Deals!$AE$2:$AE$355,MATCH($C216,Deals!$A$2:$A$355,0))=0,"",INDEX(Deals!$AE$2:$AE$355,MATCH($C216,Deals!$A$2:$A$355,0))),""))</f>
        <v/>
      </c>
      <c r="AE216" s="22">
        <f>IF($C216="","",IFERROR(IF(INDEX(Deals!$AF$2:$AF$355,MATCH($C216,Deals!$A$2:$A$355,0))=0,"",INDEX(Deals!$AF$2:$AF$355,MATCH($C216,Deals!$A$2:$A$355,0))),""))</f>
        <v/>
      </c>
      <c r="AF216" s="35">
        <f>IF($AD216="",DATE(1900,1,1),$AD216)</f>
        <v/>
      </c>
      <c r="AG216" s="35">
        <f>IF($AE216="",DATE(2100,12,31),$AE216)</f>
        <v/>
      </c>
      <c r="AH216" s="22">
        <f>IF($C216="","",IFERROR(IF(INDEX(Deals!$AG$2:$AG$355,MATCH($C216,Deals!$A$2:$A$355,0))=0,"",INDEX(Deals!$AG$2:$AG$355,MATCH($C216,Deals!$A$2:$A$355,0))),""))</f>
        <v/>
      </c>
      <c r="AI216" s="35">
        <f>IF($AH216="",DATE(1900,1,1),$AF216)</f>
        <v/>
      </c>
      <c r="AJ216" s="35">
        <f>IF($AH216="",DATE(2100,12,31),$AH216)</f>
        <v/>
      </c>
      <c r="AK216" s="32">
        <f>IF($AH216="",$AC216,$AC216*$S216)</f>
        <v/>
      </c>
      <c r="AL216" s="35">
        <f>IF($AH216="",DATE(2100,12,31),$AH216+1)</f>
        <v/>
      </c>
      <c r="AM216" s="35">
        <f>IF($AH216="",DATE(1900,1,1),$AG216)</f>
        <v/>
      </c>
      <c r="AN216" s="32">
        <f>IF($AH216="",0,$AC216*$T216)</f>
        <v/>
      </c>
    </row>
    <row r="217">
      <c r="A217" s="28" t="inlineStr">
        <is>
          <t>Justine</t>
        </is>
      </c>
      <c r="B217" s="16">
        <f>IF($A217="","",IFERROR(INDEX(Roster!$B$2:$B$40,MATCH($A217,Roster!$A$2:$A$40,0)),"?"))</f>
        <v/>
      </c>
      <c r="C217" s="28" t="inlineStr">
        <is>
          <t>Alliance_1</t>
        </is>
      </c>
      <c r="D217" s="16">
        <f>IF($C217="","",IFERROR(IF(INDEX(Deals!$C$2:$C$355,MATCH($C217,Deals!$A$2:$A$355,0))=0,"",INDEX(Deals!$C$2:$C$355,MATCH($C217,Deals!$A$2:$A$355,0))),"?"))</f>
        <v/>
      </c>
      <c r="E217" s="16">
        <f>IF($C217="","",IFERROR(INDEX(Deals!$F$2:$F$355,MATCH($C217,Deals!$A$2:$A$355,0)),"?"))</f>
        <v/>
      </c>
      <c r="F217" s="28" t="inlineStr">
        <is>
          <t>Director</t>
        </is>
      </c>
      <c r="G217" s="28" t="inlineStr">
        <is>
          <t>Inactive</t>
        </is>
      </c>
      <c r="H217" s="31" t="n"/>
      <c r="I217" s="32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1">
        <f>IF($C217="",0,IFERROR(INDEX(Deals!$H$2:$H$355,MATCH($C217,Deals!$A$2:$A$355,0)),0))</f>
        <v/>
      </c>
      <c r="K217" s="32">
        <f>IF(Settings!$B$4="Yes",$I217*$J217,$I217)</f>
        <v/>
      </c>
      <c r="L217" s="22">
        <f>IF($C217="","",IFERROR(IF(INDEX(Deals!$I$2:$I$355,MATCH($C217,Deals!$A$2:$A$355,0))=0,"",INDEX(Deals!$I$2:$I$355,MATCH($C217,Deals!$A$2:$A$355,0))),""))</f>
        <v/>
      </c>
      <c r="M217" s="22">
        <f>IF($C217="","",IFERROR(IF(INDEX(Deals!$J$2:$J$355,MATCH($C217,Deals!$A$2:$A$355,0))=0,"",INDEX(Deals!$J$2:$J$355,MATCH($C217,Deals!$A$2:$A$355,0))),""))</f>
        <v/>
      </c>
      <c r="N217" s="35">
        <f>IF($L217="",DATE(1900,1,1),$L217)</f>
        <v/>
      </c>
      <c r="O217" s="35">
        <f>IF($M217="",DATE(2100,12,31),$M217)</f>
        <v/>
      </c>
      <c r="P217" s="20" t="inlineStr">
        <is>
          <t>Not involved in ongoing work</t>
        </is>
      </c>
      <c r="Q217" s="43" t="inlineStr"/>
      <c r="R217" s="16">
        <f>IF($C217="","",IFERROR(IF(INDEX(Deals!$U$2:$U$355,MATCH($C217,Deals!$A$2:$A$355,0))=0,"",INDEX(Deals!$U$2:$U$355,MATCH($C217,Deals!$A$2:$A$355,0))),""))</f>
        <v/>
      </c>
      <c r="S217" s="34">
        <f>IFERROR(IF($U217="",1,INDEX(Deals!$V$2:$V$355,MATCH($C217,Deals!$A$2:$A$355,0))),1)</f>
        <v/>
      </c>
      <c r="T217" s="34">
        <f>IFERROR(IF($U217="",1,INDEX(Deals!$W$2:$W$355,MATCH($C217,Deals!$A$2:$A$355,0))),1)</f>
        <v/>
      </c>
      <c r="U217" s="22">
        <f>IF($C217="","",IFERROR(IF(INDEX(Deals!$Y$2:$Y$355,MATCH($C217,Deals!$A$2:$A$355,0))=0,"",INDEX(Deals!$Y$2:$Y$355,MATCH($C217,Deals!$A$2:$A$355,0))),""))</f>
        <v/>
      </c>
      <c r="V217" s="35">
        <f>IF($U217="",DATE(1900,1,1),$N217)</f>
        <v/>
      </c>
      <c r="W217" s="35">
        <f>IF($U217="",DATE(2100,12,31),$U217)</f>
        <v/>
      </c>
      <c r="X217" s="32">
        <f>IF($U217="",$K217,$K217*$S217)</f>
        <v/>
      </c>
      <c r="Y217" s="35">
        <f>IF($U217="",DATE(2100,12,31),$U217+1)</f>
        <v/>
      </c>
      <c r="Z217" s="35">
        <f>IF($U217="",DATE(1900,1,1),$O217)</f>
        <v/>
      </c>
      <c r="AA217" s="32">
        <f>IF($U217="",0,$K217*$T217)</f>
        <v/>
      </c>
      <c r="AB217" s="21">
        <f>IF($C217="",0,IFERROR(INDEX(Deals!$AD$2:$AD$355,MATCH($C217,Deals!$A$2:$A$355,0)),0))</f>
        <v/>
      </c>
      <c r="AC217" s="32">
        <f>IF(Settings!$B$4="Yes",$I217*$AB217,$I217)</f>
        <v/>
      </c>
      <c r="AD217" s="22">
        <f>IF($C217="","",IFERROR(IF(INDEX(Deals!$AE$2:$AE$355,MATCH($C217,Deals!$A$2:$A$355,0))=0,"",INDEX(Deals!$AE$2:$AE$355,MATCH($C217,Deals!$A$2:$A$355,0))),""))</f>
        <v/>
      </c>
      <c r="AE217" s="22">
        <f>IF($C217="","",IFERROR(IF(INDEX(Deals!$AF$2:$AF$355,MATCH($C217,Deals!$A$2:$A$355,0))=0,"",INDEX(Deals!$AF$2:$AF$355,MATCH($C217,Deals!$A$2:$A$355,0))),""))</f>
        <v/>
      </c>
      <c r="AF217" s="35">
        <f>IF($AD217="",DATE(1900,1,1),$AD217)</f>
        <v/>
      </c>
      <c r="AG217" s="35">
        <f>IF($AE217="",DATE(2100,12,31),$AE217)</f>
        <v/>
      </c>
      <c r="AH217" s="22">
        <f>IF($C217="","",IFERROR(IF(INDEX(Deals!$AG$2:$AG$355,MATCH($C217,Deals!$A$2:$A$355,0))=0,"",INDEX(Deals!$AG$2:$AG$355,MATCH($C217,Deals!$A$2:$A$355,0))),""))</f>
        <v/>
      </c>
      <c r="AI217" s="35">
        <f>IF($AH217="",DATE(1900,1,1),$AF217)</f>
        <v/>
      </c>
      <c r="AJ217" s="35">
        <f>IF($AH217="",DATE(2100,12,31),$AH217)</f>
        <v/>
      </c>
      <c r="AK217" s="32">
        <f>IF($AH217="",$AC217,$AC217*$S217)</f>
        <v/>
      </c>
      <c r="AL217" s="35">
        <f>IF($AH217="",DATE(2100,12,31),$AH217+1)</f>
        <v/>
      </c>
      <c r="AM217" s="35">
        <f>IF($AH217="",DATE(1900,1,1),$AG217)</f>
        <v/>
      </c>
      <c r="AN217" s="32">
        <f>IF($AH217="",0,$AC217*$T217)</f>
        <v/>
      </c>
    </row>
    <row r="218">
      <c r="A218" s="28" t="inlineStr">
        <is>
          <t>Justine</t>
        </is>
      </c>
      <c r="B218" s="16">
        <f>IF($A218="","",IFERROR(INDEX(Roster!$B$2:$B$40,MATCH($A218,Roster!$A$2:$A$40,0)),"?"))</f>
        <v/>
      </c>
      <c r="C218" s="28" t="inlineStr">
        <is>
          <t>Assys_1</t>
        </is>
      </c>
      <c r="D218" s="16">
        <f>IF($C218="","",IFERROR(IF(INDEX(Deals!$C$2:$C$355,MATCH($C218,Deals!$A$2:$A$355,0))=0,"",INDEX(Deals!$C$2:$C$355,MATCH($C218,Deals!$A$2:$A$355,0))),"?"))</f>
        <v/>
      </c>
      <c r="E218" s="16">
        <f>IF($C218="","",IFERROR(INDEX(Deals!$F$2:$F$355,MATCH($C218,Deals!$A$2:$A$355,0)),"?"))</f>
        <v/>
      </c>
      <c r="F218" s="28" t="inlineStr">
        <is>
          <t>Director</t>
        </is>
      </c>
      <c r="G218" s="28" t="inlineStr">
        <is>
          <t>Active</t>
        </is>
      </c>
      <c r="H218" s="31" t="n"/>
      <c r="I218" s="32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1">
        <f>IF($C218="",0,IFERROR(INDEX(Deals!$H$2:$H$355,MATCH($C218,Deals!$A$2:$A$355,0)),0))</f>
        <v/>
      </c>
      <c r="K218" s="32">
        <f>IF(Settings!$B$4="Yes",$I218*$J218,$I218)</f>
        <v/>
      </c>
      <c r="L218" s="22">
        <f>IF($C218="","",IFERROR(IF(INDEX(Deals!$I$2:$I$355,MATCH($C218,Deals!$A$2:$A$355,0))=0,"",INDEX(Deals!$I$2:$I$355,MATCH($C218,Deals!$A$2:$A$355,0))),""))</f>
        <v/>
      </c>
      <c r="M218" s="22">
        <f>IF($C218="","",IFERROR(IF(INDEX(Deals!$J$2:$J$355,MATCH($C218,Deals!$A$2:$A$355,0))=0,"",INDEX(Deals!$J$2:$J$355,MATCH($C218,Deals!$A$2:$A$355,0))),""))</f>
        <v/>
      </c>
      <c r="N218" s="35">
        <f>IF($L218="",DATE(1900,1,1),$L218)</f>
        <v/>
      </c>
      <c r="O218" s="35">
        <f>IF($M218="",DATE(2100,12,31),$M218)</f>
        <v/>
      </c>
      <c r="P218" s="20" t="inlineStr">
        <is>
          <t>Proposal</t>
        </is>
      </c>
      <c r="Q218" s="43" t="inlineStr"/>
      <c r="R218" s="16">
        <f>IF($C218="","",IFERROR(IF(INDEX(Deals!$U$2:$U$355,MATCH($C218,Deals!$A$2:$A$355,0))=0,"",INDEX(Deals!$U$2:$U$355,MATCH($C218,Deals!$A$2:$A$355,0))),""))</f>
        <v/>
      </c>
      <c r="S218" s="34">
        <f>IFERROR(IF($U218="",1,INDEX(Deals!$V$2:$V$355,MATCH($C218,Deals!$A$2:$A$355,0))),1)</f>
        <v/>
      </c>
      <c r="T218" s="34">
        <f>IFERROR(IF($U218="",1,INDEX(Deals!$W$2:$W$355,MATCH($C218,Deals!$A$2:$A$355,0))),1)</f>
        <v/>
      </c>
      <c r="U218" s="22">
        <f>IF($C218="","",IFERROR(IF(INDEX(Deals!$Y$2:$Y$355,MATCH($C218,Deals!$A$2:$A$355,0))=0,"",INDEX(Deals!$Y$2:$Y$355,MATCH($C218,Deals!$A$2:$A$355,0))),""))</f>
        <v/>
      </c>
      <c r="V218" s="35">
        <f>IF($U218="",DATE(1900,1,1),$N218)</f>
        <v/>
      </c>
      <c r="W218" s="35">
        <f>IF($U218="",DATE(2100,12,31),$U218)</f>
        <v/>
      </c>
      <c r="X218" s="32">
        <f>IF($U218="",$K218,$K218*$S218)</f>
        <v/>
      </c>
      <c r="Y218" s="35">
        <f>IF($U218="",DATE(2100,12,31),$U218+1)</f>
        <v/>
      </c>
      <c r="Z218" s="35">
        <f>IF($U218="",DATE(1900,1,1),$O218)</f>
        <v/>
      </c>
      <c r="AA218" s="32">
        <f>IF($U218="",0,$K218*$T218)</f>
        <v/>
      </c>
      <c r="AB218" s="21">
        <f>IF($C218="",0,IFERROR(INDEX(Deals!$AD$2:$AD$355,MATCH($C218,Deals!$A$2:$A$355,0)),0))</f>
        <v/>
      </c>
      <c r="AC218" s="32">
        <f>IF(Settings!$B$4="Yes",$I218*$AB218,$I218)</f>
        <v/>
      </c>
      <c r="AD218" s="22">
        <f>IF($C218="","",IFERROR(IF(INDEX(Deals!$AE$2:$AE$355,MATCH($C218,Deals!$A$2:$A$355,0))=0,"",INDEX(Deals!$AE$2:$AE$355,MATCH($C218,Deals!$A$2:$A$355,0))),""))</f>
        <v/>
      </c>
      <c r="AE218" s="22">
        <f>IF($C218="","",IFERROR(IF(INDEX(Deals!$AF$2:$AF$355,MATCH($C218,Deals!$A$2:$A$355,0))=0,"",INDEX(Deals!$AF$2:$AF$355,MATCH($C218,Deals!$A$2:$A$355,0))),""))</f>
        <v/>
      </c>
      <c r="AF218" s="35">
        <f>IF($AD218="",DATE(1900,1,1),$AD218)</f>
        <v/>
      </c>
      <c r="AG218" s="35">
        <f>IF($AE218="",DATE(2100,12,31),$AE218)</f>
        <v/>
      </c>
      <c r="AH218" s="22">
        <f>IF($C218="","",IFERROR(IF(INDEX(Deals!$AG$2:$AG$355,MATCH($C218,Deals!$A$2:$A$355,0))=0,"",INDEX(Deals!$AG$2:$AG$355,MATCH($C218,Deals!$A$2:$A$355,0))),""))</f>
        <v/>
      </c>
      <c r="AI218" s="35">
        <f>IF($AH218="",DATE(1900,1,1),$AF218)</f>
        <v/>
      </c>
      <c r="AJ218" s="35">
        <f>IF($AH218="",DATE(2100,12,31),$AH218)</f>
        <v/>
      </c>
      <c r="AK218" s="32">
        <f>IF($AH218="",$AC218,$AC218*$S218)</f>
        <v/>
      </c>
      <c r="AL218" s="35">
        <f>IF($AH218="",DATE(2100,12,31),$AH218+1)</f>
        <v/>
      </c>
      <c r="AM218" s="35">
        <f>IF($AH218="",DATE(1900,1,1),$AG218)</f>
        <v/>
      </c>
      <c r="AN218" s="32">
        <f>IF($AH218="",0,$AC218*$T218)</f>
        <v/>
      </c>
    </row>
    <row r="219">
      <c r="A219" s="28" t="inlineStr">
        <is>
          <t>Justine</t>
        </is>
      </c>
      <c r="B219" s="16">
        <f>IF($A219="","",IFERROR(INDEX(Roster!$B$2:$B$40,MATCH($A219,Roster!$A$2:$A$40,0)),"?"))</f>
        <v/>
      </c>
      <c r="C219" s="28" t="inlineStr">
        <is>
          <t>Atlas_4</t>
        </is>
      </c>
      <c r="D219" s="16">
        <f>IF($C219="","",IFERROR(IF(INDEX(Deals!$C$2:$C$355,MATCH($C219,Deals!$A$2:$A$355,0))=0,"",INDEX(Deals!$C$2:$C$355,MATCH($C219,Deals!$A$2:$A$355,0))),"?"))</f>
        <v/>
      </c>
      <c r="E219" s="16">
        <f>IF($C219="","",IFERROR(INDEX(Deals!$F$2:$F$355,MATCH($C219,Deals!$A$2:$A$355,0)),"?"))</f>
        <v/>
      </c>
      <c r="F219" s="28" t="inlineStr">
        <is>
          <t>Director</t>
        </is>
      </c>
      <c r="G219" s="28" t="inlineStr">
        <is>
          <t>Inactive</t>
        </is>
      </c>
      <c r="H219" s="31" t="n"/>
      <c r="I219" s="32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1">
        <f>IF($C219="",0,IFERROR(INDEX(Deals!$H$2:$H$355,MATCH($C219,Deals!$A$2:$A$355,0)),0))</f>
        <v/>
      </c>
      <c r="K219" s="32">
        <f>IF(Settings!$B$4="Yes",$I219*$J219,$I219)</f>
        <v/>
      </c>
      <c r="L219" s="22">
        <f>IF($C219="","",IFERROR(IF(INDEX(Deals!$I$2:$I$355,MATCH($C219,Deals!$A$2:$A$355,0))=0,"",INDEX(Deals!$I$2:$I$355,MATCH($C219,Deals!$A$2:$A$355,0))),""))</f>
        <v/>
      </c>
      <c r="M219" s="22">
        <f>IF($C219="","",IFERROR(IF(INDEX(Deals!$J$2:$J$355,MATCH($C219,Deals!$A$2:$A$355,0))=0,"",INDEX(Deals!$J$2:$J$355,MATCH($C219,Deals!$A$2:$A$355,0))),""))</f>
        <v/>
      </c>
      <c r="N219" s="35">
        <f>IF($L219="",DATE(1900,1,1),$L219)</f>
        <v/>
      </c>
      <c r="O219" s="35">
        <f>IF($M219="",DATE(2100,12,31),$M219)</f>
        <v/>
      </c>
      <c r="P219" s="20" t="inlineStr">
        <is>
          <t>Closed</t>
        </is>
      </c>
      <c r="Q219" s="43" t="inlineStr"/>
      <c r="R219" s="16">
        <f>IF($C219="","",IFERROR(IF(INDEX(Deals!$U$2:$U$355,MATCH($C219,Deals!$A$2:$A$355,0))=0,"",INDEX(Deals!$U$2:$U$355,MATCH($C219,Deals!$A$2:$A$355,0))),""))</f>
        <v/>
      </c>
      <c r="S219" s="34">
        <f>IFERROR(IF($U219="",1,INDEX(Deals!$V$2:$V$355,MATCH($C219,Deals!$A$2:$A$355,0))),1)</f>
        <v/>
      </c>
      <c r="T219" s="34">
        <f>IFERROR(IF($U219="",1,INDEX(Deals!$W$2:$W$355,MATCH($C219,Deals!$A$2:$A$355,0))),1)</f>
        <v/>
      </c>
      <c r="U219" s="22">
        <f>IF($C219="","",IFERROR(IF(INDEX(Deals!$Y$2:$Y$355,MATCH($C219,Deals!$A$2:$A$355,0))=0,"",INDEX(Deals!$Y$2:$Y$355,MATCH($C219,Deals!$A$2:$A$355,0))),""))</f>
        <v/>
      </c>
      <c r="V219" s="35">
        <f>IF($U219="",DATE(1900,1,1),$N219)</f>
        <v/>
      </c>
      <c r="W219" s="35">
        <f>IF($U219="",DATE(2100,12,31),$U219)</f>
        <v/>
      </c>
      <c r="X219" s="32">
        <f>IF($U219="",$K219,$K219*$S219)</f>
        <v/>
      </c>
      <c r="Y219" s="35">
        <f>IF($U219="",DATE(2100,12,31),$U219+1)</f>
        <v/>
      </c>
      <c r="Z219" s="35">
        <f>IF($U219="",DATE(1900,1,1),$O219)</f>
        <v/>
      </c>
      <c r="AA219" s="32">
        <f>IF($U219="",0,$K219*$T219)</f>
        <v/>
      </c>
      <c r="AB219" s="21">
        <f>IF($C219="",0,IFERROR(INDEX(Deals!$AD$2:$AD$355,MATCH($C219,Deals!$A$2:$A$355,0)),0))</f>
        <v/>
      </c>
      <c r="AC219" s="32">
        <f>IF(Settings!$B$4="Yes",$I219*$AB219,$I219)</f>
        <v/>
      </c>
      <c r="AD219" s="22">
        <f>IF($C219="","",IFERROR(IF(INDEX(Deals!$AE$2:$AE$355,MATCH($C219,Deals!$A$2:$A$355,0))=0,"",INDEX(Deals!$AE$2:$AE$355,MATCH($C219,Deals!$A$2:$A$355,0))),""))</f>
        <v/>
      </c>
      <c r="AE219" s="22">
        <f>IF($C219="","",IFERROR(IF(INDEX(Deals!$AF$2:$AF$355,MATCH($C219,Deals!$A$2:$A$355,0))=0,"",INDEX(Deals!$AF$2:$AF$355,MATCH($C219,Deals!$A$2:$A$355,0))),""))</f>
        <v/>
      </c>
      <c r="AF219" s="35">
        <f>IF($AD219="",DATE(1900,1,1),$AD219)</f>
        <v/>
      </c>
      <c r="AG219" s="35">
        <f>IF($AE219="",DATE(2100,12,31),$AE219)</f>
        <v/>
      </c>
      <c r="AH219" s="22">
        <f>IF($C219="","",IFERROR(IF(INDEX(Deals!$AG$2:$AG$355,MATCH($C219,Deals!$A$2:$A$355,0))=0,"",INDEX(Deals!$AG$2:$AG$355,MATCH($C219,Deals!$A$2:$A$355,0))),""))</f>
        <v/>
      </c>
      <c r="AI219" s="35">
        <f>IF($AH219="",DATE(1900,1,1),$AF219)</f>
        <v/>
      </c>
      <c r="AJ219" s="35">
        <f>IF($AH219="",DATE(2100,12,31),$AH219)</f>
        <v/>
      </c>
      <c r="AK219" s="32">
        <f>IF($AH219="",$AC219,$AC219*$S219)</f>
        <v/>
      </c>
      <c r="AL219" s="35">
        <f>IF($AH219="",DATE(2100,12,31),$AH219+1)</f>
        <v/>
      </c>
      <c r="AM219" s="35">
        <f>IF($AH219="",DATE(1900,1,1),$AG219)</f>
        <v/>
      </c>
      <c r="AN219" s="32">
        <f>IF($AH219="",0,$AC219*$T219)</f>
        <v/>
      </c>
    </row>
    <row r="220">
      <c r="A220" s="28" t="inlineStr">
        <is>
          <t>Justine</t>
        </is>
      </c>
      <c r="B220" s="16">
        <f>IF($A220="","",IFERROR(INDEX(Roster!$B$2:$B$40,MATCH($A220,Roster!$A$2:$A$40,0)),"?"))</f>
        <v/>
      </c>
      <c r="C220" s="28" t="inlineStr">
        <is>
          <t>Beauty_3</t>
        </is>
      </c>
      <c r="D220" s="16">
        <f>IF($C220="","",IFERROR(IF(INDEX(Deals!$C$2:$C$355,MATCH($C220,Deals!$A$2:$A$355,0))=0,"",INDEX(Deals!$C$2:$C$355,MATCH($C220,Deals!$A$2:$A$355,0))),"?"))</f>
        <v/>
      </c>
      <c r="E220" s="16">
        <f>IF($C220="","",IFERROR(INDEX(Deals!$F$2:$F$355,MATCH($C220,Deals!$A$2:$A$355,0)),"?"))</f>
        <v/>
      </c>
      <c r="F220" s="28" t="inlineStr">
        <is>
          <t>Director</t>
        </is>
      </c>
      <c r="G220" s="28" t="inlineStr">
        <is>
          <t>Active</t>
        </is>
      </c>
      <c r="H220" s="31" t="n"/>
      <c r="I220" s="32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1">
        <f>IF($C220="",0,IFERROR(INDEX(Deals!$H$2:$H$355,MATCH($C220,Deals!$A$2:$A$355,0)),0))</f>
        <v/>
      </c>
      <c r="K220" s="32">
        <f>IF(Settings!$B$4="Yes",$I220*$J220,$I220)</f>
        <v/>
      </c>
      <c r="L220" s="22">
        <f>IF($C220="","",IFERROR(IF(INDEX(Deals!$I$2:$I$355,MATCH($C220,Deals!$A$2:$A$355,0))=0,"",INDEX(Deals!$I$2:$I$355,MATCH($C220,Deals!$A$2:$A$355,0))),""))</f>
        <v/>
      </c>
      <c r="M220" s="22">
        <f>IF($C220="","",IFERROR(IF(INDEX(Deals!$J$2:$J$355,MATCH($C220,Deals!$A$2:$A$355,0))=0,"",INDEX(Deals!$J$2:$J$355,MATCH($C220,Deals!$A$2:$A$355,0))),""))</f>
        <v/>
      </c>
      <c r="N220" s="35">
        <f>IF($L220="",DATE(1900,1,1),$L220)</f>
        <v/>
      </c>
      <c r="O220" s="35">
        <f>IF($M220="",DATE(2100,12,31),$M220)</f>
        <v/>
      </c>
      <c r="P220" s="20" t="inlineStr">
        <is>
          <t>Ongoing</t>
        </is>
      </c>
      <c r="Q220" s="43" t="inlineStr"/>
      <c r="R220" s="16">
        <f>IF($C220="","",IFERROR(IF(INDEX(Deals!$U$2:$U$355,MATCH($C220,Deals!$A$2:$A$355,0))=0,"",INDEX(Deals!$U$2:$U$355,MATCH($C220,Deals!$A$2:$A$355,0))),""))</f>
        <v/>
      </c>
      <c r="S220" s="34">
        <f>IFERROR(IF($U220="",1,INDEX(Deals!$V$2:$V$355,MATCH($C220,Deals!$A$2:$A$355,0))),1)</f>
        <v/>
      </c>
      <c r="T220" s="34">
        <f>IFERROR(IF($U220="",1,INDEX(Deals!$W$2:$W$355,MATCH($C220,Deals!$A$2:$A$355,0))),1)</f>
        <v/>
      </c>
      <c r="U220" s="22">
        <f>IF($C220="","",IFERROR(IF(INDEX(Deals!$Y$2:$Y$355,MATCH($C220,Deals!$A$2:$A$355,0))=0,"",INDEX(Deals!$Y$2:$Y$355,MATCH($C220,Deals!$A$2:$A$355,0))),""))</f>
        <v/>
      </c>
      <c r="V220" s="35">
        <f>IF($U220="",DATE(1900,1,1),$N220)</f>
        <v/>
      </c>
      <c r="W220" s="35">
        <f>IF($U220="",DATE(2100,12,31),$U220)</f>
        <v/>
      </c>
      <c r="X220" s="32">
        <f>IF($U220="",$K220,$K220*$S220)</f>
        <v/>
      </c>
      <c r="Y220" s="35">
        <f>IF($U220="",DATE(2100,12,31),$U220+1)</f>
        <v/>
      </c>
      <c r="Z220" s="35">
        <f>IF($U220="",DATE(1900,1,1),$O220)</f>
        <v/>
      </c>
      <c r="AA220" s="32">
        <f>IF($U220="",0,$K220*$T220)</f>
        <v/>
      </c>
      <c r="AB220" s="21">
        <f>IF($C220="",0,IFERROR(INDEX(Deals!$AD$2:$AD$355,MATCH($C220,Deals!$A$2:$A$355,0)),0))</f>
        <v/>
      </c>
      <c r="AC220" s="32">
        <f>IF(Settings!$B$4="Yes",$I220*$AB220,$I220)</f>
        <v/>
      </c>
      <c r="AD220" s="22">
        <f>IF($C220="","",IFERROR(IF(INDEX(Deals!$AE$2:$AE$355,MATCH($C220,Deals!$A$2:$A$355,0))=0,"",INDEX(Deals!$AE$2:$AE$355,MATCH($C220,Deals!$A$2:$A$355,0))),""))</f>
        <v/>
      </c>
      <c r="AE220" s="22">
        <f>IF($C220="","",IFERROR(IF(INDEX(Deals!$AF$2:$AF$355,MATCH($C220,Deals!$A$2:$A$355,0))=0,"",INDEX(Deals!$AF$2:$AF$355,MATCH($C220,Deals!$A$2:$A$355,0))),""))</f>
        <v/>
      </c>
      <c r="AF220" s="35">
        <f>IF($AD220="",DATE(1900,1,1),$AD220)</f>
        <v/>
      </c>
      <c r="AG220" s="35">
        <f>IF($AE220="",DATE(2100,12,31),$AE220)</f>
        <v/>
      </c>
      <c r="AH220" s="22">
        <f>IF($C220="","",IFERROR(IF(INDEX(Deals!$AG$2:$AG$355,MATCH($C220,Deals!$A$2:$A$355,0))=0,"",INDEX(Deals!$AG$2:$AG$355,MATCH($C220,Deals!$A$2:$A$355,0))),""))</f>
        <v/>
      </c>
      <c r="AI220" s="35">
        <f>IF($AH220="",DATE(1900,1,1),$AF220)</f>
        <v/>
      </c>
      <c r="AJ220" s="35">
        <f>IF($AH220="",DATE(2100,12,31),$AH220)</f>
        <v/>
      </c>
      <c r="AK220" s="32">
        <f>IF($AH220="",$AC220,$AC220*$S220)</f>
        <v/>
      </c>
      <c r="AL220" s="35">
        <f>IF($AH220="",DATE(2100,12,31),$AH220+1)</f>
        <v/>
      </c>
      <c r="AM220" s="35">
        <f>IF($AH220="",DATE(1900,1,1),$AG220)</f>
        <v/>
      </c>
      <c r="AN220" s="32">
        <f>IF($AH220="",0,$AC220*$T220)</f>
        <v/>
      </c>
    </row>
    <row r="221">
      <c r="A221" s="28" t="inlineStr">
        <is>
          <t>Justine</t>
        </is>
      </c>
      <c r="B221" s="16">
        <f>IF($A221="","",IFERROR(INDEX(Roster!$B$2:$B$40,MATCH($A221,Roster!$A$2:$A$40,0)),"?"))</f>
        <v/>
      </c>
      <c r="C221" s="28" t="inlineStr">
        <is>
          <t>Canoe_1</t>
        </is>
      </c>
      <c r="D221" s="16">
        <f>IF($C221="","",IFERROR(IF(INDEX(Deals!$C$2:$C$355,MATCH($C221,Deals!$A$2:$A$355,0))=0,"",INDEX(Deals!$C$2:$C$355,MATCH($C221,Deals!$A$2:$A$355,0))),"?"))</f>
        <v/>
      </c>
      <c r="E221" s="16">
        <f>IF($C221="","",IFERROR(INDEX(Deals!$F$2:$F$355,MATCH($C221,Deals!$A$2:$A$355,0)),"?"))</f>
        <v/>
      </c>
      <c r="F221" s="28" t="inlineStr">
        <is>
          <t>Director</t>
        </is>
      </c>
      <c r="G221" s="28" t="inlineStr">
        <is>
          <t>Active</t>
        </is>
      </c>
      <c r="H221" s="31" t="n"/>
      <c r="I221" s="32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1">
        <f>IF($C221="",0,IFERROR(INDEX(Deals!$H$2:$H$355,MATCH($C221,Deals!$A$2:$A$355,0)),0))</f>
        <v/>
      </c>
      <c r="K221" s="32">
        <f>IF(Settings!$B$4="Yes",$I221*$J221,$I221)</f>
        <v/>
      </c>
      <c r="L221" s="22">
        <f>IF($C221="","",IFERROR(IF(INDEX(Deals!$I$2:$I$355,MATCH($C221,Deals!$A$2:$A$355,0))=0,"",INDEX(Deals!$I$2:$I$355,MATCH($C221,Deals!$A$2:$A$355,0))),""))</f>
        <v/>
      </c>
      <c r="M221" s="22">
        <f>IF($C221="","",IFERROR(IF(INDEX(Deals!$J$2:$J$355,MATCH($C221,Deals!$A$2:$A$355,0))=0,"",INDEX(Deals!$J$2:$J$355,MATCH($C221,Deals!$A$2:$A$355,0))),""))</f>
        <v/>
      </c>
      <c r="N221" s="35">
        <f>IF($L221="",DATE(1900,1,1),$L221)</f>
        <v/>
      </c>
      <c r="O221" s="35">
        <f>IF($M221="",DATE(2100,12,31),$M221)</f>
        <v/>
      </c>
      <c r="P221" s="20" t="inlineStr">
        <is>
          <t>Proposal</t>
        </is>
      </c>
      <c r="Q221" s="43" t="inlineStr"/>
      <c r="R221" s="16">
        <f>IF($C221="","",IFERROR(IF(INDEX(Deals!$U$2:$U$355,MATCH($C221,Deals!$A$2:$A$355,0))=0,"",INDEX(Deals!$U$2:$U$355,MATCH($C221,Deals!$A$2:$A$355,0))),""))</f>
        <v/>
      </c>
      <c r="S221" s="34">
        <f>IFERROR(IF($U221="",1,INDEX(Deals!$V$2:$V$355,MATCH($C221,Deals!$A$2:$A$355,0))),1)</f>
        <v/>
      </c>
      <c r="T221" s="34">
        <f>IFERROR(IF($U221="",1,INDEX(Deals!$W$2:$W$355,MATCH($C221,Deals!$A$2:$A$355,0))),1)</f>
        <v/>
      </c>
      <c r="U221" s="22">
        <f>IF($C221="","",IFERROR(IF(INDEX(Deals!$Y$2:$Y$355,MATCH($C221,Deals!$A$2:$A$355,0))=0,"",INDEX(Deals!$Y$2:$Y$355,MATCH($C221,Deals!$A$2:$A$355,0))),""))</f>
        <v/>
      </c>
      <c r="V221" s="35">
        <f>IF($U221="",DATE(1900,1,1),$N221)</f>
        <v/>
      </c>
      <c r="W221" s="35">
        <f>IF($U221="",DATE(2100,12,31),$U221)</f>
        <v/>
      </c>
      <c r="X221" s="32">
        <f>IF($U221="",$K221,$K221*$S221)</f>
        <v/>
      </c>
      <c r="Y221" s="35">
        <f>IF($U221="",DATE(2100,12,31),$U221+1)</f>
        <v/>
      </c>
      <c r="Z221" s="35">
        <f>IF($U221="",DATE(1900,1,1),$O221)</f>
        <v/>
      </c>
      <c r="AA221" s="32">
        <f>IF($U221="",0,$K221*$T221)</f>
        <v/>
      </c>
      <c r="AB221" s="21">
        <f>IF($C221="",0,IFERROR(INDEX(Deals!$AD$2:$AD$355,MATCH($C221,Deals!$A$2:$A$355,0)),0))</f>
        <v/>
      </c>
      <c r="AC221" s="32">
        <f>IF(Settings!$B$4="Yes",$I221*$AB221,$I221)</f>
        <v/>
      </c>
      <c r="AD221" s="22">
        <f>IF($C221="","",IFERROR(IF(INDEX(Deals!$AE$2:$AE$355,MATCH($C221,Deals!$A$2:$A$355,0))=0,"",INDEX(Deals!$AE$2:$AE$355,MATCH($C221,Deals!$A$2:$A$355,0))),""))</f>
        <v/>
      </c>
      <c r="AE221" s="22">
        <f>IF($C221="","",IFERROR(IF(INDEX(Deals!$AF$2:$AF$355,MATCH($C221,Deals!$A$2:$A$355,0))=0,"",INDEX(Deals!$AF$2:$AF$355,MATCH($C221,Deals!$A$2:$A$355,0))),""))</f>
        <v/>
      </c>
      <c r="AF221" s="35">
        <f>IF($AD221="",DATE(1900,1,1),$AD221)</f>
        <v/>
      </c>
      <c r="AG221" s="35">
        <f>IF($AE221="",DATE(2100,12,31),$AE221)</f>
        <v/>
      </c>
      <c r="AH221" s="22">
        <f>IF($C221="","",IFERROR(IF(INDEX(Deals!$AG$2:$AG$355,MATCH($C221,Deals!$A$2:$A$355,0))=0,"",INDEX(Deals!$AG$2:$AG$355,MATCH($C221,Deals!$A$2:$A$355,0))),""))</f>
        <v/>
      </c>
      <c r="AI221" s="35">
        <f>IF($AH221="",DATE(1900,1,1),$AF221)</f>
        <v/>
      </c>
      <c r="AJ221" s="35">
        <f>IF($AH221="",DATE(2100,12,31),$AH221)</f>
        <v/>
      </c>
      <c r="AK221" s="32">
        <f>IF($AH221="",$AC221,$AC221*$S221)</f>
        <v/>
      </c>
      <c r="AL221" s="35">
        <f>IF($AH221="",DATE(2100,12,31),$AH221+1)</f>
        <v/>
      </c>
      <c r="AM221" s="35">
        <f>IF($AH221="",DATE(1900,1,1),$AG221)</f>
        <v/>
      </c>
      <c r="AN221" s="32">
        <f>IF($AH221="",0,$AC221*$T221)</f>
        <v/>
      </c>
    </row>
    <row r="222">
      <c r="A222" s="28" t="inlineStr">
        <is>
          <t>Justine</t>
        </is>
      </c>
      <c r="B222" s="16">
        <f>IF($A222="","",IFERROR(INDEX(Roster!$B$2:$B$40,MATCH($A222,Roster!$A$2:$A$40,0)),"?"))</f>
        <v/>
      </c>
      <c r="C222" s="28" t="inlineStr">
        <is>
          <t>Canyon_2</t>
        </is>
      </c>
      <c r="D222" s="16">
        <f>IF($C222="","",IFERROR(IF(INDEX(Deals!$C$2:$C$355,MATCH($C222,Deals!$A$2:$A$355,0))=0,"",INDEX(Deals!$C$2:$C$355,MATCH($C222,Deals!$A$2:$A$355,0))),"?"))</f>
        <v/>
      </c>
      <c r="E222" s="16">
        <f>IF($C222="","",IFERROR(INDEX(Deals!$F$2:$F$355,MATCH($C222,Deals!$A$2:$A$355,0)),"?"))</f>
        <v/>
      </c>
      <c r="F222" s="28" t="inlineStr">
        <is>
          <t>Director</t>
        </is>
      </c>
      <c r="G222" s="28" t="inlineStr">
        <is>
          <t>Inactive</t>
        </is>
      </c>
      <c r="H222" s="31" t="n"/>
      <c r="I222" s="32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1">
        <f>IF($C222="",0,IFERROR(INDEX(Deals!$H$2:$H$355,MATCH($C222,Deals!$A$2:$A$355,0)),0))</f>
        <v/>
      </c>
      <c r="K222" s="32">
        <f>IF(Settings!$B$4="Yes",$I222*$J222,$I222)</f>
        <v/>
      </c>
      <c r="L222" s="22">
        <f>IF($C222="","",IFERROR(IF(INDEX(Deals!$I$2:$I$355,MATCH($C222,Deals!$A$2:$A$355,0))=0,"",INDEX(Deals!$I$2:$I$355,MATCH($C222,Deals!$A$2:$A$355,0))),""))</f>
        <v/>
      </c>
      <c r="M222" s="22">
        <f>IF($C222="","",IFERROR(IF(INDEX(Deals!$J$2:$J$355,MATCH($C222,Deals!$A$2:$A$355,0))=0,"",INDEX(Deals!$J$2:$J$355,MATCH($C222,Deals!$A$2:$A$355,0))),""))</f>
        <v/>
      </c>
      <c r="N222" s="35">
        <f>IF($L222="",DATE(1900,1,1),$L222)</f>
        <v/>
      </c>
      <c r="O222" s="35">
        <f>IF($M222="",DATE(2100,12,31),$M222)</f>
        <v/>
      </c>
      <c r="P222" s="20" t="inlineStr">
        <is>
          <t>Closed</t>
        </is>
      </c>
      <c r="Q222" s="43" t="inlineStr"/>
      <c r="R222" s="16">
        <f>IF($C222="","",IFERROR(IF(INDEX(Deals!$U$2:$U$355,MATCH($C222,Deals!$A$2:$A$355,0))=0,"",INDEX(Deals!$U$2:$U$355,MATCH($C222,Deals!$A$2:$A$355,0))),""))</f>
        <v/>
      </c>
      <c r="S222" s="34">
        <f>IFERROR(IF($U222="",1,INDEX(Deals!$V$2:$V$355,MATCH($C222,Deals!$A$2:$A$355,0))),1)</f>
        <v/>
      </c>
      <c r="T222" s="34">
        <f>IFERROR(IF($U222="",1,INDEX(Deals!$W$2:$W$355,MATCH($C222,Deals!$A$2:$A$355,0))),1)</f>
        <v/>
      </c>
      <c r="U222" s="22">
        <f>IF($C222="","",IFERROR(IF(INDEX(Deals!$Y$2:$Y$355,MATCH($C222,Deals!$A$2:$A$355,0))=0,"",INDEX(Deals!$Y$2:$Y$355,MATCH($C222,Deals!$A$2:$A$355,0))),""))</f>
        <v/>
      </c>
      <c r="V222" s="35">
        <f>IF($U222="",DATE(1900,1,1),$N222)</f>
        <v/>
      </c>
      <c r="W222" s="35">
        <f>IF($U222="",DATE(2100,12,31),$U222)</f>
        <v/>
      </c>
      <c r="X222" s="32">
        <f>IF($U222="",$K222,$K222*$S222)</f>
        <v/>
      </c>
      <c r="Y222" s="35">
        <f>IF($U222="",DATE(2100,12,31),$U222+1)</f>
        <v/>
      </c>
      <c r="Z222" s="35">
        <f>IF($U222="",DATE(1900,1,1),$O222)</f>
        <v/>
      </c>
      <c r="AA222" s="32">
        <f>IF($U222="",0,$K222*$T222)</f>
        <v/>
      </c>
      <c r="AB222" s="21">
        <f>IF($C222="",0,IFERROR(INDEX(Deals!$AD$2:$AD$355,MATCH($C222,Deals!$A$2:$A$355,0)),0))</f>
        <v/>
      </c>
      <c r="AC222" s="32">
        <f>IF(Settings!$B$4="Yes",$I222*$AB222,$I222)</f>
        <v/>
      </c>
      <c r="AD222" s="22">
        <f>IF($C222="","",IFERROR(IF(INDEX(Deals!$AE$2:$AE$355,MATCH($C222,Deals!$A$2:$A$355,0))=0,"",INDEX(Deals!$AE$2:$AE$355,MATCH($C222,Deals!$A$2:$A$355,0))),""))</f>
        <v/>
      </c>
      <c r="AE222" s="22">
        <f>IF($C222="","",IFERROR(IF(INDEX(Deals!$AF$2:$AF$355,MATCH($C222,Deals!$A$2:$A$355,0))=0,"",INDEX(Deals!$AF$2:$AF$355,MATCH($C222,Deals!$A$2:$A$355,0))),""))</f>
        <v/>
      </c>
      <c r="AF222" s="35">
        <f>IF($AD222="",DATE(1900,1,1),$AD222)</f>
        <v/>
      </c>
      <c r="AG222" s="35">
        <f>IF($AE222="",DATE(2100,12,31),$AE222)</f>
        <v/>
      </c>
      <c r="AH222" s="22">
        <f>IF($C222="","",IFERROR(IF(INDEX(Deals!$AG$2:$AG$355,MATCH($C222,Deals!$A$2:$A$355,0))=0,"",INDEX(Deals!$AG$2:$AG$355,MATCH($C222,Deals!$A$2:$A$355,0))),""))</f>
        <v/>
      </c>
      <c r="AI222" s="35">
        <f>IF($AH222="",DATE(1900,1,1),$AF222)</f>
        <v/>
      </c>
      <c r="AJ222" s="35">
        <f>IF($AH222="",DATE(2100,12,31),$AH222)</f>
        <v/>
      </c>
      <c r="AK222" s="32">
        <f>IF($AH222="",$AC222,$AC222*$S222)</f>
        <v/>
      </c>
      <c r="AL222" s="35">
        <f>IF($AH222="",DATE(2100,12,31),$AH222+1)</f>
        <v/>
      </c>
      <c r="AM222" s="35">
        <f>IF($AH222="",DATE(1900,1,1),$AG222)</f>
        <v/>
      </c>
      <c r="AN222" s="32">
        <f>IF($AH222="",0,$AC222*$T222)</f>
        <v/>
      </c>
    </row>
    <row r="223">
      <c r="A223" s="28" t="inlineStr">
        <is>
          <t>Justine</t>
        </is>
      </c>
      <c r="B223" s="16">
        <f>IF($A223="","",IFERROR(INDEX(Roster!$B$2:$B$40,MATCH($A223,Roster!$A$2:$A$40,0)),"?"))</f>
        <v/>
      </c>
      <c r="C223" s="28" t="inlineStr">
        <is>
          <t>Celestial_1</t>
        </is>
      </c>
      <c r="D223" s="16">
        <f>IF($C223="","",IFERROR(IF(INDEX(Deals!$C$2:$C$355,MATCH($C223,Deals!$A$2:$A$355,0))=0,"",INDEX(Deals!$C$2:$C$355,MATCH($C223,Deals!$A$2:$A$355,0))),"?"))</f>
        <v/>
      </c>
      <c r="E223" s="16">
        <f>IF($C223="","",IFERROR(INDEX(Deals!$F$2:$F$355,MATCH($C223,Deals!$A$2:$A$355,0)),"?"))</f>
        <v/>
      </c>
      <c r="F223" s="28" t="inlineStr">
        <is>
          <t>Director</t>
        </is>
      </c>
      <c r="G223" s="28" t="inlineStr">
        <is>
          <t>Inactive</t>
        </is>
      </c>
      <c r="H223" s="31" t="n"/>
      <c r="I223" s="32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1">
        <f>IF($C223="",0,IFERROR(INDEX(Deals!$H$2:$H$355,MATCH($C223,Deals!$A$2:$A$355,0)),0))</f>
        <v/>
      </c>
      <c r="K223" s="32">
        <f>IF(Settings!$B$4="Yes",$I223*$J223,$I223)</f>
        <v/>
      </c>
      <c r="L223" s="22">
        <f>IF($C223="","",IFERROR(IF(INDEX(Deals!$I$2:$I$355,MATCH($C223,Deals!$A$2:$A$355,0))=0,"",INDEX(Deals!$I$2:$I$355,MATCH($C223,Deals!$A$2:$A$355,0))),""))</f>
        <v/>
      </c>
      <c r="M223" s="22">
        <f>IF($C223="","",IFERROR(IF(INDEX(Deals!$J$2:$J$355,MATCH($C223,Deals!$A$2:$A$355,0))=0,"",INDEX(Deals!$J$2:$J$355,MATCH($C223,Deals!$A$2:$A$355,0))),""))</f>
        <v/>
      </c>
      <c r="N223" s="35">
        <f>IF($L223="",DATE(1900,1,1),$L223)</f>
        <v/>
      </c>
      <c r="O223" s="35">
        <f>IF($M223="",DATE(2100,12,31),$M223)</f>
        <v/>
      </c>
      <c r="P223" s="20" t="inlineStr">
        <is>
          <t>Closed</t>
        </is>
      </c>
      <c r="Q223" s="43" t="inlineStr"/>
      <c r="R223" s="16">
        <f>IF($C223="","",IFERROR(IF(INDEX(Deals!$U$2:$U$355,MATCH($C223,Deals!$A$2:$A$355,0))=0,"",INDEX(Deals!$U$2:$U$355,MATCH($C223,Deals!$A$2:$A$355,0))),""))</f>
        <v/>
      </c>
      <c r="S223" s="34">
        <f>IFERROR(IF($U223="",1,INDEX(Deals!$V$2:$V$355,MATCH($C223,Deals!$A$2:$A$355,0))),1)</f>
        <v/>
      </c>
      <c r="T223" s="34">
        <f>IFERROR(IF($U223="",1,INDEX(Deals!$W$2:$W$355,MATCH($C223,Deals!$A$2:$A$355,0))),1)</f>
        <v/>
      </c>
      <c r="U223" s="22">
        <f>IF($C223="","",IFERROR(IF(INDEX(Deals!$Y$2:$Y$355,MATCH($C223,Deals!$A$2:$A$355,0))=0,"",INDEX(Deals!$Y$2:$Y$355,MATCH($C223,Deals!$A$2:$A$355,0))),""))</f>
        <v/>
      </c>
      <c r="V223" s="35">
        <f>IF($U223="",DATE(1900,1,1),$N223)</f>
        <v/>
      </c>
      <c r="W223" s="35">
        <f>IF($U223="",DATE(2100,12,31),$U223)</f>
        <v/>
      </c>
      <c r="X223" s="32">
        <f>IF($U223="",$K223,$K223*$S223)</f>
        <v/>
      </c>
      <c r="Y223" s="35">
        <f>IF($U223="",DATE(2100,12,31),$U223+1)</f>
        <v/>
      </c>
      <c r="Z223" s="35">
        <f>IF($U223="",DATE(1900,1,1),$O223)</f>
        <v/>
      </c>
      <c r="AA223" s="32">
        <f>IF($U223="",0,$K223*$T223)</f>
        <v/>
      </c>
      <c r="AB223" s="21">
        <f>IF($C223="",0,IFERROR(INDEX(Deals!$AD$2:$AD$355,MATCH($C223,Deals!$A$2:$A$355,0)),0))</f>
        <v/>
      </c>
      <c r="AC223" s="32">
        <f>IF(Settings!$B$4="Yes",$I223*$AB223,$I223)</f>
        <v/>
      </c>
      <c r="AD223" s="22">
        <f>IF($C223="","",IFERROR(IF(INDEX(Deals!$AE$2:$AE$355,MATCH($C223,Deals!$A$2:$A$355,0))=0,"",INDEX(Deals!$AE$2:$AE$355,MATCH($C223,Deals!$A$2:$A$355,0))),""))</f>
        <v/>
      </c>
      <c r="AE223" s="22">
        <f>IF($C223="","",IFERROR(IF(INDEX(Deals!$AF$2:$AF$355,MATCH($C223,Deals!$A$2:$A$355,0))=0,"",INDEX(Deals!$AF$2:$AF$355,MATCH($C223,Deals!$A$2:$A$355,0))),""))</f>
        <v/>
      </c>
      <c r="AF223" s="35">
        <f>IF($AD223="",DATE(1900,1,1),$AD223)</f>
        <v/>
      </c>
      <c r="AG223" s="35">
        <f>IF($AE223="",DATE(2100,12,31),$AE223)</f>
        <v/>
      </c>
      <c r="AH223" s="22">
        <f>IF($C223="","",IFERROR(IF(INDEX(Deals!$AG$2:$AG$355,MATCH($C223,Deals!$A$2:$A$355,0))=0,"",INDEX(Deals!$AG$2:$AG$355,MATCH($C223,Deals!$A$2:$A$355,0))),""))</f>
        <v/>
      </c>
      <c r="AI223" s="35">
        <f>IF($AH223="",DATE(1900,1,1),$AF223)</f>
        <v/>
      </c>
      <c r="AJ223" s="35">
        <f>IF($AH223="",DATE(2100,12,31),$AH223)</f>
        <v/>
      </c>
      <c r="AK223" s="32">
        <f>IF($AH223="",$AC223,$AC223*$S223)</f>
        <v/>
      </c>
      <c r="AL223" s="35">
        <f>IF($AH223="",DATE(2100,12,31),$AH223+1)</f>
        <v/>
      </c>
      <c r="AM223" s="35">
        <f>IF($AH223="",DATE(1900,1,1),$AG223)</f>
        <v/>
      </c>
      <c r="AN223" s="32">
        <f>IF($AH223="",0,$AC223*$T223)</f>
        <v/>
      </c>
    </row>
    <row r="224">
      <c r="A224" s="28" t="inlineStr">
        <is>
          <t>Justine</t>
        </is>
      </c>
      <c r="B224" s="16">
        <f>IF($A224="","",IFERROR(INDEX(Roster!$B$2:$B$40,MATCH($A224,Roster!$A$2:$A$40,0)),"?"))</f>
        <v/>
      </c>
      <c r="C224" s="28" t="inlineStr">
        <is>
          <t>Colt_2</t>
        </is>
      </c>
      <c r="D224" s="16">
        <f>IF($C224="","",IFERROR(IF(INDEX(Deals!$C$2:$C$355,MATCH($C224,Deals!$A$2:$A$355,0))=0,"",INDEX(Deals!$C$2:$C$355,MATCH($C224,Deals!$A$2:$A$355,0))),"?"))</f>
        <v/>
      </c>
      <c r="E224" s="16">
        <f>IF($C224="","",IFERROR(INDEX(Deals!$F$2:$F$355,MATCH($C224,Deals!$A$2:$A$355,0)),"?"))</f>
        <v/>
      </c>
      <c r="F224" s="28" t="inlineStr">
        <is>
          <t>Director</t>
        </is>
      </c>
      <c r="G224" s="28" t="inlineStr">
        <is>
          <t>Active</t>
        </is>
      </c>
      <c r="H224" s="31" t="n"/>
      <c r="I224" s="32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1">
        <f>IF($C224="",0,IFERROR(INDEX(Deals!$H$2:$H$355,MATCH($C224,Deals!$A$2:$A$355,0)),0))</f>
        <v/>
      </c>
      <c r="K224" s="32">
        <f>IF(Settings!$B$4="Yes",$I224*$J224,$I224)</f>
        <v/>
      </c>
      <c r="L224" s="22">
        <f>IF($C224="","",IFERROR(IF(INDEX(Deals!$I$2:$I$355,MATCH($C224,Deals!$A$2:$A$355,0))=0,"",INDEX(Deals!$I$2:$I$355,MATCH($C224,Deals!$A$2:$A$355,0))),""))</f>
        <v/>
      </c>
      <c r="M224" s="22">
        <f>IF($C224="","",IFERROR(IF(INDEX(Deals!$J$2:$J$355,MATCH($C224,Deals!$A$2:$A$355,0))=0,"",INDEX(Deals!$J$2:$J$355,MATCH($C224,Deals!$A$2:$A$355,0))),""))</f>
        <v/>
      </c>
      <c r="N224" s="35">
        <f>IF($L224="",DATE(1900,1,1),$L224)</f>
        <v/>
      </c>
      <c r="O224" s="35">
        <f>IF($M224="",DATE(2100,12,31),$M224)</f>
        <v/>
      </c>
      <c r="P224" s="20" t="inlineStr">
        <is>
          <t>Proposal</t>
        </is>
      </c>
      <c r="Q224" s="43" t="inlineStr"/>
      <c r="R224" s="16">
        <f>IF($C224="","",IFERROR(IF(INDEX(Deals!$U$2:$U$355,MATCH($C224,Deals!$A$2:$A$355,0))=0,"",INDEX(Deals!$U$2:$U$355,MATCH($C224,Deals!$A$2:$A$355,0))),""))</f>
        <v/>
      </c>
      <c r="S224" s="34">
        <f>IFERROR(IF($U224="",1,INDEX(Deals!$V$2:$V$355,MATCH($C224,Deals!$A$2:$A$355,0))),1)</f>
        <v/>
      </c>
      <c r="T224" s="34">
        <f>IFERROR(IF($U224="",1,INDEX(Deals!$W$2:$W$355,MATCH($C224,Deals!$A$2:$A$355,0))),1)</f>
        <v/>
      </c>
      <c r="U224" s="22">
        <f>IF($C224="","",IFERROR(IF(INDEX(Deals!$Y$2:$Y$355,MATCH($C224,Deals!$A$2:$A$355,0))=0,"",INDEX(Deals!$Y$2:$Y$355,MATCH($C224,Deals!$A$2:$A$355,0))),""))</f>
        <v/>
      </c>
      <c r="V224" s="35">
        <f>IF($U224="",DATE(1900,1,1),$N224)</f>
        <v/>
      </c>
      <c r="W224" s="35">
        <f>IF($U224="",DATE(2100,12,31),$U224)</f>
        <v/>
      </c>
      <c r="X224" s="32">
        <f>IF($U224="",$K224,$K224*$S224)</f>
        <v/>
      </c>
      <c r="Y224" s="35">
        <f>IF($U224="",DATE(2100,12,31),$U224+1)</f>
        <v/>
      </c>
      <c r="Z224" s="35">
        <f>IF($U224="",DATE(1900,1,1),$O224)</f>
        <v/>
      </c>
      <c r="AA224" s="32">
        <f>IF($U224="",0,$K224*$T224)</f>
        <v/>
      </c>
      <c r="AB224" s="21">
        <f>IF($C224="",0,IFERROR(INDEX(Deals!$AD$2:$AD$355,MATCH($C224,Deals!$A$2:$A$355,0)),0))</f>
        <v/>
      </c>
      <c r="AC224" s="32">
        <f>IF(Settings!$B$4="Yes",$I224*$AB224,$I224)</f>
        <v/>
      </c>
      <c r="AD224" s="22">
        <f>IF($C224="","",IFERROR(IF(INDEX(Deals!$AE$2:$AE$355,MATCH($C224,Deals!$A$2:$A$355,0))=0,"",INDEX(Deals!$AE$2:$AE$355,MATCH($C224,Deals!$A$2:$A$355,0))),""))</f>
        <v/>
      </c>
      <c r="AE224" s="22">
        <f>IF($C224="","",IFERROR(IF(INDEX(Deals!$AF$2:$AF$355,MATCH($C224,Deals!$A$2:$A$355,0))=0,"",INDEX(Deals!$AF$2:$AF$355,MATCH($C224,Deals!$A$2:$A$355,0))),""))</f>
        <v/>
      </c>
      <c r="AF224" s="35">
        <f>IF($AD224="",DATE(1900,1,1),$AD224)</f>
        <v/>
      </c>
      <c r="AG224" s="35">
        <f>IF($AE224="",DATE(2100,12,31),$AE224)</f>
        <v/>
      </c>
      <c r="AH224" s="22">
        <f>IF($C224="","",IFERROR(IF(INDEX(Deals!$AG$2:$AG$355,MATCH($C224,Deals!$A$2:$A$355,0))=0,"",INDEX(Deals!$AG$2:$AG$355,MATCH($C224,Deals!$A$2:$A$355,0))),""))</f>
        <v/>
      </c>
      <c r="AI224" s="35">
        <f>IF($AH224="",DATE(1900,1,1),$AF224)</f>
        <v/>
      </c>
      <c r="AJ224" s="35">
        <f>IF($AH224="",DATE(2100,12,31),$AH224)</f>
        <v/>
      </c>
      <c r="AK224" s="32">
        <f>IF($AH224="",$AC224,$AC224*$S224)</f>
        <v/>
      </c>
      <c r="AL224" s="35">
        <f>IF($AH224="",DATE(2100,12,31),$AH224+1)</f>
        <v/>
      </c>
      <c r="AM224" s="35">
        <f>IF($AH224="",DATE(1900,1,1),$AG224)</f>
        <v/>
      </c>
      <c r="AN224" s="32">
        <f>IF($AH224="",0,$AC224*$T224)</f>
        <v/>
      </c>
    </row>
    <row r="225">
      <c r="A225" s="28" t="inlineStr">
        <is>
          <t>Justine</t>
        </is>
      </c>
      <c r="B225" s="16">
        <f>IF($A225="","",IFERROR(INDEX(Roster!$B$2:$B$40,MATCH($A225,Roster!$A$2:$A$40,0)),"?"))</f>
        <v/>
      </c>
      <c r="C225" s="28" t="inlineStr">
        <is>
          <t>Cosmetic _1</t>
        </is>
      </c>
      <c r="D225" s="16">
        <f>IF($C225="","",IFERROR(IF(INDEX(Deals!$C$2:$C$355,MATCH($C225,Deals!$A$2:$A$355,0))=0,"",INDEX(Deals!$C$2:$C$355,MATCH($C225,Deals!$A$2:$A$355,0))),"?"))</f>
        <v/>
      </c>
      <c r="E225" s="16">
        <f>IF($C225="","",IFERROR(INDEX(Deals!$F$2:$F$355,MATCH($C225,Deals!$A$2:$A$355,0)),"?"))</f>
        <v/>
      </c>
      <c r="F225" s="28" t="inlineStr">
        <is>
          <t>Director</t>
        </is>
      </c>
      <c r="G225" s="28" t="inlineStr">
        <is>
          <t>Active</t>
        </is>
      </c>
      <c r="H225" s="31" t="n"/>
      <c r="I225" s="32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1">
        <f>IF($C225="",0,IFERROR(INDEX(Deals!$H$2:$H$355,MATCH($C225,Deals!$A$2:$A$355,0)),0))</f>
        <v/>
      </c>
      <c r="K225" s="32">
        <f>IF(Settings!$B$4="Yes",$I225*$J225,$I225)</f>
        <v/>
      </c>
      <c r="L225" s="22">
        <f>IF($C225="","",IFERROR(IF(INDEX(Deals!$I$2:$I$355,MATCH($C225,Deals!$A$2:$A$355,0))=0,"",INDEX(Deals!$I$2:$I$355,MATCH($C225,Deals!$A$2:$A$355,0))),""))</f>
        <v/>
      </c>
      <c r="M225" s="22">
        <f>IF($C225="","",IFERROR(IF(INDEX(Deals!$J$2:$J$355,MATCH($C225,Deals!$A$2:$A$355,0))=0,"",INDEX(Deals!$J$2:$J$355,MATCH($C225,Deals!$A$2:$A$355,0))),""))</f>
        <v/>
      </c>
      <c r="N225" s="35">
        <f>IF($L225="",DATE(1900,1,1),$L225)</f>
        <v/>
      </c>
      <c r="O225" s="35">
        <f>IF($M225="",DATE(2100,12,31),$M225)</f>
        <v/>
      </c>
      <c r="P225" s="20" t="inlineStr">
        <is>
          <t>Ongoing</t>
        </is>
      </c>
      <c r="Q225" s="43" t="inlineStr"/>
      <c r="R225" s="16">
        <f>IF($C225="","",IFERROR(IF(INDEX(Deals!$U$2:$U$355,MATCH($C225,Deals!$A$2:$A$355,0))=0,"",INDEX(Deals!$U$2:$U$355,MATCH($C225,Deals!$A$2:$A$355,0))),""))</f>
        <v/>
      </c>
      <c r="S225" s="34">
        <f>IFERROR(IF($U225="",1,INDEX(Deals!$V$2:$V$355,MATCH($C225,Deals!$A$2:$A$355,0))),1)</f>
        <v/>
      </c>
      <c r="T225" s="34">
        <f>IFERROR(IF($U225="",1,INDEX(Deals!$W$2:$W$355,MATCH($C225,Deals!$A$2:$A$355,0))),1)</f>
        <v/>
      </c>
      <c r="U225" s="22">
        <f>IF($C225="","",IFERROR(IF(INDEX(Deals!$Y$2:$Y$355,MATCH($C225,Deals!$A$2:$A$355,0))=0,"",INDEX(Deals!$Y$2:$Y$355,MATCH($C225,Deals!$A$2:$A$355,0))),""))</f>
        <v/>
      </c>
      <c r="V225" s="35">
        <f>IF($U225="",DATE(1900,1,1),$N225)</f>
        <v/>
      </c>
      <c r="W225" s="35">
        <f>IF($U225="",DATE(2100,12,31),$U225)</f>
        <v/>
      </c>
      <c r="X225" s="32">
        <f>IF($U225="",$K225,$K225*$S225)</f>
        <v/>
      </c>
      <c r="Y225" s="35">
        <f>IF($U225="",DATE(2100,12,31),$U225+1)</f>
        <v/>
      </c>
      <c r="Z225" s="35">
        <f>IF($U225="",DATE(1900,1,1),$O225)</f>
        <v/>
      </c>
      <c r="AA225" s="32">
        <f>IF($U225="",0,$K225*$T225)</f>
        <v/>
      </c>
      <c r="AB225" s="21">
        <f>IF($C225="",0,IFERROR(INDEX(Deals!$AD$2:$AD$355,MATCH($C225,Deals!$A$2:$A$355,0)),0))</f>
        <v/>
      </c>
      <c r="AC225" s="32">
        <f>IF(Settings!$B$4="Yes",$I225*$AB225,$I225)</f>
        <v/>
      </c>
      <c r="AD225" s="22">
        <f>IF($C225="","",IFERROR(IF(INDEX(Deals!$AE$2:$AE$355,MATCH($C225,Deals!$A$2:$A$355,0))=0,"",INDEX(Deals!$AE$2:$AE$355,MATCH($C225,Deals!$A$2:$A$355,0))),""))</f>
        <v/>
      </c>
      <c r="AE225" s="22">
        <f>IF($C225="","",IFERROR(IF(INDEX(Deals!$AF$2:$AF$355,MATCH($C225,Deals!$A$2:$A$355,0))=0,"",INDEX(Deals!$AF$2:$AF$355,MATCH($C225,Deals!$A$2:$A$355,0))),""))</f>
        <v/>
      </c>
      <c r="AF225" s="35">
        <f>IF($AD225="",DATE(1900,1,1),$AD225)</f>
        <v/>
      </c>
      <c r="AG225" s="35">
        <f>IF($AE225="",DATE(2100,12,31),$AE225)</f>
        <v/>
      </c>
      <c r="AH225" s="22">
        <f>IF($C225="","",IFERROR(IF(INDEX(Deals!$AG$2:$AG$355,MATCH($C225,Deals!$A$2:$A$355,0))=0,"",INDEX(Deals!$AG$2:$AG$355,MATCH($C225,Deals!$A$2:$A$355,0))),""))</f>
        <v/>
      </c>
      <c r="AI225" s="35">
        <f>IF($AH225="",DATE(1900,1,1),$AF225)</f>
        <v/>
      </c>
      <c r="AJ225" s="35">
        <f>IF($AH225="",DATE(2100,12,31),$AH225)</f>
        <v/>
      </c>
      <c r="AK225" s="32">
        <f>IF($AH225="",$AC225,$AC225*$S225)</f>
        <v/>
      </c>
      <c r="AL225" s="35">
        <f>IF($AH225="",DATE(2100,12,31),$AH225+1)</f>
        <v/>
      </c>
      <c r="AM225" s="35">
        <f>IF($AH225="",DATE(1900,1,1),$AG225)</f>
        <v/>
      </c>
      <c r="AN225" s="32">
        <f>IF($AH225="",0,$AC225*$T225)</f>
        <v/>
      </c>
    </row>
    <row r="226">
      <c r="A226" s="28" t="inlineStr">
        <is>
          <t>Justine</t>
        </is>
      </c>
      <c r="B226" s="16">
        <f>IF($A226="","",IFERROR(INDEX(Roster!$B$2:$B$40,MATCH($A226,Roster!$A$2:$A$40,0)),"?"))</f>
        <v/>
      </c>
      <c r="C226" s="28" t="inlineStr">
        <is>
          <t>Danone_1</t>
        </is>
      </c>
      <c r="D226" s="16">
        <f>IF($C226="","",IFERROR(IF(INDEX(Deals!$C$2:$C$355,MATCH($C226,Deals!$A$2:$A$355,0))=0,"",INDEX(Deals!$C$2:$C$355,MATCH($C226,Deals!$A$2:$A$355,0))),"?"))</f>
        <v/>
      </c>
      <c r="E226" s="16">
        <f>IF($C226="","",IFERROR(INDEX(Deals!$F$2:$F$355,MATCH($C226,Deals!$A$2:$A$355,0)),"?"))</f>
        <v/>
      </c>
      <c r="F226" s="28" t="inlineStr">
        <is>
          <t>Director</t>
        </is>
      </c>
      <c r="G226" s="28" t="inlineStr">
        <is>
          <t>Active</t>
        </is>
      </c>
      <c r="H226" s="31" t="n"/>
      <c r="I226" s="32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1">
        <f>IF($C226="",0,IFERROR(INDEX(Deals!$H$2:$H$355,MATCH($C226,Deals!$A$2:$A$355,0)),0))</f>
        <v/>
      </c>
      <c r="K226" s="32">
        <f>IF(Settings!$B$4="Yes",$I226*$J226,$I226)</f>
        <v/>
      </c>
      <c r="L226" s="22">
        <f>IF($C226="","",IFERROR(IF(INDEX(Deals!$I$2:$I$355,MATCH($C226,Deals!$A$2:$A$355,0))=0,"",INDEX(Deals!$I$2:$I$355,MATCH($C226,Deals!$A$2:$A$355,0))),""))</f>
        <v/>
      </c>
      <c r="M226" s="22">
        <f>IF($C226="","",IFERROR(IF(INDEX(Deals!$J$2:$J$355,MATCH($C226,Deals!$A$2:$A$355,0))=0,"",INDEX(Deals!$J$2:$J$355,MATCH($C226,Deals!$A$2:$A$355,0))),""))</f>
        <v/>
      </c>
      <c r="N226" s="35">
        <f>IF($L226="",DATE(1900,1,1),$L226)</f>
        <v/>
      </c>
      <c r="O226" s="35">
        <f>IF($M226="",DATE(2100,12,31),$M226)</f>
        <v/>
      </c>
      <c r="P226" s="20" t="inlineStr">
        <is>
          <t>Proposal</t>
        </is>
      </c>
      <c r="Q226" s="43" t="inlineStr"/>
      <c r="R226" s="16">
        <f>IF($C226="","",IFERROR(IF(INDEX(Deals!$U$2:$U$355,MATCH($C226,Deals!$A$2:$A$355,0))=0,"",INDEX(Deals!$U$2:$U$355,MATCH($C226,Deals!$A$2:$A$355,0))),""))</f>
        <v/>
      </c>
      <c r="S226" s="34">
        <f>IFERROR(IF($U226="",1,INDEX(Deals!$V$2:$V$355,MATCH($C226,Deals!$A$2:$A$355,0))),1)</f>
        <v/>
      </c>
      <c r="T226" s="34">
        <f>IFERROR(IF($U226="",1,INDEX(Deals!$W$2:$W$355,MATCH($C226,Deals!$A$2:$A$355,0))),1)</f>
        <v/>
      </c>
      <c r="U226" s="22">
        <f>IF($C226="","",IFERROR(IF(INDEX(Deals!$Y$2:$Y$355,MATCH($C226,Deals!$A$2:$A$355,0))=0,"",INDEX(Deals!$Y$2:$Y$355,MATCH($C226,Deals!$A$2:$A$355,0))),""))</f>
        <v/>
      </c>
      <c r="V226" s="35">
        <f>IF($U226="",DATE(1900,1,1),$N226)</f>
        <v/>
      </c>
      <c r="W226" s="35">
        <f>IF($U226="",DATE(2100,12,31),$U226)</f>
        <v/>
      </c>
      <c r="X226" s="32">
        <f>IF($U226="",$K226,$K226*$S226)</f>
        <v/>
      </c>
      <c r="Y226" s="35">
        <f>IF($U226="",DATE(2100,12,31),$U226+1)</f>
        <v/>
      </c>
      <c r="Z226" s="35">
        <f>IF($U226="",DATE(1900,1,1),$O226)</f>
        <v/>
      </c>
      <c r="AA226" s="32">
        <f>IF($U226="",0,$K226*$T226)</f>
        <v/>
      </c>
      <c r="AB226" s="21">
        <f>IF($C226="",0,IFERROR(INDEX(Deals!$AD$2:$AD$355,MATCH($C226,Deals!$A$2:$A$355,0)),0))</f>
        <v/>
      </c>
      <c r="AC226" s="32">
        <f>IF(Settings!$B$4="Yes",$I226*$AB226,$I226)</f>
        <v/>
      </c>
      <c r="AD226" s="22">
        <f>IF($C226="","",IFERROR(IF(INDEX(Deals!$AE$2:$AE$355,MATCH($C226,Deals!$A$2:$A$355,0))=0,"",INDEX(Deals!$AE$2:$AE$355,MATCH($C226,Deals!$A$2:$A$355,0))),""))</f>
        <v/>
      </c>
      <c r="AE226" s="22">
        <f>IF($C226="","",IFERROR(IF(INDEX(Deals!$AF$2:$AF$355,MATCH($C226,Deals!$A$2:$A$355,0))=0,"",INDEX(Deals!$AF$2:$AF$355,MATCH($C226,Deals!$A$2:$A$355,0))),""))</f>
        <v/>
      </c>
      <c r="AF226" s="35">
        <f>IF($AD226="",DATE(1900,1,1),$AD226)</f>
        <v/>
      </c>
      <c r="AG226" s="35">
        <f>IF($AE226="",DATE(2100,12,31),$AE226)</f>
        <v/>
      </c>
      <c r="AH226" s="22">
        <f>IF($C226="","",IFERROR(IF(INDEX(Deals!$AG$2:$AG$355,MATCH($C226,Deals!$A$2:$A$355,0))=0,"",INDEX(Deals!$AG$2:$AG$355,MATCH($C226,Deals!$A$2:$A$355,0))),""))</f>
        <v/>
      </c>
      <c r="AI226" s="35">
        <f>IF($AH226="",DATE(1900,1,1),$AF226)</f>
        <v/>
      </c>
      <c r="AJ226" s="35">
        <f>IF($AH226="",DATE(2100,12,31),$AH226)</f>
        <v/>
      </c>
      <c r="AK226" s="32">
        <f>IF($AH226="",$AC226,$AC226*$S226)</f>
        <v/>
      </c>
      <c r="AL226" s="35">
        <f>IF($AH226="",DATE(2100,12,31),$AH226+1)</f>
        <v/>
      </c>
      <c r="AM226" s="35">
        <f>IF($AH226="",DATE(1900,1,1),$AG226)</f>
        <v/>
      </c>
      <c r="AN226" s="32">
        <f>IF($AH226="",0,$AC226*$T226)</f>
        <v/>
      </c>
    </row>
    <row r="227">
      <c r="A227" s="28" t="inlineStr">
        <is>
          <t>Justine</t>
        </is>
      </c>
      <c r="B227" s="16">
        <f>IF($A227="","",IFERROR(INDEX(Roster!$B$2:$B$40,MATCH($A227,Roster!$A$2:$A$40,0)),"?"))</f>
        <v/>
      </c>
      <c r="C227" s="28" t="inlineStr">
        <is>
          <t>DEBT analysis_1</t>
        </is>
      </c>
      <c r="D227" s="16">
        <f>IF($C227="","",IFERROR(IF(INDEX(Deals!$C$2:$C$355,MATCH($C227,Deals!$A$2:$A$355,0))=0,"",INDEX(Deals!$C$2:$C$355,MATCH($C227,Deals!$A$2:$A$355,0))),"?"))</f>
        <v/>
      </c>
      <c r="E227" s="16">
        <f>IF($C227="","",IFERROR(INDEX(Deals!$F$2:$F$355,MATCH($C227,Deals!$A$2:$A$355,0)),"?"))</f>
        <v/>
      </c>
      <c r="F227" s="28" t="inlineStr">
        <is>
          <t>Director</t>
        </is>
      </c>
      <c r="G227" s="28" t="inlineStr">
        <is>
          <t>Active</t>
        </is>
      </c>
      <c r="H227" s="31" t="n"/>
      <c r="I227" s="32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1">
        <f>IF($C227="",0,IFERROR(INDEX(Deals!$H$2:$H$355,MATCH($C227,Deals!$A$2:$A$355,0)),0))</f>
        <v/>
      </c>
      <c r="K227" s="32">
        <f>IF(Settings!$B$4="Yes",$I227*$J227,$I227)</f>
        <v/>
      </c>
      <c r="L227" s="22">
        <f>IF($C227="","",IFERROR(IF(INDEX(Deals!$I$2:$I$355,MATCH($C227,Deals!$A$2:$A$355,0))=0,"",INDEX(Deals!$I$2:$I$355,MATCH($C227,Deals!$A$2:$A$355,0))),""))</f>
        <v/>
      </c>
      <c r="M227" s="22">
        <f>IF($C227="","",IFERROR(IF(INDEX(Deals!$J$2:$J$355,MATCH($C227,Deals!$A$2:$A$355,0))=0,"",INDEX(Deals!$J$2:$J$355,MATCH($C227,Deals!$A$2:$A$355,0))),""))</f>
        <v/>
      </c>
      <c r="N227" s="35">
        <f>IF($L227="",DATE(1900,1,1),$L227)</f>
        <v/>
      </c>
      <c r="O227" s="35">
        <f>IF($M227="",DATE(2100,12,31),$M227)</f>
        <v/>
      </c>
      <c r="P227" s="20" t="inlineStr">
        <is>
          <t>Ongoing / Jeremy</t>
        </is>
      </c>
      <c r="Q227" s="43" t="inlineStr"/>
      <c r="R227" s="16">
        <f>IF($C227="","",IFERROR(IF(INDEX(Deals!$U$2:$U$355,MATCH($C227,Deals!$A$2:$A$355,0))=0,"",INDEX(Deals!$U$2:$U$355,MATCH($C227,Deals!$A$2:$A$355,0))),""))</f>
        <v/>
      </c>
      <c r="S227" s="34">
        <f>IFERROR(IF($U227="",1,INDEX(Deals!$V$2:$V$355,MATCH($C227,Deals!$A$2:$A$355,0))),1)</f>
        <v/>
      </c>
      <c r="T227" s="34">
        <f>IFERROR(IF($U227="",1,INDEX(Deals!$W$2:$W$355,MATCH($C227,Deals!$A$2:$A$355,0))),1)</f>
        <v/>
      </c>
      <c r="U227" s="22">
        <f>IF($C227="","",IFERROR(IF(INDEX(Deals!$Y$2:$Y$355,MATCH($C227,Deals!$A$2:$A$355,0))=0,"",INDEX(Deals!$Y$2:$Y$355,MATCH($C227,Deals!$A$2:$A$355,0))),""))</f>
        <v/>
      </c>
      <c r="V227" s="35">
        <f>IF($U227="",DATE(1900,1,1),$N227)</f>
        <v/>
      </c>
      <c r="W227" s="35">
        <f>IF($U227="",DATE(2100,12,31),$U227)</f>
        <v/>
      </c>
      <c r="X227" s="32">
        <f>IF($U227="",$K227,$K227*$S227)</f>
        <v/>
      </c>
      <c r="Y227" s="35">
        <f>IF($U227="",DATE(2100,12,31),$U227+1)</f>
        <v/>
      </c>
      <c r="Z227" s="35">
        <f>IF($U227="",DATE(1900,1,1),$O227)</f>
        <v/>
      </c>
      <c r="AA227" s="32">
        <f>IF($U227="",0,$K227*$T227)</f>
        <v/>
      </c>
      <c r="AB227" s="21">
        <f>IF($C227="",0,IFERROR(INDEX(Deals!$AD$2:$AD$355,MATCH($C227,Deals!$A$2:$A$355,0)),0))</f>
        <v/>
      </c>
      <c r="AC227" s="32">
        <f>IF(Settings!$B$4="Yes",$I227*$AB227,$I227)</f>
        <v/>
      </c>
      <c r="AD227" s="22">
        <f>IF($C227="","",IFERROR(IF(INDEX(Deals!$AE$2:$AE$355,MATCH($C227,Deals!$A$2:$A$355,0))=0,"",INDEX(Deals!$AE$2:$AE$355,MATCH($C227,Deals!$A$2:$A$355,0))),""))</f>
        <v/>
      </c>
      <c r="AE227" s="22">
        <f>IF($C227="","",IFERROR(IF(INDEX(Deals!$AF$2:$AF$355,MATCH($C227,Deals!$A$2:$A$355,0))=0,"",INDEX(Deals!$AF$2:$AF$355,MATCH($C227,Deals!$A$2:$A$355,0))),""))</f>
        <v/>
      </c>
      <c r="AF227" s="35">
        <f>IF($AD227="",DATE(1900,1,1),$AD227)</f>
        <v/>
      </c>
      <c r="AG227" s="35">
        <f>IF($AE227="",DATE(2100,12,31),$AE227)</f>
        <v/>
      </c>
      <c r="AH227" s="22">
        <f>IF($C227="","",IFERROR(IF(INDEX(Deals!$AG$2:$AG$355,MATCH($C227,Deals!$A$2:$A$355,0))=0,"",INDEX(Deals!$AG$2:$AG$355,MATCH($C227,Deals!$A$2:$A$355,0))),""))</f>
        <v/>
      </c>
      <c r="AI227" s="35">
        <f>IF($AH227="",DATE(1900,1,1),$AF227)</f>
        <v/>
      </c>
      <c r="AJ227" s="35">
        <f>IF($AH227="",DATE(2100,12,31),$AH227)</f>
        <v/>
      </c>
      <c r="AK227" s="32">
        <f>IF($AH227="",$AC227,$AC227*$S227)</f>
        <v/>
      </c>
      <c r="AL227" s="35">
        <f>IF($AH227="",DATE(2100,12,31),$AH227+1)</f>
        <v/>
      </c>
      <c r="AM227" s="35">
        <f>IF($AH227="",DATE(1900,1,1),$AG227)</f>
        <v/>
      </c>
      <c r="AN227" s="32">
        <f>IF($AH227="",0,$AC227*$T227)</f>
        <v/>
      </c>
    </row>
    <row r="228">
      <c r="A228" s="28" t="inlineStr">
        <is>
          <t>Justine</t>
        </is>
      </c>
      <c r="B228" s="16">
        <f>IF($A228="","",IFERROR(INDEX(Roster!$B$2:$B$40,MATCH($A228,Roster!$A$2:$A$40,0)),"?"))</f>
        <v/>
      </c>
      <c r="C228" s="28" t="inlineStr">
        <is>
          <t>EDFG TVDD_1</t>
        </is>
      </c>
      <c r="D228" s="16">
        <f>IF($C228="","",IFERROR(IF(INDEX(Deals!$C$2:$C$355,MATCH($C228,Deals!$A$2:$A$355,0))=0,"",INDEX(Deals!$C$2:$C$355,MATCH($C228,Deals!$A$2:$A$355,0))),"?"))</f>
        <v/>
      </c>
      <c r="E228" s="16">
        <f>IF($C228="","",IFERROR(INDEX(Deals!$F$2:$F$355,MATCH($C228,Deals!$A$2:$A$355,0)),"?"))</f>
        <v/>
      </c>
      <c r="F228" s="28" t="inlineStr">
        <is>
          <t>Director</t>
        </is>
      </c>
      <c r="G228" s="28" t="inlineStr">
        <is>
          <t>Active</t>
        </is>
      </c>
      <c r="H228" s="31" t="n"/>
      <c r="I228" s="32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1">
        <f>IF($C228="",0,IFERROR(INDEX(Deals!$H$2:$H$355,MATCH($C228,Deals!$A$2:$A$355,0)),0))</f>
        <v/>
      </c>
      <c r="K228" s="32">
        <f>IF(Settings!$B$4="Yes",$I228*$J228,$I228)</f>
        <v/>
      </c>
      <c r="L228" s="22">
        <f>IF($C228="","",IFERROR(IF(INDEX(Deals!$I$2:$I$355,MATCH($C228,Deals!$A$2:$A$355,0))=0,"",INDEX(Deals!$I$2:$I$355,MATCH($C228,Deals!$A$2:$A$355,0))),""))</f>
        <v/>
      </c>
      <c r="M228" s="22">
        <f>IF($C228="","",IFERROR(IF(INDEX(Deals!$J$2:$J$355,MATCH($C228,Deals!$A$2:$A$355,0))=0,"",INDEX(Deals!$J$2:$J$355,MATCH($C228,Deals!$A$2:$A$355,0))),""))</f>
        <v/>
      </c>
      <c r="N228" s="35">
        <f>IF($L228="",DATE(1900,1,1),$L228)</f>
        <v/>
      </c>
      <c r="O228" s="35">
        <f>IF($M228="",DATE(2100,12,31),$M228)</f>
        <v/>
      </c>
      <c r="P228" s="20" t="inlineStr">
        <is>
          <t>Proposal</t>
        </is>
      </c>
      <c r="Q228" s="43" t="inlineStr"/>
      <c r="R228" s="16">
        <f>IF($C228="","",IFERROR(IF(INDEX(Deals!$U$2:$U$355,MATCH($C228,Deals!$A$2:$A$355,0))=0,"",INDEX(Deals!$U$2:$U$355,MATCH($C228,Deals!$A$2:$A$355,0))),""))</f>
        <v/>
      </c>
      <c r="S228" s="34">
        <f>IFERROR(IF($U228="",1,INDEX(Deals!$V$2:$V$355,MATCH($C228,Deals!$A$2:$A$355,0))),1)</f>
        <v/>
      </c>
      <c r="T228" s="34">
        <f>IFERROR(IF($U228="",1,INDEX(Deals!$W$2:$W$355,MATCH($C228,Deals!$A$2:$A$355,0))),1)</f>
        <v/>
      </c>
      <c r="U228" s="22">
        <f>IF($C228="","",IFERROR(IF(INDEX(Deals!$Y$2:$Y$355,MATCH($C228,Deals!$A$2:$A$355,0))=0,"",INDEX(Deals!$Y$2:$Y$355,MATCH($C228,Deals!$A$2:$A$355,0))),""))</f>
        <v/>
      </c>
      <c r="V228" s="35">
        <f>IF($U228="",DATE(1900,1,1),$N228)</f>
        <v/>
      </c>
      <c r="W228" s="35">
        <f>IF($U228="",DATE(2100,12,31),$U228)</f>
        <v/>
      </c>
      <c r="X228" s="32">
        <f>IF($U228="",$K228,$K228*$S228)</f>
        <v/>
      </c>
      <c r="Y228" s="35">
        <f>IF($U228="",DATE(2100,12,31),$U228+1)</f>
        <v/>
      </c>
      <c r="Z228" s="35">
        <f>IF($U228="",DATE(1900,1,1),$O228)</f>
        <v/>
      </c>
      <c r="AA228" s="32">
        <f>IF($U228="",0,$K228*$T228)</f>
        <v/>
      </c>
      <c r="AB228" s="21">
        <f>IF($C228="",0,IFERROR(INDEX(Deals!$AD$2:$AD$355,MATCH($C228,Deals!$A$2:$A$355,0)),0))</f>
        <v/>
      </c>
      <c r="AC228" s="32">
        <f>IF(Settings!$B$4="Yes",$I228*$AB228,$I228)</f>
        <v/>
      </c>
      <c r="AD228" s="22">
        <f>IF($C228="","",IFERROR(IF(INDEX(Deals!$AE$2:$AE$355,MATCH($C228,Deals!$A$2:$A$355,0))=0,"",INDEX(Deals!$AE$2:$AE$355,MATCH($C228,Deals!$A$2:$A$355,0))),""))</f>
        <v/>
      </c>
      <c r="AE228" s="22">
        <f>IF($C228="","",IFERROR(IF(INDEX(Deals!$AF$2:$AF$355,MATCH($C228,Deals!$A$2:$A$355,0))=0,"",INDEX(Deals!$AF$2:$AF$355,MATCH($C228,Deals!$A$2:$A$355,0))),""))</f>
        <v/>
      </c>
      <c r="AF228" s="35">
        <f>IF($AD228="",DATE(1900,1,1),$AD228)</f>
        <v/>
      </c>
      <c r="AG228" s="35">
        <f>IF($AE228="",DATE(2100,12,31),$AE228)</f>
        <v/>
      </c>
      <c r="AH228" s="22">
        <f>IF($C228="","",IFERROR(IF(INDEX(Deals!$AG$2:$AG$355,MATCH($C228,Deals!$A$2:$A$355,0))=0,"",INDEX(Deals!$AG$2:$AG$355,MATCH($C228,Deals!$A$2:$A$355,0))),""))</f>
        <v/>
      </c>
      <c r="AI228" s="35">
        <f>IF($AH228="",DATE(1900,1,1),$AF228)</f>
        <v/>
      </c>
      <c r="AJ228" s="35">
        <f>IF($AH228="",DATE(2100,12,31),$AH228)</f>
        <v/>
      </c>
      <c r="AK228" s="32">
        <f>IF($AH228="",$AC228,$AC228*$S228)</f>
        <v/>
      </c>
      <c r="AL228" s="35">
        <f>IF($AH228="",DATE(2100,12,31),$AH228+1)</f>
        <v/>
      </c>
      <c r="AM228" s="35">
        <f>IF($AH228="",DATE(1900,1,1),$AG228)</f>
        <v/>
      </c>
      <c r="AN228" s="32">
        <f>IF($AH228="",0,$AC228*$T228)</f>
        <v/>
      </c>
    </row>
    <row r="229">
      <c r="A229" s="28" t="inlineStr">
        <is>
          <t>Justine</t>
        </is>
      </c>
      <c r="B229" s="16">
        <f>IF($A229="","",IFERROR(INDEX(Roster!$B$2:$B$40,MATCH($A229,Roster!$A$2:$A$40,0)),"?"))</f>
        <v/>
      </c>
      <c r="C229" s="28" t="inlineStr">
        <is>
          <t>Ek_1</t>
        </is>
      </c>
      <c r="D229" s="16">
        <f>IF($C229="","",IFERROR(IF(INDEX(Deals!$C$2:$C$355,MATCH($C229,Deals!$A$2:$A$355,0))=0,"",INDEX(Deals!$C$2:$C$355,MATCH($C229,Deals!$A$2:$A$355,0))),"?"))</f>
        <v/>
      </c>
      <c r="E229" s="16">
        <f>IF($C229="","",IFERROR(INDEX(Deals!$F$2:$F$355,MATCH($C229,Deals!$A$2:$A$355,0)),"?"))</f>
        <v/>
      </c>
      <c r="F229" s="28" t="inlineStr">
        <is>
          <t>Director</t>
        </is>
      </c>
      <c r="G229" s="28" t="inlineStr">
        <is>
          <t>Active</t>
        </is>
      </c>
      <c r="H229" s="31" t="n"/>
      <c r="I229" s="32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1">
        <f>IF($C229="",0,IFERROR(INDEX(Deals!$H$2:$H$355,MATCH($C229,Deals!$A$2:$A$355,0)),0))</f>
        <v/>
      </c>
      <c r="K229" s="32">
        <f>IF(Settings!$B$4="Yes",$I229*$J229,$I229)</f>
        <v/>
      </c>
      <c r="L229" s="22">
        <f>IF($C229="","",IFERROR(IF(INDEX(Deals!$I$2:$I$355,MATCH($C229,Deals!$A$2:$A$355,0))=0,"",INDEX(Deals!$I$2:$I$355,MATCH($C229,Deals!$A$2:$A$355,0))),""))</f>
        <v/>
      </c>
      <c r="M229" s="22">
        <f>IF($C229="","",IFERROR(IF(INDEX(Deals!$J$2:$J$355,MATCH($C229,Deals!$A$2:$A$355,0))=0,"",INDEX(Deals!$J$2:$J$355,MATCH($C229,Deals!$A$2:$A$355,0))),""))</f>
        <v/>
      </c>
      <c r="N229" s="35">
        <f>IF($L229="",DATE(1900,1,1),$L229)</f>
        <v/>
      </c>
      <c r="O229" s="35">
        <f>IF($M229="",DATE(2100,12,31),$M229)</f>
        <v/>
      </c>
      <c r="P229" s="20" t="inlineStr">
        <is>
          <t>Proposal</t>
        </is>
      </c>
      <c r="Q229" s="43" t="inlineStr"/>
      <c r="R229" s="16">
        <f>IF($C229="","",IFERROR(IF(INDEX(Deals!$U$2:$U$355,MATCH($C229,Deals!$A$2:$A$355,0))=0,"",INDEX(Deals!$U$2:$U$355,MATCH($C229,Deals!$A$2:$A$355,0))),""))</f>
        <v/>
      </c>
      <c r="S229" s="34">
        <f>IFERROR(IF($U229="",1,INDEX(Deals!$V$2:$V$355,MATCH($C229,Deals!$A$2:$A$355,0))),1)</f>
        <v/>
      </c>
      <c r="T229" s="34">
        <f>IFERROR(IF($U229="",1,INDEX(Deals!$W$2:$W$355,MATCH($C229,Deals!$A$2:$A$355,0))),1)</f>
        <v/>
      </c>
      <c r="U229" s="22">
        <f>IF($C229="","",IFERROR(IF(INDEX(Deals!$Y$2:$Y$355,MATCH($C229,Deals!$A$2:$A$355,0))=0,"",INDEX(Deals!$Y$2:$Y$355,MATCH($C229,Deals!$A$2:$A$355,0))),""))</f>
        <v/>
      </c>
      <c r="V229" s="35">
        <f>IF($U229="",DATE(1900,1,1),$N229)</f>
        <v/>
      </c>
      <c r="W229" s="35">
        <f>IF($U229="",DATE(2100,12,31),$U229)</f>
        <v/>
      </c>
      <c r="X229" s="32">
        <f>IF($U229="",$K229,$K229*$S229)</f>
        <v/>
      </c>
      <c r="Y229" s="35">
        <f>IF($U229="",DATE(2100,12,31),$U229+1)</f>
        <v/>
      </c>
      <c r="Z229" s="35">
        <f>IF($U229="",DATE(1900,1,1),$O229)</f>
        <v/>
      </c>
      <c r="AA229" s="32">
        <f>IF($U229="",0,$K229*$T229)</f>
        <v/>
      </c>
      <c r="AB229" s="21">
        <f>IF($C229="",0,IFERROR(INDEX(Deals!$AD$2:$AD$355,MATCH($C229,Deals!$A$2:$A$355,0)),0))</f>
        <v/>
      </c>
      <c r="AC229" s="32">
        <f>IF(Settings!$B$4="Yes",$I229*$AB229,$I229)</f>
        <v/>
      </c>
      <c r="AD229" s="22">
        <f>IF($C229="","",IFERROR(IF(INDEX(Deals!$AE$2:$AE$355,MATCH($C229,Deals!$A$2:$A$355,0))=0,"",INDEX(Deals!$AE$2:$AE$355,MATCH($C229,Deals!$A$2:$A$355,0))),""))</f>
        <v/>
      </c>
      <c r="AE229" s="22">
        <f>IF($C229="","",IFERROR(IF(INDEX(Deals!$AF$2:$AF$355,MATCH($C229,Deals!$A$2:$A$355,0))=0,"",INDEX(Deals!$AF$2:$AF$355,MATCH($C229,Deals!$A$2:$A$355,0))),""))</f>
        <v/>
      </c>
      <c r="AF229" s="35">
        <f>IF($AD229="",DATE(1900,1,1),$AD229)</f>
        <v/>
      </c>
      <c r="AG229" s="35">
        <f>IF($AE229="",DATE(2100,12,31),$AE229)</f>
        <v/>
      </c>
      <c r="AH229" s="22">
        <f>IF($C229="","",IFERROR(IF(INDEX(Deals!$AG$2:$AG$355,MATCH($C229,Deals!$A$2:$A$355,0))=0,"",INDEX(Deals!$AG$2:$AG$355,MATCH($C229,Deals!$A$2:$A$355,0))),""))</f>
        <v/>
      </c>
      <c r="AI229" s="35">
        <f>IF($AH229="",DATE(1900,1,1),$AF229)</f>
        <v/>
      </c>
      <c r="AJ229" s="35">
        <f>IF($AH229="",DATE(2100,12,31),$AH229)</f>
        <v/>
      </c>
      <c r="AK229" s="32">
        <f>IF($AH229="",$AC229,$AC229*$S229)</f>
        <v/>
      </c>
      <c r="AL229" s="35">
        <f>IF($AH229="",DATE(2100,12,31),$AH229+1)</f>
        <v/>
      </c>
      <c r="AM229" s="35">
        <f>IF($AH229="",DATE(1900,1,1),$AG229)</f>
        <v/>
      </c>
      <c r="AN229" s="32">
        <f>IF($AH229="",0,$AC229*$T229)</f>
        <v/>
      </c>
    </row>
    <row r="230">
      <c r="A230" s="28" t="inlineStr">
        <is>
          <t>Justine</t>
        </is>
      </c>
      <c r="B230" s="16">
        <f>IF($A230="","",IFERROR(INDEX(Roster!$B$2:$B$40,MATCH($A230,Roster!$A$2:$A$40,0)),"?"))</f>
        <v/>
      </c>
      <c r="C230" s="28" t="inlineStr">
        <is>
          <t>Engineering_1</t>
        </is>
      </c>
      <c r="D230" s="16">
        <f>IF($C230="","",IFERROR(IF(INDEX(Deals!$C$2:$C$355,MATCH($C230,Deals!$A$2:$A$355,0))=0,"",INDEX(Deals!$C$2:$C$355,MATCH($C230,Deals!$A$2:$A$355,0))),"?"))</f>
        <v/>
      </c>
      <c r="E230" s="16">
        <f>IF($C230="","",IFERROR(INDEX(Deals!$F$2:$F$355,MATCH($C230,Deals!$A$2:$A$355,0)),"?"))</f>
        <v/>
      </c>
      <c r="F230" s="28" t="inlineStr">
        <is>
          <t>Director</t>
        </is>
      </c>
      <c r="G230" s="28" t="inlineStr">
        <is>
          <t>Active</t>
        </is>
      </c>
      <c r="H230" s="31" t="n"/>
      <c r="I230" s="32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1">
        <f>IF($C230="",0,IFERROR(INDEX(Deals!$H$2:$H$355,MATCH($C230,Deals!$A$2:$A$355,0)),0))</f>
        <v/>
      </c>
      <c r="K230" s="32">
        <f>IF(Settings!$B$4="Yes",$I230*$J230,$I230)</f>
        <v/>
      </c>
      <c r="L230" s="22">
        <f>IF($C230="","",IFERROR(IF(INDEX(Deals!$I$2:$I$355,MATCH($C230,Deals!$A$2:$A$355,0))=0,"",INDEX(Deals!$I$2:$I$355,MATCH($C230,Deals!$A$2:$A$355,0))),""))</f>
        <v/>
      </c>
      <c r="M230" s="22">
        <f>IF($C230="","",IFERROR(IF(INDEX(Deals!$J$2:$J$355,MATCH($C230,Deals!$A$2:$A$355,0))=0,"",INDEX(Deals!$J$2:$J$355,MATCH($C230,Deals!$A$2:$A$355,0))),""))</f>
        <v/>
      </c>
      <c r="N230" s="35">
        <f>IF($L230="",DATE(1900,1,1),$L230)</f>
        <v/>
      </c>
      <c r="O230" s="35">
        <f>IF($M230="",DATE(2100,12,31),$M230)</f>
        <v/>
      </c>
      <c r="P230" s="20" t="inlineStr">
        <is>
          <t>Proposal</t>
        </is>
      </c>
      <c r="Q230" s="43" t="inlineStr"/>
      <c r="R230" s="16">
        <f>IF($C230="","",IFERROR(IF(INDEX(Deals!$U$2:$U$355,MATCH($C230,Deals!$A$2:$A$355,0))=0,"",INDEX(Deals!$U$2:$U$355,MATCH($C230,Deals!$A$2:$A$355,0))),""))</f>
        <v/>
      </c>
      <c r="S230" s="34">
        <f>IFERROR(IF($U230="",1,INDEX(Deals!$V$2:$V$355,MATCH($C230,Deals!$A$2:$A$355,0))),1)</f>
        <v/>
      </c>
      <c r="T230" s="34">
        <f>IFERROR(IF($U230="",1,INDEX(Deals!$W$2:$W$355,MATCH($C230,Deals!$A$2:$A$355,0))),1)</f>
        <v/>
      </c>
      <c r="U230" s="22">
        <f>IF($C230="","",IFERROR(IF(INDEX(Deals!$Y$2:$Y$355,MATCH($C230,Deals!$A$2:$A$355,0))=0,"",INDEX(Deals!$Y$2:$Y$355,MATCH($C230,Deals!$A$2:$A$355,0))),""))</f>
        <v/>
      </c>
      <c r="V230" s="35">
        <f>IF($U230="",DATE(1900,1,1),$N230)</f>
        <v/>
      </c>
      <c r="W230" s="35">
        <f>IF($U230="",DATE(2100,12,31),$U230)</f>
        <v/>
      </c>
      <c r="X230" s="32">
        <f>IF($U230="",$K230,$K230*$S230)</f>
        <v/>
      </c>
      <c r="Y230" s="35">
        <f>IF($U230="",DATE(2100,12,31),$U230+1)</f>
        <v/>
      </c>
      <c r="Z230" s="35">
        <f>IF($U230="",DATE(1900,1,1),$O230)</f>
        <v/>
      </c>
      <c r="AA230" s="32">
        <f>IF($U230="",0,$K230*$T230)</f>
        <v/>
      </c>
      <c r="AB230" s="21">
        <f>IF($C230="",0,IFERROR(INDEX(Deals!$AD$2:$AD$355,MATCH($C230,Deals!$A$2:$A$355,0)),0))</f>
        <v/>
      </c>
      <c r="AC230" s="32">
        <f>IF(Settings!$B$4="Yes",$I230*$AB230,$I230)</f>
        <v/>
      </c>
      <c r="AD230" s="22">
        <f>IF($C230="","",IFERROR(IF(INDEX(Deals!$AE$2:$AE$355,MATCH($C230,Deals!$A$2:$A$355,0))=0,"",INDEX(Deals!$AE$2:$AE$355,MATCH($C230,Deals!$A$2:$A$355,0))),""))</f>
        <v/>
      </c>
      <c r="AE230" s="22">
        <f>IF($C230="","",IFERROR(IF(INDEX(Deals!$AF$2:$AF$355,MATCH($C230,Deals!$A$2:$A$355,0))=0,"",INDEX(Deals!$AF$2:$AF$355,MATCH($C230,Deals!$A$2:$A$355,0))),""))</f>
        <v/>
      </c>
      <c r="AF230" s="35">
        <f>IF($AD230="",DATE(1900,1,1),$AD230)</f>
        <v/>
      </c>
      <c r="AG230" s="35">
        <f>IF($AE230="",DATE(2100,12,31),$AE230)</f>
        <v/>
      </c>
      <c r="AH230" s="22">
        <f>IF($C230="","",IFERROR(IF(INDEX(Deals!$AG$2:$AG$355,MATCH($C230,Deals!$A$2:$A$355,0))=0,"",INDEX(Deals!$AG$2:$AG$355,MATCH($C230,Deals!$A$2:$A$355,0))),""))</f>
        <v/>
      </c>
      <c r="AI230" s="35">
        <f>IF($AH230="",DATE(1900,1,1),$AF230)</f>
        <v/>
      </c>
      <c r="AJ230" s="35">
        <f>IF($AH230="",DATE(2100,12,31),$AH230)</f>
        <v/>
      </c>
      <c r="AK230" s="32">
        <f>IF($AH230="",$AC230,$AC230*$S230)</f>
        <v/>
      </c>
      <c r="AL230" s="35">
        <f>IF($AH230="",DATE(2100,12,31),$AH230+1)</f>
        <v/>
      </c>
      <c r="AM230" s="35">
        <f>IF($AH230="",DATE(1900,1,1),$AG230)</f>
        <v/>
      </c>
      <c r="AN230" s="32">
        <f>IF($AH230="",0,$AC230*$T230)</f>
        <v/>
      </c>
    </row>
    <row r="231">
      <c r="A231" s="28" t="inlineStr">
        <is>
          <t>Justine</t>
        </is>
      </c>
      <c r="B231" s="16">
        <f>IF($A231="","",IFERROR(INDEX(Roster!$B$2:$B$40,MATCH($A231,Roster!$A$2:$A$40,0)),"?"))</f>
        <v/>
      </c>
      <c r="C231" s="28" t="inlineStr">
        <is>
          <t>EOS</t>
        </is>
      </c>
      <c r="D231" s="16">
        <f>IF($C231="","",IFERROR(IF(INDEX(Deals!$C$2:$C$355,MATCH($C231,Deals!$A$2:$A$355,0))=0,"",INDEX(Deals!$C$2:$C$355,MATCH($C231,Deals!$A$2:$A$355,0))),"?"))</f>
        <v/>
      </c>
      <c r="E231" s="16">
        <f>IF($C231="","",IFERROR(INDEX(Deals!$F$2:$F$355,MATCH($C231,Deals!$A$2:$A$355,0)),"?"))</f>
        <v/>
      </c>
      <c r="F231" s="28" t="inlineStr">
        <is>
          <t>Director</t>
        </is>
      </c>
      <c r="G231" s="28" t="inlineStr">
        <is>
          <t>Active</t>
        </is>
      </c>
      <c r="H231" s="31" t="n"/>
      <c r="I231" s="32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1">
        <f>IF($C231="",0,IFERROR(INDEX(Deals!$H$2:$H$355,MATCH($C231,Deals!$A$2:$A$355,0)),0))</f>
        <v/>
      </c>
      <c r="K231" s="32">
        <f>IF(Settings!$B$4="Yes",$I231*$J231,$I231)</f>
        <v/>
      </c>
      <c r="L231" s="22">
        <f>IF($C231="","",IFERROR(IF(INDEX(Deals!$I$2:$I$355,MATCH($C231,Deals!$A$2:$A$355,0))=0,"",INDEX(Deals!$I$2:$I$355,MATCH($C231,Deals!$A$2:$A$355,0))),""))</f>
        <v/>
      </c>
      <c r="M231" s="22">
        <f>IF($C231="","",IFERROR(IF(INDEX(Deals!$J$2:$J$355,MATCH($C231,Deals!$A$2:$A$355,0))=0,"",INDEX(Deals!$J$2:$J$355,MATCH($C231,Deals!$A$2:$A$355,0))),""))</f>
        <v/>
      </c>
      <c r="N231" s="35">
        <f>IF($L231="",DATE(1900,1,1),$L231)</f>
        <v/>
      </c>
      <c r="O231" s="35">
        <f>IF($M231="",DATE(2100,12,31),$M231)</f>
        <v/>
      </c>
      <c r="P231" s="20" t="inlineStr">
        <is>
          <t>Ongoing</t>
        </is>
      </c>
      <c r="Q231" s="43" t="inlineStr">
        <is>
          <t>Added from Summary tab</t>
        </is>
      </c>
      <c r="R231" s="16">
        <f>IF($C231="","",IFERROR(IF(INDEX(Deals!$U$2:$U$355,MATCH($C231,Deals!$A$2:$A$355,0))=0,"",INDEX(Deals!$U$2:$U$355,MATCH($C231,Deals!$A$2:$A$355,0))),""))</f>
        <v/>
      </c>
      <c r="S231" s="34">
        <f>IFERROR(IF($U231="",1,INDEX(Deals!$V$2:$V$355,MATCH($C231,Deals!$A$2:$A$355,0))),1)</f>
        <v/>
      </c>
      <c r="T231" s="34">
        <f>IFERROR(IF($U231="",1,INDEX(Deals!$W$2:$W$355,MATCH($C231,Deals!$A$2:$A$355,0))),1)</f>
        <v/>
      </c>
      <c r="U231" s="22">
        <f>IF($C231="","",IFERROR(IF(INDEX(Deals!$Y$2:$Y$355,MATCH($C231,Deals!$A$2:$A$355,0))=0,"",INDEX(Deals!$Y$2:$Y$355,MATCH($C231,Deals!$A$2:$A$355,0))),""))</f>
        <v/>
      </c>
      <c r="V231" s="35">
        <f>IF($U231="",DATE(1900,1,1),$N231)</f>
        <v/>
      </c>
      <c r="W231" s="35">
        <f>IF($U231="",DATE(2100,12,31),$U231)</f>
        <v/>
      </c>
      <c r="X231" s="32">
        <f>IF($U231="",$K231,$K231*$S231)</f>
        <v/>
      </c>
      <c r="Y231" s="35">
        <f>IF($U231="",DATE(2100,12,31),$U231+1)</f>
        <v/>
      </c>
      <c r="Z231" s="35">
        <f>IF($U231="",DATE(1900,1,1),$O231)</f>
        <v/>
      </c>
      <c r="AA231" s="32">
        <f>IF($U231="",0,$K231*$T231)</f>
        <v/>
      </c>
      <c r="AB231" s="21">
        <f>IF($C231="",0,IFERROR(INDEX(Deals!$AD$2:$AD$355,MATCH($C231,Deals!$A$2:$A$355,0)),0))</f>
        <v/>
      </c>
      <c r="AC231" s="32">
        <f>IF(Settings!$B$4="Yes",$I231*$AB231,$I231)</f>
        <v/>
      </c>
      <c r="AD231" s="22">
        <f>IF($C231="","",IFERROR(IF(INDEX(Deals!$AE$2:$AE$355,MATCH($C231,Deals!$A$2:$A$355,0))=0,"",INDEX(Deals!$AE$2:$AE$355,MATCH($C231,Deals!$A$2:$A$355,0))),""))</f>
        <v/>
      </c>
      <c r="AE231" s="22">
        <f>IF($C231="","",IFERROR(IF(INDEX(Deals!$AF$2:$AF$355,MATCH($C231,Deals!$A$2:$A$355,0))=0,"",INDEX(Deals!$AF$2:$AF$355,MATCH($C231,Deals!$A$2:$A$355,0))),""))</f>
        <v/>
      </c>
      <c r="AF231" s="35">
        <f>IF($AD231="",DATE(1900,1,1),$AD231)</f>
        <v/>
      </c>
      <c r="AG231" s="35">
        <f>IF($AE231="",DATE(2100,12,31),$AE231)</f>
        <v/>
      </c>
      <c r="AH231" s="22">
        <f>IF($C231="","",IFERROR(IF(INDEX(Deals!$AG$2:$AG$355,MATCH($C231,Deals!$A$2:$A$355,0))=0,"",INDEX(Deals!$AG$2:$AG$355,MATCH($C231,Deals!$A$2:$A$355,0))),""))</f>
        <v/>
      </c>
      <c r="AI231" s="35">
        <f>IF($AH231="",DATE(1900,1,1),$AF231)</f>
        <v/>
      </c>
      <c r="AJ231" s="35">
        <f>IF($AH231="",DATE(2100,12,31),$AH231)</f>
        <v/>
      </c>
      <c r="AK231" s="32">
        <f>IF($AH231="",$AC231,$AC231*$S231)</f>
        <v/>
      </c>
      <c r="AL231" s="35">
        <f>IF($AH231="",DATE(2100,12,31),$AH231+1)</f>
        <v/>
      </c>
      <c r="AM231" s="35">
        <f>IF($AH231="",DATE(1900,1,1),$AG231)</f>
        <v/>
      </c>
      <c r="AN231" s="32">
        <f>IF($AH231="",0,$AC231*$T231)</f>
        <v/>
      </c>
    </row>
    <row r="232">
      <c r="A232" s="28" t="inlineStr">
        <is>
          <t>Justine</t>
        </is>
      </c>
      <c r="B232" s="16">
        <f>IF($A232="","",IFERROR(INDEX(Roster!$B$2:$B$40,MATCH($A232,Roster!$A$2:$A$40,0)),"?"))</f>
        <v/>
      </c>
      <c r="C232" s="28" t="inlineStr">
        <is>
          <t>EV3</t>
        </is>
      </c>
      <c r="D232" s="16">
        <f>IF($C232="","",IFERROR(IF(INDEX(Deals!$C$2:$C$355,MATCH($C232,Deals!$A$2:$A$355,0))=0,"",INDEX(Deals!$C$2:$C$355,MATCH($C232,Deals!$A$2:$A$355,0))),"?"))</f>
        <v/>
      </c>
      <c r="E232" s="16">
        <f>IF($C232="","",IFERROR(INDEX(Deals!$F$2:$F$355,MATCH($C232,Deals!$A$2:$A$355,0)),"?"))</f>
        <v/>
      </c>
      <c r="F232" s="28" t="inlineStr">
        <is>
          <t>Director</t>
        </is>
      </c>
      <c r="G232" s="28" t="inlineStr">
        <is>
          <t>Active</t>
        </is>
      </c>
      <c r="H232" s="31" t="n"/>
      <c r="I232" s="32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1">
        <f>IF($C232="",0,IFERROR(INDEX(Deals!$H$2:$H$355,MATCH($C232,Deals!$A$2:$A$355,0)),0))</f>
        <v/>
      </c>
      <c r="K232" s="32">
        <f>IF(Settings!$B$4="Yes",$I232*$J232,$I232)</f>
        <v/>
      </c>
      <c r="L232" s="22">
        <f>IF($C232="","",IFERROR(IF(INDEX(Deals!$I$2:$I$355,MATCH($C232,Deals!$A$2:$A$355,0))=0,"",INDEX(Deals!$I$2:$I$355,MATCH($C232,Deals!$A$2:$A$355,0))),""))</f>
        <v/>
      </c>
      <c r="M232" s="22">
        <f>IF($C232="","",IFERROR(IF(INDEX(Deals!$J$2:$J$355,MATCH($C232,Deals!$A$2:$A$355,0))=0,"",INDEX(Deals!$J$2:$J$355,MATCH($C232,Deals!$A$2:$A$355,0))),""))</f>
        <v/>
      </c>
      <c r="N232" s="35">
        <f>IF($L232="",DATE(1900,1,1),$L232)</f>
        <v/>
      </c>
      <c r="O232" s="35">
        <f>IF($M232="",DATE(2100,12,31),$M232)</f>
        <v/>
      </c>
      <c r="P232" s="20" t="inlineStr">
        <is>
          <t>Proposal</t>
        </is>
      </c>
      <c r="Q232" s="43" t="inlineStr">
        <is>
          <t>Added from Summary tab</t>
        </is>
      </c>
      <c r="R232" s="16">
        <f>IF($C232="","",IFERROR(IF(INDEX(Deals!$U$2:$U$355,MATCH($C232,Deals!$A$2:$A$355,0))=0,"",INDEX(Deals!$U$2:$U$355,MATCH($C232,Deals!$A$2:$A$355,0))),""))</f>
        <v/>
      </c>
      <c r="S232" s="34">
        <f>IFERROR(IF($U232="",1,INDEX(Deals!$V$2:$V$355,MATCH($C232,Deals!$A$2:$A$355,0))),1)</f>
        <v/>
      </c>
      <c r="T232" s="34">
        <f>IFERROR(IF($U232="",1,INDEX(Deals!$W$2:$W$355,MATCH($C232,Deals!$A$2:$A$355,0))),1)</f>
        <v/>
      </c>
      <c r="U232" s="22">
        <f>IF($C232="","",IFERROR(IF(INDEX(Deals!$Y$2:$Y$355,MATCH($C232,Deals!$A$2:$A$355,0))=0,"",INDEX(Deals!$Y$2:$Y$355,MATCH($C232,Deals!$A$2:$A$355,0))),""))</f>
        <v/>
      </c>
      <c r="V232" s="35">
        <f>IF($U232="",DATE(1900,1,1),$N232)</f>
        <v/>
      </c>
      <c r="W232" s="35">
        <f>IF($U232="",DATE(2100,12,31),$U232)</f>
        <v/>
      </c>
      <c r="X232" s="32">
        <f>IF($U232="",$K232,$K232*$S232)</f>
        <v/>
      </c>
      <c r="Y232" s="35">
        <f>IF($U232="",DATE(2100,12,31),$U232+1)</f>
        <v/>
      </c>
      <c r="Z232" s="35">
        <f>IF($U232="",DATE(1900,1,1),$O232)</f>
        <v/>
      </c>
      <c r="AA232" s="32">
        <f>IF($U232="",0,$K232*$T232)</f>
        <v/>
      </c>
      <c r="AB232" s="21">
        <f>IF($C232="",0,IFERROR(INDEX(Deals!$AD$2:$AD$355,MATCH($C232,Deals!$A$2:$A$355,0)),0))</f>
        <v/>
      </c>
      <c r="AC232" s="32">
        <f>IF(Settings!$B$4="Yes",$I232*$AB232,$I232)</f>
        <v/>
      </c>
      <c r="AD232" s="22">
        <f>IF($C232="","",IFERROR(IF(INDEX(Deals!$AE$2:$AE$355,MATCH($C232,Deals!$A$2:$A$355,0))=0,"",INDEX(Deals!$AE$2:$AE$355,MATCH($C232,Deals!$A$2:$A$355,0))),""))</f>
        <v/>
      </c>
      <c r="AE232" s="22">
        <f>IF($C232="","",IFERROR(IF(INDEX(Deals!$AF$2:$AF$355,MATCH($C232,Deals!$A$2:$A$355,0))=0,"",INDEX(Deals!$AF$2:$AF$355,MATCH($C232,Deals!$A$2:$A$355,0))),""))</f>
        <v/>
      </c>
      <c r="AF232" s="35">
        <f>IF($AD232="",DATE(1900,1,1),$AD232)</f>
        <v/>
      </c>
      <c r="AG232" s="35">
        <f>IF($AE232="",DATE(2100,12,31),$AE232)</f>
        <v/>
      </c>
      <c r="AH232" s="22">
        <f>IF($C232="","",IFERROR(IF(INDEX(Deals!$AG$2:$AG$355,MATCH($C232,Deals!$A$2:$A$355,0))=0,"",INDEX(Deals!$AG$2:$AG$355,MATCH($C232,Deals!$A$2:$A$355,0))),""))</f>
        <v/>
      </c>
      <c r="AI232" s="35">
        <f>IF($AH232="",DATE(1900,1,1),$AF232)</f>
        <v/>
      </c>
      <c r="AJ232" s="35">
        <f>IF($AH232="",DATE(2100,12,31),$AH232)</f>
        <v/>
      </c>
      <c r="AK232" s="32">
        <f>IF($AH232="",$AC232,$AC232*$S232)</f>
        <v/>
      </c>
      <c r="AL232" s="35">
        <f>IF($AH232="",DATE(2100,12,31),$AH232+1)</f>
        <v/>
      </c>
      <c r="AM232" s="35">
        <f>IF($AH232="",DATE(1900,1,1),$AG232)</f>
        <v/>
      </c>
      <c r="AN232" s="32">
        <f>IF($AH232="",0,$AC232*$T232)</f>
        <v/>
      </c>
    </row>
    <row r="233">
      <c r="A233" s="28" t="inlineStr">
        <is>
          <t>Justine</t>
        </is>
      </c>
      <c r="B233" s="16">
        <f>IF($A233="","",IFERROR(INDEX(Roster!$B$2:$B$40,MATCH($A233,Roster!$A$2:$A$40,0)),"?"))</f>
        <v/>
      </c>
      <c r="C233" s="28" t="inlineStr">
        <is>
          <t>FAUME US Expansion_1</t>
        </is>
      </c>
      <c r="D233" s="16">
        <f>IF($C233="","",IFERROR(IF(INDEX(Deals!$C$2:$C$355,MATCH($C233,Deals!$A$2:$A$355,0))=0,"",INDEX(Deals!$C$2:$C$355,MATCH($C233,Deals!$A$2:$A$355,0))),"?"))</f>
        <v/>
      </c>
      <c r="E233" s="16">
        <f>IF($C233="","",IFERROR(INDEX(Deals!$F$2:$F$355,MATCH($C233,Deals!$A$2:$A$355,0)),"?"))</f>
        <v/>
      </c>
      <c r="F233" s="28" t="inlineStr">
        <is>
          <t>Director</t>
        </is>
      </c>
      <c r="G233" s="28" t="inlineStr">
        <is>
          <t>Active</t>
        </is>
      </c>
      <c r="H233" s="31" t="n"/>
      <c r="I233" s="32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1">
        <f>IF($C233="",0,IFERROR(INDEX(Deals!$H$2:$H$355,MATCH($C233,Deals!$A$2:$A$355,0)),0))</f>
        <v/>
      </c>
      <c r="K233" s="32">
        <f>IF(Settings!$B$4="Yes",$I233*$J233,$I233)</f>
        <v/>
      </c>
      <c r="L233" s="22">
        <f>IF($C233="","",IFERROR(IF(INDEX(Deals!$I$2:$I$355,MATCH($C233,Deals!$A$2:$A$355,0))=0,"",INDEX(Deals!$I$2:$I$355,MATCH($C233,Deals!$A$2:$A$355,0))),""))</f>
        <v/>
      </c>
      <c r="M233" s="22">
        <f>IF($C233="","",IFERROR(IF(INDEX(Deals!$J$2:$J$355,MATCH($C233,Deals!$A$2:$A$355,0))=0,"",INDEX(Deals!$J$2:$J$355,MATCH($C233,Deals!$A$2:$A$355,0))),""))</f>
        <v/>
      </c>
      <c r="N233" s="35">
        <f>IF($L233="",DATE(1900,1,1),$L233)</f>
        <v/>
      </c>
      <c r="O233" s="35">
        <f>IF($M233="",DATE(2100,12,31),$M233)</f>
        <v/>
      </c>
      <c r="P233" s="20" t="inlineStr">
        <is>
          <t>Proposal</t>
        </is>
      </c>
      <c r="Q233" s="43" t="inlineStr"/>
      <c r="R233" s="16">
        <f>IF($C233="","",IFERROR(IF(INDEX(Deals!$U$2:$U$355,MATCH($C233,Deals!$A$2:$A$355,0))=0,"",INDEX(Deals!$U$2:$U$355,MATCH($C233,Deals!$A$2:$A$355,0))),""))</f>
        <v/>
      </c>
      <c r="S233" s="34">
        <f>IFERROR(IF($U233="",1,INDEX(Deals!$V$2:$V$355,MATCH($C233,Deals!$A$2:$A$355,0))),1)</f>
        <v/>
      </c>
      <c r="T233" s="34">
        <f>IFERROR(IF($U233="",1,INDEX(Deals!$W$2:$W$355,MATCH($C233,Deals!$A$2:$A$355,0))),1)</f>
        <v/>
      </c>
      <c r="U233" s="22">
        <f>IF($C233="","",IFERROR(IF(INDEX(Deals!$Y$2:$Y$355,MATCH($C233,Deals!$A$2:$A$355,0))=0,"",INDEX(Deals!$Y$2:$Y$355,MATCH($C233,Deals!$A$2:$A$355,0))),""))</f>
        <v/>
      </c>
      <c r="V233" s="35">
        <f>IF($U233="",DATE(1900,1,1),$N233)</f>
        <v/>
      </c>
      <c r="W233" s="35">
        <f>IF($U233="",DATE(2100,12,31),$U233)</f>
        <v/>
      </c>
      <c r="X233" s="32">
        <f>IF($U233="",$K233,$K233*$S233)</f>
        <v/>
      </c>
      <c r="Y233" s="35">
        <f>IF($U233="",DATE(2100,12,31),$U233+1)</f>
        <v/>
      </c>
      <c r="Z233" s="35">
        <f>IF($U233="",DATE(1900,1,1),$O233)</f>
        <v/>
      </c>
      <c r="AA233" s="32">
        <f>IF($U233="",0,$K233*$T233)</f>
        <v/>
      </c>
      <c r="AB233" s="21">
        <f>IF($C233="",0,IFERROR(INDEX(Deals!$AD$2:$AD$355,MATCH($C233,Deals!$A$2:$A$355,0)),0))</f>
        <v/>
      </c>
      <c r="AC233" s="32">
        <f>IF(Settings!$B$4="Yes",$I233*$AB233,$I233)</f>
        <v/>
      </c>
      <c r="AD233" s="22">
        <f>IF($C233="","",IFERROR(IF(INDEX(Deals!$AE$2:$AE$355,MATCH($C233,Deals!$A$2:$A$355,0))=0,"",INDEX(Deals!$AE$2:$AE$355,MATCH($C233,Deals!$A$2:$A$355,0))),""))</f>
        <v/>
      </c>
      <c r="AE233" s="22">
        <f>IF($C233="","",IFERROR(IF(INDEX(Deals!$AF$2:$AF$355,MATCH($C233,Deals!$A$2:$A$355,0))=0,"",INDEX(Deals!$AF$2:$AF$355,MATCH($C233,Deals!$A$2:$A$355,0))),""))</f>
        <v/>
      </c>
      <c r="AF233" s="35">
        <f>IF($AD233="",DATE(1900,1,1),$AD233)</f>
        <v/>
      </c>
      <c r="AG233" s="35">
        <f>IF($AE233="",DATE(2100,12,31),$AE233)</f>
        <v/>
      </c>
      <c r="AH233" s="22">
        <f>IF($C233="","",IFERROR(IF(INDEX(Deals!$AG$2:$AG$355,MATCH($C233,Deals!$A$2:$A$355,0))=0,"",INDEX(Deals!$AG$2:$AG$355,MATCH($C233,Deals!$A$2:$A$355,0))),""))</f>
        <v/>
      </c>
      <c r="AI233" s="35">
        <f>IF($AH233="",DATE(1900,1,1),$AF233)</f>
        <v/>
      </c>
      <c r="AJ233" s="35">
        <f>IF($AH233="",DATE(2100,12,31),$AH233)</f>
        <v/>
      </c>
      <c r="AK233" s="32">
        <f>IF($AH233="",$AC233,$AC233*$S233)</f>
        <v/>
      </c>
      <c r="AL233" s="35">
        <f>IF($AH233="",DATE(2100,12,31),$AH233+1)</f>
        <v/>
      </c>
      <c r="AM233" s="35">
        <f>IF($AH233="",DATE(1900,1,1),$AG233)</f>
        <v/>
      </c>
      <c r="AN233" s="32">
        <f>IF($AH233="",0,$AC233*$T233)</f>
        <v/>
      </c>
    </row>
    <row r="234">
      <c r="A234" s="28" t="inlineStr">
        <is>
          <t>Justine</t>
        </is>
      </c>
      <c r="B234" s="16">
        <f>IF($A234="","",IFERROR(INDEX(Roster!$B$2:$B$40,MATCH($A234,Roster!$A$2:$A$40,0)),"?"))</f>
        <v/>
      </c>
      <c r="C234" s="28" t="inlineStr">
        <is>
          <t>Geneseo_1</t>
        </is>
      </c>
      <c r="D234" s="16">
        <f>IF($C234="","",IFERROR(IF(INDEX(Deals!$C$2:$C$355,MATCH($C234,Deals!$A$2:$A$355,0))=0,"",INDEX(Deals!$C$2:$C$355,MATCH($C234,Deals!$A$2:$A$355,0))),"?"))</f>
        <v/>
      </c>
      <c r="E234" s="16">
        <f>IF($C234="","",IFERROR(INDEX(Deals!$F$2:$F$355,MATCH($C234,Deals!$A$2:$A$355,0)),"?"))</f>
        <v/>
      </c>
      <c r="F234" s="28" t="inlineStr">
        <is>
          <t>Director</t>
        </is>
      </c>
      <c r="G234" s="28" t="inlineStr">
        <is>
          <t>Active</t>
        </is>
      </c>
      <c r="H234" s="31" t="n"/>
      <c r="I234" s="32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1">
        <f>IF($C234="",0,IFERROR(INDEX(Deals!$H$2:$H$355,MATCH($C234,Deals!$A$2:$A$355,0)),0))</f>
        <v/>
      </c>
      <c r="K234" s="32">
        <f>IF(Settings!$B$4="Yes",$I234*$J234,$I234)</f>
        <v/>
      </c>
      <c r="L234" s="22">
        <f>IF($C234="","",IFERROR(IF(INDEX(Deals!$I$2:$I$355,MATCH($C234,Deals!$A$2:$A$355,0))=0,"",INDEX(Deals!$I$2:$I$355,MATCH($C234,Deals!$A$2:$A$355,0))),""))</f>
        <v/>
      </c>
      <c r="M234" s="22">
        <f>IF($C234="","",IFERROR(IF(INDEX(Deals!$J$2:$J$355,MATCH($C234,Deals!$A$2:$A$355,0))=0,"",INDEX(Deals!$J$2:$J$355,MATCH($C234,Deals!$A$2:$A$355,0))),""))</f>
        <v/>
      </c>
      <c r="N234" s="35">
        <f>IF($L234="",DATE(1900,1,1),$L234)</f>
        <v/>
      </c>
      <c r="O234" s="35">
        <f>IF($M234="",DATE(2100,12,31),$M234)</f>
        <v/>
      </c>
      <c r="P234" s="20" t="inlineStr">
        <is>
          <t>Ongoing</t>
        </is>
      </c>
      <c r="Q234" s="43" t="inlineStr"/>
      <c r="R234" s="16">
        <f>IF($C234="","",IFERROR(IF(INDEX(Deals!$U$2:$U$355,MATCH($C234,Deals!$A$2:$A$355,0))=0,"",INDEX(Deals!$U$2:$U$355,MATCH($C234,Deals!$A$2:$A$355,0))),""))</f>
        <v/>
      </c>
      <c r="S234" s="34">
        <f>IFERROR(IF($U234="",1,INDEX(Deals!$V$2:$V$355,MATCH($C234,Deals!$A$2:$A$355,0))),1)</f>
        <v/>
      </c>
      <c r="T234" s="34">
        <f>IFERROR(IF($U234="",1,INDEX(Deals!$W$2:$W$355,MATCH($C234,Deals!$A$2:$A$355,0))),1)</f>
        <v/>
      </c>
      <c r="U234" s="22">
        <f>IF($C234="","",IFERROR(IF(INDEX(Deals!$Y$2:$Y$355,MATCH($C234,Deals!$A$2:$A$355,0))=0,"",INDEX(Deals!$Y$2:$Y$355,MATCH($C234,Deals!$A$2:$A$355,0))),""))</f>
        <v/>
      </c>
      <c r="V234" s="35">
        <f>IF($U234="",DATE(1900,1,1),$N234)</f>
        <v/>
      </c>
      <c r="W234" s="35">
        <f>IF($U234="",DATE(2100,12,31),$U234)</f>
        <v/>
      </c>
      <c r="X234" s="32">
        <f>IF($U234="",$K234,$K234*$S234)</f>
        <v/>
      </c>
      <c r="Y234" s="35">
        <f>IF($U234="",DATE(2100,12,31),$U234+1)</f>
        <v/>
      </c>
      <c r="Z234" s="35">
        <f>IF($U234="",DATE(1900,1,1),$O234)</f>
        <v/>
      </c>
      <c r="AA234" s="32">
        <f>IF($U234="",0,$K234*$T234)</f>
        <v/>
      </c>
      <c r="AB234" s="21">
        <f>IF($C234="",0,IFERROR(INDEX(Deals!$AD$2:$AD$355,MATCH($C234,Deals!$A$2:$A$355,0)),0))</f>
        <v/>
      </c>
      <c r="AC234" s="32">
        <f>IF(Settings!$B$4="Yes",$I234*$AB234,$I234)</f>
        <v/>
      </c>
      <c r="AD234" s="22">
        <f>IF($C234="","",IFERROR(IF(INDEX(Deals!$AE$2:$AE$355,MATCH($C234,Deals!$A$2:$A$355,0))=0,"",INDEX(Deals!$AE$2:$AE$355,MATCH($C234,Deals!$A$2:$A$355,0))),""))</f>
        <v/>
      </c>
      <c r="AE234" s="22">
        <f>IF($C234="","",IFERROR(IF(INDEX(Deals!$AF$2:$AF$355,MATCH($C234,Deals!$A$2:$A$355,0))=0,"",INDEX(Deals!$AF$2:$AF$355,MATCH($C234,Deals!$A$2:$A$355,0))),""))</f>
        <v/>
      </c>
      <c r="AF234" s="35">
        <f>IF($AD234="",DATE(1900,1,1),$AD234)</f>
        <v/>
      </c>
      <c r="AG234" s="35">
        <f>IF($AE234="",DATE(2100,12,31),$AE234)</f>
        <v/>
      </c>
      <c r="AH234" s="22">
        <f>IF($C234="","",IFERROR(IF(INDEX(Deals!$AG$2:$AG$355,MATCH($C234,Deals!$A$2:$A$355,0))=0,"",INDEX(Deals!$AG$2:$AG$355,MATCH($C234,Deals!$A$2:$A$355,0))),""))</f>
        <v/>
      </c>
      <c r="AI234" s="35">
        <f>IF($AH234="",DATE(1900,1,1),$AF234)</f>
        <v/>
      </c>
      <c r="AJ234" s="35">
        <f>IF($AH234="",DATE(2100,12,31),$AH234)</f>
        <v/>
      </c>
      <c r="AK234" s="32">
        <f>IF($AH234="",$AC234,$AC234*$S234)</f>
        <v/>
      </c>
      <c r="AL234" s="35">
        <f>IF($AH234="",DATE(2100,12,31),$AH234+1)</f>
        <v/>
      </c>
      <c r="AM234" s="35">
        <f>IF($AH234="",DATE(1900,1,1),$AG234)</f>
        <v/>
      </c>
      <c r="AN234" s="32">
        <f>IF($AH234="",0,$AC234*$T234)</f>
        <v/>
      </c>
    </row>
    <row r="235">
      <c r="A235" s="28" t="inlineStr">
        <is>
          <t>Justine</t>
        </is>
      </c>
      <c r="B235" s="16">
        <f>IF($A235="","",IFERROR(INDEX(Roster!$B$2:$B$40,MATCH($A235,Roster!$A$2:$A$40,0)),"?"))</f>
        <v/>
      </c>
      <c r="C235" s="28" t="inlineStr">
        <is>
          <t>Gerflor REORG</t>
        </is>
      </c>
      <c r="D235" s="16">
        <f>IF($C235="","",IFERROR(IF(INDEX(Deals!$C$2:$C$355,MATCH($C235,Deals!$A$2:$A$355,0))=0,"",INDEX(Deals!$C$2:$C$355,MATCH($C235,Deals!$A$2:$A$355,0))),"?"))</f>
        <v/>
      </c>
      <c r="E235" s="16">
        <f>IF($C235="","",IFERROR(INDEX(Deals!$F$2:$F$355,MATCH($C235,Deals!$A$2:$A$355,0)),"?"))</f>
        <v/>
      </c>
      <c r="F235" s="28" t="inlineStr">
        <is>
          <t>Director</t>
        </is>
      </c>
      <c r="G235" s="28" t="inlineStr">
        <is>
          <t>Active</t>
        </is>
      </c>
      <c r="H235" s="31" t="n"/>
      <c r="I235" s="32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1">
        <f>IF($C235="",0,IFERROR(INDEX(Deals!$H$2:$H$355,MATCH($C235,Deals!$A$2:$A$355,0)),0))</f>
        <v/>
      </c>
      <c r="K235" s="32">
        <f>IF(Settings!$B$4="Yes",$I235*$J235,$I235)</f>
        <v/>
      </c>
      <c r="L235" s="22">
        <f>IF($C235="","",IFERROR(IF(INDEX(Deals!$I$2:$I$355,MATCH($C235,Deals!$A$2:$A$355,0))=0,"",INDEX(Deals!$I$2:$I$355,MATCH($C235,Deals!$A$2:$A$355,0))),""))</f>
        <v/>
      </c>
      <c r="M235" s="22">
        <f>IF($C235="","",IFERROR(IF(INDEX(Deals!$J$2:$J$355,MATCH($C235,Deals!$A$2:$A$355,0))=0,"",INDEX(Deals!$J$2:$J$355,MATCH($C235,Deals!$A$2:$A$355,0))),""))</f>
        <v/>
      </c>
      <c r="N235" s="35">
        <f>IF($L235="",DATE(1900,1,1),$L235)</f>
        <v/>
      </c>
      <c r="O235" s="35">
        <f>IF($M235="",DATE(2100,12,31),$M235)</f>
        <v/>
      </c>
      <c r="P235" s="20" t="inlineStr">
        <is>
          <t>Proposal</t>
        </is>
      </c>
      <c r="Q235" s="43" t="inlineStr">
        <is>
          <t>Added from Summary tab</t>
        </is>
      </c>
      <c r="R235" s="16">
        <f>IF($C235="","",IFERROR(IF(INDEX(Deals!$U$2:$U$355,MATCH($C235,Deals!$A$2:$A$355,0))=0,"",INDEX(Deals!$U$2:$U$355,MATCH($C235,Deals!$A$2:$A$355,0))),""))</f>
        <v/>
      </c>
      <c r="S235" s="34">
        <f>IFERROR(IF($U235="",1,INDEX(Deals!$V$2:$V$355,MATCH($C235,Deals!$A$2:$A$355,0))),1)</f>
        <v/>
      </c>
      <c r="T235" s="34">
        <f>IFERROR(IF($U235="",1,INDEX(Deals!$W$2:$W$355,MATCH($C235,Deals!$A$2:$A$355,0))),1)</f>
        <v/>
      </c>
      <c r="U235" s="22">
        <f>IF($C235="","",IFERROR(IF(INDEX(Deals!$Y$2:$Y$355,MATCH($C235,Deals!$A$2:$A$355,0))=0,"",INDEX(Deals!$Y$2:$Y$355,MATCH($C235,Deals!$A$2:$A$355,0))),""))</f>
        <v/>
      </c>
      <c r="V235" s="35">
        <f>IF($U235="",DATE(1900,1,1),$N235)</f>
        <v/>
      </c>
      <c r="W235" s="35">
        <f>IF($U235="",DATE(2100,12,31),$U235)</f>
        <v/>
      </c>
      <c r="X235" s="32">
        <f>IF($U235="",$K235,$K235*$S235)</f>
        <v/>
      </c>
      <c r="Y235" s="35">
        <f>IF($U235="",DATE(2100,12,31),$U235+1)</f>
        <v/>
      </c>
      <c r="Z235" s="35">
        <f>IF($U235="",DATE(1900,1,1),$O235)</f>
        <v/>
      </c>
      <c r="AA235" s="32">
        <f>IF($U235="",0,$K235*$T235)</f>
        <v/>
      </c>
      <c r="AB235" s="21">
        <f>IF($C235="",0,IFERROR(INDEX(Deals!$AD$2:$AD$355,MATCH($C235,Deals!$A$2:$A$355,0)),0))</f>
        <v/>
      </c>
      <c r="AC235" s="32">
        <f>IF(Settings!$B$4="Yes",$I235*$AB235,$I235)</f>
        <v/>
      </c>
      <c r="AD235" s="22">
        <f>IF($C235="","",IFERROR(IF(INDEX(Deals!$AE$2:$AE$355,MATCH($C235,Deals!$A$2:$A$355,0))=0,"",INDEX(Deals!$AE$2:$AE$355,MATCH($C235,Deals!$A$2:$A$355,0))),""))</f>
        <v/>
      </c>
      <c r="AE235" s="22">
        <f>IF($C235="","",IFERROR(IF(INDEX(Deals!$AF$2:$AF$355,MATCH($C235,Deals!$A$2:$A$355,0))=0,"",INDEX(Deals!$AF$2:$AF$355,MATCH($C235,Deals!$A$2:$A$355,0))),""))</f>
        <v/>
      </c>
      <c r="AF235" s="35">
        <f>IF($AD235="",DATE(1900,1,1),$AD235)</f>
        <v/>
      </c>
      <c r="AG235" s="35">
        <f>IF($AE235="",DATE(2100,12,31),$AE235)</f>
        <v/>
      </c>
      <c r="AH235" s="22">
        <f>IF($C235="","",IFERROR(IF(INDEX(Deals!$AG$2:$AG$355,MATCH($C235,Deals!$A$2:$A$355,0))=0,"",INDEX(Deals!$AG$2:$AG$355,MATCH($C235,Deals!$A$2:$A$355,0))),""))</f>
        <v/>
      </c>
      <c r="AI235" s="35">
        <f>IF($AH235="",DATE(1900,1,1),$AF235)</f>
        <v/>
      </c>
      <c r="AJ235" s="35">
        <f>IF($AH235="",DATE(2100,12,31),$AH235)</f>
        <v/>
      </c>
      <c r="AK235" s="32">
        <f>IF($AH235="",$AC235,$AC235*$S235)</f>
        <v/>
      </c>
      <c r="AL235" s="35">
        <f>IF($AH235="",DATE(2100,12,31),$AH235+1)</f>
        <v/>
      </c>
      <c r="AM235" s="35">
        <f>IF($AH235="",DATE(1900,1,1),$AG235)</f>
        <v/>
      </c>
      <c r="AN235" s="32">
        <f>IF($AH235="",0,$AC235*$T235)</f>
        <v/>
      </c>
    </row>
    <row r="236">
      <c r="A236" s="28" t="inlineStr">
        <is>
          <t>Justine</t>
        </is>
      </c>
      <c r="B236" s="16">
        <f>IF($A236="","",IFERROR(INDEX(Roster!$B$2:$B$40,MATCH($A236,Roster!$A$2:$A$40,0)),"?"))</f>
        <v/>
      </c>
      <c r="C236" s="28" t="inlineStr">
        <is>
          <t>Graitec Reorg_2</t>
        </is>
      </c>
      <c r="D236" s="16">
        <f>IF($C236="","",IFERROR(IF(INDEX(Deals!$C$2:$C$355,MATCH($C236,Deals!$A$2:$A$355,0))=0,"",INDEX(Deals!$C$2:$C$355,MATCH($C236,Deals!$A$2:$A$355,0))),"?"))</f>
        <v/>
      </c>
      <c r="E236" s="16">
        <f>IF($C236="","",IFERROR(INDEX(Deals!$F$2:$F$355,MATCH($C236,Deals!$A$2:$A$355,0)),"?"))</f>
        <v/>
      </c>
      <c r="F236" s="28" t="inlineStr">
        <is>
          <t>Director</t>
        </is>
      </c>
      <c r="G236" s="28" t="inlineStr">
        <is>
          <t>Active</t>
        </is>
      </c>
      <c r="H236" s="31" t="n"/>
      <c r="I236" s="32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1">
        <f>IF($C236="",0,IFERROR(INDEX(Deals!$H$2:$H$355,MATCH($C236,Deals!$A$2:$A$355,0)),0))</f>
        <v/>
      </c>
      <c r="K236" s="32">
        <f>IF(Settings!$B$4="Yes",$I236*$J236,$I236)</f>
        <v/>
      </c>
      <c r="L236" s="22">
        <f>IF($C236="","",IFERROR(IF(INDEX(Deals!$I$2:$I$355,MATCH($C236,Deals!$A$2:$A$355,0))=0,"",INDEX(Deals!$I$2:$I$355,MATCH($C236,Deals!$A$2:$A$355,0))),""))</f>
        <v/>
      </c>
      <c r="M236" s="22">
        <f>IF($C236="","",IFERROR(IF(INDEX(Deals!$J$2:$J$355,MATCH($C236,Deals!$A$2:$A$355,0))=0,"",INDEX(Deals!$J$2:$J$355,MATCH($C236,Deals!$A$2:$A$355,0))),""))</f>
        <v/>
      </c>
      <c r="N236" s="35">
        <f>IF($L236="",DATE(1900,1,1),$L236)</f>
        <v/>
      </c>
      <c r="O236" s="35">
        <f>IF($M236="",DATE(2100,12,31),$M236)</f>
        <v/>
      </c>
      <c r="P236" s="20" t="inlineStr">
        <is>
          <t>Ongoing</t>
        </is>
      </c>
      <c r="Q236" s="43" t="inlineStr"/>
      <c r="R236" s="16">
        <f>IF($C236="","",IFERROR(IF(INDEX(Deals!$U$2:$U$355,MATCH($C236,Deals!$A$2:$A$355,0))=0,"",INDEX(Deals!$U$2:$U$355,MATCH($C236,Deals!$A$2:$A$355,0))),""))</f>
        <v/>
      </c>
      <c r="S236" s="34">
        <f>IFERROR(IF($U236="",1,INDEX(Deals!$V$2:$V$355,MATCH($C236,Deals!$A$2:$A$355,0))),1)</f>
        <v/>
      </c>
      <c r="T236" s="34">
        <f>IFERROR(IF($U236="",1,INDEX(Deals!$W$2:$W$355,MATCH($C236,Deals!$A$2:$A$355,0))),1)</f>
        <v/>
      </c>
      <c r="U236" s="22">
        <f>IF($C236="","",IFERROR(IF(INDEX(Deals!$Y$2:$Y$355,MATCH($C236,Deals!$A$2:$A$355,0))=0,"",INDEX(Deals!$Y$2:$Y$355,MATCH($C236,Deals!$A$2:$A$355,0))),""))</f>
        <v/>
      </c>
      <c r="V236" s="35">
        <f>IF($U236="",DATE(1900,1,1),$N236)</f>
        <v/>
      </c>
      <c r="W236" s="35">
        <f>IF($U236="",DATE(2100,12,31),$U236)</f>
        <v/>
      </c>
      <c r="X236" s="32">
        <f>IF($U236="",$K236,$K236*$S236)</f>
        <v/>
      </c>
      <c r="Y236" s="35">
        <f>IF($U236="",DATE(2100,12,31),$U236+1)</f>
        <v/>
      </c>
      <c r="Z236" s="35">
        <f>IF($U236="",DATE(1900,1,1),$O236)</f>
        <v/>
      </c>
      <c r="AA236" s="32">
        <f>IF($U236="",0,$K236*$T236)</f>
        <v/>
      </c>
      <c r="AB236" s="21">
        <f>IF($C236="",0,IFERROR(INDEX(Deals!$AD$2:$AD$355,MATCH($C236,Deals!$A$2:$A$355,0)),0))</f>
        <v/>
      </c>
      <c r="AC236" s="32">
        <f>IF(Settings!$B$4="Yes",$I236*$AB236,$I236)</f>
        <v/>
      </c>
      <c r="AD236" s="22">
        <f>IF($C236="","",IFERROR(IF(INDEX(Deals!$AE$2:$AE$355,MATCH($C236,Deals!$A$2:$A$355,0))=0,"",INDEX(Deals!$AE$2:$AE$355,MATCH($C236,Deals!$A$2:$A$355,0))),""))</f>
        <v/>
      </c>
      <c r="AE236" s="22">
        <f>IF($C236="","",IFERROR(IF(INDEX(Deals!$AF$2:$AF$355,MATCH($C236,Deals!$A$2:$A$355,0))=0,"",INDEX(Deals!$AF$2:$AF$355,MATCH($C236,Deals!$A$2:$A$355,0))),""))</f>
        <v/>
      </c>
      <c r="AF236" s="35">
        <f>IF($AD236="",DATE(1900,1,1),$AD236)</f>
        <v/>
      </c>
      <c r="AG236" s="35">
        <f>IF($AE236="",DATE(2100,12,31),$AE236)</f>
        <v/>
      </c>
      <c r="AH236" s="22">
        <f>IF($C236="","",IFERROR(IF(INDEX(Deals!$AG$2:$AG$355,MATCH($C236,Deals!$A$2:$A$355,0))=0,"",INDEX(Deals!$AG$2:$AG$355,MATCH($C236,Deals!$A$2:$A$355,0))),""))</f>
        <v/>
      </c>
      <c r="AI236" s="35">
        <f>IF($AH236="",DATE(1900,1,1),$AF236)</f>
        <v/>
      </c>
      <c r="AJ236" s="35">
        <f>IF($AH236="",DATE(2100,12,31),$AH236)</f>
        <v/>
      </c>
      <c r="AK236" s="32">
        <f>IF($AH236="",$AC236,$AC236*$S236)</f>
        <v/>
      </c>
      <c r="AL236" s="35">
        <f>IF($AH236="",DATE(2100,12,31),$AH236+1)</f>
        <v/>
      </c>
      <c r="AM236" s="35">
        <f>IF($AH236="",DATE(1900,1,1),$AG236)</f>
        <v/>
      </c>
      <c r="AN236" s="32">
        <f>IF($AH236="",0,$AC236*$T236)</f>
        <v/>
      </c>
    </row>
    <row r="237">
      <c r="A237" s="28" t="inlineStr">
        <is>
          <t>Justine</t>
        </is>
      </c>
      <c r="B237" s="16">
        <f>IF($A237="","",IFERROR(INDEX(Roster!$B$2:$B$40,MATCH($A237,Roster!$A$2:$A$40,0)),"?"))</f>
        <v/>
      </c>
      <c r="C237" s="28" t="inlineStr">
        <is>
          <t>Horizon_3</t>
        </is>
      </c>
      <c r="D237" s="16">
        <f>IF($C237="","",IFERROR(IF(INDEX(Deals!$C$2:$C$355,MATCH($C237,Deals!$A$2:$A$355,0))=0,"",INDEX(Deals!$C$2:$C$355,MATCH($C237,Deals!$A$2:$A$355,0))),"?"))</f>
        <v/>
      </c>
      <c r="E237" s="16">
        <f>IF($C237="","",IFERROR(INDEX(Deals!$F$2:$F$355,MATCH($C237,Deals!$A$2:$A$355,0)),"?"))</f>
        <v/>
      </c>
      <c r="F237" s="28" t="inlineStr">
        <is>
          <t>Director</t>
        </is>
      </c>
      <c r="G237" s="28" t="inlineStr">
        <is>
          <t>Inactive</t>
        </is>
      </c>
      <c r="H237" s="31" t="n"/>
      <c r="I237" s="32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1">
        <f>IF($C237="",0,IFERROR(INDEX(Deals!$H$2:$H$355,MATCH($C237,Deals!$A$2:$A$355,0)),0))</f>
        <v/>
      </c>
      <c r="K237" s="32">
        <f>IF(Settings!$B$4="Yes",$I237*$J237,$I237)</f>
        <v/>
      </c>
      <c r="L237" s="22">
        <f>IF($C237="","",IFERROR(IF(INDEX(Deals!$I$2:$I$355,MATCH($C237,Deals!$A$2:$A$355,0))=0,"",INDEX(Deals!$I$2:$I$355,MATCH($C237,Deals!$A$2:$A$355,0))),""))</f>
        <v/>
      </c>
      <c r="M237" s="22">
        <f>IF($C237="","",IFERROR(IF(INDEX(Deals!$J$2:$J$355,MATCH($C237,Deals!$A$2:$A$355,0))=0,"",INDEX(Deals!$J$2:$J$355,MATCH($C237,Deals!$A$2:$A$355,0))),""))</f>
        <v/>
      </c>
      <c r="N237" s="35">
        <f>IF($L237="",DATE(1900,1,1),$L237)</f>
        <v/>
      </c>
      <c r="O237" s="35">
        <f>IF($M237="",DATE(2100,12,31),$M237)</f>
        <v/>
      </c>
      <c r="P237" s="20" t="inlineStr">
        <is>
          <t>Dead</t>
        </is>
      </c>
      <c r="Q237" s="43" t="inlineStr"/>
      <c r="R237" s="16">
        <f>IF($C237="","",IFERROR(IF(INDEX(Deals!$U$2:$U$355,MATCH($C237,Deals!$A$2:$A$355,0))=0,"",INDEX(Deals!$U$2:$U$355,MATCH($C237,Deals!$A$2:$A$355,0))),""))</f>
        <v/>
      </c>
      <c r="S237" s="34">
        <f>IFERROR(IF($U237="",1,INDEX(Deals!$V$2:$V$355,MATCH($C237,Deals!$A$2:$A$355,0))),1)</f>
        <v/>
      </c>
      <c r="T237" s="34">
        <f>IFERROR(IF($U237="",1,INDEX(Deals!$W$2:$W$355,MATCH($C237,Deals!$A$2:$A$355,0))),1)</f>
        <v/>
      </c>
      <c r="U237" s="22">
        <f>IF($C237="","",IFERROR(IF(INDEX(Deals!$Y$2:$Y$355,MATCH($C237,Deals!$A$2:$A$355,0))=0,"",INDEX(Deals!$Y$2:$Y$355,MATCH($C237,Deals!$A$2:$A$355,0))),""))</f>
        <v/>
      </c>
      <c r="V237" s="35">
        <f>IF($U237="",DATE(1900,1,1),$N237)</f>
        <v/>
      </c>
      <c r="W237" s="35">
        <f>IF($U237="",DATE(2100,12,31),$U237)</f>
        <v/>
      </c>
      <c r="X237" s="32">
        <f>IF($U237="",$K237,$K237*$S237)</f>
        <v/>
      </c>
      <c r="Y237" s="35">
        <f>IF($U237="",DATE(2100,12,31),$U237+1)</f>
        <v/>
      </c>
      <c r="Z237" s="35">
        <f>IF($U237="",DATE(1900,1,1),$O237)</f>
        <v/>
      </c>
      <c r="AA237" s="32">
        <f>IF($U237="",0,$K237*$T237)</f>
        <v/>
      </c>
      <c r="AB237" s="21">
        <f>IF($C237="",0,IFERROR(INDEX(Deals!$AD$2:$AD$355,MATCH($C237,Deals!$A$2:$A$355,0)),0))</f>
        <v/>
      </c>
      <c r="AC237" s="32">
        <f>IF(Settings!$B$4="Yes",$I237*$AB237,$I237)</f>
        <v/>
      </c>
      <c r="AD237" s="22">
        <f>IF($C237="","",IFERROR(IF(INDEX(Deals!$AE$2:$AE$355,MATCH($C237,Deals!$A$2:$A$355,0))=0,"",INDEX(Deals!$AE$2:$AE$355,MATCH($C237,Deals!$A$2:$A$355,0))),""))</f>
        <v/>
      </c>
      <c r="AE237" s="22">
        <f>IF($C237="","",IFERROR(IF(INDEX(Deals!$AF$2:$AF$355,MATCH($C237,Deals!$A$2:$A$355,0))=0,"",INDEX(Deals!$AF$2:$AF$355,MATCH($C237,Deals!$A$2:$A$355,0))),""))</f>
        <v/>
      </c>
      <c r="AF237" s="35">
        <f>IF($AD237="",DATE(1900,1,1),$AD237)</f>
        <v/>
      </c>
      <c r="AG237" s="35">
        <f>IF($AE237="",DATE(2100,12,31),$AE237)</f>
        <v/>
      </c>
      <c r="AH237" s="22">
        <f>IF($C237="","",IFERROR(IF(INDEX(Deals!$AG$2:$AG$355,MATCH($C237,Deals!$A$2:$A$355,0))=0,"",INDEX(Deals!$AG$2:$AG$355,MATCH($C237,Deals!$A$2:$A$355,0))),""))</f>
        <v/>
      </c>
      <c r="AI237" s="35">
        <f>IF($AH237="",DATE(1900,1,1),$AF237)</f>
        <v/>
      </c>
      <c r="AJ237" s="35">
        <f>IF($AH237="",DATE(2100,12,31),$AH237)</f>
        <v/>
      </c>
      <c r="AK237" s="32">
        <f>IF($AH237="",$AC237,$AC237*$S237)</f>
        <v/>
      </c>
      <c r="AL237" s="35">
        <f>IF($AH237="",DATE(2100,12,31),$AH237+1)</f>
        <v/>
      </c>
      <c r="AM237" s="35">
        <f>IF($AH237="",DATE(1900,1,1),$AG237)</f>
        <v/>
      </c>
      <c r="AN237" s="32">
        <f>IF($AH237="",0,$AC237*$T237)</f>
        <v/>
      </c>
    </row>
    <row r="238">
      <c r="A238" s="28" t="inlineStr">
        <is>
          <t>Justine</t>
        </is>
      </c>
      <c r="B238" s="16">
        <f>IF($A238="","",IFERROR(INDEX(Roster!$B$2:$B$40,MATCH($A238,Roster!$A$2:$A$40,0)),"?"))</f>
        <v/>
      </c>
      <c r="C238" s="28" t="inlineStr">
        <is>
          <t>Javelina Gain_1</t>
        </is>
      </c>
      <c r="D238" s="16">
        <f>IF($C238="","",IFERROR(IF(INDEX(Deals!$C$2:$C$355,MATCH($C238,Deals!$A$2:$A$355,0))=0,"",INDEX(Deals!$C$2:$C$355,MATCH($C238,Deals!$A$2:$A$355,0))),"?"))</f>
        <v/>
      </c>
      <c r="E238" s="16">
        <f>IF($C238="","",IFERROR(INDEX(Deals!$F$2:$F$355,MATCH($C238,Deals!$A$2:$A$355,0)),"?"))</f>
        <v/>
      </c>
      <c r="F238" s="28" t="inlineStr">
        <is>
          <t>Director</t>
        </is>
      </c>
      <c r="G238" s="28" t="inlineStr">
        <is>
          <t>Active</t>
        </is>
      </c>
      <c r="H238" s="31" t="n"/>
      <c r="I238" s="32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1">
        <f>IF($C238="",0,IFERROR(INDEX(Deals!$H$2:$H$355,MATCH($C238,Deals!$A$2:$A$355,0)),0))</f>
        <v/>
      </c>
      <c r="K238" s="32">
        <f>IF(Settings!$B$4="Yes",$I238*$J238,$I238)</f>
        <v/>
      </c>
      <c r="L238" s="22">
        <f>IF($C238="","",IFERROR(IF(INDEX(Deals!$I$2:$I$355,MATCH($C238,Deals!$A$2:$A$355,0))=0,"",INDEX(Deals!$I$2:$I$355,MATCH($C238,Deals!$A$2:$A$355,0))),""))</f>
        <v/>
      </c>
      <c r="M238" s="22">
        <f>IF($C238="","",IFERROR(IF(INDEX(Deals!$J$2:$J$355,MATCH($C238,Deals!$A$2:$A$355,0))=0,"",INDEX(Deals!$J$2:$J$355,MATCH($C238,Deals!$A$2:$A$355,0))),""))</f>
        <v/>
      </c>
      <c r="N238" s="35">
        <f>IF($L238="",DATE(1900,1,1),$L238)</f>
        <v/>
      </c>
      <c r="O238" s="35">
        <f>IF($M238="",DATE(2100,12,31),$M238)</f>
        <v/>
      </c>
      <c r="P238" s="20" t="inlineStr">
        <is>
          <t>Ongoing</t>
        </is>
      </c>
      <c r="Q238" s="43" t="inlineStr"/>
      <c r="R238" s="16">
        <f>IF($C238="","",IFERROR(IF(INDEX(Deals!$U$2:$U$355,MATCH($C238,Deals!$A$2:$A$355,0))=0,"",INDEX(Deals!$U$2:$U$355,MATCH($C238,Deals!$A$2:$A$355,0))),""))</f>
        <v/>
      </c>
      <c r="S238" s="34">
        <f>IFERROR(IF($U238="",1,INDEX(Deals!$V$2:$V$355,MATCH($C238,Deals!$A$2:$A$355,0))),1)</f>
        <v/>
      </c>
      <c r="T238" s="34">
        <f>IFERROR(IF($U238="",1,INDEX(Deals!$W$2:$W$355,MATCH($C238,Deals!$A$2:$A$355,0))),1)</f>
        <v/>
      </c>
      <c r="U238" s="22">
        <f>IF($C238="","",IFERROR(IF(INDEX(Deals!$Y$2:$Y$355,MATCH($C238,Deals!$A$2:$A$355,0))=0,"",INDEX(Deals!$Y$2:$Y$355,MATCH($C238,Deals!$A$2:$A$355,0))),""))</f>
        <v/>
      </c>
      <c r="V238" s="35">
        <f>IF($U238="",DATE(1900,1,1),$N238)</f>
        <v/>
      </c>
      <c r="W238" s="35">
        <f>IF($U238="",DATE(2100,12,31),$U238)</f>
        <v/>
      </c>
      <c r="X238" s="32">
        <f>IF($U238="",$K238,$K238*$S238)</f>
        <v/>
      </c>
      <c r="Y238" s="35">
        <f>IF($U238="",DATE(2100,12,31),$U238+1)</f>
        <v/>
      </c>
      <c r="Z238" s="35">
        <f>IF($U238="",DATE(1900,1,1),$O238)</f>
        <v/>
      </c>
      <c r="AA238" s="32">
        <f>IF($U238="",0,$K238*$T238)</f>
        <v/>
      </c>
      <c r="AB238" s="21">
        <f>IF($C238="",0,IFERROR(INDEX(Deals!$AD$2:$AD$355,MATCH($C238,Deals!$A$2:$A$355,0)),0))</f>
        <v/>
      </c>
      <c r="AC238" s="32">
        <f>IF(Settings!$B$4="Yes",$I238*$AB238,$I238)</f>
        <v/>
      </c>
      <c r="AD238" s="22">
        <f>IF($C238="","",IFERROR(IF(INDEX(Deals!$AE$2:$AE$355,MATCH($C238,Deals!$A$2:$A$355,0))=0,"",INDEX(Deals!$AE$2:$AE$355,MATCH($C238,Deals!$A$2:$A$355,0))),""))</f>
        <v/>
      </c>
      <c r="AE238" s="22">
        <f>IF($C238="","",IFERROR(IF(INDEX(Deals!$AF$2:$AF$355,MATCH($C238,Deals!$A$2:$A$355,0))=0,"",INDEX(Deals!$AF$2:$AF$355,MATCH($C238,Deals!$A$2:$A$355,0))),""))</f>
        <v/>
      </c>
      <c r="AF238" s="35">
        <f>IF($AD238="",DATE(1900,1,1),$AD238)</f>
        <v/>
      </c>
      <c r="AG238" s="35">
        <f>IF($AE238="",DATE(2100,12,31),$AE238)</f>
        <v/>
      </c>
      <c r="AH238" s="22">
        <f>IF($C238="","",IFERROR(IF(INDEX(Deals!$AG$2:$AG$355,MATCH($C238,Deals!$A$2:$A$355,0))=0,"",INDEX(Deals!$AG$2:$AG$355,MATCH($C238,Deals!$A$2:$A$355,0))),""))</f>
        <v/>
      </c>
      <c r="AI238" s="35">
        <f>IF($AH238="",DATE(1900,1,1),$AF238)</f>
        <v/>
      </c>
      <c r="AJ238" s="35">
        <f>IF($AH238="",DATE(2100,12,31),$AH238)</f>
        <v/>
      </c>
      <c r="AK238" s="32">
        <f>IF($AH238="",$AC238,$AC238*$S238)</f>
        <v/>
      </c>
      <c r="AL238" s="35">
        <f>IF($AH238="",DATE(2100,12,31),$AH238+1)</f>
        <v/>
      </c>
      <c r="AM238" s="35">
        <f>IF($AH238="",DATE(1900,1,1),$AG238)</f>
        <v/>
      </c>
      <c r="AN238" s="32">
        <f>IF($AH238="",0,$AC238*$T238)</f>
        <v/>
      </c>
    </row>
    <row r="239">
      <c r="A239" s="28" t="inlineStr">
        <is>
          <t>Justine</t>
        </is>
      </c>
      <c r="B239" s="16">
        <f>IF($A239="","",IFERROR(INDEX(Roster!$B$2:$B$40,MATCH($A239,Roster!$A$2:$A$40,0)),"?"))</f>
        <v/>
      </c>
      <c r="C239" s="28" t="inlineStr">
        <is>
          <t>Kering_1</t>
        </is>
      </c>
      <c r="D239" s="16">
        <f>IF($C239="","",IFERROR(IF(INDEX(Deals!$C$2:$C$355,MATCH($C239,Deals!$A$2:$A$355,0))=0,"",INDEX(Deals!$C$2:$C$355,MATCH($C239,Deals!$A$2:$A$355,0))),"?"))</f>
        <v/>
      </c>
      <c r="E239" s="16">
        <f>IF($C239="","",IFERROR(INDEX(Deals!$F$2:$F$355,MATCH($C239,Deals!$A$2:$A$355,0)),"?"))</f>
        <v/>
      </c>
      <c r="F239" s="28" t="inlineStr">
        <is>
          <t>Director</t>
        </is>
      </c>
      <c r="G239" s="28" t="inlineStr">
        <is>
          <t>Active</t>
        </is>
      </c>
      <c r="H239" s="31" t="n"/>
      <c r="I239" s="32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1">
        <f>IF($C239="",0,IFERROR(INDEX(Deals!$H$2:$H$355,MATCH($C239,Deals!$A$2:$A$355,0)),0))</f>
        <v/>
      </c>
      <c r="K239" s="32">
        <f>IF(Settings!$B$4="Yes",$I239*$J239,$I239)</f>
        <v/>
      </c>
      <c r="L239" s="22">
        <f>IF($C239="","",IFERROR(IF(INDEX(Deals!$I$2:$I$355,MATCH($C239,Deals!$A$2:$A$355,0))=0,"",INDEX(Deals!$I$2:$I$355,MATCH($C239,Deals!$A$2:$A$355,0))),""))</f>
        <v/>
      </c>
      <c r="M239" s="22">
        <f>IF($C239="","",IFERROR(IF(INDEX(Deals!$J$2:$J$355,MATCH($C239,Deals!$A$2:$A$355,0))=0,"",INDEX(Deals!$J$2:$J$355,MATCH($C239,Deals!$A$2:$A$355,0))),""))</f>
        <v/>
      </c>
      <c r="N239" s="35">
        <f>IF($L239="",DATE(1900,1,1),$L239)</f>
        <v/>
      </c>
      <c r="O239" s="35">
        <f>IF($M239="",DATE(2100,12,31),$M239)</f>
        <v/>
      </c>
      <c r="P239" s="20" t="inlineStr">
        <is>
          <t>Proposal</t>
        </is>
      </c>
      <c r="Q239" s="43" t="inlineStr"/>
      <c r="R239" s="16">
        <f>IF($C239="","",IFERROR(IF(INDEX(Deals!$U$2:$U$355,MATCH($C239,Deals!$A$2:$A$355,0))=0,"",INDEX(Deals!$U$2:$U$355,MATCH($C239,Deals!$A$2:$A$355,0))),""))</f>
        <v/>
      </c>
      <c r="S239" s="34">
        <f>IFERROR(IF($U239="",1,INDEX(Deals!$V$2:$V$355,MATCH($C239,Deals!$A$2:$A$355,0))),1)</f>
        <v/>
      </c>
      <c r="T239" s="34">
        <f>IFERROR(IF($U239="",1,INDEX(Deals!$W$2:$W$355,MATCH($C239,Deals!$A$2:$A$355,0))),1)</f>
        <v/>
      </c>
      <c r="U239" s="22">
        <f>IF($C239="","",IFERROR(IF(INDEX(Deals!$Y$2:$Y$355,MATCH($C239,Deals!$A$2:$A$355,0))=0,"",INDEX(Deals!$Y$2:$Y$355,MATCH($C239,Deals!$A$2:$A$355,0))),""))</f>
        <v/>
      </c>
      <c r="V239" s="35">
        <f>IF($U239="",DATE(1900,1,1),$N239)</f>
        <v/>
      </c>
      <c r="W239" s="35">
        <f>IF($U239="",DATE(2100,12,31),$U239)</f>
        <v/>
      </c>
      <c r="X239" s="32">
        <f>IF($U239="",$K239,$K239*$S239)</f>
        <v/>
      </c>
      <c r="Y239" s="35">
        <f>IF($U239="",DATE(2100,12,31),$U239+1)</f>
        <v/>
      </c>
      <c r="Z239" s="35">
        <f>IF($U239="",DATE(1900,1,1),$O239)</f>
        <v/>
      </c>
      <c r="AA239" s="32">
        <f>IF($U239="",0,$K239*$T239)</f>
        <v/>
      </c>
      <c r="AB239" s="21">
        <f>IF($C239="",0,IFERROR(INDEX(Deals!$AD$2:$AD$355,MATCH($C239,Deals!$A$2:$A$355,0)),0))</f>
        <v/>
      </c>
      <c r="AC239" s="32">
        <f>IF(Settings!$B$4="Yes",$I239*$AB239,$I239)</f>
        <v/>
      </c>
      <c r="AD239" s="22">
        <f>IF($C239="","",IFERROR(IF(INDEX(Deals!$AE$2:$AE$355,MATCH($C239,Deals!$A$2:$A$355,0))=0,"",INDEX(Deals!$AE$2:$AE$355,MATCH($C239,Deals!$A$2:$A$355,0))),""))</f>
        <v/>
      </c>
      <c r="AE239" s="22">
        <f>IF($C239="","",IFERROR(IF(INDEX(Deals!$AF$2:$AF$355,MATCH($C239,Deals!$A$2:$A$355,0))=0,"",INDEX(Deals!$AF$2:$AF$355,MATCH($C239,Deals!$A$2:$A$355,0))),""))</f>
        <v/>
      </c>
      <c r="AF239" s="35">
        <f>IF($AD239="",DATE(1900,1,1),$AD239)</f>
        <v/>
      </c>
      <c r="AG239" s="35">
        <f>IF($AE239="",DATE(2100,12,31),$AE239)</f>
        <v/>
      </c>
      <c r="AH239" s="22">
        <f>IF($C239="","",IFERROR(IF(INDEX(Deals!$AG$2:$AG$355,MATCH($C239,Deals!$A$2:$A$355,0))=0,"",INDEX(Deals!$AG$2:$AG$355,MATCH($C239,Deals!$A$2:$A$355,0))),""))</f>
        <v/>
      </c>
      <c r="AI239" s="35">
        <f>IF($AH239="",DATE(1900,1,1),$AF239)</f>
        <v/>
      </c>
      <c r="AJ239" s="35">
        <f>IF($AH239="",DATE(2100,12,31),$AH239)</f>
        <v/>
      </c>
      <c r="AK239" s="32">
        <f>IF($AH239="",$AC239,$AC239*$S239)</f>
        <v/>
      </c>
      <c r="AL239" s="35">
        <f>IF($AH239="",DATE(2100,12,31),$AH239+1)</f>
        <v/>
      </c>
      <c r="AM239" s="35">
        <f>IF($AH239="",DATE(1900,1,1),$AG239)</f>
        <v/>
      </c>
      <c r="AN239" s="32">
        <f>IF($AH239="",0,$AC239*$T239)</f>
        <v/>
      </c>
    </row>
    <row r="240">
      <c r="A240" s="28" t="inlineStr">
        <is>
          <t>Justine</t>
        </is>
      </c>
      <c r="B240" s="16">
        <f>IF($A240="","",IFERROR(INDEX(Roster!$B$2:$B$40,MATCH($A240,Roster!$A$2:$A$40,0)),"?"))</f>
        <v/>
      </c>
      <c r="C240" s="28" t="inlineStr">
        <is>
          <t>Liquidation Henner US_1</t>
        </is>
      </c>
      <c r="D240" s="16">
        <f>IF($C240="","",IFERROR(IF(INDEX(Deals!$C$2:$C$355,MATCH($C240,Deals!$A$2:$A$355,0))=0,"",INDEX(Deals!$C$2:$C$355,MATCH($C240,Deals!$A$2:$A$355,0))),"?"))</f>
        <v/>
      </c>
      <c r="E240" s="16">
        <f>IF($C240="","",IFERROR(INDEX(Deals!$F$2:$F$355,MATCH($C240,Deals!$A$2:$A$355,0)),"?"))</f>
        <v/>
      </c>
      <c r="F240" s="28" t="inlineStr">
        <is>
          <t>Director</t>
        </is>
      </c>
      <c r="G240" s="28" t="inlineStr">
        <is>
          <t>Active</t>
        </is>
      </c>
      <c r="H240" s="31" t="n"/>
      <c r="I240" s="32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1">
        <f>IF($C240="",0,IFERROR(INDEX(Deals!$H$2:$H$355,MATCH($C240,Deals!$A$2:$A$355,0)),0))</f>
        <v/>
      </c>
      <c r="K240" s="32">
        <f>IF(Settings!$B$4="Yes",$I240*$J240,$I240)</f>
        <v/>
      </c>
      <c r="L240" s="22">
        <f>IF($C240="","",IFERROR(IF(INDEX(Deals!$I$2:$I$355,MATCH($C240,Deals!$A$2:$A$355,0))=0,"",INDEX(Deals!$I$2:$I$355,MATCH($C240,Deals!$A$2:$A$355,0))),""))</f>
        <v/>
      </c>
      <c r="M240" s="22">
        <f>IF($C240="","",IFERROR(IF(INDEX(Deals!$J$2:$J$355,MATCH($C240,Deals!$A$2:$A$355,0))=0,"",INDEX(Deals!$J$2:$J$355,MATCH($C240,Deals!$A$2:$A$355,0))),""))</f>
        <v/>
      </c>
      <c r="N240" s="35">
        <f>IF($L240="",DATE(1900,1,1),$L240)</f>
        <v/>
      </c>
      <c r="O240" s="35">
        <f>IF($M240="",DATE(2100,12,31),$M240)</f>
        <v/>
      </c>
      <c r="P240" s="20" t="inlineStr">
        <is>
          <t>Proposal</t>
        </is>
      </c>
      <c r="Q240" s="43" t="inlineStr"/>
      <c r="R240" s="16">
        <f>IF($C240="","",IFERROR(IF(INDEX(Deals!$U$2:$U$355,MATCH($C240,Deals!$A$2:$A$355,0))=0,"",INDEX(Deals!$U$2:$U$355,MATCH($C240,Deals!$A$2:$A$355,0))),""))</f>
        <v/>
      </c>
      <c r="S240" s="34">
        <f>IFERROR(IF($U240="",1,INDEX(Deals!$V$2:$V$355,MATCH($C240,Deals!$A$2:$A$355,0))),1)</f>
        <v/>
      </c>
      <c r="T240" s="34">
        <f>IFERROR(IF($U240="",1,INDEX(Deals!$W$2:$W$355,MATCH($C240,Deals!$A$2:$A$355,0))),1)</f>
        <v/>
      </c>
      <c r="U240" s="22">
        <f>IF($C240="","",IFERROR(IF(INDEX(Deals!$Y$2:$Y$355,MATCH($C240,Deals!$A$2:$A$355,0))=0,"",INDEX(Deals!$Y$2:$Y$355,MATCH($C240,Deals!$A$2:$A$355,0))),""))</f>
        <v/>
      </c>
      <c r="V240" s="35">
        <f>IF($U240="",DATE(1900,1,1),$N240)</f>
        <v/>
      </c>
      <c r="W240" s="35">
        <f>IF($U240="",DATE(2100,12,31),$U240)</f>
        <v/>
      </c>
      <c r="X240" s="32">
        <f>IF($U240="",$K240,$K240*$S240)</f>
        <v/>
      </c>
      <c r="Y240" s="35">
        <f>IF($U240="",DATE(2100,12,31),$U240+1)</f>
        <v/>
      </c>
      <c r="Z240" s="35">
        <f>IF($U240="",DATE(1900,1,1),$O240)</f>
        <v/>
      </c>
      <c r="AA240" s="32">
        <f>IF($U240="",0,$K240*$T240)</f>
        <v/>
      </c>
      <c r="AB240" s="21">
        <f>IF($C240="",0,IFERROR(INDEX(Deals!$AD$2:$AD$355,MATCH($C240,Deals!$A$2:$A$355,0)),0))</f>
        <v/>
      </c>
      <c r="AC240" s="32">
        <f>IF(Settings!$B$4="Yes",$I240*$AB240,$I240)</f>
        <v/>
      </c>
      <c r="AD240" s="22">
        <f>IF($C240="","",IFERROR(IF(INDEX(Deals!$AE$2:$AE$355,MATCH($C240,Deals!$A$2:$A$355,0))=0,"",INDEX(Deals!$AE$2:$AE$355,MATCH($C240,Deals!$A$2:$A$355,0))),""))</f>
        <v/>
      </c>
      <c r="AE240" s="22">
        <f>IF($C240="","",IFERROR(IF(INDEX(Deals!$AF$2:$AF$355,MATCH($C240,Deals!$A$2:$A$355,0))=0,"",INDEX(Deals!$AF$2:$AF$355,MATCH($C240,Deals!$A$2:$A$355,0))),""))</f>
        <v/>
      </c>
      <c r="AF240" s="35">
        <f>IF($AD240="",DATE(1900,1,1),$AD240)</f>
        <v/>
      </c>
      <c r="AG240" s="35">
        <f>IF($AE240="",DATE(2100,12,31),$AE240)</f>
        <v/>
      </c>
      <c r="AH240" s="22">
        <f>IF($C240="","",IFERROR(IF(INDEX(Deals!$AG$2:$AG$355,MATCH($C240,Deals!$A$2:$A$355,0))=0,"",INDEX(Deals!$AG$2:$AG$355,MATCH($C240,Deals!$A$2:$A$355,0))),""))</f>
        <v/>
      </c>
      <c r="AI240" s="35">
        <f>IF($AH240="",DATE(1900,1,1),$AF240)</f>
        <v/>
      </c>
      <c r="AJ240" s="35">
        <f>IF($AH240="",DATE(2100,12,31),$AH240)</f>
        <v/>
      </c>
      <c r="AK240" s="32">
        <f>IF($AH240="",$AC240,$AC240*$S240)</f>
        <v/>
      </c>
      <c r="AL240" s="35">
        <f>IF($AH240="",DATE(2100,12,31),$AH240+1)</f>
        <v/>
      </c>
      <c r="AM240" s="35">
        <f>IF($AH240="",DATE(1900,1,1),$AG240)</f>
        <v/>
      </c>
      <c r="AN240" s="32">
        <f>IF($AH240="",0,$AC240*$T240)</f>
        <v/>
      </c>
    </row>
    <row r="241">
      <c r="A241" s="28" t="inlineStr">
        <is>
          <t>Justine</t>
        </is>
      </c>
      <c r="B241" s="16">
        <f>IF($A241="","",IFERROR(INDEX(Roster!$B$2:$B$40,MATCH($A241,Roster!$A$2:$A$40,0)),"?"))</f>
        <v/>
      </c>
      <c r="C241" s="28" t="inlineStr">
        <is>
          <t>LMNOP_1</t>
        </is>
      </c>
      <c r="D241" s="16">
        <f>IF($C241="","",IFERROR(IF(INDEX(Deals!$C$2:$C$355,MATCH($C241,Deals!$A$2:$A$355,0))=0,"",INDEX(Deals!$C$2:$C$355,MATCH($C241,Deals!$A$2:$A$355,0))),"?"))</f>
        <v/>
      </c>
      <c r="E241" s="16">
        <f>IF($C241="","",IFERROR(INDEX(Deals!$F$2:$F$355,MATCH($C241,Deals!$A$2:$A$355,0)),"?"))</f>
        <v/>
      </c>
      <c r="F241" s="28" t="inlineStr">
        <is>
          <t>Director</t>
        </is>
      </c>
      <c r="G241" s="28" t="inlineStr">
        <is>
          <t>Active</t>
        </is>
      </c>
      <c r="H241" s="31" t="n"/>
      <c r="I241" s="32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1">
        <f>IF($C241="",0,IFERROR(INDEX(Deals!$H$2:$H$355,MATCH($C241,Deals!$A$2:$A$355,0)),0))</f>
        <v/>
      </c>
      <c r="K241" s="32">
        <f>IF(Settings!$B$4="Yes",$I241*$J241,$I241)</f>
        <v/>
      </c>
      <c r="L241" s="22">
        <f>IF($C241="","",IFERROR(IF(INDEX(Deals!$I$2:$I$355,MATCH($C241,Deals!$A$2:$A$355,0))=0,"",INDEX(Deals!$I$2:$I$355,MATCH($C241,Deals!$A$2:$A$355,0))),""))</f>
        <v/>
      </c>
      <c r="M241" s="22">
        <f>IF($C241="","",IFERROR(IF(INDEX(Deals!$J$2:$J$355,MATCH($C241,Deals!$A$2:$A$355,0))=0,"",INDEX(Deals!$J$2:$J$355,MATCH($C241,Deals!$A$2:$A$355,0))),""))</f>
        <v/>
      </c>
      <c r="N241" s="35">
        <f>IF($L241="",DATE(1900,1,1),$L241)</f>
        <v/>
      </c>
      <c r="O241" s="35">
        <f>IF($M241="",DATE(2100,12,31),$M241)</f>
        <v/>
      </c>
      <c r="P241" s="20" t="inlineStr">
        <is>
          <t>Proposal</t>
        </is>
      </c>
      <c r="Q241" s="43" t="inlineStr"/>
      <c r="R241" s="16">
        <f>IF($C241="","",IFERROR(IF(INDEX(Deals!$U$2:$U$355,MATCH($C241,Deals!$A$2:$A$355,0))=0,"",INDEX(Deals!$U$2:$U$355,MATCH($C241,Deals!$A$2:$A$355,0))),""))</f>
        <v/>
      </c>
      <c r="S241" s="34">
        <f>IFERROR(IF($U241="",1,INDEX(Deals!$V$2:$V$355,MATCH($C241,Deals!$A$2:$A$355,0))),1)</f>
        <v/>
      </c>
      <c r="T241" s="34">
        <f>IFERROR(IF($U241="",1,INDEX(Deals!$W$2:$W$355,MATCH($C241,Deals!$A$2:$A$355,0))),1)</f>
        <v/>
      </c>
      <c r="U241" s="22">
        <f>IF($C241="","",IFERROR(IF(INDEX(Deals!$Y$2:$Y$355,MATCH($C241,Deals!$A$2:$A$355,0))=0,"",INDEX(Deals!$Y$2:$Y$355,MATCH($C241,Deals!$A$2:$A$355,0))),""))</f>
        <v/>
      </c>
      <c r="V241" s="35">
        <f>IF($U241="",DATE(1900,1,1),$N241)</f>
        <v/>
      </c>
      <c r="W241" s="35">
        <f>IF($U241="",DATE(2100,12,31),$U241)</f>
        <v/>
      </c>
      <c r="X241" s="32">
        <f>IF($U241="",$K241,$K241*$S241)</f>
        <v/>
      </c>
      <c r="Y241" s="35">
        <f>IF($U241="",DATE(2100,12,31),$U241+1)</f>
        <v/>
      </c>
      <c r="Z241" s="35">
        <f>IF($U241="",DATE(1900,1,1),$O241)</f>
        <v/>
      </c>
      <c r="AA241" s="32">
        <f>IF($U241="",0,$K241*$T241)</f>
        <v/>
      </c>
      <c r="AB241" s="21">
        <f>IF($C241="",0,IFERROR(INDEX(Deals!$AD$2:$AD$355,MATCH($C241,Deals!$A$2:$A$355,0)),0))</f>
        <v/>
      </c>
      <c r="AC241" s="32">
        <f>IF(Settings!$B$4="Yes",$I241*$AB241,$I241)</f>
        <v/>
      </c>
      <c r="AD241" s="22">
        <f>IF($C241="","",IFERROR(IF(INDEX(Deals!$AE$2:$AE$355,MATCH($C241,Deals!$A$2:$A$355,0))=0,"",INDEX(Deals!$AE$2:$AE$355,MATCH($C241,Deals!$A$2:$A$355,0))),""))</f>
        <v/>
      </c>
      <c r="AE241" s="22">
        <f>IF($C241="","",IFERROR(IF(INDEX(Deals!$AF$2:$AF$355,MATCH($C241,Deals!$A$2:$A$355,0))=0,"",INDEX(Deals!$AF$2:$AF$355,MATCH($C241,Deals!$A$2:$A$355,0))),""))</f>
        <v/>
      </c>
      <c r="AF241" s="35">
        <f>IF($AD241="",DATE(1900,1,1),$AD241)</f>
        <v/>
      </c>
      <c r="AG241" s="35">
        <f>IF($AE241="",DATE(2100,12,31),$AE241)</f>
        <v/>
      </c>
      <c r="AH241" s="22">
        <f>IF($C241="","",IFERROR(IF(INDEX(Deals!$AG$2:$AG$355,MATCH($C241,Deals!$A$2:$A$355,0))=0,"",INDEX(Deals!$AG$2:$AG$355,MATCH($C241,Deals!$A$2:$A$355,0))),""))</f>
        <v/>
      </c>
      <c r="AI241" s="35">
        <f>IF($AH241="",DATE(1900,1,1),$AF241)</f>
        <v/>
      </c>
      <c r="AJ241" s="35">
        <f>IF($AH241="",DATE(2100,12,31),$AH241)</f>
        <v/>
      </c>
      <c r="AK241" s="32">
        <f>IF($AH241="",$AC241,$AC241*$S241)</f>
        <v/>
      </c>
      <c r="AL241" s="35">
        <f>IF($AH241="",DATE(2100,12,31),$AH241+1)</f>
        <v/>
      </c>
      <c r="AM241" s="35">
        <f>IF($AH241="",DATE(1900,1,1),$AG241)</f>
        <v/>
      </c>
      <c r="AN241" s="32">
        <f>IF($AH241="",0,$AC241*$T241)</f>
        <v/>
      </c>
    </row>
    <row r="242">
      <c r="A242" s="28" t="inlineStr">
        <is>
          <t>Justine</t>
        </is>
      </c>
      <c r="B242" s="16">
        <f>IF($A242="","",IFERROR(INDEX(Roster!$B$2:$B$40,MATCH($A242,Roster!$A$2:$A$40,0)),"?"))</f>
        <v/>
      </c>
      <c r="C242" s="28" t="inlineStr">
        <is>
          <t>LOB Analysis_1</t>
        </is>
      </c>
      <c r="D242" s="16">
        <f>IF($C242="","",IFERROR(IF(INDEX(Deals!$C$2:$C$355,MATCH($C242,Deals!$A$2:$A$355,0))=0,"",INDEX(Deals!$C$2:$C$355,MATCH($C242,Deals!$A$2:$A$355,0))),"?"))</f>
        <v/>
      </c>
      <c r="E242" s="16">
        <f>IF($C242="","",IFERROR(INDEX(Deals!$F$2:$F$355,MATCH($C242,Deals!$A$2:$A$355,0)),"?"))</f>
        <v/>
      </c>
      <c r="F242" s="28" t="inlineStr">
        <is>
          <t>Director</t>
        </is>
      </c>
      <c r="G242" s="28" t="inlineStr">
        <is>
          <t>Inactive</t>
        </is>
      </c>
      <c r="H242" s="31" t="n"/>
      <c r="I242" s="32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1">
        <f>IF($C242="",0,IFERROR(INDEX(Deals!$H$2:$H$355,MATCH($C242,Deals!$A$2:$A$355,0)),0))</f>
        <v/>
      </c>
      <c r="K242" s="32">
        <f>IF(Settings!$B$4="Yes",$I242*$J242,$I242)</f>
        <v/>
      </c>
      <c r="L242" s="22">
        <f>IF($C242="","",IFERROR(IF(INDEX(Deals!$I$2:$I$355,MATCH($C242,Deals!$A$2:$A$355,0))=0,"",INDEX(Deals!$I$2:$I$355,MATCH($C242,Deals!$A$2:$A$355,0))),""))</f>
        <v/>
      </c>
      <c r="M242" s="22">
        <f>IF($C242="","",IFERROR(IF(INDEX(Deals!$J$2:$J$355,MATCH($C242,Deals!$A$2:$A$355,0))=0,"",INDEX(Deals!$J$2:$J$355,MATCH($C242,Deals!$A$2:$A$355,0))),""))</f>
        <v/>
      </c>
      <c r="N242" s="35">
        <f>IF($L242="",DATE(1900,1,1),$L242)</f>
        <v/>
      </c>
      <c r="O242" s="35">
        <f>IF($M242="",DATE(2100,12,31),$M242)</f>
        <v/>
      </c>
      <c r="P242" s="20" t="inlineStr">
        <is>
          <t>Dead</t>
        </is>
      </c>
      <c r="Q242" s="43" t="inlineStr"/>
      <c r="R242" s="16">
        <f>IF($C242="","",IFERROR(IF(INDEX(Deals!$U$2:$U$355,MATCH($C242,Deals!$A$2:$A$355,0))=0,"",INDEX(Deals!$U$2:$U$355,MATCH($C242,Deals!$A$2:$A$355,0))),""))</f>
        <v/>
      </c>
      <c r="S242" s="34">
        <f>IFERROR(IF($U242="",1,INDEX(Deals!$V$2:$V$355,MATCH($C242,Deals!$A$2:$A$355,0))),1)</f>
        <v/>
      </c>
      <c r="T242" s="34">
        <f>IFERROR(IF($U242="",1,INDEX(Deals!$W$2:$W$355,MATCH($C242,Deals!$A$2:$A$355,0))),1)</f>
        <v/>
      </c>
      <c r="U242" s="22">
        <f>IF($C242="","",IFERROR(IF(INDEX(Deals!$Y$2:$Y$355,MATCH($C242,Deals!$A$2:$A$355,0))=0,"",INDEX(Deals!$Y$2:$Y$355,MATCH($C242,Deals!$A$2:$A$355,0))),""))</f>
        <v/>
      </c>
      <c r="V242" s="35">
        <f>IF($U242="",DATE(1900,1,1),$N242)</f>
        <v/>
      </c>
      <c r="W242" s="35">
        <f>IF($U242="",DATE(2100,12,31),$U242)</f>
        <v/>
      </c>
      <c r="X242" s="32">
        <f>IF($U242="",$K242,$K242*$S242)</f>
        <v/>
      </c>
      <c r="Y242" s="35">
        <f>IF($U242="",DATE(2100,12,31),$U242+1)</f>
        <v/>
      </c>
      <c r="Z242" s="35">
        <f>IF($U242="",DATE(1900,1,1),$O242)</f>
        <v/>
      </c>
      <c r="AA242" s="32">
        <f>IF($U242="",0,$K242*$T242)</f>
        <v/>
      </c>
      <c r="AB242" s="21">
        <f>IF($C242="",0,IFERROR(INDEX(Deals!$AD$2:$AD$355,MATCH($C242,Deals!$A$2:$A$355,0)),0))</f>
        <v/>
      </c>
      <c r="AC242" s="32">
        <f>IF(Settings!$B$4="Yes",$I242*$AB242,$I242)</f>
        <v/>
      </c>
      <c r="AD242" s="22">
        <f>IF($C242="","",IFERROR(IF(INDEX(Deals!$AE$2:$AE$355,MATCH($C242,Deals!$A$2:$A$355,0))=0,"",INDEX(Deals!$AE$2:$AE$355,MATCH($C242,Deals!$A$2:$A$355,0))),""))</f>
        <v/>
      </c>
      <c r="AE242" s="22">
        <f>IF($C242="","",IFERROR(IF(INDEX(Deals!$AF$2:$AF$355,MATCH($C242,Deals!$A$2:$A$355,0))=0,"",INDEX(Deals!$AF$2:$AF$355,MATCH($C242,Deals!$A$2:$A$355,0))),""))</f>
        <v/>
      </c>
      <c r="AF242" s="35">
        <f>IF($AD242="",DATE(1900,1,1),$AD242)</f>
        <v/>
      </c>
      <c r="AG242" s="35">
        <f>IF($AE242="",DATE(2100,12,31),$AE242)</f>
        <v/>
      </c>
      <c r="AH242" s="22">
        <f>IF($C242="","",IFERROR(IF(INDEX(Deals!$AG$2:$AG$355,MATCH($C242,Deals!$A$2:$A$355,0))=0,"",INDEX(Deals!$AG$2:$AG$355,MATCH($C242,Deals!$A$2:$A$355,0))),""))</f>
        <v/>
      </c>
      <c r="AI242" s="35">
        <f>IF($AH242="",DATE(1900,1,1),$AF242)</f>
        <v/>
      </c>
      <c r="AJ242" s="35">
        <f>IF($AH242="",DATE(2100,12,31),$AH242)</f>
        <v/>
      </c>
      <c r="AK242" s="32">
        <f>IF($AH242="",$AC242,$AC242*$S242)</f>
        <v/>
      </c>
      <c r="AL242" s="35">
        <f>IF($AH242="",DATE(2100,12,31),$AH242+1)</f>
        <v/>
      </c>
      <c r="AM242" s="35">
        <f>IF($AH242="",DATE(1900,1,1),$AG242)</f>
        <v/>
      </c>
      <c r="AN242" s="32">
        <f>IF($AH242="",0,$AC242*$T242)</f>
        <v/>
      </c>
    </row>
    <row r="243">
      <c r="A243" s="28" t="inlineStr">
        <is>
          <t>Justine</t>
        </is>
      </c>
      <c r="B243" s="16">
        <f>IF($A243="","",IFERROR(INDEX(Roster!$B$2:$B$40,MATCH($A243,Roster!$A$2:$A$40,0)),"?"))</f>
        <v/>
      </c>
      <c r="C243" s="28" t="inlineStr">
        <is>
          <t>Malta_1</t>
        </is>
      </c>
      <c r="D243" s="16">
        <f>IF($C243="","",IFERROR(IF(INDEX(Deals!$C$2:$C$355,MATCH($C243,Deals!$A$2:$A$355,0))=0,"",INDEX(Deals!$C$2:$C$355,MATCH($C243,Deals!$A$2:$A$355,0))),"?"))</f>
        <v/>
      </c>
      <c r="E243" s="16">
        <f>IF($C243="","",IFERROR(INDEX(Deals!$F$2:$F$355,MATCH($C243,Deals!$A$2:$A$355,0)),"?"))</f>
        <v/>
      </c>
      <c r="F243" s="28" t="inlineStr">
        <is>
          <t>Director</t>
        </is>
      </c>
      <c r="G243" s="28" t="inlineStr">
        <is>
          <t>Inactive</t>
        </is>
      </c>
      <c r="H243" s="31" t="n"/>
      <c r="I243" s="32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1">
        <f>IF($C243="",0,IFERROR(INDEX(Deals!$H$2:$H$355,MATCH($C243,Deals!$A$2:$A$355,0)),0))</f>
        <v/>
      </c>
      <c r="K243" s="32">
        <f>IF(Settings!$B$4="Yes",$I243*$J243,$I243)</f>
        <v/>
      </c>
      <c r="L243" s="22">
        <f>IF($C243="","",IFERROR(IF(INDEX(Deals!$I$2:$I$355,MATCH($C243,Deals!$A$2:$A$355,0))=0,"",INDEX(Deals!$I$2:$I$355,MATCH($C243,Deals!$A$2:$A$355,0))),""))</f>
        <v/>
      </c>
      <c r="M243" s="22">
        <f>IF($C243="","",IFERROR(IF(INDEX(Deals!$J$2:$J$355,MATCH($C243,Deals!$A$2:$A$355,0))=0,"",INDEX(Deals!$J$2:$J$355,MATCH($C243,Deals!$A$2:$A$355,0))),""))</f>
        <v/>
      </c>
      <c r="N243" s="35">
        <f>IF($L243="",DATE(1900,1,1),$L243)</f>
        <v/>
      </c>
      <c r="O243" s="35">
        <f>IF($M243="",DATE(2100,12,31),$M243)</f>
        <v/>
      </c>
      <c r="P243" s="20" t="inlineStr">
        <is>
          <t>Dead</t>
        </is>
      </c>
      <c r="Q243" s="43" t="inlineStr"/>
      <c r="R243" s="16">
        <f>IF($C243="","",IFERROR(IF(INDEX(Deals!$U$2:$U$355,MATCH($C243,Deals!$A$2:$A$355,0))=0,"",INDEX(Deals!$U$2:$U$355,MATCH($C243,Deals!$A$2:$A$355,0))),""))</f>
        <v/>
      </c>
      <c r="S243" s="34">
        <f>IFERROR(IF($U243="",1,INDEX(Deals!$V$2:$V$355,MATCH($C243,Deals!$A$2:$A$355,0))),1)</f>
        <v/>
      </c>
      <c r="T243" s="34">
        <f>IFERROR(IF($U243="",1,INDEX(Deals!$W$2:$W$355,MATCH($C243,Deals!$A$2:$A$355,0))),1)</f>
        <v/>
      </c>
      <c r="U243" s="22">
        <f>IF($C243="","",IFERROR(IF(INDEX(Deals!$Y$2:$Y$355,MATCH($C243,Deals!$A$2:$A$355,0))=0,"",INDEX(Deals!$Y$2:$Y$355,MATCH($C243,Deals!$A$2:$A$355,0))),""))</f>
        <v/>
      </c>
      <c r="V243" s="35">
        <f>IF($U243="",DATE(1900,1,1),$N243)</f>
        <v/>
      </c>
      <c r="W243" s="35">
        <f>IF($U243="",DATE(2100,12,31),$U243)</f>
        <v/>
      </c>
      <c r="X243" s="32">
        <f>IF($U243="",$K243,$K243*$S243)</f>
        <v/>
      </c>
      <c r="Y243" s="35">
        <f>IF($U243="",DATE(2100,12,31),$U243+1)</f>
        <v/>
      </c>
      <c r="Z243" s="35">
        <f>IF($U243="",DATE(1900,1,1),$O243)</f>
        <v/>
      </c>
      <c r="AA243" s="32">
        <f>IF($U243="",0,$K243*$T243)</f>
        <v/>
      </c>
      <c r="AB243" s="21">
        <f>IF($C243="",0,IFERROR(INDEX(Deals!$AD$2:$AD$355,MATCH($C243,Deals!$A$2:$A$355,0)),0))</f>
        <v/>
      </c>
      <c r="AC243" s="32">
        <f>IF(Settings!$B$4="Yes",$I243*$AB243,$I243)</f>
        <v/>
      </c>
      <c r="AD243" s="22">
        <f>IF($C243="","",IFERROR(IF(INDEX(Deals!$AE$2:$AE$355,MATCH($C243,Deals!$A$2:$A$355,0))=0,"",INDEX(Deals!$AE$2:$AE$355,MATCH($C243,Deals!$A$2:$A$355,0))),""))</f>
        <v/>
      </c>
      <c r="AE243" s="22">
        <f>IF($C243="","",IFERROR(IF(INDEX(Deals!$AF$2:$AF$355,MATCH($C243,Deals!$A$2:$A$355,0))=0,"",INDEX(Deals!$AF$2:$AF$355,MATCH($C243,Deals!$A$2:$A$355,0))),""))</f>
        <v/>
      </c>
      <c r="AF243" s="35">
        <f>IF($AD243="",DATE(1900,1,1),$AD243)</f>
        <v/>
      </c>
      <c r="AG243" s="35">
        <f>IF($AE243="",DATE(2100,12,31),$AE243)</f>
        <v/>
      </c>
      <c r="AH243" s="22">
        <f>IF($C243="","",IFERROR(IF(INDEX(Deals!$AG$2:$AG$355,MATCH($C243,Deals!$A$2:$A$355,0))=0,"",INDEX(Deals!$AG$2:$AG$355,MATCH($C243,Deals!$A$2:$A$355,0))),""))</f>
        <v/>
      </c>
      <c r="AI243" s="35">
        <f>IF($AH243="",DATE(1900,1,1),$AF243)</f>
        <v/>
      </c>
      <c r="AJ243" s="35">
        <f>IF($AH243="",DATE(2100,12,31),$AH243)</f>
        <v/>
      </c>
      <c r="AK243" s="32">
        <f>IF($AH243="",$AC243,$AC243*$S243)</f>
        <v/>
      </c>
      <c r="AL243" s="35">
        <f>IF($AH243="",DATE(2100,12,31),$AH243+1)</f>
        <v/>
      </c>
      <c r="AM243" s="35">
        <f>IF($AH243="",DATE(1900,1,1),$AG243)</f>
        <v/>
      </c>
      <c r="AN243" s="32">
        <f>IF($AH243="",0,$AC243*$T243)</f>
        <v/>
      </c>
    </row>
    <row r="244">
      <c r="A244" s="28" t="inlineStr">
        <is>
          <t>Justine</t>
        </is>
      </c>
      <c r="B244" s="16">
        <f>IF($A244="","",IFERROR(INDEX(Roster!$B$2:$B$40,MATCH($A244,Roster!$A$2:$A$40,0)),"?"))</f>
        <v/>
      </c>
      <c r="C244" s="28" t="inlineStr">
        <is>
          <t>Marle_1</t>
        </is>
      </c>
      <c r="D244" s="16">
        <f>IF($C244="","",IFERROR(IF(INDEX(Deals!$C$2:$C$355,MATCH($C244,Deals!$A$2:$A$355,0))=0,"",INDEX(Deals!$C$2:$C$355,MATCH($C244,Deals!$A$2:$A$355,0))),"?"))</f>
        <v/>
      </c>
      <c r="E244" s="16">
        <f>IF($C244="","",IFERROR(INDEX(Deals!$F$2:$F$355,MATCH($C244,Deals!$A$2:$A$355,0)),"?"))</f>
        <v/>
      </c>
      <c r="F244" s="28" t="inlineStr">
        <is>
          <t>Director</t>
        </is>
      </c>
      <c r="G244" s="28" t="inlineStr">
        <is>
          <t>Inactive</t>
        </is>
      </c>
      <c r="H244" s="31" t="n"/>
      <c r="I244" s="32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1">
        <f>IF($C244="",0,IFERROR(INDEX(Deals!$H$2:$H$355,MATCH($C244,Deals!$A$2:$A$355,0)),0))</f>
        <v/>
      </c>
      <c r="K244" s="32">
        <f>IF(Settings!$B$4="Yes",$I244*$J244,$I244)</f>
        <v/>
      </c>
      <c r="L244" s="22">
        <f>IF($C244="","",IFERROR(IF(INDEX(Deals!$I$2:$I$355,MATCH($C244,Deals!$A$2:$A$355,0))=0,"",INDEX(Deals!$I$2:$I$355,MATCH($C244,Deals!$A$2:$A$355,0))),""))</f>
        <v/>
      </c>
      <c r="M244" s="22">
        <f>IF($C244="","",IFERROR(IF(INDEX(Deals!$J$2:$J$355,MATCH($C244,Deals!$A$2:$A$355,0))=0,"",INDEX(Deals!$J$2:$J$355,MATCH($C244,Deals!$A$2:$A$355,0))),""))</f>
        <v/>
      </c>
      <c r="N244" s="35">
        <f>IF($L244="",DATE(1900,1,1),$L244)</f>
        <v/>
      </c>
      <c r="O244" s="35">
        <f>IF($M244="",DATE(2100,12,31),$M244)</f>
        <v/>
      </c>
      <c r="P244" s="20" t="inlineStr">
        <is>
          <t>Closed</t>
        </is>
      </c>
      <c r="Q244" s="43" t="inlineStr"/>
      <c r="R244" s="16">
        <f>IF($C244="","",IFERROR(IF(INDEX(Deals!$U$2:$U$355,MATCH($C244,Deals!$A$2:$A$355,0))=0,"",INDEX(Deals!$U$2:$U$355,MATCH($C244,Deals!$A$2:$A$355,0))),""))</f>
        <v/>
      </c>
      <c r="S244" s="34">
        <f>IFERROR(IF($U244="",1,INDEX(Deals!$V$2:$V$355,MATCH($C244,Deals!$A$2:$A$355,0))),1)</f>
        <v/>
      </c>
      <c r="T244" s="34">
        <f>IFERROR(IF($U244="",1,INDEX(Deals!$W$2:$W$355,MATCH($C244,Deals!$A$2:$A$355,0))),1)</f>
        <v/>
      </c>
      <c r="U244" s="22">
        <f>IF($C244="","",IFERROR(IF(INDEX(Deals!$Y$2:$Y$355,MATCH($C244,Deals!$A$2:$A$355,0))=0,"",INDEX(Deals!$Y$2:$Y$355,MATCH($C244,Deals!$A$2:$A$355,0))),""))</f>
        <v/>
      </c>
      <c r="V244" s="35">
        <f>IF($U244="",DATE(1900,1,1),$N244)</f>
        <v/>
      </c>
      <c r="W244" s="35">
        <f>IF($U244="",DATE(2100,12,31),$U244)</f>
        <v/>
      </c>
      <c r="X244" s="32">
        <f>IF($U244="",$K244,$K244*$S244)</f>
        <v/>
      </c>
      <c r="Y244" s="35">
        <f>IF($U244="",DATE(2100,12,31),$U244+1)</f>
        <v/>
      </c>
      <c r="Z244" s="35">
        <f>IF($U244="",DATE(1900,1,1),$O244)</f>
        <v/>
      </c>
      <c r="AA244" s="32">
        <f>IF($U244="",0,$K244*$T244)</f>
        <v/>
      </c>
      <c r="AB244" s="21">
        <f>IF($C244="",0,IFERROR(INDEX(Deals!$AD$2:$AD$355,MATCH($C244,Deals!$A$2:$A$355,0)),0))</f>
        <v/>
      </c>
      <c r="AC244" s="32">
        <f>IF(Settings!$B$4="Yes",$I244*$AB244,$I244)</f>
        <v/>
      </c>
      <c r="AD244" s="22">
        <f>IF($C244="","",IFERROR(IF(INDEX(Deals!$AE$2:$AE$355,MATCH($C244,Deals!$A$2:$A$355,0))=0,"",INDEX(Deals!$AE$2:$AE$355,MATCH($C244,Deals!$A$2:$A$355,0))),""))</f>
        <v/>
      </c>
      <c r="AE244" s="22">
        <f>IF($C244="","",IFERROR(IF(INDEX(Deals!$AF$2:$AF$355,MATCH($C244,Deals!$A$2:$A$355,0))=0,"",INDEX(Deals!$AF$2:$AF$355,MATCH($C244,Deals!$A$2:$A$355,0))),""))</f>
        <v/>
      </c>
      <c r="AF244" s="35">
        <f>IF($AD244="",DATE(1900,1,1),$AD244)</f>
        <v/>
      </c>
      <c r="AG244" s="35">
        <f>IF($AE244="",DATE(2100,12,31),$AE244)</f>
        <v/>
      </c>
      <c r="AH244" s="22">
        <f>IF($C244="","",IFERROR(IF(INDEX(Deals!$AG$2:$AG$355,MATCH($C244,Deals!$A$2:$A$355,0))=0,"",INDEX(Deals!$AG$2:$AG$355,MATCH($C244,Deals!$A$2:$A$355,0))),""))</f>
        <v/>
      </c>
      <c r="AI244" s="35">
        <f>IF($AH244="",DATE(1900,1,1),$AF244)</f>
        <v/>
      </c>
      <c r="AJ244" s="35">
        <f>IF($AH244="",DATE(2100,12,31),$AH244)</f>
        <v/>
      </c>
      <c r="AK244" s="32">
        <f>IF($AH244="",$AC244,$AC244*$S244)</f>
        <v/>
      </c>
      <c r="AL244" s="35">
        <f>IF($AH244="",DATE(2100,12,31),$AH244+1)</f>
        <v/>
      </c>
      <c r="AM244" s="35">
        <f>IF($AH244="",DATE(1900,1,1),$AG244)</f>
        <v/>
      </c>
      <c r="AN244" s="32">
        <f>IF($AH244="",0,$AC244*$T244)</f>
        <v/>
      </c>
    </row>
    <row r="245">
      <c r="A245" s="28" t="inlineStr">
        <is>
          <t>Justine</t>
        </is>
      </c>
      <c r="B245" s="16">
        <f>IF($A245="","",IFERROR(INDEX(Roster!$B$2:$B$40,MATCH($A245,Roster!$A$2:$A$40,0)),"?"))</f>
        <v/>
      </c>
      <c r="C245" s="28" t="inlineStr">
        <is>
          <t>Medicis_1</t>
        </is>
      </c>
      <c r="D245" s="16">
        <f>IF($C245="","",IFERROR(IF(INDEX(Deals!$C$2:$C$355,MATCH($C245,Deals!$A$2:$A$355,0))=0,"",INDEX(Deals!$C$2:$C$355,MATCH($C245,Deals!$A$2:$A$355,0))),"?"))</f>
        <v/>
      </c>
      <c r="E245" s="16">
        <f>IF($C245="","",IFERROR(INDEX(Deals!$F$2:$F$355,MATCH($C245,Deals!$A$2:$A$355,0)),"?"))</f>
        <v/>
      </c>
      <c r="F245" s="28" t="inlineStr">
        <is>
          <t>Director</t>
        </is>
      </c>
      <c r="G245" s="28" t="inlineStr">
        <is>
          <t>Inactive</t>
        </is>
      </c>
      <c r="H245" s="31" t="n"/>
      <c r="I245" s="32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1">
        <f>IF($C245="",0,IFERROR(INDEX(Deals!$H$2:$H$355,MATCH($C245,Deals!$A$2:$A$355,0)),0))</f>
        <v/>
      </c>
      <c r="K245" s="32">
        <f>IF(Settings!$B$4="Yes",$I245*$J245,$I245)</f>
        <v/>
      </c>
      <c r="L245" s="22">
        <f>IF($C245="","",IFERROR(IF(INDEX(Deals!$I$2:$I$355,MATCH($C245,Deals!$A$2:$A$355,0))=0,"",INDEX(Deals!$I$2:$I$355,MATCH($C245,Deals!$A$2:$A$355,0))),""))</f>
        <v/>
      </c>
      <c r="M245" s="22">
        <f>IF($C245="","",IFERROR(IF(INDEX(Deals!$J$2:$J$355,MATCH($C245,Deals!$A$2:$A$355,0))=0,"",INDEX(Deals!$J$2:$J$355,MATCH($C245,Deals!$A$2:$A$355,0))),""))</f>
        <v/>
      </c>
      <c r="N245" s="35">
        <f>IF($L245="",DATE(1900,1,1),$L245)</f>
        <v/>
      </c>
      <c r="O245" s="35">
        <f>IF($M245="",DATE(2100,12,31),$M245)</f>
        <v/>
      </c>
      <c r="P245" s="20" t="inlineStr">
        <is>
          <t>Pens down</t>
        </is>
      </c>
      <c r="Q245" s="43" t="inlineStr"/>
      <c r="R245" s="16">
        <f>IF($C245="","",IFERROR(IF(INDEX(Deals!$U$2:$U$355,MATCH($C245,Deals!$A$2:$A$355,0))=0,"",INDEX(Deals!$U$2:$U$355,MATCH($C245,Deals!$A$2:$A$355,0))),""))</f>
        <v/>
      </c>
      <c r="S245" s="34">
        <f>IFERROR(IF($U245="",1,INDEX(Deals!$V$2:$V$355,MATCH($C245,Deals!$A$2:$A$355,0))),1)</f>
        <v/>
      </c>
      <c r="T245" s="34">
        <f>IFERROR(IF($U245="",1,INDEX(Deals!$W$2:$W$355,MATCH($C245,Deals!$A$2:$A$355,0))),1)</f>
        <v/>
      </c>
      <c r="U245" s="22">
        <f>IF($C245="","",IFERROR(IF(INDEX(Deals!$Y$2:$Y$355,MATCH($C245,Deals!$A$2:$A$355,0))=0,"",INDEX(Deals!$Y$2:$Y$355,MATCH($C245,Deals!$A$2:$A$355,0))),""))</f>
        <v/>
      </c>
      <c r="V245" s="35">
        <f>IF($U245="",DATE(1900,1,1),$N245)</f>
        <v/>
      </c>
      <c r="W245" s="35">
        <f>IF($U245="",DATE(2100,12,31),$U245)</f>
        <v/>
      </c>
      <c r="X245" s="32">
        <f>IF($U245="",$K245,$K245*$S245)</f>
        <v/>
      </c>
      <c r="Y245" s="35">
        <f>IF($U245="",DATE(2100,12,31),$U245+1)</f>
        <v/>
      </c>
      <c r="Z245" s="35">
        <f>IF($U245="",DATE(1900,1,1),$O245)</f>
        <v/>
      </c>
      <c r="AA245" s="32">
        <f>IF($U245="",0,$K245*$T245)</f>
        <v/>
      </c>
      <c r="AB245" s="21">
        <f>IF($C245="",0,IFERROR(INDEX(Deals!$AD$2:$AD$355,MATCH($C245,Deals!$A$2:$A$355,0)),0))</f>
        <v/>
      </c>
      <c r="AC245" s="32">
        <f>IF(Settings!$B$4="Yes",$I245*$AB245,$I245)</f>
        <v/>
      </c>
      <c r="AD245" s="22">
        <f>IF($C245="","",IFERROR(IF(INDEX(Deals!$AE$2:$AE$355,MATCH($C245,Deals!$A$2:$A$355,0))=0,"",INDEX(Deals!$AE$2:$AE$355,MATCH($C245,Deals!$A$2:$A$355,0))),""))</f>
        <v/>
      </c>
      <c r="AE245" s="22">
        <f>IF($C245="","",IFERROR(IF(INDEX(Deals!$AF$2:$AF$355,MATCH($C245,Deals!$A$2:$A$355,0))=0,"",INDEX(Deals!$AF$2:$AF$355,MATCH($C245,Deals!$A$2:$A$355,0))),""))</f>
        <v/>
      </c>
      <c r="AF245" s="35">
        <f>IF($AD245="",DATE(1900,1,1),$AD245)</f>
        <v/>
      </c>
      <c r="AG245" s="35">
        <f>IF($AE245="",DATE(2100,12,31),$AE245)</f>
        <v/>
      </c>
      <c r="AH245" s="22">
        <f>IF($C245="","",IFERROR(IF(INDEX(Deals!$AG$2:$AG$355,MATCH($C245,Deals!$A$2:$A$355,0))=0,"",INDEX(Deals!$AG$2:$AG$355,MATCH($C245,Deals!$A$2:$A$355,0))),""))</f>
        <v/>
      </c>
      <c r="AI245" s="35">
        <f>IF($AH245="",DATE(1900,1,1),$AF245)</f>
        <v/>
      </c>
      <c r="AJ245" s="35">
        <f>IF($AH245="",DATE(2100,12,31),$AH245)</f>
        <v/>
      </c>
      <c r="AK245" s="32">
        <f>IF($AH245="",$AC245,$AC245*$S245)</f>
        <v/>
      </c>
      <c r="AL245" s="35">
        <f>IF($AH245="",DATE(2100,12,31),$AH245+1)</f>
        <v/>
      </c>
      <c r="AM245" s="35">
        <f>IF($AH245="",DATE(1900,1,1),$AG245)</f>
        <v/>
      </c>
      <c r="AN245" s="32">
        <f>IF($AH245="",0,$AC245*$T245)</f>
        <v/>
      </c>
    </row>
    <row r="246">
      <c r="A246" s="28" t="inlineStr">
        <is>
          <t>Justine</t>
        </is>
      </c>
      <c r="B246" s="16">
        <f>IF($A246="","",IFERROR(INDEX(Roster!$B$2:$B$40,MATCH($A246,Roster!$A$2:$A$40,0)),"?"))</f>
        <v/>
      </c>
      <c r="C246" s="28" t="inlineStr">
        <is>
          <t>Metro_1</t>
        </is>
      </c>
      <c r="D246" s="16">
        <f>IF($C246="","",IFERROR(IF(INDEX(Deals!$C$2:$C$355,MATCH($C246,Deals!$A$2:$A$355,0))=0,"",INDEX(Deals!$C$2:$C$355,MATCH($C246,Deals!$A$2:$A$355,0))),"?"))</f>
        <v/>
      </c>
      <c r="E246" s="16">
        <f>IF($C246="","",IFERROR(INDEX(Deals!$F$2:$F$355,MATCH($C246,Deals!$A$2:$A$355,0)),"?"))</f>
        <v/>
      </c>
      <c r="F246" s="28" t="inlineStr">
        <is>
          <t>Director</t>
        </is>
      </c>
      <c r="G246" s="28" t="inlineStr">
        <is>
          <t>Inactive</t>
        </is>
      </c>
      <c r="H246" s="31" t="n"/>
      <c r="I246" s="32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1">
        <f>IF($C246="",0,IFERROR(INDEX(Deals!$H$2:$H$355,MATCH($C246,Deals!$A$2:$A$355,0)),0))</f>
        <v/>
      </c>
      <c r="K246" s="32">
        <f>IF(Settings!$B$4="Yes",$I246*$J246,$I246)</f>
        <v/>
      </c>
      <c r="L246" s="22">
        <f>IF($C246="","",IFERROR(IF(INDEX(Deals!$I$2:$I$355,MATCH($C246,Deals!$A$2:$A$355,0))=0,"",INDEX(Deals!$I$2:$I$355,MATCH($C246,Deals!$A$2:$A$355,0))),""))</f>
        <v/>
      </c>
      <c r="M246" s="22">
        <f>IF($C246="","",IFERROR(IF(INDEX(Deals!$J$2:$J$355,MATCH($C246,Deals!$A$2:$A$355,0))=0,"",INDEX(Deals!$J$2:$J$355,MATCH($C246,Deals!$A$2:$A$355,0))),""))</f>
        <v/>
      </c>
      <c r="N246" s="35">
        <f>IF($L246="",DATE(1900,1,1),$L246)</f>
        <v/>
      </c>
      <c r="O246" s="35">
        <f>IF($M246="",DATE(2100,12,31),$M246)</f>
        <v/>
      </c>
      <c r="P246" s="20" t="inlineStr">
        <is>
          <t>Closed</t>
        </is>
      </c>
      <c r="Q246" s="43" t="inlineStr"/>
      <c r="R246" s="16">
        <f>IF($C246="","",IFERROR(IF(INDEX(Deals!$U$2:$U$355,MATCH($C246,Deals!$A$2:$A$355,0))=0,"",INDEX(Deals!$U$2:$U$355,MATCH($C246,Deals!$A$2:$A$355,0))),""))</f>
        <v/>
      </c>
      <c r="S246" s="34">
        <f>IFERROR(IF($U246="",1,INDEX(Deals!$V$2:$V$355,MATCH($C246,Deals!$A$2:$A$355,0))),1)</f>
        <v/>
      </c>
      <c r="T246" s="34">
        <f>IFERROR(IF($U246="",1,INDEX(Deals!$W$2:$W$355,MATCH($C246,Deals!$A$2:$A$355,0))),1)</f>
        <v/>
      </c>
      <c r="U246" s="22">
        <f>IF($C246="","",IFERROR(IF(INDEX(Deals!$Y$2:$Y$355,MATCH($C246,Deals!$A$2:$A$355,0))=0,"",INDEX(Deals!$Y$2:$Y$355,MATCH($C246,Deals!$A$2:$A$355,0))),""))</f>
        <v/>
      </c>
      <c r="V246" s="35">
        <f>IF($U246="",DATE(1900,1,1),$N246)</f>
        <v/>
      </c>
      <c r="W246" s="35">
        <f>IF($U246="",DATE(2100,12,31),$U246)</f>
        <v/>
      </c>
      <c r="X246" s="32">
        <f>IF($U246="",$K246,$K246*$S246)</f>
        <v/>
      </c>
      <c r="Y246" s="35">
        <f>IF($U246="",DATE(2100,12,31),$U246+1)</f>
        <v/>
      </c>
      <c r="Z246" s="35">
        <f>IF($U246="",DATE(1900,1,1),$O246)</f>
        <v/>
      </c>
      <c r="AA246" s="32">
        <f>IF($U246="",0,$K246*$T246)</f>
        <v/>
      </c>
      <c r="AB246" s="21">
        <f>IF($C246="",0,IFERROR(INDEX(Deals!$AD$2:$AD$355,MATCH($C246,Deals!$A$2:$A$355,0)),0))</f>
        <v/>
      </c>
      <c r="AC246" s="32">
        <f>IF(Settings!$B$4="Yes",$I246*$AB246,$I246)</f>
        <v/>
      </c>
      <c r="AD246" s="22">
        <f>IF($C246="","",IFERROR(IF(INDEX(Deals!$AE$2:$AE$355,MATCH($C246,Deals!$A$2:$A$355,0))=0,"",INDEX(Deals!$AE$2:$AE$355,MATCH($C246,Deals!$A$2:$A$355,0))),""))</f>
        <v/>
      </c>
      <c r="AE246" s="22">
        <f>IF($C246="","",IFERROR(IF(INDEX(Deals!$AF$2:$AF$355,MATCH($C246,Deals!$A$2:$A$355,0))=0,"",INDEX(Deals!$AF$2:$AF$355,MATCH($C246,Deals!$A$2:$A$355,0))),""))</f>
        <v/>
      </c>
      <c r="AF246" s="35">
        <f>IF($AD246="",DATE(1900,1,1),$AD246)</f>
        <v/>
      </c>
      <c r="AG246" s="35">
        <f>IF($AE246="",DATE(2100,12,31),$AE246)</f>
        <v/>
      </c>
      <c r="AH246" s="22">
        <f>IF($C246="","",IFERROR(IF(INDEX(Deals!$AG$2:$AG$355,MATCH($C246,Deals!$A$2:$A$355,0))=0,"",INDEX(Deals!$AG$2:$AG$355,MATCH($C246,Deals!$A$2:$A$355,0))),""))</f>
        <v/>
      </c>
      <c r="AI246" s="35">
        <f>IF($AH246="",DATE(1900,1,1),$AF246)</f>
        <v/>
      </c>
      <c r="AJ246" s="35">
        <f>IF($AH246="",DATE(2100,12,31),$AH246)</f>
        <v/>
      </c>
      <c r="AK246" s="32">
        <f>IF($AH246="",$AC246,$AC246*$S246)</f>
        <v/>
      </c>
      <c r="AL246" s="35">
        <f>IF($AH246="",DATE(2100,12,31),$AH246+1)</f>
        <v/>
      </c>
      <c r="AM246" s="35">
        <f>IF($AH246="",DATE(1900,1,1),$AG246)</f>
        <v/>
      </c>
      <c r="AN246" s="32">
        <f>IF($AH246="",0,$AC246*$T246)</f>
        <v/>
      </c>
    </row>
    <row r="247">
      <c r="A247" s="28" t="inlineStr">
        <is>
          <t>Justine</t>
        </is>
      </c>
      <c r="B247" s="16">
        <f>IF($A247="","",IFERROR(INDEX(Roster!$B$2:$B$40,MATCH($A247,Roster!$A$2:$A$40,0)),"?"))</f>
        <v/>
      </c>
      <c r="C247" s="28" t="inlineStr">
        <is>
          <t>Mozart_2</t>
        </is>
      </c>
      <c r="D247" s="16">
        <f>IF($C247="","",IFERROR(IF(INDEX(Deals!$C$2:$C$355,MATCH($C247,Deals!$A$2:$A$355,0))=0,"",INDEX(Deals!$C$2:$C$355,MATCH($C247,Deals!$A$2:$A$355,0))),"?"))</f>
        <v/>
      </c>
      <c r="E247" s="16">
        <f>IF($C247="","",IFERROR(INDEX(Deals!$F$2:$F$355,MATCH($C247,Deals!$A$2:$A$355,0)),"?"))</f>
        <v/>
      </c>
      <c r="F247" s="28" t="inlineStr">
        <is>
          <t>Director</t>
        </is>
      </c>
      <c r="G247" s="28" t="inlineStr">
        <is>
          <t>Inactive</t>
        </is>
      </c>
      <c r="H247" s="31" t="n"/>
      <c r="I247" s="32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1">
        <f>IF($C247="",0,IFERROR(INDEX(Deals!$H$2:$H$355,MATCH($C247,Deals!$A$2:$A$355,0)),0))</f>
        <v/>
      </c>
      <c r="K247" s="32">
        <f>IF(Settings!$B$4="Yes",$I247*$J247,$I247)</f>
        <v/>
      </c>
      <c r="L247" s="22">
        <f>IF($C247="","",IFERROR(IF(INDEX(Deals!$I$2:$I$355,MATCH($C247,Deals!$A$2:$A$355,0))=0,"",INDEX(Deals!$I$2:$I$355,MATCH($C247,Deals!$A$2:$A$355,0))),""))</f>
        <v/>
      </c>
      <c r="M247" s="22">
        <f>IF($C247="","",IFERROR(IF(INDEX(Deals!$J$2:$J$355,MATCH($C247,Deals!$A$2:$A$355,0))=0,"",INDEX(Deals!$J$2:$J$355,MATCH($C247,Deals!$A$2:$A$355,0))),""))</f>
        <v/>
      </c>
      <c r="N247" s="35">
        <f>IF($L247="",DATE(1900,1,1),$L247)</f>
        <v/>
      </c>
      <c r="O247" s="35">
        <f>IF($M247="",DATE(2100,12,31),$M247)</f>
        <v/>
      </c>
      <c r="P247" s="20" t="inlineStr">
        <is>
          <t>Closed</t>
        </is>
      </c>
      <c r="Q247" s="43" t="inlineStr"/>
      <c r="R247" s="16">
        <f>IF($C247="","",IFERROR(IF(INDEX(Deals!$U$2:$U$355,MATCH($C247,Deals!$A$2:$A$355,0))=0,"",INDEX(Deals!$U$2:$U$355,MATCH($C247,Deals!$A$2:$A$355,0))),""))</f>
        <v/>
      </c>
      <c r="S247" s="34">
        <f>IFERROR(IF($U247="",1,INDEX(Deals!$V$2:$V$355,MATCH($C247,Deals!$A$2:$A$355,0))),1)</f>
        <v/>
      </c>
      <c r="T247" s="34">
        <f>IFERROR(IF($U247="",1,INDEX(Deals!$W$2:$W$355,MATCH($C247,Deals!$A$2:$A$355,0))),1)</f>
        <v/>
      </c>
      <c r="U247" s="22">
        <f>IF($C247="","",IFERROR(IF(INDEX(Deals!$Y$2:$Y$355,MATCH($C247,Deals!$A$2:$A$355,0))=0,"",INDEX(Deals!$Y$2:$Y$355,MATCH($C247,Deals!$A$2:$A$355,0))),""))</f>
        <v/>
      </c>
      <c r="V247" s="35">
        <f>IF($U247="",DATE(1900,1,1),$N247)</f>
        <v/>
      </c>
      <c r="W247" s="35">
        <f>IF($U247="",DATE(2100,12,31),$U247)</f>
        <v/>
      </c>
      <c r="X247" s="32">
        <f>IF($U247="",$K247,$K247*$S247)</f>
        <v/>
      </c>
      <c r="Y247" s="35">
        <f>IF($U247="",DATE(2100,12,31),$U247+1)</f>
        <v/>
      </c>
      <c r="Z247" s="35">
        <f>IF($U247="",DATE(1900,1,1),$O247)</f>
        <v/>
      </c>
      <c r="AA247" s="32">
        <f>IF($U247="",0,$K247*$T247)</f>
        <v/>
      </c>
      <c r="AB247" s="21">
        <f>IF($C247="",0,IFERROR(INDEX(Deals!$AD$2:$AD$355,MATCH($C247,Deals!$A$2:$A$355,0)),0))</f>
        <v/>
      </c>
      <c r="AC247" s="32">
        <f>IF(Settings!$B$4="Yes",$I247*$AB247,$I247)</f>
        <v/>
      </c>
      <c r="AD247" s="22">
        <f>IF($C247="","",IFERROR(IF(INDEX(Deals!$AE$2:$AE$355,MATCH($C247,Deals!$A$2:$A$355,0))=0,"",INDEX(Deals!$AE$2:$AE$355,MATCH($C247,Deals!$A$2:$A$355,0))),""))</f>
        <v/>
      </c>
      <c r="AE247" s="22">
        <f>IF($C247="","",IFERROR(IF(INDEX(Deals!$AF$2:$AF$355,MATCH($C247,Deals!$A$2:$A$355,0))=0,"",INDEX(Deals!$AF$2:$AF$355,MATCH($C247,Deals!$A$2:$A$355,0))),""))</f>
        <v/>
      </c>
      <c r="AF247" s="35">
        <f>IF($AD247="",DATE(1900,1,1),$AD247)</f>
        <v/>
      </c>
      <c r="AG247" s="35">
        <f>IF($AE247="",DATE(2100,12,31),$AE247)</f>
        <v/>
      </c>
      <c r="AH247" s="22">
        <f>IF($C247="","",IFERROR(IF(INDEX(Deals!$AG$2:$AG$355,MATCH($C247,Deals!$A$2:$A$355,0))=0,"",INDEX(Deals!$AG$2:$AG$355,MATCH($C247,Deals!$A$2:$A$355,0))),""))</f>
        <v/>
      </c>
      <c r="AI247" s="35">
        <f>IF($AH247="",DATE(1900,1,1),$AF247)</f>
        <v/>
      </c>
      <c r="AJ247" s="35">
        <f>IF($AH247="",DATE(2100,12,31),$AH247)</f>
        <v/>
      </c>
      <c r="AK247" s="32">
        <f>IF($AH247="",$AC247,$AC247*$S247)</f>
        <v/>
      </c>
      <c r="AL247" s="35">
        <f>IF($AH247="",DATE(2100,12,31),$AH247+1)</f>
        <v/>
      </c>
      <c r="AM247" s="35">
        <f>IF($AH247="",DATE(1900,1,1),$AG247)</f>
        <v/>
      </c>
      <c r="AN247" s="32">
        <f>IF($AH247="",0,$AC247*$T247)</f>
        <v/>
      </c>
    </row>
    <row r="248">
      <c r="A248" s="28" t="inlineStr">
        <is>
          <t>Justine</t>
        </is>
      </c>
      <c r="B248" s="16">
        <f>IF($A248="","",IFERROR(INDEX(Roster!$B$2:$B$40,MATCH($A248,Roster!$A$2:$A$40,0)),"?"))</f>
        <v/>
      </c>
      <c r="C248" s="28" t="inlineStr">
        <is>
          <t>Odysee/Atlas_2</t>
        </is>
      </c>
      <c r="D248" s="16">
        <f>IF($C248="","",IFERROR(IF(INDEX(Deals!$C$2:$C$355,MATCH($C248,Deals!$A$2:$A$355,0))=0,"",INDEX(Deals!$C$2:$C$355,MATCH($C248,Deals!$A$2:$A$355,0))),"?"))</f>
        <v/>
      </c>
      <c r="E248" s="16">
        <f>IF($C248="","",IFERROR(INDEX(Deals!$F$2:$F$355,MATCH($C248,Deals!$A$2:$A$355,0)),"?"))</f>
        <v/>
      </c>
      <c r="F248" s="28" t="inlineStr">
        <is>
          <t>Director</t>
        </is>
      </c>
      <c r="G248" s="28" t="inlineStr">
        <is>
          <t>Inactive</t>
        </is>
      </c>
      <c r="H248" s="31" t="n"/>
      <c r="I248" s="32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1">
        <f>IF($C248="",0,IFERROR(INDEX(Deals!$H$2:$H$355,MATCH($C248,Deals!$A$2:$A$355,0)),0))</f>
        <v/>
      </c>
      <c r="K248" s="32">
        <f>IF(Settings!$B$4="Yes",$I248*$J248,$I248)</f>
        <v/>
      </c>
      <c r="L248" s="22">
        <f>IF($C248="","",IFERROR(IF(INDEX(Deals!$I$2:$I$355,MATCH($C248,Deals!$A$2:$A$355,0))=0,"",INDEX(Deals!$I$2:$I$355,MATCH($C248,Deals!$A$2:$A$355,0))),""))</f>
        <v/>
      </c>
      <c r="M248" s="22">
        <f>IF($C248="","",IFERROR(IF(INDEX(Deals!$J$2:$J$355,MATCH($C248,Deals!$A$2:$A$355,0))=0,"",INDEX(Deals!$J$2:$J$355,MATCH($C248,Deals!$A$2:$A$355,0))),""))</f>
        <v/>
      </c>
      <c r="N248" s="35">
        <f>IF($L248="",DATE(1900,1,1),$L248)</f>
        <v/>
      </c>
      <c r="O248" s="35">
        <f>IF($M248="",DATE(2100,12,31),$M248)</f>
        <v/>
      </c>
      <c r="P248" s="20" t="inlineStr">
        <is>
          <t>Closed</t>
        </is>
      </c>
      <c r="Q248" s="43" t="inlineStr"/>
      <c r="R248" s="16">
        <f>IF($C248="","",IFERROR(IF(INDEX(Deals!$U$2:$U$355,MATCH($C248,Deals!$A$2:$A$355,0))=0,"",INDEX(Deals!$U$2:$U$355,MATCH($C248,Deals!$A$2:$A$355,0))),""))</f>
        <v/>
      </c>
      <c r="S248" s="34">
        <f>IFERROR(IF($U248="",1,INDEX(Deals!$V$2:$V$355,MATCH($C248,Deals!$A$2:$A$355,0))),1)</f>
        <v/>
      </c>
      <c r="T248" s="34">
        <f>IFERROR(IF($U248="",1,INDEX(Deals!$W$2:$W$355,MATCH($C248,Deals!$A$2:$A$355,0))),1)</f>
        <v/>
      </c>
      <c r="U248" s="22">
        <f>IF($C248="","",IFERROR(IF(INDEX(Deals!$Y$2:$Y$355,MATCH($C248,Deals!$A$2:$A$355,0))=0,"",INDEX(Deals!$Y$2:$Y$355,MATCH($C248,Deals!$A$2:$A$355,0))),""))</f>
        <v/>
      </c>
      <c r="V248" s="35">
        <f>IF($U248="",DATE(1900,1,1),$N248)</f>
        <v/>
      </c>
      <c r="W248" s="35">
        <f>IF($U248="",DATE(2100,12,31),$U248)</f>
        <v/>
      </c>
      <c r="X248" s="32">
        <f>IF($U248="",$K248,$K248*$S248)</f>
        <v/>
      </c>
      <c r="Y248" s="35">
        <f>IF($U248="",DATE(2100,12,31),$U248+1)</f>
        <v/>
      </c>
      <c r="Z248" s="35">
        <f>IF($U248="",DATE(1900,1,1),$O248)</f>
        <v/>
      </c>
      <c r="AA248" s="32">
        <f>IF($U248="",0,$K248*$T248)</f>
        <v/>
      </c>
      <c r="AB248" s="21">
        <f>IF($C248="",0,IFERROR(INDEX(Deals!$AD$2:$AD$355,MATCH($C248,Deals!$A$2:$A$355,0)),0))</f>
        <v/>
      </c>
      <c r="AC248" s="32">
        <f>IF(Settings!$B$4="Yes",$I248*$AB248,$I248)</f>
        <v/>
      </c>
      <c r="AD248" s="22">
        <f>IF($C248="","",IFERROR(IF(INDEX(Deals!$AE$2:$AE$355,MATCH($C248,Deals!$A$2:$A$355,0))=0,"",INDEX(Deals!$AE$2:$AE$355,MATCH($C248,Deals!$A$2:$A$355,0))),""))</f>
        <v/>
      </c>
      <c r="AE248" s="22">
        <f>IF($C248="","",IFERROR(IF(INDEX(Deals!$AF$2:$AF$355,MATCH($C248,Deals!$A$2:$A$355,0))=0,"",INDEX(Deals!$AF$2:$AF$355,MATCH($C248,Deals!$A$2:$A$355,0))),""))</f>
        <v/>
      </c>
      <c r="AF248" s="35">
        <f>IF($AD248="",DATE(1900,1,1),$AD248)</f>
        <v/>
      </c>
      <c r="AG248" s="35">
        <f>IF($AE248="",DATE(2100,12,31),$AE248)</f>
        <v/>
      </c>
      <c r="AH248" s="22">
        <f>IF($C248="","",IFERROR(IF(INDEX(Deals!$AG$2:$AG$355,MATCH($C248,Deals!$A$2:$A$355,0))=0,"",INDEX(Deals!$AG$2:$AG$355,MATCH($C248,Deals!$A$2:$A$355,0))),""))</f>
        <v/>
      </c>
      <c r="AI248" s="35">
        <f>IF($AH248="",DATE(1900,1,1),$AF248)</f>
        <v/>
      </c>
      <c r="AJ248" s="35">
        <f>IF($AH248="",DATE(2100,12,31),$AH248)</f>
        <v/>
      </c>
      <c r="AK248" s="32">
        <f>IF($AH248="",$AC248,$AC248*$S248)</f>
        <v/>
      </c>
      <c r="AL248" s="35">
        <f>IF($AH248="",DATE(2100,12,31),$AH248+1)</f>
        <v/>
      </c>
      <c r="AM248" s="35">
        <f>IF($AH248="",DATE(1900,1,1),$AG248)</f>
        <v/>
      </c>
      <c r="AN248" s="32">
        <f>IF($AH248="",0,$AC248*$T248)</f>
        <v/>
      </c>
    </row>
    <row r="249">
      <c r="A249" s="28" t="inlineStr">
        <is>
          <t>Justine</t>
        </is>
      </c>
      <c r="B249" s="16">
        <f>IF($A249="","",IFERROR(INDEX(Roster!$B$2:$B$40,MATCH($A249,Roster!$A$2:$A$40,0)),"?"))</f>
        <v/>
      </c>
      <c r="C249" s="28" t="inlineStr">
        <is>
          <t>Offtake_1</t>
        </is>
      </c>
      <c r="D249" s="16">
        <f>IF($C249="","",IFERROR(IF(INDEX(Deals!$C$2:$C$355,MATCH($C249,Deals!$A$2:$A$355,0))=0,"",INDEX(Deals!$C$2:$C$355,MATCH($C249,Deals!$A$2:$A$355,0))),"?"))</f>
        <v/>
      </c>
      <c r="E249" s="16">
        <f>IF($C249="","",IFERROR(INDEX(Deals!$F$2:$F$355,MATCH($C249,Deals!$A$2:$A$355,0)),"?"))</f>
        <v/>
      </c>
      <c r="F249" s="28" t="inlineStr">
        <is>
          <t>Director</t>
        </is>
      </c>
      <c r="G249" s="28" t="inlineStr">
        <is>
          <t>Active</t>
        </is>
      </c>
      <c r="H249" s="31" t="n"/>
      <c r="I249" s="32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1">
        <f>IF($C249="",0,IFERROR(INDEX(Deals!$H$2:$H$355,MATCH($C249,Deals!$A$2:$A$355,0)),0))</f>
        <v/>
      </c>
      <c r="K249" s="32">
        <f>IF(Settings!$B$4="Yes",$I249*$J249,$I249)</f>
        <v/>
      </c>
      <c r="L249" s="22">
        <f>IF($C249="","",IFERROR(IF(INDEX(Deals!$I$2:$I$355,MATCH($C249,Deals!$A$2:$A$355,0))=0,"",INDEX(Deals!$I$2:$I$355,MATCH($C249,Deals!$A$2:$A$355,0))),""))</f>
        <v/>
      </c>
      <c r="M249" s="22">
        <f>IF($C249="","",IFERROR(IF(INDEX(Deals!$J$2:$J$355,MATCH($C249,Deals!$A$2:$A$355,0))=0,"",INDEX(Deals!$J$2:$J$355,MATCH($C249,Deals!$A$2:$A$355,0))),""))</f>
        <v/>
      </c>
      <c r="N249" s="35">
        <f>IF($L249="",DATE(1900,1,1),$L249)</f>
        <v/>
      </c>
      <c r="O249" s="35">
        <f>IF($M249="",DATE(2100,12,31),$M249)</f>
        <v/>
      </c>
      <c r="P249" s="20" t="inlineStr">
        <is>
          <t>Proposal</t>
        </is>
      </c>
      <c r="Q249" s="43" t="inlineStr"/>
      <c r="R249" s="16">
        <f>IF($C249="","",IFERROR(IF(INDEX(Deals!$U$2:$U$355,MATCH($C249,Deals!$A$2:$A$355,0))=0,"",INDEX(Deals!$U$2:$U$355,MATCH($C249,Deals!$A$2:$A$355,0))),""))</f>
        <v/>
      </c>
      <c r="S249" s="34">
        <f>IFERROR(IF($U249="",1,INDEX(Deals!$V$2:$V$355,MATCH($C249,Deals!$A$2:$A$355,0))),1)</f>
        <v/>
      </c>
      <c r="T249" s="34">
        <f>IFERROR(IF($U249="",1,INDEX(Deals!$W$2:$W$355,MATCH($C249,Deals!$A$2:$A$355,0))),1)</f>
        <v/>
      </c>
      <c r="U249" s="22">
        <f>IF($C249="","",IFERROR(IF(INDEX(Deals!$Y$2:$Y$355,MATCH($C249,Deals!$A$2:$A$355,0))=0,"",INDEX(Deals!$Y$2:$Y$355,MATCH($C249,Deals!$A$2:$A$355,0))),""))</f>
        <v/>
      </c>
      <c r="V249" s="35">
        <f>IF($U249="",DATE(1900,1,1),$N249)</f>
        <v/>
      </c>
      <c r="W249" s="35">
        <f>IF($U249="",DATE(2100,12,31),$U249)</f>
        <v/>
      </c>
      <c r="X249" s="32">
        <f>IF($U249="",$K249,$K249*$S249)</f>
        <v/>
      </c>
      <c r="Y249" s="35">
        <f>IF($U249="",DATE(2100,12,31),$U249+1)</f>
        <v/>
      </c>
      <c r="Z249" s="35">
        <f>IF($U249="",DATE(1900,1,1),$O249)</f>
        <v/>
      </c>
      <c r="AA249" s="32">
        <f>IF($U249="",0,$K249*$T249)</f>
        <v/>
      </c>
      <c r="AB249" s="21">
        <f>IF($C249="",0,IFERROR(INDEX(Deals!$AD$2:$AD$355,MATCH($C249,Deals!$A$2:$A$355,0)),0))</f>
        <v/>
      </c>
      <c r="AC249" s="32">
        <f>IF(Settings!$B$4="Yes",$I249*$AB249,$I249)</f>
        <v/>
      </c>
      <c r="AD249" s="22">
        <f>IF($C249="","",IFERROR(IF(INDEX(Deals!$AE$2:$AE$355,MATCH($C249,Deals!$A$2:$A$355,0))=0,"",INDEX(Deals!$AE$2:$AE$355,MATCH($C249,Deals!$A$2:$A$355,0))),""))</f>
        <v/>
      </c>
      <c r="AE249" s="22">
        <f>IF($C249="","",IFERROR(IF(INDEX(Deals!$AF$2:$AF$355,MATCH($C249,Deals!$A$2:$A$355,0))=0,"",INDEX(Deals!$AF$2:$AF$355,MATCH($C249,Deals!$A$2:$A$355,0))),""))</f>
        <v/>
      </c>
      <c r="AF249" s="35">
        <f>IF($AD249="",DATE(1900,1,1),$AD249)</f>
        <v/>
      </c>
      <c r="AG249" s="35">
        <f>IF($AE249="",DATE(2100,12,31),$AE249)</f>
        <v/>
      </c>
      <c r="AH249" s="22">
        <f>IF($C249="","",IFERROR(IF(INDEX(Deals!$AG$2:$AG$355,MATCH($C249,Deals!$A$2:$A$355,0))=0,"",INDEX(Deals!$AG$2:$AG$355,MATCH($C249,Deals!$A$2:$A$355,0))),""))</f>
        <v/>
      </c>
      <c r="AI249" s="35">
        <f>IF($AH249="",DATE(1900,1,1),$AF249)</f>
        <v/>
      </c>
      <c r="AJ249" s="35">
        <f>IF($AH249="",DATE(2100,12,31),$AH249)</f>
        <v/>
      </c>
      <c r="AK249" s="32">
        <f>IF($AH249="",$AC249,$AC249*$S249)</f>
        <v/>
      </c>
      <c r="AL249" s="35">
        <f>IF($AH249="",DATE(2100,12,31),$AH249+1)</f>
        <v/>
      </c>
      <c r="AM249" s="35">
        <f>IF($AH249="",DATE(1900,1,1),$AG249)</f>
        <v/>
      </c>
      <c r="AN249" s="32">
        <f>IF($AH249="",0,$AC249*$T249)</f>
        <v/>
      </c>
    </row>
    <row r="250">
      <c r="A250" s="28" t="inlineStr">
        <is>
          <t>Justine</t>
        </is>
      </c>
      <c r="B250" s="16">
        <f>IF($A250="","",IFERROR(INDEX(Roster!$B$2:$B$40,MATCH($A250,Roster!$A$2:$A$40,0)),"?"))</f>
        <v/>
      </c>
      <c r="C250" s="28" t="inlineStr">
        <is>
          <t>Orange_4</t>
        </is>
      </c>
      <c r="D250" s="16">
        <f>IF($C250="","",IFERROR(IF(INDEX(Deals!$C$2:$C$355,MATCH($C250,Deals!$A$2:$A$355,0))=0,"",INDEX(Deals!$C$2:$C$355,MATCH($C250,Deals!$A$2:$A$355,0))),"?"))</f>
        <v/>
      </c>
      <c r="E250" s="16">
        <f>IF($C250="","",IFERROR(INDEX(Deals!$F$2:$F$355,MATCH($C250,Deals!$A$2:$A$355,0)),"?"))</f>
        <v/>
      </c>
      <c r="F250" s="28" t="inlineStr">
        <is>
          <t>Director</t>
        </is>
      </c>
      <c r="G250" s="28" t="inlineStr">
        <is>
          <t>Active</t>
        </is>
      </c>
      <c r="H250" s="31" t="n"/>
      <c r="I250" s="32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1">
        <f>IF($C250="",0,IFERROR(INDEX(Deals!$H$2:$H$355,MATCH($C250,Deals!$A$2:$A$355,0)),0))</f>
        <v/>
      </c>
      <c r="K250" s="32">
        <f>IF(Settings!$B$4="Yes",$I250*$J250,$I250)</f>
        <v/>
      </c>
      <c r="L250" s="22">
        <f>IF($C250="","",IFERROR(IF(INDEX(Deals!$I$2:$I$355,MATCH($C250,Deals!$A$2:$A$355,0))=0,"",INDEX(Deals!$I$2:$I$355,MATCH($C250,Deals!$A$2:$A$355,0))),""))</f>
        <v/>
      </c>
      <c r="M250" s="22">
        <f>IF($C250="","",IFERROR(IF(INDEX(Deals!$J$2:$J$355,MATCH($C250,Deals!$A$2:$A$355,0))=0,"",INDEX(Deals!$J$2:$J$355,MATCH($C250,Deals!$A$2:$A$355,0))),""))</f>
        <v/>
      </c>
      <c r="N250" s="35">
        <f>IF($L250="",DATE(1900,1,1),$L250)</f>
        <v/>
      </c>
      <c r="O250" s="35">
        <f>IF($M250="",DATE(2100,12,31),$M250)</f>
        <v/>
      </c>
      <c r="P250" s="20" t="inlineStr">
        <is>
          <t>Ongoing</t>
        </is>
      </c>
      <c r="Q250" s="43" t="inlineStr"/>
      <c r="R250" s="16">
        <f>IF($C250="","",IFERROR(IF(INDEX(Deals!$U$2:$U$355,MATCH($C250,Deals!$A$2:$A$355,0))=0,"",INDEX(Deals!$U$2:$U$355,MATCH($C250,Deals!$A$2:$A$355,0))),""))</f>
        <v/>
      </c>
      <c r="S250" s="34">
        <f>IFERROR(IF($U250="",1,INDEX(Deals!$V$2:$V$355,MATCH($C250,Deals!$A$2:$A$355,0))),1)</f>
        <v/>
      </c>
      <c r="T250" s="34">
        <f>IFERROR(IF($U250="",1,INDEX(Deals!$W$2:$W$355,MATCH($C250,Deals!$A$2:$A$355,0))),1)</f>
        <v/>
      </c>
      <c r="U250" s="22">
        <f>IF($C250="","",IFERROR(IF(INDEX(Deals!$Y$2:$Y$355,MATCH($C250,Deals!$A$2:$A$355,0))=0,"",INDEX(Deals!$Y$2:$Y$355,MATCH($C250,Deals!$A$2:$A$355,0))),""))</f>
        <v/>
      </c>
      <c r="V250" s="35">
        <f>IF($U250="",DATE(1900,1,1),$N250)</f>
        <v/>
      </c>
      <c r="W250" s="35">
        <f>IF($U250="",DATE(2100,12,31),$U250)</f>
        <v/>
      </c>
      <c r="X250" s="32">
        <f>IF($U250="",$K250,$K250*$S250)</f>
        <v/>
      </c>
      <c r="Y250" s="35">
        <f>IF($U250="",DATE(2100,12,31),$U250+1)</f>
        <v/>
      </c>
      <c r="Z250" s="35">
        <f>IF($U250="",DATE(1900,1,1),$O250)</f>
        <v/>
      </c>
      <c r="AA250" s="32">
        <f>IF($U250="",0,$K250*$T250)</f>
        <v/>
      </c>
      <c r="AB250" s="21">
        <f>IF($C250="",0,IFERROR(INDEX(Deals!$AD$2:$AD$355,MATCH($C250,Deals!$A$2:$A$355,0)),0))</f>
        <v/>
      </c>
      <c r="AC250" s="32">
        <f>IF(Settings!$B$4="Yes",$I250*$AB250,$I250)</f>
        <v/>
      </c>
      <c r="AD250" s="22">
        <f>IF($C250="","",IFERROR(IF(INDEX(Deals!$AE$2:$AE$355,MATCH($C250,Deals!$A$2:$A$355,0))=0,"",INDEX(Deals!$AE$2:$AE$355,MATCH($C250,Deals!$A$2:$A$355,0))),""))</f>
        <v/>
      </c>
      <c r="AE250" s="22">
        <f>IF($C250="","",IFERROR(IF(INDEX(Deals!$AF$2:$AF$355,MATCH($C250,Deals!$A$2:$A$355,0))=0,"",INDEX(Deals!$AF$2:$AF$355,MATCH($C250,Deals!$A$2:$A$355,0))),""))</f>
        <v/>
      </c>
      <c r="AF250" s="35">
        <f>IF($AD250="",DATE(1900,1,1),$AD250)</f>
        <v/>
      </c>
      <c r="AG250" s="35">
        <f>IF($AE250="",DATE(2100,12,31),$AE250)</f>
        <v/>
      </c>
      <c r="AH250" s="22">
        <f>IF($C250="","",IFERROR(IF(INDEX(Deals!$AG$2:$AG$355,MATCH($C250,Deals!$A$2:$A$355,0))=0,"",INDEX(Deals!$AG$2:$AG$355,MATCH($C250,Deals!$A$2:$A$355,0))),""))</f>
        <v/>
      </c>
      <c r="AI250" s="35">
        <f>IF($AH250="",DATE(1900,1,1),$AF250)</f>
        <v/>
      </c>
      <c r="AJ250" s="35">
        <f>IF($AH250="",DATE(2100,12,31),$AH250)</f>
        <v/>
      </c>
      <c r="AK250" s="32">
        <f>IF($AH250="",$AC250,$AC250*$S250)</f>
        <v/>
      </c>
      <c r="AL250" s="35">
        <f>IF($AH250="",DATE(2100,12,31),$AH250+1)</f>
        <v/>
      </c>
      <c r="AM250" s="35">
        <f>IF($AH250="",DATE(1900,1,1),$AG250)</f>
        <v/>
      </c>
      <c r="AN250" s="32">
        <f>IF($AH250="",0,$AC250*$T250)</f>
        <v/>
      </c>
    </row>
    <row r="251">
      <c r="A251" s="28" t="inlineStr">
        <is>
          <t>Justine</t>
        </is>
      </c>
      <c r="B251" s="16">
        <f>IF($A251="","",IFERROR(INDEX(Roster!$B$2:$B$40,MATCH($A251,Roster!$A$2:$A$40,0)),"?"))</f>
        <v/>
      </c>
      <c r="C251" s="28" t="inlineStr">
        <is>
          <t>Principal Asset Management BD_1</t>
        </is>
      </c>
      <c r="D251" s="16">
        <f>IF($C251="","",IFERROR(IF(INDEX(Deals!$C$2:$C$355,MATCH($C251,Deals!$A$2:$A$355,0))=0,"",INDEX(Deals!$C$2:$C$355,MATCH($C251,Deals!$A$2:$A$355,0))),"?"))</f>
        <v/>
      </c>
      <c r="E251" s="16">
        <f>IF($C251="","",IFERROR(INDEX(Deals!$F$2:$F$355,MATCH($C251,Deals!$A$2:$A$355,0)),"?"))</f>
        <v/>
      </c>
      <c r="F251" s="28" t="inlineStr">
        <is>
          <t>Director</t>
        </is>
      </c>
      <c r="G251" s="28" t="inlineStr">
        <is>
          <t>Active</t>
        </is>
      </c>
      <c r="H251" s="31" t="n"/>
      <c r="I251" s="32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1">
        <f>IF($C251="",0,IFERROR(INDEX(Deals!$H$2:$H$355,MATCH($C251,Deals!$A$2:$A$355,0)),0))</f>
        <v/>
      </c>
      <c r="K251" s="32">
        <f>IF(Settings!$B$4="Yes",$I251*$J251,$I251)</f>
        <v/>
      </c>
      <c r="L251" s="22">
        <f>IF($C251="","",IFERROR(IF(INDEX(Deals!$I$2:$I$355,MATCH($C251,Deals!$A$2:$A$355,0))=0,"",INDEX(Deals!$I$2:$I$355,MATCH($C251,Deals!$A$2:$A$355,0))),""))</f>
        <v/>
      </c>
      <c r="M251" s="22">
        <f>IF($C251="","",IFERROR(IF(INDEX(Deals!$J$2:$J$355,MATCH($C251,Deals!$A$2:$A$355,0))=0,"",INDEX(Deals!$J$2:$J$355,MATCH($C251,Deals!$A$2:$A$355,0))),""))</f>
        <v/>
      </c>
      <c r="N251" s="35">
        <f>IF($L251="",DATE(1900,1,1),$L251)</f>
        <v/>
      </c>
      <c r="O251" s="35">
        <f>IF($M251="",DATE(2100,12,31),$M251)</f>
        <v/>
      </c>
      <c r="P251" s="20" t="inlineStr">
        <is>
          <t>Proposal</t>
        </is>
      </c>
      <c r="Q251" s="43" t="inlineStr"/>
      <c r="R251" s="16">
        <f>IF($C251="","",IFERROR(IF(INDEX(Deals!$U$2:$U$355,MATCH($C251,Deals!$A$2:$A$355,0))=0,"",INDEX(Deals!$U$2:$U$355,MATCH($C251,Deals!$A$2:$A$355,0))),""))</f>
        <v/>
      </c>
      <c r="S251" s="34">
        <f>IFERROR(IF($U251="",1,INDEX(Deals!$V$2:$V$355,MATCH($C251,Deals!$A$2:$A$355,0))),1)</f>
        <v/>
      </c>
      <c r="T251" s="34">
        <f>IFERROR(IF($U251="",1,INDEX(Deals!$W$2:$W$355,MATCH($C251,Deals!$A$2:$A$355,0))),1)</f>
        <v/>
      </c>
      <c r="U251" s="22">
        <f>IF($C251="","",IFERROR(IF(INDEX(Deals!$Y$2:$Y$355,MATCH($C251,Deals!$A$2:$A$355,0))=0,"",INDEX(Deals!$Y$2:$Y$355,MATCH($C251,Deals!$A$2:$A$355,0))),""))</f>
        <v/>
      </c>
      <c r="V251" s="35">
        <f>IF($U251="",DATE(1900,1,1),$N251)</f>
        <v/>
      </c>
      <c r="W251" s="35">
        <f>IF($U251="",DATE(2100,12,31),$U251)</f>
        <v/>
      </c>
      <c r="X251" s="32">
        <f>IF($U251="",$K251,$K251*$S251)</f>
        <v/>
      </c>
      <c r="Y251" s="35">
        <f>IF($U251="",DATE(2100,12,31),$U251+1)</f>
        <v/>
      </c>
      <c r="Z251" s="35">
        <f>IF($U251="",DATE(1900,1,1),$O251)</f>
        <v/>
      </c>
      <c r="AA251" s="32">
        <f>IF($U251="",0,$K251*$T251)</f>
        <v/>
      </c>
      <c r="AB251" s="21">
        <f>IF($C251="",0,IFERROR(INDEX(Deals!$AD$2:$AD$355,MATCH($C251,Deals!$A$2:$A$355,0)),0))</f>
        <v/>
      </c>
      <c r="AC251" s="32">
        <f>IF(Settings!$B$4="Yes",$I251*$AB251,$I251)</f>
        <v/>
      </c>
      <c r="AD251" s="22">
        <f>IF($C251="","",IFERROR(IF(INDEX(Deals!$AE$2:$AE$355,MATCH($C251,Deals!$A$2:$A$355,0))=0,"",INDEX(Deals!$AE$2:$AE$355,MATCH($C251,Deals!$A$2:$A$355,0))),""))</f>
        <v/>
      </c>
      <c r="AE251" s="22">
        <f>IF($C251="","",IFERROR(IF(INDEX(Deals!$AF$2:$AF$355,MATCH($C251,Deals!$A$2:$A$355,0))=0,"",INDEX(Deals!$AF$2:$AF$355,MATCH($C251,Deals!$A$2:$A$355,0))),""))</f>
        <v/>
      </c>
      <c r="AF251" s="35">
        <f>IF($AD251="",DATE(1900,1,1),$AD251)</f>
        <v/>
      </c>
      <c r="AG251" s="35">
        <f>IF($AE251="",DATE(2100,12,31),$AE251)</f>
        <v/>
      </c>
      <c r="AH251" s="22">
        <f>IF($C251="","",IFERROR(IF(INDEX(Deals!$AG$2:$AG$355,MATCH($C251,Deals!$A$2:$A$355,0))=0,"",INDEX(Deals!$AG$2:$AG$355,MATCH($C251,Deals!$A$2:$A$355,0))),""))</f>
        <v/>
      </c>
      <c r="AI251" s="35">
        <f>IF($AH251="",DATE(1900,1,1),$AF251)</f>
        <v/>
      </c>
      <c r="AJ251" s="35">
        <f>IF($AH251="",DATE(2100,12,31),$AH251)</f>
        <v/>
      </c>
      <c r="AK251" s="32">
        <f>IF($AH251="",$AC251,$AC251*$S251)</f>
        <v/>
      </c>
      <c r="AL251" s="35">
        <f>IF($AH251="",DATE(2100,12,31),$AH251+1)</f>
        <v/>
      </c>
      <c r="AM251" s="35">
        <f>IF($AH251="",DATE(1900,1,1),$AG251)</f>
        <v/>
      </c>
      <c r="AN251" s="32">
        <f>IF($AH251="",0,$AC251*$T251)</f>
        <v/>
      </c>
    </row>
    <row r="252">
      <c r="A252" s="28" t="inlineStr">
        <is>
          <t>Justine</t>
        </is>
      </c>
      <c r="B252" s="16">
        <f>IF($A252="","",IFERROR(INDEX(Roster!$B$2:$B$40,MATCH($A252,Roster!$A$2:$A$40,0)),"?"))</f>
        <v/>
      </c>
      <c r="C252" s="28" t="inlineStr">
        <is>
          <t>Scale Add On</t>
        </is>
      </c>
      <c r="D252" s="16">
        <f>IF($C252="","",IFERROR(IF(INDEX(Deals!$C$2:$C$355,MATCH($C252,Deals!$A$2:$A$355,0))=0,"",INDEX(Deals!$C$2:$C$355,MATCH($C252,Deals!$A$2:$A$355,0))),"?"))</f>
        <v/>
      </c>
      <c r="E252" s="16">
        <f>IF($C252="","",IFERROR(INDEX(Deals!$F$2:$F$355,MATCH($C252,Deals!$A$2:$A$355,0)),"?"))</f>
        <v/>
      </c>
      <c r="F252" s="28" t="inlineStr">
        <is>
          <t>Director</t>
        </is>
      </c>
      <c r="G252" s="28" t="inlineStr">
        <is>
          <t>Active</t>
        </is>
      </c>
      <c r="H252" s="31" t="n"/>
      <c r="I252" s="32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1">
        <f>IF($C252="",0,IFERROR(INDEX(Deals!$H$2:$H$355,MATCH($C252,Deals!$A$2:$A$355,0)),0))</f>
        <v/>
      </c>
      <c r="K252" s="32">
        <f>IF(Settings!$B$4="Yes",$I252*$J252,$I252)</f>
        <v/>
      </c>
      <c r="L252" s="22">
        <f>IF($C252="","",IFERROR(IF(INDEX(Deals!$I$2:$I$355,MATCH($C252,Deals!$A$2:$A$355,0))=0,"",INDEX(Deals!$I$2:$I$355,MATCH($C252,Deals!$A$2:$A$355,0))),""))</f>
        <v/>
      </c>
      <c r="M252" s="22">
        <f>IF($C252="","",IFERROR(IF(INDEX(Deals!$J$2:$J$355,MATCH($C252,Deals!$A$2:$A$355,0))=0,"",INDEX(Deals!$J$2:$J$355,MATCH($C252,Deals!$A$2:$A$355,0))),""))</f>
        <v/>
      </c>
      <c r="N252" s="35">
        <f>IF($L252="",DATE(1900,1,1),$L252)</f>
        <v/>
      </c>
      <c r="O252" s="35">
        <f>IF($M252="",DATE(2100,12,31),$M252)</f>
        <v/>
      </c>
      <c r="P252" s="20" t="inlineStr">
        <is>
          <t>Proposal - to be coming soon</t>
        </is>
      </c>
      <c r="Q252" s="43" t="inlineStr">
        <is>
          <t>Added from Summary tab</t>
        </is>
      </c>
      <c r="R252" s="16">
        <f>IF($C252="","",IFERROR(IF(INDEX(Deals!$U$2:$U$355,MATCH($C252,Deals!$A$2:$A$355,0))=0,"",INDEX(Deals!$U$2:$U$355,MATCH($C252,Deals!$A$2:$A$355,0))),""))</f>
        <v/>
      </c>
      <c r="S252" s="34">
        <f>IFERROR(IF($U252="",1,INDEX(Deals!$V$2:$V$355,MATCH($C252,Deals!$A$2:$A$355,0))),1)</f>
        <v/>
      </c>
      <c r="T252" s="34">
        <f>IFERROR(IF($U252="",1,INDEX(Deals!$W$2:$W$355,MATCH($C252,Deals!$A$2:$A$355,0))),1)</f>
        <v/>
      </c>
      <c r="U252" s="22">
        <f>IF($C252="","",IFERROR(IF(INDEX(Deals!$Y$2:$Y$355,MATCH($C252,Deals!$A$2:$A$355,0))=0,"",INDEX(Deals!$Y$2:$Y$355,MATCH($C252,Deals!$A$2:$A$355,0))),""))</f>
        <v/>
      </c>
      <c r="V252" s="35">
        <f>IF($U252="",DATE(1900,1,1),$N252)</f>
        <v/>
      </c>
      <c r="W252" s="35">
        <f>IF($U252="",DATE(2100,12,31),$U252)</f>
        <v/>
      </c>
      <c r="X252" s="32">
        <f>IF($U252="",$K252,$K252*$S252)</f>
        <v/>
      </c>
      <c r="Y252" s="35">
        <f>IF($U252="",DATE(2100,12,31),$U252+1)</f>
        <v/>
      </c>
      <c r="Z252" s="35">
        <f>IF($U252="",DATE(1900,1,1),$O252)</f>
        <v/>
      </c>
      <c r="AA252" s="32">
        <f>IF($U252="",0,$K252*$T252)</f>
        <v/>
      </c>
      <c r="AB252" s="21">
        <f>IF($C252="",0,IFERROR(INDEX(Deals!$AD$2:$AD$355,MATCH($C252,Deals!$A$2:$A$355,0)),0))</f>
        <v/>
      </c>
      <c r="AC252" s="32">
        <f>IF(Settings!$B$4="Yes",$I252*$AB252,$I252)</f>
        <v/>
      </c>
      <c r="AD252" s="22">
        <f>IF($C252="","",IFERROR(IF(INDEX(Deals!$AE$2:$AE$355,MATCH($C252,Deals!$A$2:$A$355,0))=0,"",INDEX(Deals!$AE$2:$AE$355,MATCH($C252,Deals!$A$2:$A$355,0))),""))</f>
        <v/>
      </c>
      <c r="AE252" s="22">
        <f>IF($C252="","",IFERROR(IF(INDEX(Deals!$AF$2:$AF$355,MATCH($C252,Deals!$A$2:$A$355,0))=0,"",INDEX(Deals!$AF$2:$AF$355,MATCH($C252,Deals!$A$2:$A$355,0))),""))</f>
        <v/>
      </c>
      <c r="AF252" s="35">
        <f>IF($AD252="",DATE(1900,1,1),$AD252)</f>
        <v/>
      </c>
      <c r="AG252" s="35">
        <f>IF($AE252="",DATE(2100,12,31),$AE252)</f>
        <v/>
      </c>
      <c r="AH252" s="22">
        <f>IF($C252="","",IFERROR(IF(INDEX(Deals!$AG$2:$AG$355,MATCH($C252,Deals!$A$2:$A$355,0))=0,"",INDEX(Deals!$AG$2:$AG$355,MATCH($C252,Deals!$A$2:$A$355,0))),""))</f>
        <v/>
      </c>
      <c r="AI252" s="35">
        <f>IF($AH252="",DATE(1900,1,1),$AF252)</f>
        <v/>
      </c>
      <c r="AJ252" s="35">
        <f>IF($AH252="",DATE(2100,12,31),$AH252)</f>
        <v/>
      </c>
      <c r="AK252" s="32">
        <f>IF($AH252="",$AC252,$AC252*$S252)</f>
        <v/>
      </c>
      <c r="AL252" s="35">
        <f>IF($AH252="",DATE(2100,12,31),$AH252+1)</f>
        <v/>
      </c>
      <c r="AM252" s="35">
        <f>IF($AH252="",DATE(1900,1,1),$AG252)</f>
        <v/>
      </c>
      <c r="AN252" s="32">
        <f>IF($AH252="",0,$AC252*$T252)</f>
        <v/>
      </c>
    </row>
    <row r="253">
      <c r="A253" s="28" t="inlineStr">
        <is>
          <t>Justine</t>
        </is>
      </c>
      <c r="B253" s="16">
        <f>IF($A253="","",IFERROR(INDEX(Roster!$B$2:$B$40,MATCH($A253,Roster!$A$2:$A$40,0)),"?"))</f>
        <v/>
      </c>
      <c r="C253" s="28" t="inlineStr">
        <is>
          <t>Scion_1</t>
        </is>
      </c>
      <c r="D253" s="16">
        <f>IF($C253="","",IFERROR(IF(INDEX(Deals!$C$2:$C$355,MATCH($C253,Deals!$A$2:$A$355,0))=0,"",INDEX(Deals!$C$2:$C$355,MATCH($C253,Deals!$A$2:$A$355,0))),"?"))</f>
        <v/>
      </c>
      <c r="E253" s="16">
        <f>IF($C253="","",IFERROR(INDEX(Deals!$F$2:$F$355,MATCH($C253,Deals!$A$2:$A$355,0)),"?"))</f>
        <v/>
      </c>
      <c r="F253" s="28" t="inlineStr">
        <is>
          <t>Director</t>
        </is>
      </c>
      <c r="G253" s="28" t="inlineStr">
        <is>
          <t>Inactive</t>
        </is>
      </c>
      <c r="H253" s="31" t="n"/>
      <c r="I253" s="32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1">
        <f>IF($C253="",0,IFERROR(INDEX(Deals!$H$2:$H$355,MATCH($C253,Deals!$A$2:$A$355,0)),0))</f>
        <v/>
      </c>
      <c r="K253" s="32">
        <f>IF(Settings!$B$4="Yes",$I253*$J253,$I253)</f>
        <v/>
      </c>
      <c r="L253" s="22">
        <f>IF($C253="","",IFERROR(IF(INDEX(Deals!$I$2:$I$355,MATCH($C253,Deals!$A$2:$A$355,0))=0,"",INDEX(Deals!$I$2:$I$355,MATCH($C253,Deals!$A$2:$A$355,0))),""))</f>
        <v/>
      </c>
      <c r="M253" s="22">
        <f>IF($C253="","",IFERROR(IF(INDEX(Deals!$J$2:$J$355,MATCH($C253,Deals!$A$2:$A$355,0))=0,"",INDEX(Deals!$J$2:$J$355,MATCH($C253,Deals!$A$2:$A$355,0))),""))</f>
        <v/>
      </c>
      <c r="N253" s="35">
        <f>IF($L253="",DATE(1900,1,1),$L253)</f>
        <v/>
      </c>
      <c r="O253" s="35">
        <f>IF($M253="",DATE(2100,12,31),$M253)</f>
        <v/>
      </c>
      <c r="P253" s="20" t="inlineStr">
        <is>
          <t>Closed to be invoiced</t>
        </is>
      </c>
      <c r="Q253" s="43" t="inlineStr"/>
      <c r="R253" s="16">
        <f>IF($C253="","",IFERROR(IF(INDEX(Deals!$U$2:$U$355,MATCH($C253,Deals!$A$2:$A$355,0))=0,"",INDEX(Deals!$U$2:$U$355,MATCH($C253,Deals!$A$2:$A$355,0))),""))</f>
        <v/>
      </c>
      <c r="S253" s="34">
        <f>IFERROR(IF($U253="",1,INDEX(Deals!$V$2:$V$355,MATCH($C253,Deals!$A$2:$A$355,0))),1)</f>
        <v/>
      </c>
      <c r="T253" s="34">
        <f>IFERROR(IF($U253="",1,INDEX(Deals!$W$2:$W$355,MATCH($C253,Deals!$A$2:$A$355,0))),1)</f>
        <v/>
      </c>
      <c r="U253" s="22">
        <f>IF($C253="","",IFERROR(IF(INDEX(Deals!$Y$2:$Y$355,MATCH($C253,Deals!$A$2:$A$355,0))=0,"",INDEX(Deals!$Y$2:$Y$355,MATCH($C253,Deals!$A$2:$A$355,0))),""))</f>
        <v/>
      </c>
      <c r="V253" s="35">
        <f>IF($U253="",DATE(1900,1,1),$N253)</f>
        <v/>
      </c>
      <c r="W253" s="35">
        <f>IF($U253="",DATE(2100,12,31),$U253)</f>
        <v/>
      </c>
      <c r="X253" s="32">
        <f>IF($U253="",$K253,$K253*$S253)</f>
        <v/>
      </c>
      <c r="Y253" s="35">
        <f>IF($U253="",DATE(2100,12,31),$U253+1)</f>
        <v/>
      </c>
      <c r="Z253" s="35">
        <f>IF($U253="",DATE(1900,1,1),$O253)</f>
        <v/>
      </c>
      <c r="AA253" s="32">
        <f>IF($U253="",0,$K253*$T253)</f>
        <v/>
      </c>
      <c r="AB253" s="21">
        <f>IF($C253="",0,IFERROR(INDEX(Deals!$AD$2:$AD$355,MATCH($C253,Deals!$A$2:$A$355,0)),0))</f>
        <v/>
      </c>
      <c r="AC253" s="32">
        <f>IF(Settings!$B$4="Yes",$I253*$AB253,$I253)</f>
        <v/>
      </c>
      <c r="AD253" s="22">
        <f>IF($C253="","",IFERROR(IF(INDEX(Deals!$AE$2:$AE$355,MATCH($C253,Deals!$A$2:$A$355,0))=0,"",INDEX(Deals!$AE$2:$AE$355,MATCH($C253,Deals!$A$2:$A$355,0))),""))</f>
        <v/>
      </c>
      <c r="AE253" s="22">
        <f>IF($C253="","",IFERROR(IF(INDEX(Deals!$AF$2:$AF$355,MATCH($C253,Deals!$A$2:$A$355,0))=0,"",INDEX(Deals!$AF$2:$AF$355,MATCH($C253,Deals!$A$2:$A$355,0))),""))</f>
        <v/>
      </c>
      <c r="AF253" s="35">
        <f>IF($AD253="",DATE(1900,1,1),$AD253)</f>
        <v/>
      </c>
      <c r="AG253" s="35">
        <f>IF($AE253="",DATE(2100,12,31),$AE253)</f>
        <v/>
      </c>
      <c r="AH253" s="22">
        <f>IF($C253="","",IFERROR(IF(INDEX(Deals!$AG$2:$AG$355,MATCH($C253,Deals!$A$2:$A$355,0))=0,"",INDEX(Deals!$AG$2:$AG$355,MATCH($C253,Deals!$A$2:$A$355,0))),""))</f>
        <v/>
      </c>
      <c r="AI253" s="35">
        <f>IF($AH253="",DATE(1900,1,1),$AF253)</f>
        <v/>
      </c>
      <c r="AJ253" s="35">
        <f>IF($AH253="",DATE(2100,12,31),$AH253)</f>
        <v/>
      </c>
      <c r="AK253" s="32">
        <f>IF($AH253="",$AC253,$AC253*$S253)</f>
        <v/>
      </c>
      <c r="AL253" s="35">
        <f>IF($AH253="",DATE(2100,12,31),$AH253+1)</f>
        <v/>
      </c>
      <c r="AM253" s="35">
        <f>IF($AH253="",DATE(1900,1,1),$AG253)</f>
        <v/>
      </c>
      <c r="AN253" s="32">
        <f>IF($AH253="",0,$AC253*$T253)</f>
        <v/>
      </c>
    </row>
    <row r="254">
      <c r="A254" s="28" t="inlineStr">
        <is>
          <t>Justine</t>
        </is>
      </c>
      <c r="B254" s="16">
        <f>IF($A254="","",IFERROR(INDEX(Roster!$B$2:$B$40,MATCH($A254,Roster!$A$2:$A$40,0)),"?"))</f>
        <v/>
      </c>
      <c r="C254" s="28" t="inlineStr">
        <is>
          <t>Seven2 PFIC_1</t>
        </is>
      </c>
      <c r="D254" s="16">
        <f>IF($C254="","",IFERROR(IF(INDEX(Deals!$C$2:$C$355,MATCH($C254,Deals!$A$2:$A$355,0))=0,"",INDEX(Deals!$C$2:$C$355,MATCH($C254,Deals!$A$2:$A$355,0))),"?"))</f>
        <v/>
      </c>
      <c r="E254" s="16">
        <f>IF($C254="","",IFERROR(INDEX(Deals!$F$2:$F$355,MATCH($C254,Deals!$A$2:$A$355,0)),"?"))</f>
        <v/>
      </c>
      <c r="F254" s="28" t="inlineStr">
        <is>
          <t>Director</t>
        </is>
      </c>
      <c r="G254" s="28" t="inlineStr">
        <is>
          <t>Inactive</t>
        </is>
      </c>
      <c r="H254" s="31" t="n"/>
      <c r="I254" s="32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1">
        <f>IF($C254="",0,IFERROR(INDEX(Deals!$H$2:$H$355,MATCH($C254,Deals!$A$2:$A$355,0)),0))</f>
        <v/>
      </c>
      <c r="K254" s="32">
        <f>IF(Settings!$B$4="Yes",$I254*$J254,$I254)</f>
        <v/>
      </c>
      <c r="L254" s="22">
        <f>IF($C254="","",IFERROR(IF(INDEX(Deals!$I$2:$I$355,MATCH($C254,Deals!$A$2:$A$355,0))=0,"",INDEX(Deals!$I$2:$I$355,MATCH($C254,Deals!$A$2:$A$355,0))),""))</f>
        <v/>
      </c>
      <c r="M254" s="22">
        <f>IF($C254="","",IFERROR(IF(INDEX(Deals!$J$2:$J$355,MATCH($C254,Deals!$A$2:$A$355,0))=0,"",INDEX(Deals!$J$2:$J$355,MATCH($C254,Deals!$A$2:$A$355,0))),""))</f>
        <v/>
      </c>
      <c r="N254" s="35">
        <f>IF($L254="",DATE(1900,1,1),$L254)</f>
        <v/>
      </c>
      <c r="O254" s="35">
        <f>IF($M254="",DATE(2100,12,31),$M254)</f>
        <v/>
      </c>
      <c r="P254" s="20" t="inlineStr">
        <is>
          <t>Closed</t>
        </is>
      </c>
      <c r="Q254" s="43" t="inlineStr"/>
      <c r="R254" s="16">
        <f>IF($C254="","",IFERROR(IF(INDEX(Deals!$U$2:$U$355,MATCH($C254,Deals!$A$2:$A$355,0))=0,"",INDEX(Deals!$U$2:$U$355,MATCH($C254,Deals!$A$2:$A$355,0))),""))</f>
        <v/>
      </c>
      <c r="S254" s="34">
        <f>IFERROR(IF($U254="",1,INDEX(Deals!$V$2:$V$355,MATCH($C254,Deals!$A$2:$A$355,0))),1)</f>
        <v/>
      </c>
      <c r="T254" s="34">
        <f>IFERROR(IF($U254="",1,INDEX(Deals!$W$2:$W$355,MATCH($C254,Deals!$A$2:$A$355,0))),1)</f>
        <v/>
      </c>
      <c r="U254" s="22">
        <f>IF($C254="","",IFERROR(IF(INDEX(Deals!$Y$2:$Y$355,MATCH($C254,Deals!$A$2:$A$355,0))=0,"",INDEX(Deals!$Y$2:$Y$355,MATCH($C254,Deals!$A$2:$A$355,0))),""))</f>
        <v/>
      </c>
      <c r="V254" s="35">
        <f>IF($U254="",DATE(1900,1,1),$N254)</f>
        <v/>
      </c>
      <c r="W254" s="35">
        <f>IF($U254="",DATE(2100,12,31),$U254)</f>
        <v/>
      </c>
      <c r="X254" s="32">
        <f>IF($U254="",$K254,$K254*$S254)</f>
        <v/>
      </c>
      <c r="Y254" s="35">
        <f>IF($U254="",DATE(2100,12,31),$U254+1)</f>
        <v/>
      </c>
      <c r="Z254" s="35">
        <f>IF($U254="",DATE(1900,1,1),$O254)</f>
        <v/>
      </c>
      <c r="AA254" s="32">
        <f>IF($U254="",0,$K254*$T254)</f>
        <v/>
      </c>
      <c r="AB254" s="21">
        <f>IF($C254="",0,IFERROR(INDEX(Deals!$AD$2:$AD$355,MATCH($C254,Deals!$A$2:$A$355,0)),0))</f>
        <v/>
      </c>
      <c r="AC254" s="32">
        <f>IF(Settings!$B$4="Yes",$I254*$AB254,$I254)</f>
        <v/>
      </c>
      <c r="AD254" s="22">
        <f>IF($C254="","",IFERROR(IF(INDEX(Deals!$AE$2:$AE$355,MATCH($C254,Deals!$A$2:$A$355,0))=0,"",INDEX(Deals!$AE$2:$AE$355,MATCH($C254,Deals!$A$2:$A$355,0))),""))</f>
        <v/>
      </c>
      <c r="AE254" s="22">
        <f>IF($C254="","",IFERROR(IF(INDEX(Deals!$AF$2:$AF$355,MATCH($C254,Deals!$A$2:$A$355,0))=0,"",INDEX(Deals!$AF$2:$AF$355,MATCH($C254,Deals!$A$2:$A$355,0))),""))</f>
        <v/>
      </c>
      <c r="AF254" s="35">
        <f>IF($AD254="",DATE(1900,1,1),$AD254)</f>
        <v/>
      </c>
      <c r="AG254" s="35">
        <f>IF($AE254="",DATE(2100,12,31),$AE254)</f>
        <v/>
      </c>
      <c r="AH254" s="22">
        <f>IF($C254="","",IFERROR(IF(INDEX(Deals!$AG$2:$AG$355,MATCH($C254,Deals!$A$2:$A$355,0))=0,"",INDEX(Deals!$AG$2:$AG$355,MATCH($C254,Deals!$A$2:$A$355,0))),""))</f>
        <v/>
      </c>
      <c r="AI254" s="35">
        <f>IF($AH254="",DATE(1900,1,1),$AF254)</f>
        <v/>
      </c>
      <c r="AJ254" s="35">
        <f>IF($AH254="",DATE(2100,12,31),$AH254)</f>
        <v/>
      </c>
      <c r="AK254" s="32">
        <f>IF($AH254="",$AC254,$AC254*$S254)</f>
        <v/>
      </c>
      <c r="AL254" s="35">
        <f>IF($AH254="",DATE(2100,12,31),$AH254+1)</f>
        <v/>
      </c>
      <c r="AM254" s="35">
        <f>IF($AH254="",DATE(1900,1,1),$AG254)</f>
        <v/>
      </c>
      <c r="AN254" s="32">
        <f>IF($AH254="",0,$AC254*$T254)</f>
        <v/>
      </c>
    </row>
    <row r="255">
      <c r="A255" s="28" t="inlineStr">
        <is>
          <t>Justine</t>
        </is>
      </c>
      <c r="B255" s="16">
        <f>IF($A255="","",IFERROR(INDEX(Roster!$B$2:$B$40,MATCH($A255,Roster!$A$2:$A$40,0)),"?"))</f>
        <v/>
      </c>
      <c r="C255" s="28" t="inlineStr">
        <is>
          <t>Staffing_1</t>
        </is>
      </c>
      <c r="D255" s="16">
        <f>IF($C255="","",IFERROR(IF(INDEX(Deals!$C$2:$C$355,MATCH($C255,Deals!$A$2:$A$355,0))=0,"",INDEX(Deals!$C$2:$C$355,MATCH($C255,Deals!$A$2:$A$355,0))),"?"))</f>
        <v/>
      </c>
      <c r="E255" s="16">
        <f>IF($C255="","",IFERROR(INDEX(Deals!$F$2:$F$355,MATCH($C255,Deals!$A$2:$A$355,0)),"?"))</f>
        <v/>
      </c>
      <c r="F255" s="28" t="inlineStr">
        <is>
          <t>Director</t>
        </is>
      </c>
      <c r="G255" s="28" t="inlineStr">
        <is>
          <t>Inactive</t>
        </is>
      </c>
      <c r="H255" s="31" t="n"/>
      <c r="I255" s="32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1">
        <f>IF($C255="",0,IFERROR(INDEX(Deals!$H$2:$H$355,MATCH($C255,Deals!$A$2:$A$355,0)),0))</f>
        <v/>
      </c>
      <c r="K255" s="32">
        <f>IF(Settings!$B$4="Yes",$I255*$J255,$I255)</f>
        <v/>
      </c>
      <c r="L255" s="22">
        <f>IF($C255="","",IFERROR(IF(INDEX(Deals!$I$2:$I$355,MATCH($C255,Deals!$A$2:$A$355,0))=0,"",INDEX(Deals!$I$2:$I$355,MATCH($C255,Deals!$A$2:$A$355,0))),""))</f>
        <v/>
      </c>
      <c r="M255" s="22">
        <f>IF($C255="","",IFERROR(IF(INDEX(Deals!$J$2:$J$355,MATCH($C255,Deals!$A$2:$A$355,0))=0,"",INDEX(Deals!$J$2:$J$355,MATCH($C255,Deals!$A$2:$A$355,0))),""))</f>
        <v/>
      </c>
      <c r="N255" s="35">
        <f>IF($L255="",DATE(1900,1,1),$L255)</f>
        <v/>
      </c>
      <c r="O255" s="35">
        <f>IF($M255="",DATE(2100,12,31),$M255)</f>
        <v/>
      </c>
      <c r="P255" s="20" t="inlineStr">
        <is>
          <t>Dead</t>
        </is>
      </c>
      <c r="Q255" s="43" t="inlineStr"/>
      <c r="R255" s="16">
        <f>IF($C255="","",IFERROR(IF(INDEX(Deals!$U$2:$U$355,MATCH($C255,Deals!$A$2:$A$355,0))=0,"",INDEX(Deals!$U$2:$U$355,MATCH($C255,Deals!$A$2:$A$355,0))),""))</f>
        <v/>
      </c>
      <c r="S255" s="34">
        <f>IFERROR(IF($U255="",1,INDEX(Deals!$V$2:$V$355,MATCH($C255,Deals!$A$2:$A$355,0))),1)</f>
        <v/>
      </c>
      <c r="T255" s="34">
        <f>IFERROR(IF($U255="",1,INDEX(Deals!$W$2:$W$355,MATCH($C255,Deals!$A$2:$A$355,0))),1)</f>
        <v/>
      </c>
      <c r="U255" s="22">
        <f>IF($C255="","",IFERROR(IF(INDEX(Deals!$Y$2:$Y$355,MATCH($C255,Deals!$A$2:$A$355,0))=0,"",INDEX(Deals!$Y$2:$Y$355,MATCH($C255,Deals!$A$2:$A$355,0))),""))</f>
        <v/>
      </c>
      <c r="V255" s="35">
        <f>IF($U255="",DATE(1900,1,1),$N255)</f>
        <v/>
      </c>
      <c r="W255" s="35">
        <f>IF($U255="",DATE(2100,12,31),$U255)</f>
        <v/>
      </c>
      <c r="X255" s="32">
        <f>IF($U255="",$K255,$K255*$S255)</f>
        <v/>
      </c>
      <c r="Y255" s="35">
        <f>IF($U255="",DATE(2100,12,31),$U255+1)</f>
        <v/>
      </c>
      <c r="Z255" s="35">
        <f>IF($U255="",DATE(1900,1,1),$O255)</f>
        <v/>
      </c>
      <c r="AA255" s="32">
        <f>IF($U255="",0,$K255*$T255)</f>
        <v/>
      </c>
      <c r="AB255" s="21">
        <f>IF($C255="",0,IFERROR(INDEX(Deals!$AD$2:$AD$355,MATCH($C255,Deals!$A$2:$A$355,0)),0))</f>
        <v/>
      </c>
      <c r="AC255" s="32">
        <f>IF(Settings!$B$4="Yes",$I255*$AB255,$I255)</f>
        <v/>
      </c>
      <c r="AD255" s="22">
        <f>IF($C255="","",IFERROR(IF(INDEX(Deals!$AE$2:$AE$355,MATCH($C255,Deals!$A$2:$A$355,0))=0,"",INDEX(Deals!$AE$2:$AE$355,MATCH($C255,Deals!$A$2:$A$355,0))),""))</f>
        <v/>
      </c>
      <c r="AE255" s="22">
        <f>IF($C255="","",IFERROR(IF(INDEX(Deals!$AF$2:$AF$355,MATCH($C255,Deals!$A$2:$A$355,0))=0,"",INDEX(Deals!$AF$2:$AF$355,MATCH($C255,Deals!$A$2:$A$355,0))),""))</f>
        <v/>
      </c>
      <c r="AF255" s="35">
        <f>IF($AD255="",DATE(1900,1,1),$AD255)</f>
        <v/>
      </c>
      <c r="AG255" s="35">
        <f>IF($AE255="",DATE(2100,12,31),$AE255)</f>
        <v/>
      </c>
      <c r="AH255" s="22">
        <f>IF($C255="","",IFERROR(IF(INDEX(Deals!$AG$2:$AG$355,MATCH($C255,Deals!$A$2:$A$355,0))=0,"",INDEX(Deals!$AG$2:$AG$355,MATCH($C255,Deals!$A$2:$A$355,0))),""))</f>
        <v/>
      </c>
      <c r="AI255" s="35">
        <f>IF($AH255="",DATE(1900,1,1),$AF255)</f>
        <v/>
      </c>
      <c r="AJ255" s="35">
        <f>IF($AH255="",DATE(2100,12,31),$AH255)</f>
        <v/>
      </c>
      <c r="AK255" s="32">
        <f>IF($AH255="",$AC255,$AC255*$S255)</f>
        <v/>
      </c>
      <c r="AL255" s="35">
        <f>IF($AH255="",DATE(2100,12,31),$AH255+1)</f>
        <v/>
      </c>
      <c r="AM255" s="35">
        <f>IF($AH255="",DATE(1900,1,1),$AG255)</f>
        <v/>
      </c>
      <c r="AN255" s="32">
        <f>IF($AH255="",0,$AC255*$T255)</f>
        <v/>
      </c>
    </row>
    <row r="256">
      <c r="A256" s="28" t="inlineStr">
        <is>
          <t>Justine</t>
        </is>
      </c>
      <c r="B256" s="16">
        <f>IF($A256="","",IFERROR(INDEX(Roster!$B$2:$B$40,MATCH($A256,Roster!$A$2:$A$40,0)),"?"))</f>
        <v/>
      </c>
      <c r="C256" s="28" t="inlineStr">
        <is>
          <t>Sunrise_5</t>
        </is>
      </c>
      <c r="D256" s="16">
        <f>IF($C256="","",IFERROR(IF(INDEX(Deals!$C$2:$C$355,MATCH($C256,Deals!$A$2:$A$355,0))=0,"",INDEX(Deals!$C$2:$C$355,MATCH($C256,Deals!$A$2:$A$355,0))),"?"))</f>
        <v/>
      </c>
      <c r="E256" s="16">
        <f>IF($C256="","",IFERROR(INDEX(Deals!$F$2:$F$355,MATCH($C256,Deals!$A$2:$A$355,0)),"?"))</f>
        <v/>
      </c>
      <c r="F256" s="28" t="inlineStr">
        <is>
          <t>Director</t>
        </is>
      </c>
      <c r="G256" s="28" t="inlineStr">
        <is>
          <t>Inactive</t>
        </is>
      </c>
      <c r="H256" s="31" t="n"/>
      <c r="I256" s="32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1">
        <f>IF($C256="",0,IFERROR(INDEX(Deals!$H$2:$H$355,MATCH($C256,Deals!$A$2:$A$355,0)),0))</f>
        <v/>
      </c>
      <c r="K256" s="32">
        <f>IF(Settings!$B$4="Yes",$I256*$J256,$I256)</f>
        <v/>
      </c>
      <c r="L256" s="22">
        <f>IF($C256="","",IFERROR(IF(INDEX(Deals!$I$2:$I$355,MATCH($C256,Deals!$A$2:$A$355,0))=0,"",INDEX(Deals!$I$2:$I$355,MATCH($C256,Deals!$A$2:$A$355,0))),""))</f>
        <v/>
      </c>
      <c r="M256" s="22">
        <f>IF($C256="","",IFERROR(IF(INDEX(Deals!$J$2:$J$355,MATCH($C256,Deals!$A$2:$A$355,0))=0,"",INDEX(Deals!$J$2:$J$355,MATCH($C256,Deals!$A$2:$A$355,0))),""))</f>
        <v/>
      </c>
      <c r="N256" s="35">
        <f>IF($L256="",DATE(1900,1,1),$L256)</f>
        <v/>
      </c>
      <c r="O256" s="35">
        <f>IF($M256="",DATE(2100,12,31),$M256)</f>
        <v/>
      </c>
      <c r="P256" s="20" t="inlineStr">
        <is>
          <t>Dead</t>
        </is>
      </c>
      <c r="Q256" s="43" t="inlineStr"/>
      <c r="R256" s="16">
        <f>IF($C256="","",IFERROR(IF(INDEX(Deals!$U$2:$U$355,MATCH($C256,Deals!$A$2:$A$355,0))=0,"",INDEX(Deals!$U$2:$U$355,MATCH($C256,Deals!$A$2:$A$355,0))),""))</f>
        <v/>
      </c>
      <c r="S256" s="34">
        <f>IFERROR(IF($U256="",1,INDEX(Deals!$V$2:$V$355,MATCH($C256,Deals!$A$2:$A$355,0))),1)</f>
        <v/>
      </c>
      <c r="T256" s="34">
        <f>IFERROR(IF($U256="",1,INDEX(Deals!$W$2:$W$355,MATCH($C256,Deals!$A$2:$A$355,0))),1)</f>
        <v/>
      </c>
      <c r="U256" s="22">
        <f>IF($C256="","",IFERROR(IF(INDEX(Deals!$Y$2:$Y$355,MATCH($C256,Deals!$A$2:$A$355,0))=0,"",INDEX(Deals!$Y$2:$Y$355,MATCH($C256,Deals!$A$2:$A$355,0))),""))</f>
        <v/>
      </c>
      <c r="V256" s="35">
        <f>IF($U256="",DATE(1900,1,1),$N256)</f>
        <v/>
      </c>
      <c r="W256" s="35">
        <f>IF($U256="",DATE(2100,12,31),$U256)</f>
        <v/>
      </c>
      <c r="X256" s="32">
        <f>IF($U256="",$K256,$K256*$S256)</f>
        <v/>
      </c>
      <c r="Y256" s="35">
        <f>IF($U256="",DATE(2100,12,31),$U256+1)</f>
        <v/>
      </c>
      <c r="Z256" s="35">
        <f>IF($U256="",DATE(1900,1,1),$O256)</f>
        <v/>
      </c>
      <c r="AA256" s="32">
        <f>IF($U256="",0,$K256*$T256)</f>
        <v/>
      </c>
      <c r="AB256" s="21">
        <f>IF($C256="",0,IFERROR(INDEX(Deals!$AD$2:$AD$355,MATCH($C256,Deals!$A$2:$A$355,0)),0))</f>
        <v/>
      </c>
      <c r="AC256" s="32">
        <f>IF(Settings!$B$4="Yes",$I256*$AB256,$I256)</f>
        <v/>
      </c>
      <c r="AD256" s="22">
        <f>IF($C256="","",IFERROR(IF(INDEX(Deals!$AE$2:$AE$355,MATCH($C256,Deals!$A$2:$A$355,0))=0,"",INDEX(Deals!$AE$2:$AE$355,MATCH($C256,Deals!$A$2:$A$355,0))),""))</f>
        <v/>
      </c>
      <c r="AE256" s="22">
        <f>IF($C256="","",IFERROR(IF(INDEX(Deals!$AF$2:$AF$355,MATCH($C256,Deals!$A$2:$A$355,0))=0,"",INDEX(Deals!$AF$2:$AF$355,MATCH($C256,Deals!$A$2:$A$355,0))),""))</f>
        <v/>
      </c>
      <c r="AF256" s="35">
        <f>IF($AD256="",DATE(1900,1,1),$AD256)</f>
        <v/>
      </c>
      <c r="AG256" s="35">
        <f>IF($AE256="",DATE(2100,12,31),$AE256)</f>
        <v/>
      </c>
      <c r="AH256" s="22">
        <f>IF($C256="","",IFERROR(IF(INDEX(Deals!$AG$2:$AG$355,MATCH($C256,Deals!$A$2:$A$355,0))=0,"",INDEX(Deals!$AG$2:$AG$355,MATCH($C256,Deals!$A$2:$A$355,0))),""))</f>
        <v/>
      </c>
      <c r="AI256" s="35">
        <f>IF($AH256="",DATE(1900,1,1),$AF256)</f>
        <v/>
      </c>
      <c r="AJ256" s="35">
        <f>IF($AH256="",DATE(2100,12,31),$AH256)</f>
        <v/>
      </c>
      <c r="AK256" s="32">
        <f>IF($AH256="",$AC256,$AC256*$S256)</f>
        <v/>
      </c>
      <c r="AL256" s="35">
        <f>IF($AH256="",DATE(2100,12,31),$AH256+1)</f>
        <v/>
      </c>
      <c r="AM256" s="35">
        <f>IF($AH256="",DATE(1900,1,1),$AG256)</f>
        <v/>
      </c>
      <c r="AN256" s="32">
        <f>IF($AH256="",0,$AC256*$T256)</f>
        <v/>
      </c>
    </row>
    <row r="257">
      <c r="A257" s="28" t="inlineStr">
        <is>
          <t>Justine</t>
        </is>
      </c>
      <c r="B257" s="16">
        <f>IF($A257="","",IFERROR(INDEX(Roster!$B$2:$B$40,MATCH($A257,Roster!$A$2:$A$40,0)),"?"))</f>
        <v/>
      </c>
      <c r="C257" s="28" t="inlineStr">
        <is>
          <t>TEP Structuring_3</t>
        </is>
      </c>
      <c r="D257" s="16">
        <f>IF($C257="","",IFERROR(IF(INDEX(Deals!$C$2:$C$355,MATCH($C257,Deals!$A$2:$A$355,0))=0,"",INDEX(Deals!$C$2:$C$355,MATCH($C257,Deals!$A$2:$A$355,0))),"?"))</f>
        <v/>
      </c>
      <c r="E257" s="16">
        <f>IF($C257="","",IFERROR(INDEX(Deals!$F$2:$F$355,MATCH($C257,Deals!$A$2:$A$355,0)),"?"))</f>
        <v/>
      </c>
      <c r="F257" s="28" t="inlineStr">
        <is>
          <t>Director</t>
        </is>
      </c>
      <c r="G257" s="28" t="inlineStr">
        <is>
          <t>Active</t>
        </is>
      </c>
      <c r="H257" s="31" t="n"/>
      <c r="I257" s="32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1">
        <f>IF($C257="",0,IFERROR(INDEX(Deals!$H$2:$H$355,MATCH($C257,Deals!$A$2:$A$355,0)),0))</f>
        <v/>
      </c>
      <c r="K257" s="32">
        <f>IF(Settings!$B$4="Yes",$I257*$J257,$I257)</f>
        <v/>
      </c>
      <c r="L257" s="22">
        <f>IF($C257="","",IFERROR(IF(INDEX(Deals!$I$2:$I$355,MATCH($C257,Deals!$A$2:$A$355,0))=0,"",INDEX(Deals!$I$2:$I$355,MATCH($C257,Deals!$A$2:$A$355,0))),""))</f>
        <v/>
      </c>
      <c r="M257" s="22">
        <f>IF($C257="","",IFERROR(IF(INDEX(Deals!$J$2:$J$355,MATCH($C257,Deals!$A$2:$A$355,0))=0,"",INDEX(Deals!$J$2:$J$355,MATCH($C257,Deals!$A$2:$A$355,0))),""))</f>
        <v/>
      </c>
      <c r="N257" s="35">
        <f>IF($L257="",DATE(1900,1,1),$L257)</f>
        <v/>
      </c>
      <c r="O257" s="35">
        <f>IF($M257="",DATE(2100,12,31),$M257)</f>
        <v/>
      </c>
      <c r="P257" s="20" t="inlineStr">
        <is>
          <t>Ongoing ad-hod</t>
        </is>
      </c>
      <c r="Q257" s="43" t="inlineStr"/>
      <c r="R257" s="16">
        <f>IF($C257="","",IFERROR(IF(INDEX(Deals!$U$2:$U$355,MATCH($C257,Deals!$A$2:$A$355,0))=0,"",INDEX(Deals!$U$2:$U$355,MATCH($C257,Deals!$A$2:$A$355,0))),""))</f>
        <v/>
      </c>
      <c r="S257" s="34">
        <f>IFERROR(IF($U257="",1,INDEX(Deals!$V$2:$V$355,MATCH($C257,Deals!$A$2:$A$355,0))),1)</f>
        <v/>
      </c>
      <c r="T257" s="34">
        <f>IFERROR(IF($U257="",1,INDEX(Deals!$W$2:$W$355,MATCH($C257,Deals!$A$2:$A$355,0))),1)</f>
        <v/>
      </c>
      <c r="U257" s="22">
        <f>IF($C257="","",IFERROR(IF(INDEX(Deals!$Y$2:$Y$355,MATCH($C257,Deals!$A$2:$A$355,0))=0,"",INDEX(Deals!$Y$2:$Y$355,MATCH($C257,Deals!$A$2:$A$355,0))),""))</f>
        <v/>
      </c>
      <c r="V257" s="35">
        <f>IF($U257="",DATE(1900,1,1),$N257)</f>
        <v/>
      </c>
      <c r="W257" s="35">
        <f>IF($U257="",DATE(2100,12,31),$U257)</f>
        <v/>
      </c>
      <c r="X257" s="32">
        <f>IF($U257="",$K257,$K257*$S257)</f>
        <v/>
      </c>
      <c r="Y257" s="35">
        <f>IF($U257="",DATE(2100,12,31),$U257+1)</f>
        <v/>
      </c>
      <c r="Z257" s="35">
        <f>IF($U257="",DATE(1900,1,1),$O257)</f>
        <v/>
      </c>
      <c r="AA257" s="32">
        <f>IF($U257="",0,$K257*$T257)</f>
        <v/>
      </c>
      <c r="AB257" s="21">
        <f>IF($C257="",0,IFERROR(INDEX(Deals!$AD$2:$AD$355,MATCH($C257,Deals!$A$2:$A$355,0)),0))</f>
        <v/>
      </c>
      <c r="AC257" s="32">
        <f>IF(Settings!$B$4="Yes",$I257*$AB257,$I257)</f>
        <v/>
      </c>
      <c r="AD257" s="22">
        <f>IF($C257="","",IFERROR(IF(INDEX(Deals!$AE$2:$AE$355,MATCH($C257,Deals!$A$2:$A$355,0))=0,"",INDEX(Deals!$AE$2:$AE$355,MATCH($C257,Deals!$A$2:$A$355,0))),""))</f>
        <v/>
      </c>
      <c r="AE257" s="22">
        <f>IF($C257="","",IFERROR(IF(INDEX(Deals!$AF$2:$AF$355,MATCH($C257,Deals!$A$2:$A$355,0))=0,"",INDEX(Deals!$AF$2:$AF$355,MATCH($C257,Deals!$A$2:$A$355,0))),""))</f>
        <v/>
      </c>
      <c r="AF257" s="35">
        <f>IF($AD257="",DATE(1900,1,1),$AD257)</f>
        <v/>
      </c>
      <c r="AG257" s="35">
        <f>IF($AE257="",DATE(2100,12,31),$AE257)</f>
        <v/>
      </c>
      <c r="AH257" s="22">
        <f>IF($C257="","",IFERROR(IF(INDEX(Deals!$AG$2:$AG$355,MATCH($C257,Deals!$A$2:$A$355,0))=0,"",INDEX(Deals!$AG$2:$AG$355,MATCH($C257,Deals!$A$2:$A$355,0))),""))</f>
        <v/>
      </c>
      <c r="AI257" s="35">
        <f>IF($AH257="",DATE(1900,1,1),$AF257)</f>
        <v/>
      </c>
      <c r="AJ257" s="35">
        <f>IF($AH257="",DATE(2100,12,31),$AH257)</f>
        <v/>
      </c>
      <c r="AK257" s="32">
        <f>IF($AH257="",$AC257,$AC257*$S257)</f>
        <v/>
      </c>
      <c r="AL257" s="35">
        <f>IF($AH257="",DATE(2100,12,31),$AH257+1)</f>
        <v/>
      </c>
      <c r="AM257" s="35">
        <f>IF($AH257="",DATE(1900,1,1),$AG257)</f>
        <v/>
      </c>
      <c r="AN257" s="32">
        <f>IF($AH257="",0,$AC257*$T257)</f>
        <v/>
      </c>
    </row>
    <row r="258">
      <c r="A258" s="28" t="inlineStr">
        <is>
          <t>Justine</t>
        </is>
      </c>
      <c r="B258" s="16">
        <f>IF($A258="","",IFERROR(INDEX(Roster!$B$2:$B$40,MATCH($A258,Roster!$A$2:$A$40,0)),"?"))</f>
        <v/>
      </c>
      <c r="C258" s="28" t="inlineStr">
        <is>
          <t>Theta_1</t>
        </is>
      </c>
      <c r="D258" s="16">
        <f>IF($C258="","",IFERROR(IF(INDEX(Deals!$C$2:$C$355,MATCH($C258,Deals!$A$2:$A$355,0))=0,"",INDEX(Deals!$C$2:$C$355,MATCH($C258,Deals!$A$2:$A$355,0))),"?"))</f>
        <v/>
      </c>
      <c r="E258" s="16">
        <f>IF($C258="","",IFERROR(INDEX(Deals!$F$2:$F$355,MATCH($C258,Deals!$A$2:$A$355,0)),"?"))</f>
        <v/>
      </c>
      <c r="F258" s="28" t="inlineStr">
        <is>
          <t>Director</t>
        </is>
      </c>
      <c r="G258" s="28" t="inlineStr">
        <is>
          <t>Active</t>
        </is>
      </c>
      <c r="H258" s="31" t="n"/>
      <c r="I258" s="32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1">
        <f>IF($C258="",0,IFERROR(INDEX(Deals!$H$2:$H$355,MATCH($C258,Deals!$A$2:$A$355,0)),0))</f>
        <v/>
      </c>
      <c r="K258" s="32">
        <f>IF(Settings!$B$4="Yes",$I258*$J258,$I258)</f>
        <v/>
      </c>
      <c r="L258" s="22">
        <f>IF($C258="","",IFERROR(IF(INDEX(Deals!$I$2:$I$355,MATCH($C258,Deals!$A$2:$A$355,0))=0,"",INDEX(Deals!$I$2:$I$355,MATCH($C258,Deals!$A$2:$A$355,0))),""))</f>
        <v/>
      </c>
      <c r="M258" s="22">
        <f>IF($C258="","",IFERROR(IF(INDEX(Deals!$J$2:$J$355,MATCH($C258,Deals!$A$2:$A$355,0))=0,"",INDEX(Deals!$J$2:$J$355,MATCH($C258,Deals!$A$2:$A$355,0))),""))</f>
        <v/>
      </c>
      <c r="N258" s="35">
        <f>IF($L258="",DATE(1900,1,1),$L258)</f>
        <v/>
      </c>
      <c r="O258" s="35">
        <f>IF($M258="",DATE(2100,12,31),$M258)</f>
        <v/>
      </c>
      <c r="P258" s="20" t="inlineStr">
        <is>
          <t>Proposal</t>
        </is>
      </c>
      <c r="Q258" s="43" t="inlineStr">
        <is>
          <t>Added from Summary tab</t>
        </is>
      </c>
      <c r="R258" s="16">
        <f>IF($C258="","",IFERROR(IF(INDEX(Deals!$U$2:$U$355,MATCH($C258,Deals!$A$2:$A$355,0))=0,"",INDEX(Deals!$U$2:$U$355,MATCH($C258,Deals!$A$2:$A$355,0))),""))</f>
        <v/>
      </c>
      <c r="S258" s="34">
        <f>IFERROR(IF($U258="",1,INDEX(Deals!$V$2:$V$355,MATCH($C258,Deals!$A$2:$A$355,0))),1)</f>
        <v/>
      </c>
      <c r="T258" s="34">
        <f>IFERROR(IF($U258="",1,INDEX(Deals!$W$2:$W$355,MATCH($C258,Deals!$A$2:$A$355,0))),1)</f>
        <v/>
      </c>
      <c r="U258" s="22">
        <f>IF($C258="","",IFERROR(IF(INDEX(Deals!$Y$2:$Y$355,MATCH($C258,Deals!$A$2:$A$355,0))=0,"",INDEX(Deals!$Y$2:$Y$355,MATCH($C258,Deals!$A$2:$A$355,0))),""))</f>
        <v/>
      </c>
      <c r="V258" s="35">
        <f>IF($U258="",DATE(1900,1,1),$N258)</f>
        <v/>
      </c>
      <c r="W258" s="35">
        <f>IF($U258="",DATE(2100,12,31),$U258)</f>
        <v/>
      </c>
      <c r="X258" s="32">
        <f>IF($U258="",$K258,$K258*$S258)</f>
        <v/>
      </c>
      <c r="Y258" s="35">
        <f>IF($U258="",DATE(2100,12,31),$U258+1)</f>
        <v/>
      </c>
      <c r="Z258" s="35">
        <f>IF($U258="",DATE(1900,1,1),$O258)</f>
        <v/>
      </c>
      <c r="AA258" s="32">
        <f>IF($U258="",0,$K258*$T258)</f>
        <v/>
      </c>
      <c r="AB258" s="21">
        <f>IF($C258="",0,IFERROR(INDEX(Deals!$AD$2:$AD$355,MATCH($C258,Deals!$A$2:$A$355,0)),0))</f>
        <v/>
      </c>
      <c r="AC258" s="32">
        <f>IF(Settings!$B$4="Yes",$I258*$AB258,$I258)</f>
        <v/>
      </c>
      <c r="AD258" s="22">
        <f>IF($C258="","",IFERROR(IF(INDEX(Deals!$AE$2:$AE$355,MATCH($C258,Deals!$A$2:$A$355,0))=0,"",INDEX(Deals!$AE$2:$AE$355,MATCH($C258,Deals!$A$2:$A$355,0))),""))</f>
        <v/>
      </c>
      <c r="AE258" s="22">
        <f>IF($C258="","",IFERROR(IF(INDEX(Deals!$AF$2:$AF$355,MATCH($C258,Deals!$A$2:$A$355,0))=0,"",INDEX(Deals!$AF$2:$AF$355,MATCH($C258,Deals!$A$2:$A$355,0))),""))</f>
        <v/>
      </c>
      <c r="AF258" s="35">
        <f>IF($AD258="",DATE(1900,1,1),$AD258)</f>
        <v/>
      </c>
      <c r="AG258" s="35">
        <f>IF($AE258="",DATE(2100,12,31),$AE258)</f>
        <v/>
      </c>
      <c r="AH258" s="22">
        <f>IF($C258="","",IFERROR(IF(INDEX(Deals!$AG$2:$AG$355,MATCH($C258,Deals!$A$2:$A$355,0))=0,"",INDEX(Deals!$AG$2:$AG$355,MATCH($C258,Deals!$A$2:$A$355,0))),""))</f>
        <v/>
      </c>
      <c r="AI258" s="35">
        <f>IF($AH258="",DATE(1900,1,1),$AF258)</f>
        <v/>
      </c>
      <c r="AJ258" s="35">
        <f>IF($AH258="",DATE(2100,12,31),$AH258)</f>
        <v/>
      </c>
      <c r="AK258" s="32">
        <f>IF($AH258="",$AC258,$AC258*$S258)</f>
        <v/>
      </c>
      <c r="AL258" s="35">
        <f>IF($AH258="",DATE(2100,12,31),$AH258+1)</f>
        <v/>
      </c>
      <c r="AM258" s="35">
        <f>IF($AH258="",DATE(1900,1,1),$AG258)</f>
        <v/>
      </c>
      <c r="AN258" s="32">
        <f>IF($AH258="",0,$AC258*$T258)</f>
        <v/>
      </c>
    </row>
    <row r="259">
      <c r="A259" s="28" t="inlineStr">
        <is>
          <t>Justine</t>
        </is>
      </c>
      <c r="B259" s="16">
        <f>IF($A259="","",IFERROR(INDEX(Roster!$B$2:$B$40,MATCH($A259,Roster!$A$2:$A$40,0)),"?"))</f>
        <v/>
      </c>
      <c r="C259" s="28" t="inlineStr">
        <is>
          <t>TP Assistance_1</t>
        </is>
      </c>
      <c r="D259" s="16">
        <f>IF($C259="","",IFERROR(IF(INDEX(Deals!$C$2:$C$355,MATCH($C259,Deals!$A$2:$A$355,0))=0,"",INDEX(Deals!$C$2:$C$355,MATCH($C259,Deals!$A$2:$A$355,0))),"?"))</f>
        <v/>
      </c>
      <c r="E259" s="16">
        <f>IF($C259="","",IFERROR(INDEX(Deals!$F$2:$F$355,MATCH($C259,Deals!$A$2:$A$355,0)),"?"))</f>
        <v/>
      </c>
      <c r="F259" s="28" t="inlineStr">
        <is>
          <t>Director</t>
        </is>
      </c>
      <c r="G259" s="28" t="inlineStr">
        <is>
          <t>Active</t>
        </is>
      </c>
      <c r="H259" s="31" t="n"/>
      <c r="I259" s="32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1">
        <f>IF($C259="",0,IFERROR(INDEX(Deals!$H$2:$H$355,MATCH($C259,Deals!$A$2:$A$355,0)),0))</f>
        <v/>
      </c>
      <c r="K259" s="32">
        <f>IF(Settings!$B$4="Yes",$I259*$J259,$I259)</f>
        <v/>
      </c>
      <c r="L259" s="22">
        <f>IF($C259="","",IFERROR(IF(INDEX(Deals!$I$2:$I$355,MATCH($C259,Deals!$A$2:$A$355,0))=0,"",INDEX(Deals!$I$2:$I$355,MATCH($C259,Deals!$A$2:$A$355,0))),""))</f>
        <v/>
      </c>
      <c r="M259" s="22">
        <f>IF($C259="","",IFERROR(IF(INDEX(Deals!$J$2:$J$355,MATCH($C259,Deals!$A$2:$A$355,0))=0,"",INDEX(Deals!$J$2:$J$355,MATCH($C259,Deals!$A$2:$A$355,0))),""))</f>
        <v/>
      </c>
      <c r="N259" s="35">
        <f>IF($L259="",DATE(1900,1,1),$L259)</f>
        <v/>
      </c>
      <c r="O259" s="35">
        <f>IF($M259="",DATE(2100,12,31),$M259)</f>
        <v/>
      </c>
      <c r="P259" s="20" t="inlineStr">
        <is>
          <t>Proposal</t>
        </is>
      </c>
      <c r="Q259" s="43" t="inlineStr"/>
      <c r="R259" s="16">
        <f>IF($C259="","",IFERROR(IF(INDEX(Deals!$U$2:$U$355,MATCH($C259,Deals!$A$2:$A$355,0))=0,"",INDEX(Deals!$U$2:$U$355,MATCH($C259,Deals!$A$2:$A$355,0))),""))</f>
        <v/>
      </c>
      <c r="S259" s="34">
        <f>IFERROR(IF($U259="",1,INDEX(Deals!$V$2:$V$355,MATCH($C259,Deals!$A$2:$A$355,0))),1)</f>
        <v/>
      </c>
      <c r="T259" s="34">
        <f>IFERROR(IF($U259="",1,INDEX(Deals!$W$2:$W$355,MATCH($C259,Deals!$A$2:$A$355,0))),1)</f>
        <v/>
      </c>
      <c r="U259" s="22">
        <f>IF($C259="","",IFERROR(IF(INDEX(Deals!$Y$2:$Y$355,MATCH($C259,Deals!$A$2:$A$355,0))=0,"",INDEX(Deals!$Y$2:$Y$355,MATCH($C259,Deals!$A$2:$A$355,0))),""))</f>
        <v/>
      </c>
      <c r="V259" s="35">
        <f>IF($U259="",DATE(1900,1,1),$N259)</f>
        <v/>
      </c>
      <c r="W259" s="35">
        <f>IF($U259="",DATE(2100,12,31),$U259)</f>
        <v/>
      </c>
      <c r="X259" s="32">
        <f>IF($U259="",$K259,$K259*$S259)</f>
        <v/>
      </c>
      <c r="Y259" s="35">
        <f>IF($U259="",DATE(2100,12,31),$U259+1)</f>
        <v/>
      </c>
      <c r="Z259" s="35">
        <f>IF($U259="",DATE(1900,1,1),$O259)</f>
        <v/>
      </c>
      <c r="AA259" s="32">
        <f>IF($U259="",0,$K259*$T259)</f>
        <v/>
      </c>
      <c r="AB259" s="21">
        <f>IF($C259="",0,IFERROR(INDEX(Deals!$AD$2:$AD$355,MATCH($C259,Deals!$A$2:$A$355,0)),0))</f>
        <v/>
      </c>
      <c r="AC259" s="32">
        <f>IF(Settings!$B$4="Yes",$I259*$AB259,$I259)</f>
        <v/>
      </c>
      <c r="AD259" s="22">
        <f>IF($C259="","",IFERROR(IF(INDEX(Deals!$AE$2:$AE$355,MATCH($C259,Deals!$A$2:$A$355,0))=0,"",INDEX(Deals!$AE$2:$AE$355,MATCH($C259,Deals!$A$2:$A$355,0))),""))</f>
        <v/>
      </c>
      <c r="AE259" s="22">
        <f>IF($C259="","",IFERROR(IF(INDEX(Deals!$AF$2:$AF$355,MATCH($C259,Deals!$A$2:$A$355,0))=0,"",INDEX(Deals!$AF$2:$AF$355,MATCH($C259,Deals!$A$2:$A$355,0))),""))</f>
        <v/>
      </c>
      <c r="AF259" s="35">
        <f>IF($AD259="",DATE(1900,1,1),$AD259)</f>
        <v/>
      </c>
      <c r="AG259" s="35">
        <f>IF($AE259="",DATE(2100,12,31),$AE259)</f>
        <v/>
      </c>
      <c r="AH259" s="22">
        <f>IF($C259="","",IFERROR(IF(INDEX(Deals!$AG$2:$AG$355,MATCH($C259,Deals!$A$2:$A$355,0))=0,"",INDEX(Deals!$AG$2:$AG$355,MATCH($C259,Deals!$A$2:$A$355,0))),""))</f>
        <v/>
      </c>
      <c r="AI259" s="35">
        <f>IF($AH259="",DATE(1900,1,1),$AF259)</f>
        <v/>
      </c>
      <c r="AJ259" s="35">
        <f>IF($AH259="",DATE(2100,12,31),$AH259)</f>
        <v/>
      </c>
      <c r="AK259" s="32">
        <f>IF($AH259="",$AC259,$AC259*$S259)</f>
        <v/>
      </c>
      <c r="AL259" s="35">
        <f>IF($AH259="",DATE(2100,12,31),$AH259+1)</f>
        <v/>
      </c>
      <c r="AM259" s="35">
        <f>IF($AH259="",DATE(1900,1,1),$AG259)</f>
        <v/>
      </c>
      <c r="AN259" s="32">
        <f>IF($AH259="",0,$AC259*$T259)</f>
        <v/>
      </c>
    </row>
    <row r="260">
      <c r="A260" s="28" t="inlineStr">
        <is>
          <t>Justine</t>
        </is>
      </c>
      <c r="B260" s="16">
        <f>IF($A260="","",IFERROR(INDEX(Roster!$B$2:$B$40,MATCH($A260,Roster!$A$2:$A$40,0)),"?"))</f>
        <v/>
      </c>
      <c r="C260" s="28" t="inlineStr">
        <is>
          <t>US Investment_1</t>
        </is>
      </c>
      <c r="D260" s="16">
        <f>IF($C260="","",IFERROR(IF(INDEX(Deals!$C$2:$C$355,MATCH($C260,Deals!$A$2:$A$355,0))=0,"",INDEX(Deals!$C$2:$C$355,MATCH($C260,Deals!$A$2:$A$355,0))),"?"))</f>
        <v/>
      </c>
      <c r="E260" s="16">
        <f>IF($C260="","",IFERROR(INDEX(Deals!$F$2:$F$355,MATCH($C260,Deals!$A$2:$A$355,0)),"?"))</f>
        <v/>
      </c>
      <c r="F260" s="28" t="inlineStr">
        <is>
          <t>Director</t>
        </is>
      </c>
      <c r="G260" s="28" t="inlineStr">
        <is>
          <t>Active</t>
        </is>
      </c>
      <c r="H260" s="31" t="n"/>
      <c r="I260" s="32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1">
        <f>IF($C260="",0,IFERROR(INDEX(Deals!$H$2:$H$355,MATCH($C260,Deals!$A$2:$A$355,0)),0))</f>
        <v/>
      </c>
      <c r="K260" s="32">
        <f>IF(Settings!$B$4="Yes",$I260*$J260,$I260)</f>
        <v/>
      </c>
      <c r="L260" s="22">
        <f>IF($C260="","",IFERROR(IF(INDEX(Deals!$I$2:$I$355,MATCH($C260,Deals!$A$2:$A$355,0))=0,"",INDEX(Deals!$I$2:$I$355,MATCH($C260,Deals!$A$2:$A$355,0))),""))</f>
        <v/>
      </c>
      <c r="M260" s="22">
        <f>IF($C260="","",IFERROR(IF(INDEX(Deals!$J$2:$J$355,MATCH($C260,Deals!$A$2:$A$355,0))=0,"",INDEX(Deals!$J$2:$J$355,MATCH($C260,Deals!$A$2:$A$355,0))),""))</f>
        <v/>
      </c>
      <c r="N260" s="35">
        <f>IF($L260="",DATE(1900,1,1),$L260)</f>
        <v/>
      </c>
      <c r="O260" s="35">
        <f>IF($M260="",DATE(2100,12,31),$M260)</f>
        <v/>
      </c>
      <c r="P260" s="20" t="inlineStr">
        <is>
          <t>Proposal</t>
        </is>
      </c>
      <c r="Q260" s="43" t="inlineStr"/>
      <c r="R260" s="16">
        <f>IF($C260="","",IFERROR(IF(INDEX(Deals!$U$2:$U$355,MATCH($C260,Deals!$A$2:$A$355,0))=0,"",INDEX(Deals!$U$2:$U$355,MATCH($C260,Deals!$A$2:$A$355,0))),""))</f>
        <v/>
      </c>
      <c r="S260" s="34">
        <f>IFERROR(IF($U260="",1,INDEX(Deals!$V$2:$V$355,MATCH($C260,Deals!$A$2:$A$355,0))),1)</f>
        <v/>
      </c>
      <c r="T260" s="34">
        <f>IFERROR(IF($U260="",1,INDEX(Deals!$W$2:$W$355,MATCH($C260,Deals!$A$2:$A$355,0))),1)</f>
        <v/>
      </c>
      <c r="U260" s="22">
        <f>IF($C260="","",IFERROR(IF(INDEX(Deals!$Y$2:$Y$355,MATCH($C260,Deals!$A$2:$A$355,0))=0,"",INDEX(Deals!$Y$2:$Y$355,MATCH($C260,Deals!$A$2:$A$355,0))),""))</f>
        <v/>
      </c>
      <c r="V260" s="35">
        <f>IF($U260="",DATE(1900,1,1),$N260)</f>
        <v/>
      </c>
      <c r="W260" s="35">
        <f>IF($U260="",DATE(2100,12,31),$U260)</f>
        <v/>
      </c>
      <c r="X260" s="32">
        <f>IF($U260="",$K260,$K260*$S260)</f>
        <v/>
      </c>
      <c r="Y260" s="35">
        <f>IF($U260="",DATE(2100,12,31),$U260+1)</f>
        <v/>
      </c>
      <c r="Z260" s="35">
        <f>IF($U260="",DATE(1900,1,1),$O260)</f>
        <v/>
      </c>
      <c r="AA260" s="32">
        <f>IF($U260="",0,$K260*$T260)</f>
        <v/>
      </c>
      <c r="AB260" s="21">
        <f>IF($C260="",0,IFERROR(INDEX(Deals!$AD$2:$AD$355,MATCH($C260,Deals!$A$2:$A$355,0)),0))</f>
        <v/>
      </c>
      <c r="AC260" s="32">
        <f>IF(Settings!$B$4="Yes",$I260*$AB260,$I260)</f>
        <v/>
      </c>
      <c r="AD260" s="22">
        <f>IF($C260="","",IFERROR(IF(INDEX(Deals!$AE$2:$AE$355,MATCH($C260,Deals!$A$2:$A$355,0))=0,"",INDEX(Deals!$AE$2:$AE$355,MATCH($C260,Deals!$A$2:$A$355,0))),""))</f>
        <v/>
      </c>
      <c r="AE260" s="22">
        <f>IF($C260="","",IFERROR(IF(INDEX(Deals!$AF$2:$AF$355,MATCH($C260,Deals!$A$2:$A$355,0))=0,"",INDEX(Deals!$AF$2:$AF$355,MATCH($C260,Deals!$A$2:$A$355,0))),""))</f>
        <v/>
      </c>
      <c r="AF260" s="35">
        <f>IF($AD260="",DATE(1900,1,1),$AD260)</f>
        <v/>
      </c>
      <c r="AG260" s="35">
        <f>IF($AE260="",DATE(2100,12,31),$AE260)</f>
        <v/>
      </c>
      <c r="AH260" s="22">
        <f>IF($C260="","",IFERROR(IF(INDEX(Deals!$AG$2:$AG$355,MATCH($C260,Deals!$A$2:$A$355,0))=0,"",INDEX(Deals!$AG$2:$AG$355,MATCH($C260,Deals!$A$2:$A$355,0))),""))</f>
        <v/>
      </c>
      <c r="AI260" s="35">
        <f>IF($AH260="",DATE(1900,1,1),$AF260)</f>
        <v/>
      </c>
      <c r="AJ260" s="35">
        <f>IF($AH260="",DATE(2100,12,31),$AH260)</f>
        <v/>
      </c>
      <c r="AK260" s="32">
        <f>IF($AH260="",$AC260,$AC260*$S260)</f>
        <v/>
      </c>
      <c r="AL260" s="35">
        <f>IF($AH260="",DATE(2100,12,31),$AH260+1)</f>
        <v/>
      </c>
      <c r="AM260" s="35">
        <f>IF($AH260="",DATE(1900,1,1),$AG260)</f>
        <v/>
      </c>
      <c r="AN260" s="32">
        <f>IF($AH260="",0,$AC260*$T260)</f>
        <v/>
      </c>
    </row>
    <row r="261">
      <c r="A261" s="28" t="inlineStr">
        <is>
          <t>Justine</t>
        </is>
      </c>
      <c r="B261" s="16">
        <f>IF($A261="","",IFERROR(INDEX(Roster!$B$2:$B$40,MATCH($A261,Roster!$A$2:$A$40,0)),"?"))</f>
        <v/>
      </c>
      <c r="C261" s="28" t="inlineStr">
        <is>
          <t>US Restructuring_1</t>
        </is>
      </c>
      <c r="D261" s="16">
        <f>IF($C261="","",IFERROR(IF(INDEX(Deals!$C$2:$C$355,MATCH($C261,Deals!$A$2:$A$355,0))=0,"",INDEX(Deals!$C$2:$C$355,MATCH($C261,Deals!$A$2:$A$355,0))),"?"))</f>
        <v/>
      </c>
      <c r="E261" s="16">
        <f>IF($C261="","",IFERROR(INDEX(Deals!$F$2:$F$355,MATCH($C261,Deals!$A$2:$A$355,0)),"?"))</f>
        <v/>
      </c>
      <c r="F261" s="28" t="inlineStr">
        <is>
          <t>Director</t>
        </is>
      </c>
      <c r="G261" s="28" t="inlineStr">
        <is>
          <t>Inactive</t>
        </is>
      </c>
      <c r="H261" s="31" t="n"/>
      <c r="I261" s="32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1">
        <f>IF($C261="",0,IFERROR(INDEX(Deals!$H$2:$H$355,MATCH($C261,Deals!$A$2:$A$355,0)),0))</f>
        <v/>
      </c>
      <c r="K261" s="32">
        <f>IF(Settings!$B$4="Yes",$I261*$J261,$I261)</f>
        <v/>
      </c>
      <c r="L261" s="22">
        <f>IF($C261="","",IFERROR(IF(INDEX(Deals!$I$2:$I$355,MATCH($C261,Deals!$A$2:$A$355,0))=0,"",INDEX(Deals!$I$2:$I$355,MATCH($C261,Deals!$A$2:$A$355,0))),""))</f>
        <v/>
      </c>
      <c r="M261" s="22">
        <f>IF($C261="","",IFERROR(IF(INDEX(Deals!$J$2:$J$355,MATCH($C261,Deals!$A$2:$A$355,0))=0,"",INDEX(Deals!$J$2:$J$355,MATCH($C261,Deals!$A$2:$A$355,0))),""))</f>
        <v/>
      </c>
      <c r="N261" s="35">
        <f>IF($L261="",DATE(1900,1,1),$L261)</f>
        <v/>
      </c>
      <c r="O261" s="35">
        <f>IF($M261="",DATE(2100,12,31),$M261)</f>
        <v/>
      </c>
      <c r="P261" s="20" t="inlineStr">
        <is>
          <t>Closed</t>
        </is>
      </c>
      <c r="Q261" s="43" t="inlineStr"/>
      <c r="R261" s="16">
        <f>IF($C261="","",IFERROR(IF(INDEX(Deals!$U$2:$U$355,MATCH($C261,Deals!$A$2:$A$355,0))=0,"",INDEX(Deals!$U$2:$U$355,MATCH($C261,Deals!$A$2:$A$355,0))),""))</f>
        <v/>
      </c>
      <c r="S261" s="34">
        <f>IFERROR(IF($U261="",1,INDEX(Deals!$V$2:$V$355,MATCH($C261,Deals!$A$2:$A$355,0))),1)</f>
        <v/>
      </c>
      <c r="T261" s="34">
        <f>IFERROR(IF($U261="",1,INDEX(Deals!$W$2:$W$355,MATCH($C261,Deals!$A$2:$A$355,0))),1)</f>
        <v/>
      </c>
      <c r="U261" s="22">
        <f>IF($C261="","",IFERROR(IF(INDEX(Deals!$Y$2:$Y$355,MATCH($C261,Deals!$A$2:$A$355,0))=0,"",INDEX(Deals!$Y$2:$Y$355,MATCH($C261,Deals!$A$2:$A$355,0))),""))</f>
        <v/>
      </c>
      <c r="V261" s="35">
        <f>IF($U261="",DATE(1900,1,1),$N261)</f>
        <v/>
      </c>
      <c r="W261" s="35">
        <f>IF($U261="",DATE(2100,12,31),$U261)</f>
        <v/>
      </c>
      <c r="X261" s="32">
        <f>IF($U261="",$K261,$K261*$S261)</f>
        <v/>
      </c>
      <c r="Y261" s="35">
        <f>IF($U261="",DATE(2100,12,31),$U261+1)</f>
        <v/>
      </c>
      <c r="Z261" s="35">
        <f>IF($U261="",DATE(1900,1,1),$O261)</f>
        <v/>
      </c>
      <c r="AA261" s="32">
        <f>IF($U261="",0,$K261*$T261)</f>
        <v/>
      </c>
      <c r="AB261" s="21">
        <f>IF($C261="",0,IFERROR(INDEX(Deals!$AD$2:$AD$355,MATCH($C261,Deals!$A$2:$A$355,0)),0))</f>
        <v/>
      </c>
      <c r="AC261" s="32">
        <f>IF(Settings!$B$4="Yes",$I261*$AB261,$I261)</f>
        <v/>
      </c>
      <c r="AD261" s="22">
        <f>IF($C261="","",IFERROR(IF(INDEX(Deals!$AE$2:$AE$355,MATCH($C261,Deals!$A$2:$A$355,0))=0,"",INDEX(Deals!$AE$2:$AE$355,MATCH($C261,Deals!$A$2:$A$355,0))),""))</f>
        <v/>
      </c>
      <c r="AE261" s="22">
        <f>IF($C261="","",IFERROR(IF(INDEX(Deals!$AF$2:$AF$355,MATCH($C261,Deals!$A$2:$A$355,0))=0,"",INDEX(Deals!$AF$2:$AF$355,MATCH($C261,Deals!$A$2:$A$355,0))),""))</f>
        <v/>
      </c>
      <c r="AF261" s="35">
        <f>IF($AD261="",DATE(1900,1,1),$AD261)</f>
        <v/>
      </c>
      <c r="AG261" s="35">
        <f>IF($AE261="",DATE(2100,12,31),$AE261)</f>
        <v/>
      </c>
      <c r="AH261" s="22">
        <f>IF($C261="","",IFERROR(IF(INDEX(Deals!$AG$2:$AG$355,MATCH($C261,Deals!$A$2:$A$355,0))=0,"",INDEX(Deals!$AG$2:$AG$355,MATCH($C261,Deals!$A$2:$A$355,0))),""))</f>
        <v/>
      </c>
      <c r="AI261" s="35">
        <f>IF($AH261="",DATE(1900,1,1),$AF261)</f>
        <v/>
      </c>
      <c r="AJ261" s="35">
        <f>IF($AH261="",DATE(2100,12,31),$AH261)</f>
        <v/>
      </c>
      <c r="AK261" s="32">
        <f>IF($AH261="",$AC261,$AC261*$S261)</f>
        <v/>
      </c>
      <c r="AL261" s="35">
        <f>IF($AH261="",DATE(2100,12,31),$AH261+1)</f>
        <v/>
      </c>
      <c r="AM261" s="35">
        <f>IF($AH261="",DATE(1900,1,1),$AG261)</f>
        <v/>
      </c>
      <c r="AN261" s="32">
        <f>IF($AH261="",0,$AC261*$T261)</f>
        <v/>
      </c>
    </row>
    <row r="262">
      <c r="A262" s="28" t="inlineStr">
        <is>
          <t>Justine</t>
        </is>
      </c>
      <c r="B262" s="16">
        <f>IF($A262="","",IFERROR(INDEX(Roster!$B$2:$B$40,MATCH($A262,Roster!$A$2:$A$40,0)),"?"))</f>
        <v/>
      </c>
      <c r="C262" s="28" t="inlineStr">
        <is>
          <t>WASP_2</t>
        </is>
      </c>
      <c r="D262" s="16">
        <f>IF($C262="","",IFERROR(IF(INDEX(Deals!$C$2:$C$355,MATCH($C262,Deals!$A$2:$A$355,0))=0,"",INDEX(Deals!$C$2:$C$355,MATCH($C262,Deals!$A$2:$A$355,0))),"?"))</f>
        <v/>
      </c>
      <c r="E262" s="16">
        <f>IF($C262="","",IFERROR(INDEX(Deals!$F$2:$F$355,MATCH($C262,Deals!$A$2:$A$355,0)),"?"))</f>
        <v/>
      </c>
      <c r="F262" s="28" t="inlineStr">
        <is>
          <t>Director</t>
        </is>
      </c>
      <c r="G262" s="28" t="inlineStr">
        <is>
          <t>Active</t>
        </is>
      </c>
      <c r="H262" s="31" t="n"/>
      <c r="I262" s="32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1">
        <f>IF($C262="",0,IFERROR(INDEX(Deals!$H$2:$H$355,MATCH($C262,Deals!$A$2:$A$355,0)),0))</f>
        <v/>
      </c>
      <c r="K262" s="32">
        <f>IF(Settings!$B$4="Yes",$I262*$J262,$I262)</f>
        <v/>
      </c>
      <c r="L262" s="22">
        <f>IF($C262="","",IFERROR(IF(INDEX(Deals!$I$2:$I$355,MATCH($C262,Deals!$A$2:$A$355,0))=0,"",INDEX(Deals!$I$2:$I$355,MATCH($C262,Deals!$A$2:$A$355,0))),""))</f>
        <v/>
      </c>
      <c r="M262" s="22">
        <f>IF($C262="","",IFERROR(IF(INDEX(Deals!$J$2:$J$355,MATCH($C262,Deals!$A$2:$A$355,0))=0,"",INDEX(Deals!$J$2:$J$355,MATCH($C262,Deals!$A$2:$A$355,0))),""))</f>
        <v/>
      </c>
      <c r="N262" s="35">
        <f>IF($L262="",DATE(1900,1,1),$L262)</f>
        <v/>
      </c>
      <c r="O262" s="35">
        <f>IF($M262="",DATE(2100,12,31),$M262)</f>
        <v/>
      </c>
      <c r="P262" s="20" t="inlineStr">
        <is>
          <t>Ongoing</t>
        </is>
      </c>
      <c r="Q262" s="43" t="inlineStr"/>
      <c r="R262" s="16">
        <f>IF($C262="","",IFERROR(IF(INDEX(Deals!$U$2:$U$355,MATCH($C262,Deals!$A$2:$A$355,0))=0,"",INDEX(Deals!$U$2:$U$355,MATCH($C262,Deals!$A$2:$A$355,0))),""))</f>
        <v/>
      </c>
      <c r="S262" s="34">
        <f>IFERROR(IF($U262="",1,INDEX(Deals!$V$2:$V$355,MATCH($C262,Deals!$A$2:$A$355,0))),1)</f>
        <v/>
      </c>
      <c r="T262" s="34">
        <f>IFERROR(IF($U262="",1,INDEX(Deals!$W$2:$W$355,MATCH($C262,Deals!$A$2:$A$355,0))),1)</f>
        <v/>
      </c>
      <c r="U262" s="22">
        <f>IF($C262="","",IFERROR(IF(INDEX(Deals!$Y$2:$Y$355,MATCH($C262,Deals!$A$2:$A$355,0))=0,"",INDEX(Deals!$Y$2:$Y$355,MATCH($C262,Deals!$A$2:$A$355,0))),""))</f>
        <v/>
      </c>
      <c r="V262" s="35">
        <f>IF($U262="",DATE(1900,1,1),$N262)</f>
        <v/>
      </c>
      <c r="W262" s="35">
        <f>IF($U262="",DATE(2100,12,31),$U262)</f>
        <v/>
      </c>
      <c r="X262" s="32">
        <f>IF($U262="",$K262,$K262*$S262)</f>
        <v/>
      </c>
      <c r="Y262" s="35">
        <f>IF($U262="",DATE(2100,12,31),$U262+1)</f>
        <v/>
      </c>
      <c r="Z262" s="35">
        <f>IF($U262="",DATE(1900,1,1),$O262)</f>
        <v/>
      </c>
      <c r="AA262" s="32">
        <f>IF($U262="",0,$K262*$T262)</f>
        <v/>
      </c>
      <c r="AB262" s="21">
        <f>IF($C262="",0,IFERROR(INDEX(Deals!$AD$2:$AD$355,MATCH($C262,Deals!$A$2:$A$355,0)),0))</f>
        <v/>
      </c>
      <c r="AC262" s="32">
        <f>IF(Settings!$B$4="Yes",$I262*$AB262,$I262)</f>
        <v/>
      </c>
      <c r="AD262" s="22">
        <f>IF($C262="","",IFERROR(IF(INDEX(Deals!$AE$2:$AE$355,MATCH($C262,Deals!$A$2:$A$355,0))=0,"",INDEX(Deals!$AE$2:$AE$355,MATCH($C262,Deals!$A$2:$A$355,0))),""))</f>
        <v/>
      </c>
      <c r="AE262" s="22">
        <f>IF($C262="","",IFERROR(IF(INDEX(Deals!$AF$2:$AF$355,MATCH($C262,Deals!$A$2:$A$355,0))=0,"",INDEX(Deals!$AF$2:$AF$355,MATCH($C262,Deals!$A$2:$A$355,0))),""))</f>
        <v/>
      </c>
      <c r="AF262" s="35">
        <f>IF($AD262="",DATE(1900,1,1),$AD262)</f>
        <v/>
      </c>
      <c r="AG262" s="35">
        <f>IF($AE262="",DATE(2100,12,31),$AE262)</f>
        <v/>
      </c>
      <c r="AH262" s="22">
        <f>IF($C262="","",IFERROR(IF(INDEX(Deals!$AG$2:$AG$355,MATCH($C262,Deals!$A$2:$A$355,0))=0,"",INDEX(Deals!$AG$2:$AG$355,MATCH($C262,Deals!$A$2:$A$355,0))),""))</f>
        <v/>
      </c>
      <c r="AI262" s="35">
        <f>IF($AH262="",DATE(1900,1,1),$AF262)</f>
        <v/>
      </c>
      <c r="AJ262" s="35">
        <f>IF($AH262="",DATE(2100,12,31),$AH262)</f>
        <v/>
      </c>
      <c r="AK262" s="32">
        <f>IF($AH262="",$AC262,$AC262*$S262)</f>
        <v/>
      </c>
      <c r="AL262" s="35">
        <f>IF($AH262="",DATE(2100,12,31),$AH262+1)</f>
        <v/>
      </c>
      <c r="AM262" s="35">
        <f>IF($AH262="",DATE(1900,1,1),$AG262)</f>
        <v/>
      </c>
      <c r="AN262" s="32">
        <f>IF($AH262="",0,$AC262*$T262)</f>
        <v/>
      </c>
    </row>
    <row r="263">
      <c r="A263" s="28" t="inlineStr">
        <is>
          <t>Justine</t>
        </is>
      </c>
      <c r="B263" s="16">
        <f>IF($A263="","",IFERROR(INDEX(Roster!$B$2:$B$40,MATCH($A263,Roster!$A$2:$A$40,0)),"?"))</f>
        <v/>
      </c>
      <c r="C263" s="28" t="inlineStr">
        <is>
          <t>Westfold</t>
        </is>
      </c>
      <c r="D263" s="16">
        <f>IF($C263="","",IFERROR(IF(INDEX(Deals!$C$2:$C$355,MATCH($C263,Deals!$A$2:$A$355,0))=0,"",INDEX(Deals!$C$2:$C$355,MATCH($C263,Deals!$A$2:$A$355,0))),"?"))</f>
        <v/>
      </c>
      <c r="E263" s="16">
        <f>IF($C263="","",IFERROR(INDEX(Deals!$F$2:$F$355,MATCH($C263,Deals!$A$2:$A$355,0)),"?"))</f>
        <v/>
      </c>
      <c r="F263" s="28" t="inlineStr">
        <is>
          <t>Director</t>
        </is>
      </c>
      <c r="G263" s="28" t="inlineStr">
        <is>
          <t>Active</t>
        </is>
      </c>
      <c r="H263" s="31" t="n"/>
      <c r="I263" s="32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1">
        <f>IF($C263="",0,IFERROR(INDEX(Deals!$H$2:$H$355,MATCH($C263,Deals!$A$2:$A$355,0)),0))</f>
        <v/>
      </c>
      <c r="K263" s="32">
        <f>IF(Settings!$B$4="Yes",$I263*$J263,$I263)</f>
        <v/>
      </c>
      <c r="L263" s="22">
        <f>IF($C263="","",IFERROR(IF(INDEX(Deals!$I$2:$I$355,MATCH($C263,Deals!$A$2:$A$355,0))=0,"",INDEX(Deals!$I$2:$I$355,MATCH($C263,Deals!$A$2:$A$355,0))),""))</f>
        <v/>
      </c>
      <c r="M263" s="22">
        <f>IF($C263="","",IFERROR(IF(INDEX(Deals!$J$2:$J$355,MATCH($C263,Deals!$A$2:$A$355,0))=0,"",INDEX(Deals!$J$2:$J$355,MATCH($C263,Deals!$A$2:$A$355,0))),""))</f>
        <v/>
      </c>
      <c r="N263" s="35">
        <f>IF($L263="",DATE(1900,1,1),$L263)</f>
        <v/>
      </c>
      <c r="O263" s="35">
        <f>IF($M263="",DATE(2100,12,31),$M263)</f>
        <v/>
      </c>
      <c r="P263" s="20" t="inlineStr">
        <is>
          <t>Ongoing</t>
        </is>
      </c>
      <c r="Q263" s="43" t="inlineStr">
        <is>
          <t>Added from Summary tab</t>
        </is>
      </c>
      <c r="R263" s="16">
        <f>IF($C263="","",IFERROR(IF(INDEX(Deals!$U$2:$U$355,MATCH($C263,Deals!$A$2:$A$355,0))=0,"",INDEX(Deals!$U$2:$U$355,MATCH($C263,Deals!$A$2:$A$355,0))),""))</f>
        <v/>
      </c>
      <c r="S263" s="34">
        <f>IFERROR(IF($U263="",1,INDEX(Deals!$V$2:$V$355,MATCH($C263,Deals!$A$2:$A$355,0))),1)</f>
        <v/>
      </c>
      <c r="T263" s="34">
        <f>IFERROR(IF($U263="",1,INDEX(Deals!$W$2:$W$355,MATCH($C263,Deals!$A$2:$A$355,0))),1)</f>
        <v/>
      </c>
      <c r="U263" s="22">
        <f>IF($C263="","",IFERROR(IF(INDEX(Deals!$Y$2:$Y$355,MATCH($C263,Deals!$A$2:$A$355,0))=0,"",INDEX(Deals!$Y$2:$Y$355,MATCH($C263,Deals!$A$2:$A$355,0))),""))</f>
        <v/>
      </c>
      <c r="V263" s="35">
        <f>IF($U263="",DATE(1900,1,1),$N263)</f>
        <v/>
      </c>
      <c r="W263" s="35">
        <f>IF($U263="",DATE(2100,12,31),$U263)</f>
        <v/>
      </c>
      <c r="X263" s="32">
        <f>IF($U263="",$K263,$K263*$S263)</f>
        <v/>
      </c>
      <c r="Y263" s="35">
        <f>IF($U263="",DATE(2100,12,31),$U263+1)</f>
        <v/>
      </c>
      <c r="Z263" s="35">
        <f>IF($U263="",DATE(1900,1,1),$O263)</f>
        <v/>
      </c>
      <c r="AA263" s="32">
        <f>IF($U263="",0,$K263*$T263)</f>
        <v/>
      </c>
      <c r="AB263" s="21">
        <f>IF($C263="",0,IFERROR(INDEX(Deals!$AD$2:$AD$355,MATCH($C263,Deals!$A$2:$A$355,0)),0))</f>
        <v/>
      </c>
      <c r="AC263" s="32">
        <f>IF(Settings!$B$4="Yes",$I263*$AB263,$I263)</f>
        <v/>
      </c>
      <c r="AD263" s="22">
        <f>IF($C263="","",IFERROR(IF(INDEX(Deals!$AE$2:$AE$355,MATCH($C263,Deals!$A$2:$A$355,0))=0,"",INDEX(Deals!$AE$2:$AE$355,MATCH($C263,Deals!$A$2:$A$355,0))),""))</f>
        <v/>
      </c>
      <c r="AE263" s="22">
        <f>IF($C263="","",IFERROR(IF(INDEX(Deals!$AF$2:$AF$355,MATCH($C263,Deals!$A$2:$A$355,0))=0,"",INDEX(Deals!$AF$2:$AF$355,MATCH($C263,Deals!$A$2:$A$355,0))),""))</f>
        <v/>
      </c>
      <c r="AF263" s="35">
        <f>IF($AD263="",DATE(1900,1,1),$AD263)</f>
        <v/>
      </c>
      <c r="AG263" s="35">
        <f>IF($AE263="",DATE(2100,12,31),$AE263)</f>
        <v/>
      </c>
      <c r="AH263" s="22">
        <f>IF($C263="","",IFERROR(IF(INDEX(Deals!$AG$2:$AG$355,MATCH($C263,Deals!$A$2:$A$355,0))=0,"",INDEX(Deals!$AG$2:$AG$355,MATCH($C263,Deals!$A$2:$A$355,0))),""))</f>
        <v/>
      </c>
      <c r="AI263" s="35">
        <f>IF($AH263="",DATE(1900,1,1),$AF263)</f>
        <v/>
      </c>
      <c r="AJ263" s="35">
        <f>IF($AH263="",DATE(2100,12,31),$AH263)</f>
        <v/>
      </c>
      <c r="AK263" s="32">
        <f>IF($AH263="",$AC263,$AC263*$S263)</f>
        <v/>
      </c>
      <c r="AL263" s="35">
        <f>IF($AH263="",DATE(2100,12,31),$AH263+1)</f>
        <v/>
      </c>
      <c r="AM263" s="35">
        <f>IF($AH263="",DATE(1900,1,1),$AG263)</f>
        <v/>
      </c>
      <c r="AN263" s="32">
        <f>IF($AH263="",0,$AC263*$T263)</f>
        <v/>
      </c>
    </row>
    <row r="264">
      <c r="A264" s="28" t="inlineStr">
        <is>
          <t>Justine</t>
        </is>
      </c>
      <c r="B264" s="16">
        <f>IF($A264="","",IFERROR(INDEX(Roster!$B$2:$B$40,MATCH($A264,Roster!$A$2:$A$40,0)),"?"))</f>
        <v/>
      </c>
      <c r="C264" s="28" t="inlineStr">
        <is>
          <t>Wolverine_4</t>
        </is>
      </c>
      <c r="D264" s="16">
        <f>IF($C264="","",IFERROR(IF(INDEX(Deals!$C$2:$C$355,MATCH($C264,Deals!$A$2:$A$355,0))=0,"",INDEX(Deals!$C$2:$C$355,MATCH($C264,Deals!$A$2:$A$355,0))),"?"))</f>
        <v/>
      </c>
      <c r="E264" s="16">
        <f>IF($C264="","",IFERROR(INDEX(Deals!$F$2:$F$355,MATCH($C264,Deals!$A$2:$A$355,0)),"?"))</f>
        <v/>
      </c>
      <c r="F264" s="28" t="inlineStr">
        <is>
          <t>Director</t>
        </is>
      </c>
      <c r="G264" s="28" t="inlineStr">
        <is>
          <t>Active</t>
        </is>
      </c>
      <c r="H264" s="31" t="n"/>
      <c r="I264" s="32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1">
        <f>IF($C264="",0,IFERROR(INDEX(Deals!$H$2:$H$355,MATCH($C264,Deals!$A$2:$A$355,0)),0))</f>
        <v/>
      </c>
      <c r="K264" s="32">
        <f>IF(Settings!$B$4="Yes",$I264*$J264,$I264)</f>
        <v/>
      </c>
      <c r="L264" s="22">
        <f>IF($C264="","",IFERROR(IF(INDEX(Deals!$I$2:$I$355,MATCH($C264,Deals!$A$2:$A$355,0))=0,"",INDEX(Deals!$I$2:$I$355,MATCH($C264,Deals!$A$2:$A$355,0))),""))</f>
        <v/>
      </c>
      <c r="M264" s="22">
        <f>IF($C264="","",IFERROR(IF(INDEX(Deals!$J$2:$J$355,MATCH($C264,Deals!$A$2:$A$355,0))=0,"",INDEX(Deals!$J$2:$J$355,MATCH($C264,Deals!$A$2:$A$355,0))),""))</f>
        <v/>
      </c>
      <c r="N264" s="35">
        <f>IF($L264="",DATE(1900,1,1),$L264)</f>
        <v/>
      </c>
      <c r="O264" s="35">
        <f>IF($M264="",DATE(2100,12,31),$M264)</f>
        <v/>
      </c>
      <c r="P264" s="20" t="inlineStr">
        <is>
          <t>Proposal</t>
        </is>
      </c>
      <c r="Q264" s="43" t="inlineStr"/>
      <c r="R264" s="16">
        <f>IF($C264="","",IFERROR(IF(INDEX(Deals!$U$2:$U$355,MATCH($C264,Deals!$A$2:$A$355,0))=0,"",INDEX(Deals!$U$2:$U$355,MATCH($C264,Deals!$A$2:$A$355,0))),""))</f>
        <v/>
      </c>
      <c r="S264" s="34">
        <f>IFERROR(IF($U264="",1,INDEX(Deals!$V$2:$V$355,MATCH($C264,Deals!$A$2:$A$355,0))),1)</f>
        <v/>
      </c>
      <c r="T264" s="34">
        <f>IFERROR(IF($U264="",1,INDEX(Deals!$W$2:$W$355,MATCH($C264,Deals!$A$2:$A$355,0))),1)</f>
        <v/>
      </c>
      <c r="U264" s="22">
        <f>IF($C264="","",IFERROR(IF(INDEX(Deals!$Y$2:$Y$355,MATCH($C264,Deals!$A$2:$A$355,0))=0,"",INDEX(Deals!$Y$2:$Y$355,MATCH($C264,Deals!$A$2:$A$355,0))),""))</f>
        <v/>
      </c>
      <c r="V264" s="35">
        <f>IF($U264="",DATE(1900,1,1),$N264)</f>
        <v/>
      </c>
      <c r="W264" s="35">
        <f>IF($U264="",DATE(2100,12,31),$U264)</f>
        <v/>
      </c>
      <c r="X264" s="32">
        <f>IF($U264="",$K264,$K264*$S264)</f>
        <v/>
      </c>
      <c r="Y264" s="35">
        <f>IF($U264="",DATE(2100,12,31),$U264+1)</f>
        <v/>
      </c>
      <c r="Z264" s="35">
        <f>IF($U264="",DATE(1900,1,1),$O264)</f>
        <v/>
      </c>
      <c r="AA264" s="32">
        <f>IF($U264="",0,$K264*$T264)</f>
        <v/>
      </c>
      <c r="AB264" s="21">
        <f>IF($C264="",0,IFERROR(INDEX(Deals!$AD$2:$AD$355,MATCH($C264,Deals!$A$2:$A$355,0)),0))</f>
        <v/>
      </c>
      <c r="AC264" s="32">
        <f>IF(Settings!$B$4="Yes",$I264*$AB264,$I264)</f>
        <v/>
      </c>
      <c r="AD264" s="22">
        <f>IF($C264="","",IFERROR(IF(INDEX(Deals!$AE$2:$AE$355,MATCH($C264,Deals!$A$2:$A$355,0))=0,"",INDEX(Deals!$AE$2:$AE$355,MATCH($C264,Deals!$A$2:$A$355,0))),""))</f>
        <v/>
      </c>
      <c r="AE264" s="22">
        <f>IF($C264="","",IFERROR(IF(INDEX(Deals!$AF$2:$AF$355,MATCH($C264,Deals!$A$2:$A$355,0))=0,"",INDEX(Deals!$AF$2:$AF$355,MATCH($C264,Deals!$A$2:$A$355,0))),""))</f>
        <v/>
      </c>
      <c r="AF264" s="35">
        <f>IF($AD264="",DATE(1900,1,1),$AD264)</f>
        <v/>
      </c>
      <c r="AG264" s="35">
        <f>IF($AE264="",DATE(2100,12,31),$AE264)</f>
        <v/>
      </c>
      <c r="AH264" s="22">
        <f>IF($C264="","",IFERROR(IF(INDEX(Deals!$AG$2:$AG$355,MATCH($C264,Deals!$A$2:$A$355,0))=0,"",INDEX(Deals!$AG$2:$AG$355,MATCH($C264,Deals!$A$2:$A$355,0))),""))</f>
        <v/>
      </c>
      <c r="AI264" s="35">
        <f>IF($AH264="",DATE(1900,1,1),$AF264)</f>
        <v/>
      </c>
      <c r="AJ264" s="35">
        <f>IF($AH264="",DATE(2100,12,31),$AH264)</f>
        <v/>
      </c>
      <c r="AK264" s="32">
        <f>IF($AH264="",$AC264,$AC264*$S264)</f>
        <v/>
      </c>
      <c r="AL264" s="35">
        <f>IF($AH264="",DATE(2100,12,31),$AH264+1)</f>
        <v/>
      </c>
      <c r="AM264" s="35">
        <f>IF($AH264="",DATE(1900,1,1),$AG264)</f>
        <v/>
      </c>
      <c r="AN264" s="32">
        <f>IF($AH264="",0,$AC264*$T264)</f>
        <v/>
      </c>
    </row>
    <row r="265">
      <c r="A265" s="28" t="inlineStr">
        <is>
          <t>Justine</t>
        </is>
      </c>
      <c r="B265" s="16">
        <f>IF($A265="","",IFERROR(INDEX(Roster!$B$2:$B$40,MATCH($A265,Roster!$A$2:$A$40,0)),"?"))</f>
        <v/>
      </c>
      <c r="C265" s="28" t="inlineStr">
        <is>
          <t>Zeus_2</t>
        </is>
      </c>
      <c r="D265" s="16">
        <f>IF($C265="","",IFERROR(IF(INDEX(Deals!$C$2:$C$355,MATCH($C265,Deals!$A$2:$A$355,0))=0,"",INDEX(Deals!$C$2:$C$355,MATCH($C265,Deals!$A$2:$A$355,0))),"?"))</f>
        <v/>
      </c>
      <c r="E265" s="16">
        <f>IF($C265="","",IFERROR(INDEX(Deals!$F$2:$F$355,MATCH($C265,Deals!$A$2:$A$355,0)),"?"))</f>
        <v/>
      </c>
      <c r="F265" s="28" t="inlineStr">
        <is>
          <t>Director</t>
        </is>
      </c>
      <c r="G265" s="28" t="inlineStr">
        <is>
          <t>Inactive</t>
        </is>
      </c>
      <c r="H265" s="31" t="n"/>
      <c r="I265" s="32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1">
        <f>IF($C265="",0,IFERROR(INDEX(Deals!$H$2:$H$355,MATCH($C265,Deals!$A$2:$A$355,0)),0))</f>
        <v/>
      </c>
      <c r="K265" s="32">
        <f>IF(Settings!$B$4="Yes",$I265*$J265,$I265)</f>
        <v/>
      </c>
      <c r="L265" s="22">
        <f>IF($C265="","",IFERROR(IF(INDEX(Deals!$I$2:$I$355,MATCH($C265,Deals!$A$2:$A$355,0))=0,"",INDEX(Deals!$I$2:$I$355,MATCH($C265,Deals!$A$2:$A$355,0))),""))</f>
        <v/>
      </c>
      <c r="M265" s="22">
        <f>IF($C265="","",IFERROR(IF(INDEX(Deals!$J$2:$J$355,MATCH($C265,Deals!$A$2:$A$355,0))=0,"",INDEX(Deals!$J$2:$J$355,MATCH($C265,Deals!$A$2:$A$355,0))),""))</f>
        <v/>
      </c>
      <c r="N265" s="35">
        <f>IF($L265="",DATE(1900,1,1),$L265)</f>
        <v/>
      </c>
      <c r="O265" s="35">
        <f>IF($M265="",DATE(2100,12,31),$M265)</f>
        <v/>
      </c>
      <c r="P265" s="20" t="inlineStr">
        <is>
          <t>Pens dowm</t>
        </is>
      </c>
      <c r="Q265" s="43" t="inlineStr"/>
      <c r="R265" s="16">
        <f>IF($C265="","",IFERROR(IF(INDEX(Deals!$U$2:$U$355,MATCH($C265,Deals!$A$2:$A$355,0))=0,"",INDEX(Deals!$U$2:$U$355,MATCH($C265,Deals!$A$2:$A$355,0))),""))</f>
        <v/>
      </c>
      <c r="S265" s="34">
        <f>IFERROR(IF($U265="",1,INDEX(Deals!$V$2:$V$355,MATCH($C265,Deals!$A$2:$A$355,0))),1)</f>
        <v/>
      </c>
      <c r="T265" s="34">
        <f>IFERROR(IF($U265="",1,INDEX(Deals!$W$2:$W$355,MATCH($C265,Deals!$A$2:$A$355,0))),1)</f>
        <v/>
      </c>
      <c r="U265" s="22">
        <f>IF($C265="","",IFERROR(IF(INDEX(Deals!$Y$2:$Y$355,MATCH($C265,Deals!$A$2:$A$355,0))=0,"",INDEX(Deals!$Y$2:$Y$355,MATCH($C265,Deals!$A$2:$A$355,0))),""))</f>
        <v/>
      </c>
      <c r="V265" s="35">
        <f>IF($U265="",DATE(1900,1,1),$N265)</f>
        <v/>
      </c>
      <c r="W265" s="35">
        <f>IF($U265="",DATE(2100,12,31),$U265)</f>
        <v/>
      </c>
      <c r="X265" s="32">
        <f>IF($U265="",$K265,$K265*$S265)</f>
        <v/>
      </c>
      <c r="Y265" s="35">
        <f>IF($U265="",DATE(2100,12,31),$U265+1)</f>
        <v/>
      </c>
      <c r="Z265" s="35">
        <f>IF($U265="",DATE(1900,1,1),$O265)</f>
        <v/>
      </c>
      <c r="AA265" s="32">
        <f>IF($U265="",0,$K265*$T265)</f>
        <v/>
      </c>
      <c r="AB265" s="21">
        <f>IF($C265="",0,IFERROR(INDEX(Deals!$AD$2:$AD$355,MATCH($C265,Deals!$A$2:$A$355,0)),0))</f>
        <v/>
      </c>
      <c r="AC265" s="32">
        <f>IF(Settings!$B$4="Yes",$I265*$AB265,$I265)</f>
        <v/>
      </c>
      <c r="AD265" s="22">
        <f>IF($C265="","",IFERROR(IF(INDEX(Deals!$AE$2:$AE$355,MATCH($C265,Deals!$A$2:$A$355,0))=0,"",INDEX(Deals!$AE$2:$AE$355,MATCH($C265,Deals!$A$2:$A$355,0))),""))</f>
        <v/>
      </c>
      <c r="AE265" s="22">
        <f>IF($C265="","",IFERROR(IF(INDEX(Deals!$AF$2:$AF$355,MATCH($C265,Deals!$A$2:$A$355,0))=0,"",INDEX(Deals!$AF$2:$AF$355,MATCH($C265,Deals!$A$2:$A$355,0))),""))</f>
        <v/>
      </c>
      <c r="AF265" s="35">
        <f>IF($AD265="",DATE(1900,1,1),$AD265)</f>
        <v/>
      </c>
      <c r="AG265" s="35">
        <f>IF($AE265="",DATE(2100,12,31),$AE265)</f>
        <v/>
      </c>
      <c r="AH265" s="22">
        <f>IF($C265="","",IFERROR(IF(INDEX(Deals!$AG$2:$AG$355,MATCH($C265,Deals!$A$2:$A$355,0))=0,"",INDEX(Deals!$AG$2:$AG$355,MATCH($C265,Deals!$A$2:$A$355,0))),""))</f>
        <v/>
      </c>
      <c r="AI265" s="35">
        <f>IF($AH265="",DATE(1900,1,1),$AF265)</f>
        <v/>
      </c>
      <c r="AJ265" s="35">
        <f>IF($AH265="",DATE(2100,12,31),$AH265)</f>
        <v/>
      </c>
      <c r="AK265" s="32">
        <f>IF($AH265="",$AC265,$AC265*$S265)</f>
        <v/>
      </c>
      <c r="AL265" s="35">
        <f>IF($AH265="",DATE(2100,12,31),$AH265+1)</f>
        <v/>
      </c>
      <c r="AM265" s="35">
        <f>IF($AH265="",DATE(1900,1,1),$AG265)</f>
        <v/>
      </c>
      <c r="AN265" s="32">
        <f>IF($AH265="",0,$AC265*$T265)</f>
        <v/>
      </c>
    </row>
    <row r="266">
      <c r="A266" s="28" t="inlineStr">
        <is>
          <t>Justine</t>
        </is>
      </c>
      <c r="B266" s="16">
        <f>IF($A266="","",IFERROR(INDEX(Roster!$B$2:$B$40,MATCH($A266,Roster!$A$2:$A$40,0)),"?"))</f>
        <v/>
      </c>
      <c r="C266" s="28" t="inlineStr">
        <is>
          <t>Zora_1</t>
        </is>
      </c>
      <c r="D266" s="16">
        <f>IF($C266="","",IFERROR(IF(INDEX(Deals!$C$2:$C$355,MATCH($C266,Deals!$A$2:$A$355,0))=0,"",INDEX(Deals!$C$2:$C$355,MATCH($C266,Deals!$A$2:$A$355,0))),"?"))</f>
        <v/>
      </c>
      <c r="E266" s="16">
        <f>IF($C266="","",IFERROR(INDEX(Deals!$F$2:$F$355,MATCH($C266,Deals!$A$2:$A$355,0)),"?"))</f>
        <v/>
      </c>
      <c r="F266" s="28" t="inlineStr">
        <is>
          <t>Director</t>
        </is>
      </c>
      <c r="G266" s="28" t="inlineStr">
        <is>
          <t>Inactive</t>
        </is>
      </c>
      <c r="H266" s="31" t="n"/>
      <c r="I266" s="32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1">
        <f>IF($C266="",0,IFERROR(INDEX(Deals!$H$2:$H$355,MATCH($C266,Deals!$A$2:$A$355,0)),0))</f>
        <v/>
      </c>
      <c r="K266" s="32">
        <f>IF(Settings!$B$4="Yes",$I266*$J266,$I266)</f>
        <v/>
      </c>
      <c r="L266" s="22">
        <f>IF($C266="","",IFERROR(IF(INDEX(Deals!$I$2:$I$355,MATCH($C266,Deals!$A$2:$A$355,0))=0,"",INDEX(Deals!$I$2:$I$355,MATCH($C266,Deals!$A$2:$A$355,0))),""))</f>
        <v/>
      </c>
      <c r="M266" s="22">
        <f>IF($C266="","",IFERROR(IF(INDEX(Deals!$J$2:$J$355,MATCH($C266,Deals!$A$2:$A$355,0))=0,"",INDEX(Deals!$J$2:$J$355,MATCH($C266,Deals!$A$2:$A$355,0))),""))</f>
        <v/>
      </c>
      <c r="N266" s="35">
        <f>IF($L266="",DATE(1900,1,1),$L266)</f>
        <v/>
      </c>
      <c r="O266" s="35">
        <f>IF($M266="",DATE(2100,12,31),$M266)</f>
        <v/>
      </c>
      <c r="P266" s="20" t="inlineStr">
        <is>
          <t>Dead</t>
        </is>
      </c>
      <c r="Q266" s="43" t="inlineStr"/>
      <c r="R266" s="16">
        <f>IF($C266="","",IFERROR(IF(INDEX(Deals!$U$2:$U$355,MATCH($C266,Deals!$A$2:$A$355,0))=0,"",INDEX(Deals!$U$2:$U$355,MATCH($C266,Deals!$A$2:$A$355,0))),""))</f>
        <v/>
      </c>
      <c r="S266" s="34">
        <f>IFERROR(IF($U266="",1,INDEX(Deals!$V$2:$V$355,MATCH($C266,Deals!$A$2:$A$355,0))),1)</f>
        <v/>
      </c>
      <c r="T266" s="34">
        <f>IFERROR(IF($U266="",1,INDEX(Deals!$W$2:$W$355,MATCH($C266,Deals!$A$2:$A$355,0))),1)</f>
        <v/>
      </c>
      <c r="U266" s="22">
        <f>IF($C266="","",IFERROR(IF(INDEX(Deals!$Y$2:$Y$355,MATCH($C266,Deals!$A$2:$A$355,0))=0,"",INDEX(Deals!$Y$2:$Y$355,MATCH($C266,Deals!$A$2:$A$355,0))),""))</f>
        <v/>
      </c>
      <c r="V266" s="35">
        <f>IF($U266="",DATE(1900,1,1),$N266)</f>
        <v/>
      </c>
      <c r="W266" s="35">
        <f>IF($U266="",DATE(2100,12,31),$U266)</f>
        <v/>
      </c>
      <c r="X266" s="32">
        <f>IF($U266="",$K266,$K266*$S266)</f>
        <v/>
      </c>
      <c r="Y266" s="35">
        <f>IF($U266="",DATE(2100,12,31),$U266+1)</f>
        <v/>
      </c>
      <c r="Z266" s="35">
        <f>IF($U266="",DATE(1900,1,1),$O266)</f>
        <v/>
      </c>
      <c r="AA266" s="32">
        <f>IF($U266="",0,$K266*$T266)</f>
        <v/>
      </c>
      <c r="AB266" s="21">
        <f>IF($C266="",0,IFERROR(INDEX(Deals!$AD$2:$AD$355,MATCH($C266,Deals!$A$2:$A$355,0)),0))</f>
        <v/>
      </c>
      <c r="AC266" s="32">
        <f>IF(Settings!$B$4="Yes",$I266*$AB266,$I266)</f>
        <v/>
      </c>
      <c r="AD266" s="22">
        <f>IF($C266="","",IFERROR(IF(INDEX(Deals!$AE$2:$AE$355,MATCH($C266,Deals!$A$2:$A$355,0))=0,"",INDEX(Deals!$AE$2:$AE$355,MATCH($C266,Deals!$A$2:$A$355,0))),""))</f>
        <v/>
      </c>
      <c r="AE266" s="22">
        <f>IF($C266="","",IFERROR(IF(INDEX(Deals!$AF$2:$AF$355,MATCH($C266,Deals!$A$2:$A$355,0))=0,"",INDEX(Deals!$AF$2:$AF$355,MATCH($C266,Deals!$A$2:$A$355,0))),""))</f>
        <v/>
      </c>
      <c r="AF266" s="35">
        <f>IF($AD266="",DATE(1900,1,1),$AD266)</f>
        <v/>
      </c>
      <c r="AG266" s="35">
        <f>IF($AE266="",DATE(2100,12,31),$AE266)</f>
        <v/>
      </c>
      <c r="AH266" s="22">
        <f>IF($C266="","",IFERROR(IF(INDEX(Deals!$AG$2:$AG$355,MATCH($C266,Deals!$A$2:$A$355,0))=0,"",INDEX(Deals!$AG$2:$AG$355,MATCH($C266,Deals!$A$2:$A$355,0))),""))</f>
        <v/>
      </c>
      <c r="AI266" s="35">
        <f>IF($AH266="",DATE(1900,1,1),$AF266)</f>
        <v/>
      </c>
      <c r="AJ266" s="35">
        <f>IF($AH266="",DATE(2100,12,31),$AH266)</f>
        <v/>
      </c>
      <c r="AK266" s="32">
        <f>IF($AH266="",$AC266,$AC266*$S266)</f>
        <v/>
      </c>
      <c r="AL266" s="35">
        <f>IF($AH266="",DATE(2100,12,31),$AH266+1)</f>
        <v/>
      </c>
      <c r="AM266" s="35">
        <f>IF($AH266="",DATE(1900,1,1),$AG266)</f>
        <v/>
      </c>
      <c r="AN266" s="32">
        <f>IF($AH266="",0,$AC266*$T266)</f>
        <v/>
      </c>
    </row>
    <row r="267">
      <c r="A267" s="28" t="inlineStr">
        <is>
          <t>Kyle Risser</t>
        </is>
      </c>
      <c r="B267" s="16">
        <f>IF($A267="","",IFERROR(INDEX(Roster!$B$2:$B$40,MATCH($A267,Roster!$A$2:$A$40,0)),"?"))</f>
        <v/>
      </c>
      <c r="C267" s="28" t="inlineStr">
        <is>
          <t>Ace_2</t>
        </is>
      </c>
      <c r="D267" s="16">
        <f>IF($C267="","",IFERROR(IF(INDEX(Deals!$C$2:$C$355,MATCH($C267,Deals!$A$2:$A$355,0))=0,"",INDEX(Deals!$C$2:$C$355,MATCH($C267,Deals!$A$2:$A$355,0))),"?"))</f>
        <v/>
      </c>
      <c r="E267" s="16">
        <f>IF($C267="","",IFERROR(INDEX(Deals!$F$2:$F$355,MATCH($C267,Deals!$A$2:$A$355,0)),"?"))</f>
        <v/>
      </c>
      <c r="F267" s="28" t="inlineStr">
        <is>
          <t>Director</t>
        </is>
      </c>
      <c r="G267" s="28" t="inlineStr">
        <is>
          <t>Active</t>
        </is>
      </c>
      <c r="H267" s="31" t="n"/>
      <c r="I267" s="32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1">
        <f>IF($C267="",0,IFERROR(INDEX(Deals!$H$2:$H$355,MATCH($C267,Deals!$A$2:$A$355,0)),0))</f>
        <v/>
      </c>
      <c r="K267" s="32">
        <f>IF(Settings!$B$4="Yes",$I267*$J267,$I267)</f>
        <v/>
      </c>
      <c r="L267" s="22">
        <f>IF($C267="","",IFERROR(IF(INDEX(Deals!$I$2:$I$355,MATCH($C267,Deals!$A$2:$A$355,0))=0,"",INDEX(Deals!$I$2:$I$355,MATCH($C267,Deals!$A$2:$A$355,0))),""))</f>
        <v/>
      </c>
      <c r="M267" s="22">
        <f>IF($C267="","",IFERROR(IF(INDEX(Deals!$J$2:$J$355,MATCH($C267,Deals!$A$2:$A$355,0))=0,"",INDEX(Deals!$J$2:$J$355,MATCH($C267,Deals!$A$2:$A$355,0))),""))</f>
        <v/>
      </c>
      <c r="N267" s="35">
        <f>IF($L267="",DATE(1900,1,1),$L267)</f>
        <v/>
      </c>
      <c r="O267" s="35">
        <f>IF($M267="",DATE(2100,12,31),$M267)</f>
        <v/>
      </c>
      <c r="P267" s="20" t="inlineStr"/>
      <c r="Q267" s="43" t="inlineStr"/>
      <c r="R267" s="16">
        <f>IF($C267="","",IFERROR(IF(INDEX(Deals!$U$2:$U$355,MATCH($C267,Deals!$A$2:$A$355,0))=0,"",INDEX(Deals!$U$2:$U$355,MATCH($C267,Deals!$A$2:$A$355,0))),""))</f>
        <v/>
      </c>
      <c r="S267" s="34">
        <f>IFERROR(IF($U267="",1,INDEX(Deals!$V$2:$V$355,MATCH($C267,Deals!$A$2:$A$355,0))),1)</f>
        <v/>
      </c>
      <c r="T267" s="34">
        <f>IFERROR(IF($U267="",1,INDEX(Deals!$W$2:$W$355,MATCH($C267,Deals!$A$2:$A$355,0))),1)</f>
        <v/>
      </c>
      <c r="U267" s="22">
        <f>IF($C267="","",IFERROR(IF(INDEX(Deals!$Y$2:$Y$355,MATCH($C267,Deals!$A$2:$A$355,0))=0,"",INDEX(Deals!$Y$2:$Y$355,MATCH($C267,Deals!$A$2:$A$355,0))),""))</f>
        <v/>
      </c>
      <c r="V267" s="35">
        <f>IF($U267="",DATE(1900,1,1),$N267)</f>
        <v/>
      </c>
      <c r="W267" s="35">
        <f>IF($U267="",DATE(2100,12,31),$U267)</f>
        <v/>
      </c>
      <c r="X267" s="32">
        <f>IF($U267="",$K267,$K267*$S267)</f>
        <v/>
      </c>
      <c r="Y267" s="35">
        <f>IF($U267="",DATE(2100,12,31),$U267+1)</f>
        <v/>
      </c>
      <c r="Z267" s="35">
        <f>IF($U267="",DATE(1900,1,1),$O267)</f>
        <v/>
      </c>
      <c r="AA267" s="32">
        <f>IF($U267="",0,$K267*$T267)</f>
        <v/>
      </c>
      <c r="AB267" s="21">
        <f>IF($C267="",0,IFERROR(INDEX(Deals!$AD$2:$AD$355,MATCH($C267,Deals!$A$2:$A$355,0)),0))</f>
        <v/>
      </c>
      <c r="AC267" s="32">
        <f>IF(Settings!$B$4="Yes",$I267*$AB267,$I267)</f>
        <v/>
      </c>
      <c r="AD267" s="22">
        <f>IF($C267="","",IFERROR(IF(INDEX(Deals!$AE$2:$AE$355,MATCH($C267,Deals!$A$2:$A$355,0))=0,"",INDEX(Deals!$AE$2:$AE$355,MATCH($C267,Deals!$A$2:$A$355,0))),""))</f>
        <v/>
      </c>
      <c r="AE267" s="22">
        <f>IF($C267="","",IFERROR(IF(INDEX(Deals!$AF$2:$AF$355,MATCH($C267,Deals!$A$2:$A$355,0))=0,"",INDEX(Deals!$AF$2:$AF$355,MATCH($C267,Deals!$A$2:$A$355,0))),""))</f>
        <v/>
      </c>
      <c r="AF267" s="35">
        <f>IF($AD267="",DATE(1900,1,1),$AD267)</f>
        <v/>
      </c>
      <c r="AG267" s="35">
        <f>IF($AE267="",DATE(2100,12,31),$AE267)</f>
        <v/>
      </c>
      <c r="AH267" s="22">
        <f>IF($C267="","",IFERROR(IF(INDEX(Deals!$AG$2:$AG$355,MATCH($C267,Deals!$A$2:$A$355,0))=0,"",INDEX(Deals!$AG$2:$AG$355,MATCH($C267,Deals!$A$2:$A$355,0))),""))</f>
        <v/>
      </c>
      <c r="AI267" s="35">
        <f>IF($AH267="",DATE(1900,1,1),$AF267)</f>
        <v/>
      </c>
      <c r="AJ267" s="35">
        <f>IF($AH267="",DATE(2100,12,31),$AH267)</f>
        <v/>
      </c>
      <c r="AK267" s="32">
        <f>IF($AH267="",$AC267,$AC267*$S267)</f>
        <v/>
      </c>
      <c r="AL267" s="35">
        <f>IF($AH267="",DATE(2100,12,31),$AH267+1)</f>
        <v/>
      </c>
      <c r="AM267" s="35">
        <f>IF($AH267="",DATE(1900,1,1),$AG267)</f>
        <v/>
      </c>
      <c r="AN267" s="32">
        <f>IF($AH267="",0,$AC267*$T267)</f>
        <v/>
      </c>
    </row>
    <row r="268">
      <c r="A268" s="28" t="inlineStr">
        <is>
          <t>Kyle Risser</t>
        </is>
      </c>
      <c r="B268" s="16">
        <f>IF($A268="","",IFERROR(INDEX(Roster!$B$2:$B$40,MATCH($A268,Roster!$A$2:$A$40,0)),"?"))</f>
        <v/>
      </c>
      <c r="C268" s="28" t="inlineStr">
        <is>
          <t>Copia_3</t>
        </is>
      </c>
      <c r="D268" s="16">
        <f>IF($C268="","",IFERROR(IF(INDEX(Deals!$C$2:$C$355,MATCH($C268,Deals!$A$2:$A$355,0))=0,"",INDEX(Deals!$C$2:$C$355,MATCH($C268,Deals!$A$2:$A$355,0))),"?"))</f>
        <v/>
      </c>
      <c r="E268" s="16">
        <f>IF($C268="","",IFERROR(INDEX(Deals!$F$2:$F$355,MATCH($C268,Deals!$A$2:$A$355,0)),"?"))</f>
        <v/>
      </c>
      <c r="F268" s="28" t="inlineStr">
        <is>
          <t>Director</t>
        </is>
      </c>
      <c r="G268" s="28" t="inlineStr">
        <is>
          <t>Active</t>
        </is>
      </c>
      <c r="H268" s="31" t="n"/>
      <c r="I268" s="32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1">
        <f>IF($C268="",0,IFERROR(INDEX(Deals!$H$2:$H$355,MATCH($C268,Deals!$A$2:$A$355,0)),0))</f>
        <v/>
      </c>
      <c r="K268" s="32">
        <f>IF(Settings!$B$4="Yes",$I268*$J268,$I268)</f>
        <v/>
      </c>
      <c r="L268" s="22">
        <f>IF($C268="","",IFERROR(IF(INDEX(Deals!$I$2:$I$355,MATCH($C268,Deals!$A$2:$A$355,0))=0,"",INDEX(Deals!$I$2:$I$355,MATCH($C268,Deals!$A$2:$A$355,0))),""))</f>
        <v/>
      </c>
      <c r="M268" s="22">
        <f>IF($C268="","",IFERROR(IF(INDEX(Deals!$J$2:$J$355,MATCH($C268,Deals!$A$2:$A$355,0))=0,"",INDEX(Deals!$J$2:$J$355,MATCH($C268,Deals!$A$2:$A$355,0))),""))</f>
        <v/>
      </c>
      <c r="N268" s="35">
        <f>IF($L268="",DATE(1900,1,1),$L268)</f>
        <v/>
      </c>
      <c r="O268" s="35">
        <f>IF($M268="",DATE(2100,12,31),$M268)</f>
        <v/>
      </c>
      <c r="P268" s="20" t="inlineStr"/>
      <c r="Q268" s="43" t="inlineStr"/>
      <c r="R268" s="16">
        <f>IF($C268="","",IFERROR(IF(INDEX(Deals!$U$2:$U$355,MATCH($C268,Deals!$A$2:$A$355,0))=0,"",INDEX(Deals!$U$2:$U$355,MATCH($C268,Deals!$A$2:$A$355,0))),""))</f>
        <v/>
      </c>
      <c r="S268" s="34">
        <f>IFERROR(IF($U268="",1,INDEX(Deals!$V$2:$V$355,MATCH($C268,Deals!$A$2:$A$355,0))),1)</f>
        <v/>
      </c>
      <c r="T268" s="34">
        <f>IFERROR(IF($U268="",1,INDEX(Deals!$W$2:$W$355,MATCH($C268,Deals!$A$2:$A$355,0))),1)</f>
        <v/>
      </c>
      <c r="U268" s="22">
        <f>IF($C268="","",IFERROR(IF(INDEX(Deals!$Y$2:$Y$355,MATCH($C268,Deals!$A$2:$A$355,0))=0,"",INDEX(Deals!$Y$2:$Y$355,MATCH($C268,Deals!$A$2:$A$355,0))),""))</f>
        <v/>
      </c>
      <c r="V268" s="35">
        <f>IF($U268="",DATE(1900,1,1),$N268)</f>
        <v/>
      </c>
      <c r="W268" s="35">
        <f>IF($U268="",DATE(2100,12,31),$U268)</f>
        <v/>
      </c>
      <c r="X268" s="32">
        <f>IF($U268="",$K268,$K268*$S268)</f>
        <v/>
      </c>
      <c r="Y268" s="35">
        <f>IF($U268="",DATE(2100,12,31),$U268+1)</f>
        <v/>
      </c>
      <c r="Z268" s="35">
        <f>IF($U268="",DATE(1900,1,1),$O268)</f>
        <v/>
      </c>
      <c r="AA268" s="32">
        <f>IF($U268="",0,$K268*$T268)</f>
        <v/>
      </c>
      <c r="AB268" s="21">
        <f>IF($C268="",0,IFERROR(INDEX(Deals!$AD$2:$AD$355,MATCH($C268,Deals!$A$2:$A$355,0)),0))</f>
        <v/>
      </c>
      <c r="AC268" s="32">
        <f>IF(Settings!$B$4="Yes",$I268*$AB268,$I268)</f>
        <v/>
      </c>
      <c r="AD268" s="22">
        <f>IF($C268="","",IFERROR(IF(INDEX(Deals!$AE$2:$AE$355,MATCH($C268,Deals!$A$2:$A$355,0))=0,"",INDEX(Deals!$AE$2:$AE$355,MATCH($C268,Deals!$A$2:$A$355,0))),""))</f>
        <v/>
      </c>
      <c r="AE268" s="22">
        <f>IF($C268="","",IFERROR(IF(INDEX(Deals!$AF$2:$AF$355,MATCH($C268,Deals!$A$2:$A$355,0))=0,"",INDEX(Deals!$AF$2:$AF$355,MATCH($C268,Deals!$A$2:$A$355,0))),""))</f>
        <v/>
      </c>
      <c r="AF268" s="35">
        <f>IF($AD268="",DATE(1900,1,1),$AD268)</f>
        <v/>
      </c>
      <c r="AG268" s="35">
        <f>IF($AE268="",DATE(2100,12,31),$AE268)</f>
        <v/>
      </c>
      <c r="AH268" s="22">
        <f>IF($C268="","",IFERROR(IF(INDEX(Deals!$AG$2:$AG$355,MATCH($C268,Deals!$A$2:$A$355,0))=0,"",INDEX(Deals!$AG$2:$AG$355,MATCH($C268,Deals!$A$2:$A$355,0))),""))</f>
        <v/>
      </c>
      <c r="AI268" s="35">
        <f>IF($AH268="",DATE(1900,1,1),$AF268)</f>
        <v/>
      </c>
      <c r="AJ268" s="35">
        <f>IF($AH268="",DATE(2100,12,31),$AH268)</f>
        <v/>
      </c>
      <c r="AK268" s="32">
        <f>IF($AH268="",$AC268,$AC268*$S268)</f>
        <v/>
      </c>
      <c r="AL268" s="35">
        <f>IF($AH268="",DATE(2100,12,31),$AH268+1)</f>
        <v/>
      </c>
      <c r="AM268" s="35">
        <f>IF($AH268="",DATE(1900,1,1),$AG268)</f>
        <v/>
      </c>
      <c r="AN268" s="32">
        <f>IF($AH268="",0,$AC268*$T268)</f>
        <v/>
      </c>
    </row>
    <row r="269">
      <c r="A269" s="28" t="inlineStr">
        <is>
          <t>Kyle Risser</t>
        </is>
      </c>
      <c r="B269" s="16">
        <f>IF($A269="","",IFERROR(INDEX(Roster!$B$2:$B$40,MATCH($A269,Roster!$A$2:$A$40,0)),"?"))</f>
        <v/>
      </c>
      <c r="C269" s="28" t="inlineStr">
        <is>
          <t>CopiaAdHoc_1</t>
        </is>
      </c>
      <c r="D269" s="16">
        <f>IF($C269="","",IFERROR(IF(INDEX(Deals!$C$2:$C$355,MATCH($C269,Deals!$A$2:$A$355,0))=0,"",INDEX(Deals!$C$2:$C$355,MATCH($C269,Deals!$A$2:$A$355,0))),"?"))</f>
        <v/>
      </c>
      <c r="E269" s="16">
        <f>IF($C269="","",IFERROR(INDEX(Deals!$F$2:$F$355,MATCH($C269,Deals!$A$2:$A$355,0)),"?"))</f>
        <v/>
      </c>
      <c r="F269" s="28" t="inlineStr">
        <is>
          <t>Director</t>
        </is>
      </c>
      <c r="G269" s="28" t="inlineStr">
        <is>
          <t>Active</t>
        </is>
      </c>
      <c r="H269" s="31" t="n"/>
      <c r="I269" s="32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1">
        <f>IF($C269="",0,IFERROR(INDEX(Deals!$H$2:$H$355,MATCH($C269,Deals!$A$2:$A$355,0)),0))</f>
        <v/>
      </c>
      <c r="K269" s="32">
        <f>IF(Settings!$B$4="Yes",$I269*$J269,$I269)</f>
        <v/>
      </c>
      <c r="L269" s="22">
        <f>IF($C269="","",IFERROR(IF(INDEX(Deals!$I$2:$I$355,MATCH($C269,Deals!$A$2:$A$355,0))=0,"",INDEX(Deals!$I$2:$I$355,MATCH($C269,Deals!$A$2:$A$355,0))),""))</f>
        <v/>
      </c>
      <c r="M269" s="22">
        <f>IF($C269="","",IFERROR(IF(INDEX(Deals!$J$2:$J$355,MATCH($C269,Deals!$A$2:$A$355,0))=0,"",INDEX(Deals!$J$2:$J$355,MATCH($C269,Deals!$A$2:$A$355,0))),""))</f>
        <v/>
      </c>
      <c r="N269" s="35">
        <f>IF($L269="",DATE(1900,1,1),$L269)</f>
        <v/>
      </c>
      <c r="O269" s="35">
        <f>IF($M269="",DATE(2100,12,31),$M269)</f>
        <v/>
      </c>
      <c r="P269" s="20" t="inlineStr"/>
      <c r="Q269" s="43" t="inlineStr"/>
      <c r="R269" s="16">
        <f>IF($C269="","",IFERROR(IF(INDEX(Deals!$U$2:$U$355,MATCH($C269,Deals!$A$2:$A$355,0))=0,"",INDEX(Deals!$U$2:$U$355,MATCH($C269,Deals!$A$2:$A$355,0))),""))</f>
        <v/>
      </c>
      <c r="S269" s="34">
        <f>IFERROR(IF($U269="",1,INDEX(Deals!$V$2:$V$355,MATCH($C269,Deals!$A$2:$A$355,0))),1)</f>
        <v/>
      </c>
      <c r="T269" s="34">
        <f>IFERROR(IF($U269="",1,INDEX(Deals!$W$2:$W$355,MATCH($C269,Deals!$A$2:$A$355,0))),1)</f>
        <v/>
      </c>
      <c r="U269" s="22">
        <f>IF($C269="","",IFERROR(IF(INDEX(Deals!$Y$2:$Y$355,MATCH($C269,Deals!$A$2:$A$355,0))=0,"",INDEX(Deals!$Y$2:$Y$355,MATCH($C269,Deals!$A$2:$A$355,0))),""))</f>
        <v/>
      </c>
      <c r="V269" s="35">
        <f>IF($U269="",DATE(1900,1,1),$N269)</f>
        <v/>
      </c>
      <c r="W269" s="35">
        <f>IF($U269="",DATE(2100,12,31),$U269)</f>
        <v/>
      </c>
      <c r="X269" s="32">
        <f>IF($U269="",$K269,$K269*$S269)</f>
        <v/>
      </c>
      <c r="Y269" s="35">
        <f>IF($U269="",DATE(2100,12,31),$U269+1)</f>
        <v/>
      </c>
      <c r="Z269" s="35">
        <f>IF($U269="",DATE(1900,1,1),$O269)</f>
        <v/>
      </c>
      <c r="AA269" s="32">
        <f>IF($U269="",0,$K269*$T269)</f>
        <v/>
      </c>
      <c r="AB269" s="21">
        <f>IF($C269="",0,IFERROR(INDEX(Deals!$AD$2:$AD$355,MATCH($C269,Deals!$A$2:$A$355,0)),0))</f>
        <v/>
      </c>
      <c r="AC269" s="32">
        <f>IF(Settings!$B$4="Yes",$I269*$AB269,$I269)</f>
        <v/>
      </c>
      <c r="AD269" s="22">
        <f>IF($C269="","",IFERROR(IF(INDEX(Deals!$AE$2:$AE$355,MATCH($C269,Deals!$A$2:$A$355,0))=0,"",INDEX(Deals!$AE$2:$AE$355,MATCH($C269,Deals!$A$2:$A$355,0))),""))</f>
        <v/>
      </c>
      <c r="AE269" s="22">
        <f>IF($C269="","",IFERROR(IF(INDEX(Deals!$AF$2:$AF$355,MATCH($C269,Deals!$A$2:$A$355,0))=0,"",INDEX(Deals!$AF$2:$AF$355,MATCH($C269,Deals!$A$2:$A$355,0))),""))</f>
        <v/>
      </c>
      <c r="AF269" s="35">
        <f>IF($AD269="",DATE(1900,1,1),$AD269)</f>
        <v/>
      </c>
      <c r="AG269" s="35">
        <f>IF($AE269="",DATE(2100,12,31),$AE269)</f>
        <v/>
      </c>
      <c r="AH269" s="22">
        <f>IF($C269="","",IFERROR(IF(INDEX(Deals!$AG$2:$AG$355,MATCH($C269,Deals!$A$2:$A$355,0))=0,"",INDEX(Deals!$AG$2:$AG$355,MATCH($C269,Deals!$A$2:$A$355,0))),""))</f>
        <v/>
      </c>
      <c r="AI269" s="35">
        <f>IF($AH269="",DATE(1900,1,1),$AF269)</f>
        <v/>
      </c>
      <c r="AJ269" s="35">
        <f>IF($AH269="",DATE(2100,12,31),$AH269)</f>
        <v/>
      </c>
      <c r="AK269" s="32">
        <f>IF($AH269="",$AC269,$AC269*$S269)</f>
        <v/>
      </c>
      <c r="AL269" s="35">
        <f>IF($AH269="",DATE(2100,12,31),$AH269+1)</f>
        <v/>
      </c>
      <c r="AM269" s="35">
        <f>IF($AH269="",DATE(1900,1,1),$AG269)</f>
        <v/>
      </c>
      <c r="AN269" s="32">
        <f>IF($AH269="",0,$AC269*$T269)</f>
        <v/>
      </c>
    </row>
    <row r="270">
      <c r="A270" s="28" t="inlineStr">
        <is>
          <t>Kyle Risser</t>
        </is>
      </c>
      <c r="B270" s="16">
        <f>IF($A270="","",IFERROR(INDEX(Roster!$B$2:$B$40,MATCH($A270,Roster!$A$2:$A$40,0)),"?"))</f>
        <v/>
      </c>
      <c r="C270" s="28" t="inlineStr">
        <is>
          <t>Denali_3</t>
        </is>
      </c>
      <c r="D270" s="16">
        <f>IF($C270="","",IFERROR(IF(INDEX(Deals!$C$2:$C$355,MATCH($C270,Deals!$A$2:$A$355,0))=0,"",INDEX(Deals!$C$2:$C$355,MATCH($C270,Deals!$A$2:$A$355,0))),"?"))</f>
        <v/>
      </c>
      <c r="E270" s="16">
        <f>IF($C270="","",IFERROR(INDEX(Deals!$F$2:$F$355,MATCH($C270,Deals!$A$2:$A$355,0)),"?"))</f>
        <v/>
      </c>
      <c r="F270" s="28" t="inlineStr">
        <is>
          <t>Director</t>
        </is>
      </c>
      <c r="G270" s="28" t="inlineStr">
        <is>
          <t>Active</t>
        </is>
      </c>
      <c r="H270" s="31" t="n"/>
      <c r="I270" s="32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1">
        <f>IF($C270="",0,IFERROR(INDEX(Deals!$H$2:$H$355,MATCH($C270,Deals!$A$2:$A$355,0)),0))</f>
        <v/>
      </c>
      <c r="K270" s="32">
        <f>IF(Settings!$B$4="Yes",$I270*$J270,$I270)</f>
        <v/>
      </c>
      <c r="L270" s="22">
        <f>IF($C270="","",IFERROR(IF(INDEX(Deals!$I$2:$I$355,MATCH($C270,Deals!$A$2:$A$355,0))=0,"",INDEX(Deals!$I$2:$I$355,MATCH($C270,Deals!$A$2:$A$355,0))),""))</f>
        <v/>
      </c>
      <c r="M270" s="22">
        <f>IF($C270="","",IFERROR(IF(INDEX(Deals!$J$2:$J$355,MATCH($C270,Deals!$A$2:$A$355,0))=0,"",INDEX(Deals!$J$2:$J$355,MATCH($C270,Deals!$A$2:$A$355,0))),""))</f>
        <v/>
      </c>
      <c r="N270" s="35">
        <f>IF($L270="",DATE(1900,1,1),$L270)</f>
        <v/>
      </c>
      <c r="O270" s="35">
        <f>IF($M270="",DATE(2100,12,31),$M270)</f>
        <v/>
      </c>
      <c r="P270" s="20" t="inlineStr"/>
      <c r="Q270" s="43" t="inlineStr"/>
      <c r="R270" s="16">
        <f>IF($C270="","",IFERROR(IF(INDEX(Deals!$U$2:$U$355,MATCH($C270,Deals!$A$2:$A$355,0))=0,"",INDEX(Deals!$U$2:$U$355,MATCH($C270,Deals!$A$2:$A$355,0))),""))</f>
        <v/>
      </c>
      <c r="S270" s="34">
        <f>IFERROR(IF($U270="",1,INDEX(Deals!$V$2:$V$355,MATCH($C270,Deals!$A$2:$A$355,0))),1)</f>
        <v/>
      </c>
      <c r="T270" s="34">
        <f>IFERROR(IF($U270="",1,INDEX(Deals!$W$2:$W$355,MATCH($C270,Deals!$A$2:$A$355,0))),1)</f>
        <v/>
      </c>
      <c r="U270" s="22">
        <f>IF($C270="","",IFERROR(IF(INDEX(Deals!$Y$2:$Y$355,MATCH($C270,Deals!$A$2:$A$355,0))=0,"",INDEX(Deals!$Y$2:$Y$355,MATCH($C270,Deals!$A$2:$A$355,0))),""))</f>
        <v/>
      </c>
      <c r="V270" s="35">
        <f>IF($U270="",DATE(1900,1,1),$N270)</f>
        <v/>
      </c>
      <c r="W270" s="35">
        <f>IF($U270="",DATE(2100,12,31),$U270)</f>
        <v/>
      </c>
      <c r="X270" s="32">
        <f>IF($U270="",$K270,$K270*$S270)</f>
        <v/>
      </c>
      <c r="Y270" s="35">
        <f>IF($U270="",DATE(2100,12,31),$U270+1)</f>
        <v/>
      </c>
      <c r="Z270" s="35">
        <f>IF($U270="",DATE(1900,1,1),$O270)</f>
        <v/>
      </c>
      <c r="AA270" s="32">
        <f>IF($U270="",0,$K270*$T270)</f>
        <v/>
      </c>
      <c r="AB270" s="21">
        <f>IF($C270="",0,IFERROR(INDEX(Deals!$AD$2:$AD$355,MATCH($C270,Deals!$A$2:$A$355,0)),0))</f>
        <v/>
      </c>
      <c r="AC270" s="32">
        <f>IF(Settings!$B$4="Yes",$I270*$AB270,$I270)</f>
        <v/>
      </c>
      <c r="AD270" s="22">
        <f>IF($C270="","",IFERROR(IF(INDEX(Deals!$AE$2:$AE$355,MATCH($C270,Deals!$A$2:$A$355,0))=0,"",INDEX(Deals!$AE$2:$AE$355,MATCH($C270,Deals!$A$2:$A$355,0))),""))</f>
        <v/>
      </c>
      <c r="AE270" s="22">
        <f>IF($C270="","",IFERROR(IF(INDEX(Deals!$AF$2:$AF$355,MATCH($C270,Deals!$A$2:$A$355,0))=0,"",INDEX(Deals!$AF$2:$AF$355,MATCH($C270,Deals!$A$2:$A$355,0))),""))</f>
        <v/>
      </c>
      <c r="AF270" s="35">
        <f>IF($AD270="",DATE(1900,1,1),$AD270)</f>
        <v/>
      </c>
      <c r="AG270" s="35">
        <f>IF($AE270="",DATE(2100,12,31),$AE270)</f>
        <v/>
      </c>
      <c r="AH270" s="22">
        <f>IF($C270="","",IFERROR(IF(INDEX(Deals!$AG$2:$AG$355,MATCH($C270,Deals!$A$2:$A$355,0))=0,"",INDEX(Deals!$AG$2:$AG$355,MATCH($C270,Deals!$A$2:$A$355,0))),""))</f>
        <v/>
      </c>
      <c r="AI270" s="35">
        <f>IF($AH270="",DATE(1900,1,1),$AF270)</f>
        <v/>
      </c>
      <c r="AJ270" s="35">
        <f>IF($AH270="",DATE(2100,12,31),$AH270)</f>
        <v/>
      </c>
      <c r="AK270" s="32">
        <f>IF($AH270="",$AC270,$AC270*$S270)</f>
        <v/>
      </c>
      <c r="AL270" s="35">
        <f>IF($AH270="",DATE(2100,12,31),$AH270+1)</f>
        <v/>
      </c>
      <c r="AM270" s="35">
        <f>IF($AH270="",DATE(1900,1,1),$AG270)</f>
        <v/>
      </c>
      <c r="AN270" s="32">
        <f>IF($AH270="",0,$AC270*$T270)</f>
        <v/>
      </c>
    </row>
    <row r="271">
      <c r="A271" s="28" t="inlineStr">
        <is>
          <t>Kyle Risser</t>
        </is>
      </c>
      <c r="B271" s="16">
        <f>IF($A271="","",IFERROR(INDEX(Roster!$B$2:$B$40,MATCH($A271,Roster!$A$2:$A$40,0)),"?"))</f>
        <v/>
      </c>
      <c r="C271" s="28" t="inlineStr">
        <is>
          <t>Dorsia_1</t>
        </is>
      </c>
      <c r="D271" s="16">
        <f>IF($C271="","",IFERROR(IF(INDEX(Deals!$C$2:$C$355,MATCH($C271,Deals!$A$2:$A$355,0))=0,"",INDEX(Deals!$C$2:$C$355,MATCH($C271,Deals!$A$2:$A$355,0))),"?"))</f>
        <v/>
      </c>
      <c r="E271" s="16">
        <f>IF($C271="","",IFERROR(INDEX(Deals!$F$2:$F$355,MATCH($C271,Deals!$A$2:$A$355,0)),"?"))</f>
        <v/>
      </c>
      <c r="F271" s="28" t="inlineStr">
        <is>
          <t>Director</t>
        </is>
      </c>
      <c r="G271" s="28" t="inlineStr">
        <is>
          <t>Active</t>
        </is>
      </c>
      <c r="H271" s="31" t="n"/>
      <c r="I271" s="32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1">
        <f>IF($C271="",0,IFERROR(INDEX(Deals!$H$2:$H$355,MATCH($C271,Deals!$A$2:$A$355,0)),0))</f>
        <v/>
      </c>
      <c r="K271" s="32">
        <f>IF(Settings!$B$4="Yes",$I271*$J271,$I271)</f>
        <v/>
      </c>
      <c r="L271" s="22">
        <f>IF($C271="","",IFERROR(IF(INDEX(Deals!$I$2:$I$355,MATCH($C271,Deals!$A$2:$A$355,0))=0,"",INDEX(Deals!$I$2:$I$355,MATCH($C271,Deals!$A$2:$A$355,0))),""))</f>
        <v/>
      </c>
      <c r="M271" s="22">
        <f>IF($C271="","",IFERROR(IF(INDEX(Deals!$J$2:$J$355,MATCH($C271,Deals!$A$2:$A$355,0))=0,"",INDEX(Deals!$J$2:$J$355,MATCH($C271,Deals!$A$2:$A$355,0))),""))</f>
        <v/>
      </c>
      <c r="N271" s="35">
        <f>IF($L271="",DATE(1900,1,1),$L271)</f>
        <v/>
      </c>
      <c r="O271" s="35">
        <f>IF($M271="",DATE(2100,12,31),$M271)</f>
        <v/>
      </c>
      <c r="P271" s="20" t="inlineStr"/>
      <c r="Q271" s="43" t="inlineStr"/>
      <c r="R271" s="16">
        <f>IF($C271="","",IFERROR(IF(INDEX(Deals!$U$2:$U$355,MATCH($C271,Deals!$A$2:$A$355,0))=0,"",INDEX(Deals!$U$2:$U$355,MATCH($C271,Deals!$A$2:$A$355,0))),""))</f>
        <v/>
      </c>
      <c r="S271" s="34">
        <f>IFERROR(IF($U271="",1,INDEX(Deals!$V$2:$V$355,MATCH($C271,Deals!$A$2:$A$355,0))),1)</f>
        <v/>
      </c>
      <c r="T271" s="34">
        <f>IFERROR(IF($U271="",1,INDEX(Deals!$W$2:$W$355,MATCH($C271,Deals!$A$2:$A$355,0))),1)</f>
        <v/>
      </c>
      <c r="U271" s="22">
        <f>IF($C271="","",IFERROR(IF(INDEX(Deals!$Y$2:$Y$355,MATCH($C271,Deals!$A$2:$A$355,0))=0,"",INDEX(Deals!$Y$2:$Y$355,MATCH($C271,Deals!$A$2:$A$355,0))),""))</f>
        <v/>
      </c>
      <c r="V271" s="35">
        <f>IF($U271="",DATE(1900,1,1),$N271)</f>
        <v/>
      </c>
      <c r="W271" s="35">
        <f>IF($U271="",DATE(2100,12,31),$U271)</f>
        <v/>
      </c>
      <c r="X271" s="32">
        <f>IF($U271="",$K271,$K271*$S271)</f>
        <v/>
      </c>
      <c r="Y271" s="35">
        <f>IF($U271="",DATE(2100,12,31),$U271+1)</f>
        <v/>
      </c>
      <c r="Z271" s="35">
        <f>IF($U271="",DATE(1900,1,1),$O271)</f>
        <v/>
      </c>
      <c r="AA271" s="32">
        <f>IF($U271="",0,$K271*$T271)</f>
        <v/>
      </c>
      <c r="AB271" s="21">
        <f>IF($C271="",0,IFERROR(INDEX(Deals!$AD$2:$AD$355,MATCH($C271,Deals!$A$2:$A$355,0)),0))</f>
        <v/>
      </c>
      <c r="AC271" s="32">
        <f>IF(Settings!$B$4="Yes",$I271*$AB271,$I271)</f>
        <v/>
      </c>
      <c r="AD271" s="22">
        <f>IF($C271="","",IFERROR(IF(INDEX(Deals!$AE$2:$AE$355,MATCH($C271,Deals!$A$2:$A$355,0))=0,"",INDEX(Deals!$AE$2:$AE$355,MATCH($C271,Deals!$A$2:$A$355,0))),""))</f>
        <v/>
      </c>
      <c r="AE271" s="22">
        <f>IF($C271="","",IFERROR(IF(INDEX(Deals!$AF$2:$AF$355,MATCH($C271,Deals!$A$2:$A$355,0))=0,"",INDEX(Deals!$AF$2:$AF$355,MATCH($C271,Deals!$A$2:$A$355,0))),""))</f>
        <v/>
      </c>
      <c r="AF271" s="35">
        <f>IF($AD271="",DATE(1900,1,1),$AD271)</f>
        <v/>
      </c>
      <c r="AG271" s="35">
        <f>IF($AE271="",DATE(2100,12,31),$AE271)</f>
        <v/>
      </c>
      <c r="AH271" s="22">
        <f>IF($C271="","",IFERROR(IF(INDEX(Deals!$AG$2:$AG$355,MATCH($C271,Deals!$A$2:$A$355,0))=0,"",INDEX(Deals!$AG$2:$AG$355,MATCH($C271,Deals!$A$2:$A$355,0))),""))</f>
        <v/>
      </c>
      <c r="AI271" s="35">
        <f>IF($AH271="",DATE(1900,1,1),$AF271)</f>
        <v/>
      </c>
      <c r="AJ271" s="35">
        <f>IF($AH271="",DATE(2100,12,31),$AH271)</f>
        <v/>
      </c>
      <c r="AK271" s="32">
        <f>IF($AH271="",$AC271,$AC271*$S271)</f>
        <v/>
      </c>
      <c r="AL271" s="35">
        <f>IF($AH271="",DATE(2100,12,31),$AH271+1)</f>
        <v/>
      </c>
      <c r="AM271" s="35">
        <f>IF($AH271="",DATE(1900,1,1),$AG271)</f>
        <v/>
      </c>
      <c r="AN271" s="32">
        <f>IF($AH271="",0,$AC271*$T271)</f>
        <v/>
      </c>
    </row>
    <row r="272">
      <c r="A272" s="28" t="inlineStr">
        <is>
          <t>Kyle Risser</t>
        </is>
      </c>
      <c r="B272" s="16">
        <f>IF($A272="","",IFERROR(INDEX(Roster!$B$2:$B$40,MATCH($A272,Roster!$A$2:$A$40,0)),"?"))</f>
        <v/>
      </c>
      <c r="C272" s="28" t="inlineStr">
        <is>
          <t>EV Passport_2</t>
        </is>
      </c>
      <c r="D272" s="16">
        <f>IF($C272="","",IFERROR(IF(INDEX(Deals!$C$2:$C$355,MATCH($C272,Deals!$A$2:$A$355,0))=0,"",INDEX(Deals!$C$2:$C$355,MATCH($C272,Deals!$A$2:$A$355,0))),"?"))</f>
        <v/>
      </c>
      <c r="E272" s="16">
        <f>IF($C272="","",IFERROR(INDEX(Deals!$F$2:$F$355,MATCH($C272,Deals!$A$2:$A$355,0)),"?"))</f>
        <v/>
      </c>
      <c r="F272" s="28" t="inlineStr">
        <is>
          <t>Director</t>
        </is>
      </c>
      <c r="G272" s="28" t="inlineStr">
        <is>
          <t>Active</t>
        </is>
      </c>
      <c r="H272" s="31" t="n"/>
      <c r="I272" s="32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1">
        <f>IF($C272="",0,IFERROR(INDEX(Deals!$H$2:$H$355,MATCH($C272,Deals!$A$2:$A$355,0)),0))</f>
        <v/>
      </c>
      <c r="K272" s="32">
        <f>IF(Settings!$B$4="Yes",$I272*$J272,$I272)</f>
        <v/>
      </c>
      <c r="L272" s="22">
        <f>IF($C272="","",IFERROR(IF(INDEX(Deals!$I$2:$I$355,MATCH($C272,Deals!$A$2:$A$355,0))=0,"",INDEX(Deals!$I$2:$I$355,MATCH($C272,Deals!$A$2:$A$355,0))),""))</f>
        <v/>
      </c>
      <c r="M272" s="22">
        <f>IF($C272="","",IFERROR(IF(INDEX(Deals!$J$2:$J$355,MATCH($C272,Deals!$A$2:$A$355,0))=0,"",INDEX(Deals!$J$2:$J$355,MATCH($C272,Deals!$A$2:$A$355,0))),""))</f>
        <v/>
      </c>
      <c r="N272" s="35">
        <f>IF($L272="",DATE(1900,1,1),$L272)</f>
        <v/>
      </c>
      <c r="O272" s="35">
        <f>IF($M272="",DATE(2100,12,31),$M272)</f>
        <v/>
      </c>
      <c r="P272" s="20" t="inlineStr"/>
      <c r="Q272" s="43" t="inlineStr"/>
      <c r="R272" s="16">
        <f>IF($C272="","",IFERROR(IF(INDEX(Deals!$U$2:$U$355,MATCH($C272,Deals!$A$2:$A$355,0))=0,"",INDEX(Deals!$U$2:$U$355,MATCH($C272,Deals!$A$2:$A$355,0))),""))</f>
        <v/>
      </c>
      <c r="S272" s="34">
        <f>IFERROR(IF($U272="",1,INDEX(Deals!$V$2:$V$355,MATCH($C272,Deals!$A$2:$A$355,0))),1)</f>
        <v/>
      </c>
      <c r="T272" s="34">
        <f>IFERROR(IF($U272="",1,INDEX(Deals!$W$2:$W$355,MATCH($C272,Deals!$A$2:$A$355,0))),1)</f>
        <v/>
      </c>
      <c r="U272" s="22">
        <f>IF($C272="","",IFERROR(IF(INDEX(Deals!$Y$2:$Y$355,MATCH($C272,Deals!$A$2:$A$355,0))=0,"",INDEX(Deals!$Y$2:$Y$355,MATCH($C272,Deals!$A$2:$A$355,0))),""))</f>
        <v/>
      </c>
      <c r="V272" s="35">
        <f>IF($U272="",DATE(1900,1,1),$N272)</f>
        <v/>
      </c>
      <c r="W272" s="35">
        <f>IF($U272="",DATE(2100,12,31),$U272)</f>
        <v/>
      </c>
      <c r="X272" s="32">
        <f>IF($U272="",$K272,$K272*$S272)</f>
        <v/>
      </c>
      <c r="Y272" s="35">
        <f>IF($U272="",DATE(2100,12,31),$U272+1)</f>
        <v/>
      </c>
      <c r="Z272" s="35">
        <f>IF($U272="",DATE(1900,1,1),$O272)</f>
        <v/>
      </c>
      <c r="AA272" s="32">
        <f>IF($U272="",0,$K272*$T272)</f>
        <v/>
      </c>
      <c r="AB272" s="21">
        <f>IF($C272="",0,IFERROR(INDEX(Deals!$AD$2:$AD$355,MATCH($C272,Deals!$A$2:$A$355,0)),0))</f>
        <v/>
      </c>
      <c r="AC272" s="32">
        <f>IF(Settings!$B$4="Yes",$I272*$AB272,$I272)</f>
        <v/>
      </c>
      <c r="AD272" s="22">
        <f>IF($C272="","",IFERROR(IF(INDEX(Deals!$AE$2:$AE$355,MATCH($C272,Deals!$A$2:$A$355,0))=0,"",INDEX(Deals!$AE$2:$AE$355,MATCH($C272,Deals!$A$2:$A$355,0))),""))</f>
        <v/>
      </c>
      <c r="AE272" s="22">
        <f>IF($C272="","",IFERROR(IF(INDEX(Deals!$AF$2:$AF$355,MATCH($C272,Deals!$A$2:$A$355,0))=0,"",INDEX(Deals!$AF$2:$AF$355,MATCH($C272,Deals!$A$2:$A$355,0))),""))</f>
        <v/>
      </c>
      <c r="AF272" s="35">
        <f>IF($AD272="",DATE(1900,1,1),$AD272)</f>
        <v/>
      </c>
      <c r="AG272" s="35">
        <f>IF($AE272="",DATE(2100,12,31),$AE272)</f>
        <v/>
      </c>
      <c r="AH272" s="22">
        <f>IF($C272="","",IFERROR(IF(INDEX(Deals!$AG$2:$AG$355,MATCH($C272,Deals!$A$2:$A$355,0))=0,"",INDEX(Deals!$AG$2:$AG$355,MATCH($C272,Deals!$A$2:$A$355,0))),""))</f>
        <v/>
      </c>
      <c r="AI272" s="35">
        <f>IF($AH272="",DATE(1900,1,1),$AF272)</f>
        <v/>
      </c>
      <c r="AJ272" s="35">
        <f>IF($AH272="",DATE(2100,12,31),$AH272)</f>
        <v/>
      </c>
      <c r="AK272" s="32">
        <f>IF($AH272="",$AC272,$AC272*$S272)</f>
        <v/>
      </c>
      <c r="AL272" s="35">
        <f>IF($AH272="",DATE(2100,12,31),$AH272+1)</f>
        <v/>
      </c>
      <c r="AM272" s="35">
        <f>IF($AH272="",DATE(1900,1,1),$AG272)</f>
        <v/>
      </c>
      <c r="AN272" s="32">
        <f>IF($AH272="",0,$AC272*$T272)</f>
        <v/>
      </c>
    </row>
    <row r="273">
      <c r="A273" s="28" t="inlineStr">
        <is>
          <t>Kyle Risser</t>
        </is>
      </c>
      <c r="B273" s="16">
        <f>IF($A273="","",IFERROR(INDEX(Roster!$B$2:$B$40,MATCH($A273,Roster!$A$2:$A$40,0)),"?"))</f>
        <v/>
      </c>
      <c r="C273" s="28" t="inlineStr">
        <is>
          <t>Gateway_3</t>
        </is>
      </c>
      <c r="D273" s="16">
        <f>IF($C273="","",IFERROR(IF(INDEX(Deals!$C$2:$C$355,MATCH($C273,Deals!$A$2:$A$355,0))=0,"",INDEX(Deals!$C$2:$C$355,MATCH($C273,Deals!$A$2:$A$355,0))),"?"))</f>
        <v/>
      </c>
      <c r="E273" s="16">
        <f>IF($C273="","",IFERROR(INDEX(Deals!$F$2:$F$355,MATCH($C273,Deals!$A$2:$A$355,0)),"?"))</f>
        <v/>
      </c>
      <c r="F273" s="28" t="inlineStr">
        <is>
          <t>Director</t>
        </is>
      </c>
      <c r="G273" s="28" t="inlineStr">
        <is>
          <t>Active</t>
        </is>
      </c>
      <c r="H273" s="31" t="n"/>
      <c r="I273" s="32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1">
        <f>IF($C273="",0,IFERROR(INDEX(Deals!$H$2:$H$355,MATCH($C273,Deals!$A$2:$A$355,0)),0))</f>
        <v/>
      </c>
      <c r="K273" s="32">
        <f>IF(Settings!$B$4="Yes",$I273*$J273,$I273)</f>
        <v/>
      </c>
      <c r="L273" s="22">
        <f>IF($C273="","",IFERROR(IF(INDEX(Deals!$I$2:$I$355,MATCH($C273,Deals!$A$2:$A$355,0))=0,"",INDEX(Deals!$I$2:$I$355,MATCH($C273,Deals!$A$2:$A$355,0))),""))</f>
        <v/>
      </c>
      <c r="M273" s="22">
        <f>IF($C273="","",IFERROR(IF(INDEX(Deals!$J$2:$J$355,MATCH($C273,Deals!$A$2:$A$355,0))=0,"",INDEX(Deals!$J$2:$J$355,MATCH($C273,Deals!$A$2:$A$355,0))),""))</f>
        <v/>
      </c>
      <c r="N273" s="35">
        <f>IF($L273="",DATE(1900,1,1),$L273)</f>
        <v/>
      </c>
      <c r="O273" s="35">
        <f>IF($M273="",DATE(2100,12,31),$M273)</f>
        <v/>
      </c>
      <c r="P273" s="20" t="inlineStr"/>
      <c r="Q273" s="43" t="inlineStr"/>
      <c r="R273" s="16">
        <f>IF($C273="","",IFERROR(IF(INDEX(Deals!$U$2:$U$355,MATCH($C273,Deals!$A$2:$A$355,0))=0,"",INDEX(Deals!$U$2:$U$355,MATCH($C273,Deals!$A$2:$A$355,0))),""))</f>
        <v/>
      </c>
      <c r="S273" s="34">
        <f>IFERROR(IF($U273="",1,INDEX(Deals!$V$2:$V$355,MATCH($C273,Deals!$A$2:$A$355,0))),1)</f>
        <v/>
      </c>
      <c r="T273" s="34">
        <f>IFERROR(IF($U273="",1,INDEX(Deals!$W$2:$W$355,MATCH($C273,Deals!$A$2:$A$355,0))),1)</f>
        <v/>
      </c>
      <c r="U273" s="22">
        <f>IF($C273="","",IFERROR(IF(INDEX(Deals!$Y$2:$Y$355,MATCH($C273,Deals!$A$2:$A$355,0))=0,"",INDEX(Deals!$Y$2:$Y$355,MATCH($C273,Deals!$A$2:$A$355,0))),""))</f>
        <v/>
      </c>
      <c r="V273" s="35">
        <f>IF($U273="",DATE(1900,1,1),$N273)</f>
        <v/>
      </c>
      <c r="W273" s="35">
        <f>IF($U273="",DATE(2100,12,31),$U273)</f>
        <v/>
      </c>
      <c r="X273" s="32">
        <f>IF($U273="",$K273,$K273*$S273)</f>
        <v/>
      </c>
      <c r="Y273" s="35">
        <f>IF($U273="",DATE(2100,12,31),$U273+1)</f>
        <v/>
      </c>
      <c r="Z273" s="35">
        <f>IF($U273="",DATE(1900,1,1),$O273)</f>
        <v/>
      </c>
      <c r="AA273" s="32">
        <f>IF($U273="",0,$K273*$T273)</f>
        <v/>
      </c>
      <c r="AB273" s="21">
        <f>IF($C273="",0,IFERROR(INDEX(Deals!$AD$2:$AD$355,MATCH($C273,Deals!$A$2:$A$355,0)),0))</f>
        <v/>
      </c>
      <c r="AC273" s="32">
        <f>IF(Settings!$B$4="Yes",$I273*$AB273,$I273)</f>
        <v/>
      </c>
      <c r="AD273" s="22">
        <f>IF($C273="","",IFERROR(IF(INDEX(Deals!$AE$2:$AE$355,MATCH($C273,Deals!$A$2:$A$355,0))=0,"",INDEX(Deals!$AE$2:$AE$355,MATCH($C273,Deals!$A$2:$A$355,0))),""))</f>
        <v/>
      </c>
      <c r="AE273" s="22">
        <f>IF($C273="","",IFERROR(IF(INDEX(Deals!$AF$2:$AF$355,MATCH($C273,Deals!$A$2:$A$355,0))=0,"",INDEX(Deals!$AF$2:$AF$355,MATCH($C273,Deals!$A$2:$A$355,0))),""))</f>
        <v/>
      </c>
      <c r="AF273" s="35">
        <f>IF($AD273="",DATE(1900,1,1),$AD273)</f>
        <v/>
      </c>
      <c r="AG273" s="35">
        <f>IF($AE273="",DATE(2100,12,31),$AE273)</f>
        <v/>
      </c>
      <c r="AH273" s="22">
        <f>IF($C273="","",IFERROR(IF(INDEX(Deals!$AG$2:$AG$355,MATCH($C273,Deals!$A$2:$A$355,0))=0,"",INDEX(Deals!$AG$2:$AG$355,MATCH($C273,Deals!$A$2:$A$355,0))),""))</f>
        <v/>
      </c>
      <c r="AI273" s="35">
        <f>IF($AH273="",DATE(1900,1,1),$AF273)</f>
        <v/>
      </c>
      <c r="AJ273" s="35">
        <f>IF($AH273="",DATE(2100,12,31),$AH273)</f>
        <v/>
      </c>
      <c r="AK273" s="32">
        <f>IF($AH273="",$AC273,$AC273*$S273)</f>
        <v/>
      </c>
      <c r="AL273" s="35">
        <f>IF($AH273="",DATE(2100,12,31),$AH273+1)</f>
        <v/>
      </c>
      <c r="AM273" s="35">
        <f>IF($AH273="",DATE(1900,1,1),$AG273)</f>
        <v/>
      </c>
      <c r="AN273" s="32">
        <f>IF($AH273="",0,$AC273*$T273)</f>
        <v/>
      </c>
    </row>
    <row r="274">
      <c r="A274" s="28" t="inlineStr">
        <is>
          <t>Kyle Risser</t>
        </is>
      </c>
      <c r="B274" s="16">
        <f>IF($A274="","",IFERROR(INDEX(Roster!$B$2:$B$40,MATCH($A274,Roster!$A$2:$A$40,0)),"?"))</f>
        <v/>
      </c>
      <c r="C274" s="28" t="inlineStr">
        <is>
          <t>Guardian_3</t>
        </is>
      </c>
      <c r="D274" s="16">
        <f>IF($C274="","",IFERROR(IF(INDEX(Deals!$C$2:$C$355,MATCH($C274,Deals!$A$2:$A$355,0))=0,"",INDEX(Deals!$C$2:$C$355,MATCH($C274,Deals!$A$2:$A$355,0))),"?"))</f>
        <v/>
      </c>
      <c r="E274" s="16">
        <f>IF($C274="","",IFERROR(INDEX(Deals!$F$2:$F$355,MATCH($C274,Deals!$A$2:$A$355,0)),"?"))</f>
        <v/>
      </c>
      <c r="F274" s="28" t="inlineStr">
        <is>
          <t>Director</t>
        </is>
      </c>
      <c r="G274" s="28" t="inlineStr">
        <is>
          <t>Active</t>
        </is>
      </c>
      <c r="H274" s="31" t="n"/>
      <c r="I274" s="32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1">
        <f>IF($C274="",0,IFERROR(INDEX(Deals!$H$2:$H$355,MATCH($C274,Deals!$A$2:$A$355,0)),0))</f>
        <v/>
      </c>
      <c r="K274" s="32">
        <f>IF(Settings!$B$4="Yes",$I274*$J274,$I274)</f>
        <v/>
      </c>
      <c r="L274" s="22">
        <f>IF($C274="","",IFERROR(IF(INDEX(Deals!$I$2:$I$355,MATCH($C274,Deals!$A$2:$A$355,0))=0,"",INDEX(Deals!$I$2:$I$355,MATCH($C274,Deals!$A$2:$A$355,0))),""))</f>
        <v/>
      </c>
      <c r="M274" s="22">
        <f>IF($C274="","",IFERROR(IF(INDEX(Deals!$J$2:$J$355,MATCH($C274,Deals!$A$2:$A$355,0))=0,"",INDEX(Deals!$J$2:$J$355,MATCH($C274,Deals!$A$2:$A$355,0))),""))</f>
        <v/>
      </c>
      <c r="N274" s="35">
        <f>IF($L274="",DATE(1900,1,1),$L274)</f>
        <v/>
      </c>
      <c r="O274" s="35">
        <f>IF($M274="",DATE(2100,12,31),$M274)</f>
        <v/>
      </c>
      <c r="P274" s="20" t="inlineStr"/>
      <c r="Q274" s="43" t="inlineStr"/>
      <c r="R274" s="16">
        <f>IF($C274="","",IFERROR(IF(INDEX(Deals!$U$2:$U$355,MATCH($C274,Deals!$A$2:$A$355,0))=0,"",INDEX(Deals!$U$2:$U$355,MATCH($C274,Deals!$A$2:$A$355,0))),""))</f>
        <v/>
      </c>
      <c r="S274" s="34">
        <f>IFERROR(IF($U274="",1,INDEX(Deals!$V$2:$V$355,MATCH($C274,Deals!$A$2:$A$355,0))),1)</f>
        <v/>
      </c>
      <c r="T274" s="34">
        <f>IFERROR(IF($U274="",1,INDEX(Deals!$W$2:$W$355,MATCH($C274,Deals!$A$2:$A$355,0))),1)</f>
        <v/>
      </c>
      <c r="U274" s="22">
        <f>IF($C274="","",IFERROR(IF(INDEX(Deals!$Y$2:$Y$355,MATCH($C274,Deals!$A$2:$A$355,0))=0,"",INDEX(Deals!$Y$2:$Y$355,MATCH($C274,Deals!$A$2:$A$355,0))),""))</f>
        <v/>
      </c>
      <c r="V274" s="35">
        <f>IF($U274="",DATE(1900,1,1),$N274)</f>
        <v/>
      </c>
      <c r="W274" s="35">
        <f>IF($U274="",DATE(2100,12,31),$U274)</f>
        <v/>
      </c>
      <c r="X274" s="32">
        <f>IF($U274="",$K274,$K274*$S274)</f>
        <v/>
      </c>
      <c r="Y274" s="35">
        <f>IF($U274="",DATE(2100,12,31),$U274+1)</f>
        <v/>
      </c>
      <c r="Z274" s="35">
        <f>IF($U274="",DATE(1900,1,1),$O274)</f>
        <v/>
      </c>
      <c r="AA274" s="32">
        <f>IF($U274="",0,$K274*$T274)</f>
        <v/>
      </c>
      <c r="AB274" s="21">
        <f>IF($C274="",0,IFERROR(INDEX(Deals!$AD$2:$AD$355,MATCH($C274,Deals!$A$2:$A$355,0)),0))</f>
        <v/>
      </c>
      <c r="AC274" s="32">
        <f>IF(Settings!$B$4="Yes",$I274*$AB274,$I274)</f>
        <v/>
      </c>
      <c r="AD274" s="22">
        <f>IF($C274="","",IFERROR(IF(INDEX(Deals!$AE$2:$AE$355,MATCH($C274,Deals!$A$2:$A$355,0))=0,"",INDEX(Deals!$AE$2:$AE$355,MATCH($C274,Deals!$A$2:$A$355,0))),""))</f>
        <v/>
      </c>
      <c r="AE274" s="22">
        <f>IF($C274="","",IFERROR(IF(INDEX(Deals!$AF$2:$AF$355,MATCH($C274,Deals!$A$2:$A$355,0))=0,"",INDEX(Deals!$AF$2:$AF$355,MATCH($C274,Deals!$A$2:$A$355,0))),""))</f>
        <v/>
      </c>
      <c r="AF274" s="35">
        <f>IF($AD274="",DATE(1900,1,1),$AD274)</f>
        <v/>
      </c>
      <c r="AG274" s="35">
        <f>IF($AE274="",DATE(2100,12,31),$AE274)</f>
        <v/>
      </c>
      <c r="AH274" s="22">
        <f>IF($C274="","",IFERROR(IF(INDEX(Deals!$AG$2:$AG$355,MATCH($C274,Deals!$A$2:$A$355,0))=0,"",INDEX(Deals!$AG$2:$AG$355,MATCH($C274,Deals!$A$2:$A$355,0))),""))</f>
        <v/>
      </c>
      <c r="AI274" s="35">
        <f>IF($AH274="",DATE(1900,1,1),$AF274)</f>
        <v/>
      </c>
      <c r="AJ274" s="35">
        <f>IF($AH274="",DATE(2100,12,31),$AH274)</f>
        <v/>
      </c>
      <c r="AK274" s="32">
        <f>IF($AH274="",$AC274,$AC274*$S274)</f>
        <v/>
      </c>
      <c r="AL274" s="35">
        <f>IF($AH274="",DATE(2100,12,31),$AH274+1)</f>
        <v/>
      </c>
      <c r="AM274" s="35">
        <f>IF($AH274="",DATE(1900,1,1),$AG274)</f>
        <v/>
      </c>
      <c r="AN274" s="32">
        <f>IF($AH274="",0,$AC274*$T274)</f>
        <v/>
      </c>
    </row>
    <row r="275">
      <c r="A275" s="28" t="inlineStr">
        <is>
          <t>Kyle Risser</t>
        </is>
      </c>
      <c r="B275" s="16">
        <f>IF($A275="","",IFERROR(INDEX(Roster!$B$2:$B$40,MATCH($A275,Roster!$A$2:$A$40,0)),"?"))</f>
        <v/>
      </c>
      <c r="C275" s="28" t="inlineStr">
        <is>
          <t>Heartland_2</t>
        </is>
      </c>
      <c r="D275" s="16">
        <f>IF($C275="","",IFERROR(IF(INDEX(Deals!$C$2:$C$355,MATCH($C275,Deals!$A$2:$A$355,0))=0,"",INDEX(Deals!$C$2:$C$355,MATCH($C275,Deals!$A$2:$A$355,0))),"?"))</f>
        <v/>
      </c>
      <c r="E275" s="16">
        <f>IF($C275="","",IFERROR(INDEX(Deals!$F$2:$F$355,MATCH($C275,Deals!$A$2:$A$355,0)),"?"))</f>
        <v/>
      </c>
      <c r="F275" s="28" t="inlineStr">
        <is>
          <t>Director</t>
        </is>
      </c>
      <c r="G275" s="28" t="inlineStr">
        <is>
          <t>Active</t>
        </is>
      </c>
      <c r="H275" s="31" t="n"/>
      <c r="I275" s="32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1">
        <f>IF($C275="",0,IFERROR(INDEX(Deals!$H$2:$H$355,MATCH($C275,Deals!$A$2:$A$355,0)),0))</f>
        <v/>
      </c>
      <c r="K275" s="32">
        <f>IF(Settings!$B$4="Yes",$I275*$J275,$I275)</f>
        <v/>
      </c>
      <c r="L275" s="22">
        <f>IF($C275="","",IFERROR(IF(INDEX(Deals!$I$2:$I$355,MATCH($C275,Deals!$A$2:$A$355,0))=0,"",INDEX(Deals!$I$2:$I$355,MATCH($C275,Deals!$A$2:$A$355,0))),""))</f>
        <v/>
      </c>
      <c r="M275" s="22">
        <f>IF($C275="","",IFERROR(IF(INDEX(Deals!$J$2:$J$355,MATCH($C275,Deals!$A$2:$A$355,0))=0,"",INDEX(Deals!$J$2:$J$355,MATCH($C275,Deals!$A$2:$A$355,0))),""))</f>
        <v/>
      </c>
      <c r="N275" s="35">
        <f>IF($L275="",DATE(1900,1,1),$L275)</f>
        <v/>
      </c>
      <c r="O275" s="35">
        <f>IF($M275="",DATE(2100,12,31),$M275)</f>
        <v/>
      </c>
      <c r="P275" s="20" t="inlineStr"/>
      <c r="Q275" s="43" t="inlineStr"/>
      <c r="R275" s="16">
        <f>IF($C275="","",IFERROR(IF(INDEX(Deals!$U$2:$U$355,MATCH($C275,Deals!$A$2:$A$355,0))=0,"",INDEX(Deals!$U$2:$U$355,MATCH($C275,Deals!$A$2:$A$355,0))),""))</f>
        <v/>
      </c>
      <c r="S275" s="34">
        <f>IFERROR(IF($U275="",1,INDEX(Deals!$V$2:$V$355,MATCH($C275,Deals!$A$2:$A$355,0))),1)</f>
        <v/>
      </c>
      <c r="T275" s="34">
        <f>IFERROR(IF($U275="",1,INDEX(Deals!$W$2:$W$355,MATCH($C275,Deals!$A$2:$A$355,0))),1)</f>
        <v/>
      </c>
      <c r="U275" s="22">
        <f>IF($C275="","",IFERROR(IF(INDEX(Deals!$Y$2:$Y$355,MATCH($C275,Deals!$A$2:$A$355,0))=0,"",INDEX(Deals!$Y$2:$Y$355,MATCH($C275,Deals!$A$2:$A$355,0))),""))</f>
        <v/>
      </c>
      <c r="V275" s="35">
        <f>IF($U275="",DATE(1900,1,1),$N275)</f>
        <v/>
      </c>
      <c r="W275" s="35">
        <f>IF($U275="",DATE(2100,12,31),$U275)</f>
        <v/>
      </c>
      <c r="X275" s="32">
        <f>IF($U275="",$K275,$K275*$S275)</f>
        <v/>
      </c>
      <c r="Y275" s="35">
        <f>IF($U275="",DATE(2100,12,31),$U275+1)</f>
        <v/>
      </c>
      <c r="Z275" s="35">
        <f>IF($U275="",DATE(1900,1,1),$O275)</f>
        <v/>
      </c>
      <c r="AA275" s="32">
        <f>IF($U275="",0,$K275*$T275)</f>
        <v/>
      </c>
      <c r="AB275" s="21">
        <f>IF($C275="",0,IFERROR(INDEX(Deals!$AD$2:$AD$355,MATCH($C275,Deals!$A$2:$A$355,0)),0))</f>
        <v/>
      </c>
      <c r="AC275" s="32">
        <f>IF(Settings!$B$4="Yes",$I275*$AB275,$I275)</f>
        <v/>
      </c>
      <c r="AD275" s="22">
        <f>IF($C275="","",IFERROR(IF(INDEX(Deals!$AE$2:$AE$355,MATCH($C275,Deals!$A$2:$A$355,0))=0,"",INDEX(Deals!$AE$2:$AE$355,MATCH($C275,Deals!$A$2:$A$355,0))),""))</f>
        <v/>
      </c>
      <c r="AE275" s="22">
        <f>IF($C275="","",IFERROR(IF(INDEX(Deals!$AF$2:$AF$355,MATCH($C275,Deals!$A$2:$A$355,0))=0,"",INDEX(Deals!$AF$2:$AF$355,MATCH($C275,Deals!$A$2:$A$355,0))),""))</f>
        <v/>
      </c>
      <c r="AF275" s="35">
        <f>IF($AD275="",DATE(1900,1,1),$AD275)</f>
        <v/>
      </c>
      <c r="AG275" s="35">
        <f>IF($AE275="",DATE(2100,12,31),$AE275)</f>
        <v/>
      </c>
      <c r="AH275" s="22">
        <f>IF($C275="","",IFERROR(IF(INDEX(Deals!$AG$2:$AG$355,MATCH($C275,Deals!$A$2:$A$355,0))=0,"",INDEX(Deals!$AG$2:$AG$355,MATCH($C275,Deals!$A$2:$A$355,0))),""))</f>
        <v/>
      </c>
      <c r="AI275" s="35">
        <f>IF($AH275="",DATE(1900,1,1),$AF275)</f>
        <v/>
      </c>
      <c r="AJ275" s="35">
        <f>IF($AH275="",DATE(2100,12,31),$AH275)</f>
        <v/>
      </c>
      <c r="AK275" s="32">
        <f>IF($AH275="",$AC275,$AC275*$S275)</f>
        <v/>
      </c>
      <c r="AL275" s="35">
        <f>IF($AH275="",DATE(2100,12,31),$AH275+1)</f>
        <v/>
      </c>
      <c r="AM275" s="35">
        <f>IF($AH275="",DATE(1900,1,1),$AG275)</f>
        <v/>
      </c>
      <c r="AN275" s="32">
        <f>IF($AH275="",0,$AC275*$T275)</f>
        <v/>
      </c>
    </row>
    <row r="276">
      <c r="A276" s="28" t="inlineStr">
        <is>
          <t>Kyle Risser</t>
        </is>
      </c>
      <c r="B276" s="16">
        <f>IF($A276="","",IFERROR(INDEX(Roster!$B$2:$B$40,MATCH($A276,Roster!$A$2:$A$40,0)),"?"))</f>
        <v/>
      </c>
      <c r="C276" s="28" t="inlineStr">
        <is>
          <t>IPX Power_1</t>
        </is>
      </c>
      <c r="D276" s="16">
        <f>IF($C276="","",IFERROR(IF(INDEX(Deals!$C$2:$C$355,MATCH($C276,Deals!$A$2:$A$355,0))=0,"",INDEX(Deals!$C$2:$C$355,MATCH($C276,Deals!$A$2:$A$355,0))),"?"))</f>
        <v/>
      </c>
      <c r="E276" s="16">
        <f>IF($C276="","",IFERROR(INDEX(Deals!$F$2:$F$355,MATCH($C276,Deals!$A$2:$A$355,0)),"?"))</f>
        <v/>
      </c>
      <c r="F276" s="28" t="inlineStr">
        <is>
          <t>Director</t>
        </is>
      </c>
      <c r="G276" s="28" t="inlineStr">
        <is>
          <t>Active</t>
        </is>
      </c>
      <c r="H276" s="31" t="n"/>
      <c r="I276" s="32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1">
        <f>IF($C276="",0,IFERROR(INDEX(Deals!$H$2:$H$355,MATCH($C276,Deals!$A$2:$A$355,0)),0))</f>
        <v/>
      </c>
      <c r="K276" s="32">
        <f>IF(Settings!$B$4="Yes",$I276*$J276,$I276)</f>
        <v/>
      </c>
      <c r="L276" s="22">
        <f>IF($C276="","",IFERROR(IF(INDEX(Deals!$I$2:$I$355,MATCH($C276,Deals!$A$2:$A$355,0))=0,"",INDEX(Deals!$I$2:$I$355,MATCH($C276,Deals!$A$2:$A$355,0))),""))</f>
        <v/>
      </c>
      <c r="M276" s="22">
        <f>IF($C276="","",IFERROR(IF(INDEX(Deals!$J$2:$J$355,MATCH($C276,Deals!$A$2:$A$355,0))=0,"",INDEX(Deals!$J$2:$J$355,MATCH($C276,Deals!$A$2:$A$355,0))),""))</f>
        <v/>
      </c>
      <c r="N276" s="35">
        <f>IF($L276="",DATE(1900,1,1),$L276)</f>
        <v/>
      </c>
      <c r="O276" s="35">
        <f>IF($M276="",DATE(2100,12,31),$M276)</f>
        <v/>
      </c>
      <c r="P276" s="20" t="inlineStr"/>
      <c r="Q276" s="43" t="inlineStr"/>
      <c r="R276" s="16">
        <f>IF($C276="","",IFERROR(IF(INDEX(Deals!$U$2:$U$355,MATCH($C276,Deals!$A$2:$A$355,0))=0,"",INDEX(Deals!$U$2:$U$355,MATCH($C276,Deals!$A$2:$A$355,0))),""))</f>
        <v/>
      </c>
      <c r="S276" s="34">
        <f>IFERROR(IF($U276="",1,INDEX(Deals!$V$2:$V$355,MATCH($C276,Deals!$A$2:$A$355,0))),1)</f>
        <v/>
      </c>
      <c r="T276" s="34">
        <f>IFERROR(IF($U276="",1,INDEX(Deals!$W$2:$W$355,MATCH($C276,Deals!$A$2:$A$355,0))),1)</f>
        <v/>
      </c>
      <c r="U276" s="22">
        <f>IF($C276="","",IFERROR(IF(INDEX(Deals!$Y$2:$Y$355,MATCH($C276,Deals!$A$2:$A$355,0))=0,"",INDEX(Deals!$Y$2:$Y$355,MATCH($C276,Deals!$A$2:$A$355,0))),""))</f>
        <v/>
      </c>
      <c r="V276" s="35">
        <f>IF($U276="",DATE(1900,1,1),$N276)</f>
        <v/>
      </c>
      <c r="W276" s="35">
        <f>IF($U276="",DATE(2100,12,31),$U276)</f>
        <v/>
      </c>
      <c r="X276" s="32">
        <f>IF($U276="",$K276,$K276*$S276)</f>
        <v/>
      </c>
      <c r="Y276" s="35">
        <f>IF($U276="",DATE(2100,12,31),$U276+1)</f>
        <v/>
      </c>
      <c r="Z276" s="35">
        <f>IF($U276="",DATE(1900,1,1),$O276)</f>
        <v/>
      </c>
      <c r="AA276" s="32">
        <f>IF($U276="",0,$K276*$T276)</f>
        <v/>
      </c>
      <c r="AB276" s="21">
        <f>IF($C276="",0,IFERROR(INDEX(Deals!$AD$2:$AD$355,MATCH($C276,Deals!$A$2:$A$355,0)),0))</f>
        <v/>
      </c>
      <c r="AC276" s="32">
        <f>IF(Settings!$B$4="Yes",$I276*$AB276,$I276)</f>
        <v/>
      </c>
      <c r="AD276" s="22">
        <f>IF($C276="","",IFERROR(IF(INDEX(Deals!$AE$2:$AE$355,MATCH($C276,Deals!$A$2:$A$355,0))=0,"",INDEX(Deals!$AE$2:$AE$355,MATCH($C276,Deals!$A$2:$A$355,0))),""))</f>
        <v/>
      </c>
      <c r="AE276" s="22">
        <f>IF($C276="","",IFERROR(IF(INDEX(Deals!$AF$2:$AF$355,MATCH($C276,Deals!$A$2:$A$355,0))=0,"",INDEX(Deals!$AF$2:$AF$355,MATCH($C276,Deals!$A$2:$A$355,0))),""))</f>
        <v/>
      </c>
      <c r="AF276" s="35">
        <f>IF($AD276="",DATE(1900,1,1),$AD276)</f>
        <v/>
      </c>
      <c r="AG276" s="35">
        <f>IF($AE276="",DATE(2100,12,31),$AE276)</f>
        <v/>
      </c>
      <c r="AH276" s="22">
        <f>IF($C276="","",IFERROR(IF(INDEX(Deals!$AG$2:$AG$355,MATCH($C276,Deals!$A$2:$A$355,0))=0,"",INDEX(Deals!$AG$2:$AG$355,MATCH($C276,Deals!$A$2:$A$355,0))),""))</f>
        <v/>
      </c>
      <c r="AI276" s="35">
        <f>IF($AH276="",DATE(1900,1,1),$AF276)</f>
        <v/>
      </c>
      <c r="AJ276" s="35">
        <f>IF($AH276="",DATE(2100,12,31),$AH276)</f>
        <v/>
      </c>
      <c r="AK276" s="32">
        <f>IF($AH276="",$AC276,$AC276*$S276)</f>
        <v/>
      </c>
      <c r="AL276" s="35">
        <f>IF($AH276="",DATE(2100,12,31),$AH276+1)</f>
        <v/>
      </c>
      <c r="AM276" s="35">
        <f>IF($AH276="",DATE(1900,1,1),$AG276)</f>
        <v/>
      </c>
      <c r="AN276" s="32">
        <f>IF($AH276="",0,$AC276*$T276)</f>
        <v/>
      </c>
    </row>
    <row r="277">
      <c r="A277" s="28" t="inlineStr">
        <is>
          <t>Kyle Risser</t>
        </is>
      </c>
      <c r="B277" s="16">
        <f>IF($A277="","",IFERROR(INDEX(Roster!$B$2:$B$40,MATCH($A277,Roster!$A$2:$A$40,0)),"?"))</f>
        <v/>
      </c>
      <c r="C277" s="28" t="inlineStr">
        <is>
          <t>Prince_3</t>
        </is>
      </c>
      <c r="D277" s="16">
        <f>IF($C277="","",IFERROR(IF(INDEX(Deals!$C$2:$C$355,MATCH($C277,Deals!$A$2:$A$355,0))=0,"",INDEX(Deals!$C$2:$C$355,MATCH($C277,Deals!$A$2:$A$355,0))),"?"))</f>
        <v/>
      </c>
      <c r="E277" s="16">
        <f>IF($C277="","",IFERROR(INDEX(Deals!$F$2:$F$355,MATCH($C277,Deals!$A$2:$A$355,0)),"?"))</f>
        <v/>
      </c>
      <c r="F277" s="28" t="inlineStr">
        <is>
          <t>Director</t>
        </is>
      </c>
      <c r="G277" s="28" t="inlineStr">
        <is>
          <t>Active</t>
        </is>
      </c>
      <c r="H277" s="31" t="n"/>
      <c r="I277" s="32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1">
        <f>IF($C277="",0,IFERROR(INDEX(Deals!$H$2:$H$355,MATCH($C277,Deals!$A$2:$A$355,0)),0))</f>
        <v/>
      </c>
      <c r="K277" s="32">
        <f>IF(Settings!$B$4="Yes",$I277*$J277,$I277)</f>
        <v/>
      </c>
      <c r="L277" s="22">
        <f>IF($C277="","",IFERROR(IF(INDEX(Deals!$I$2:$I$355,MATCH($C277,Deals!$A$2:$A$355,0))=0,"",INDEX(Deals!$I$2:$I$355,MATCH($C277,Deals!$A$2:$A$355,0))),""))</f>
        <v/>
      </c>
      <c r="M277" s="22">
        <f>IF($C277="","",IFERROR(IF(INDEX(Deals!$J$2:$J$355,MATCH($C277,Deals!$A$2:$A$355,0))=0,"",INDEX(Deals!$J$2:$J$355,MATCH($C277,Deals!$A$2:$A$355,0))),""))</f>
        <v/>
      </c>
      <c r="N277" s="35">
        <f>IF($L277="",DATE(1900,1,1),$L277)</f>
        <v/>
      </c>
      <c r="O277" s="35">
        <f>IF($M277="",DATE(2100,12,31),$M277)</f>
        <v/>
      </c>
      <c r="P277" s="20" t="inlineStr"/>
      <c r="Q277" s="43" t="inlineStr"/>
      <c r="R277" s="16">
        <f>IF($C277="","",IFERROR(IF(INDEX(Deals!$U$2:$U$355,MATCH($C277,Deals!$A$2:$A$355,0))=0,"",INDEX(Deals!$U$2:$U$355,MATCH($C277,Deals!$A$2:$A$355,0))),""))</f>
        <v/>
      </c>
      <c r="S277" s="34">
        <f>IFERROR(IF($U277="",1,INDEX(Deals!$V$2:$V$355,MATCH($C277,Deals!$A$2:$A$355,0))),1)</f>
        <v/>
      </c>
      <c r="T277" s="34">
        <f>IFERROR(IF($U277="",1,INDEX(Deals!$W$2:$W$355,MATCH($C277,Deals!$A$2:$A$355,0))),1)</f>
        <v/>
      </c>
      <c r="U277" s="22">
        <f>IF($C277="","",IFERROR(IF(INDEX(Deals!$Y$2:$Y$355,MATCH($C277,Deals!$A$2:$A$355,0))=0,"",INDEX(Deals!$Y$2:$Y$355,MATCH($C277,Deals!$A$2:$A$355,0))),""))</f>
        <v/>
      </c>
      <c r="V277" s="35">
        <f>IF($U277="",DATE(1900,1,1),$N277)</f>
        <v/>
      </c>
      <c r="W277" s="35">
        <f>IF($U277="",DATE(2100,12,31),$U277)</f>
        <v/>
      </c>
      <c r="X277" s="32">
        <f>IF($U277="",$K277,$K277*$S277)</f>
        <v/>
      </c>
      <c r="Y277" s="35">
        <f>IF($U277="",DATE(2100,12,31),$U277+1)</f>
        <v/>
      </c>
      <c r="Z277" s="35">
        <f>IF($U277="",DATE(1900,1,1),$O277)</f>
        <v/>
      </c>
      <c r="AA277" s="32">
        <f>IF($U277="",0,$K277*$T277)</f>
        <v/>
      </c>
      <c r="AB277" s="21">
        <f>IF($C277="",0,IFERROR(INDEX(Deals!$AD$2:$AD$355,MATCH($C277,Deals!$A$2:$A$355,0)),0))</f>
        <v/>
      </c>
      <c r="AC277" s="32">
        <f>IF(Settings!$B$4="Yes",$I277*$AB277,$I277)</f>
        <v/>
      </c>
      <c r="AD277" s="22">
        <f>IF($C277="","",IFERROR(IF(INDEX(Deals!$AE$2:$AE$355,MATCH($C277,Deals!$A$2:$A$355,0))=0,"",INDEX(Deals!$AE$2:$AE$355,MATCH($C277,Deals!$A$2:$A$355,0))),""))</f>
        <v/>
      </c>
      <c r="AE277" s="22">
        <f>IF($C277="","",IFERROR(IF(INDEX(Deals!$AF$2:$AF$355,MATCH($C277,Deals!$A$2:$A$355,0))=0,"",INDEX(Deals!$AF$2:$AF$355,MATCH($C277,Deals!$A$2:$A$355,0))),""))</f>
        <v/>
      </c>
      <c r="AF277" s="35">
        <f>IF($AD277="",DATE(1900,1,1),$AD277)</f>
        <v/>
      </c>
      <c r="AG277" s="35">
        <f>IF($AE277="",DATE(2100,12,31),$AE277)</f>
        <v/>
      </c>
      <c r="AH277" s="22">
        <f>IF($C277="","",IFERROR(IF(INDEX(Deals!$AG$2:$AG$355,MATCH($C277,Deals!$A$2:$A$355,0))=0,"",INDEX(Deals!$AG$2:$AG$355,MATCH($C277,Deals!$A$2:$A$355,0))),""))</f>
        <v/>
      </c>
      <c r="AI277" s="35">
        <f>IF($AH277="",DATE(1900,1,1),$AF277)</f>
        <v/>
      </c>
      <c r="AJ277" s="35">
        <f>IF($AH277="",DATE(2100,12,31),$AH277)</f>
        <v/>
      </c>
      <c r="AK277" s="32">
        <f>IF($AH277="",$AC277,$AC277*$S277)</f>
        <v/>
      </c>
      <c r="AL277" s="35">
        <f>IF($AH277="",DATE(2100,12,31),$AH277+1)</f>
        <v/>
      </c>
      <c r="AM277" s="35">
        <f>IF($AH277="",DATE(1900,1,1),$AG277)</f>
        <v/>
      </c>
      <c r="AN277" s="32">
        <f>IF($AH277="",0,$AC277*$T277)</f>
        <v/>
      </c>
    </row>
    <row r="278">
      <c r="A278" s="28" t="inlineStr">
        <is>
          <t>Kyle Risser</t>
        </is>
      </c>
      <c r="B278" s="16">
        <f>IF($A278="","",IFERROR(INDEX(Roster!$B$2:$B$40,MATCH($A278,Roster!$A$2:$A$40,0)),"?"))</f>
        <v/>
      </c>
      <c r="C278" s="28" t="inlineStr">
        <is>
          <t>Shika_1</t>
        </is>
      </c>
      <c r="D278" s="16">
        <f>IF($C278="","",IFERROR(IF(INDEX(Deals!$C$2:$C$355,MATCH($C278,Deals!$A$2:$A$355,0))=0,"",INDEX(Deals!$C$2:$C$355,MATCH($C278,Deals!$A$2:$A$355,0))),"?"))</f>
        <v/>
      </c>
      <c r="E278" s="16">
        <f>IF($C278="","",IFERROR(INDEX(Deals!$F$2:$F$355,MATCH($C278,Deals!$A$2:$A$355,0)),"?"))</f>
        <v/>
      </c>
      <c r="F278" s="28" t="inlineStr">
        <is>
          <t>Director</t>
        </is>
      </c>
      <c r="G278" s="28" t="inlineStr">
        <is>
          <t>Active</t>
        </is>
      </c>
      <c r="H278" s="31" t="n"/>
      <c r="I278" s="32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1">
        <f>IF($C278="",0,IFERROR(INDEX(Deals!$H$2:$H$355,MATCH($C278,Deals!$A$2:$A$355,0)),0))</f>
        <v/>
      </c>
      <c r="K278" s="32">
        <f>IF(Settings!$B$4="Yes",$I278*$J278,$I278)</f>
        <v/>
      </c>
      <c r="L278" s="22">
        <f>IF($C278="","",IFERROR(IF(INDEX(Deals!$I$2:$I$355,MATCH($C278,Deals!$A$2:$A$355,0))=0,"",INDEX(Deals!$I$2:$I$355,MATCH($C278,Deals!$A$2:$A$355,0))),""))</f>
        <v/>
      </c>
      <c r="M278" s="22">
        <f>IF($C278="","",IFERROR(IF(INDEX(Deals!$J$2:$J$355,MATCH($C278,Deals!$A$2:$A$355,0))=0,"",INDEX(Deals!$J$2:$J$355,MATCH($C278,Deals!$A$2:$A$355,0))),""))</f>
        <v/>
      </c>
      <c r="N278" s="35">
        <f>IF($L278="",DATE(1900,1,1),$L278)</f>
        <v/>
      </c>
      <c r="O278" s="35">
        <f>IF($M278="",DATE(2100,12,31),$M278)</f>
        <v/>
      </c>
      <c r="P278" s="20" t="inlineStr"/>
      <c r="Q278" s="43" t="inlineStr"/>
      <c r="R278" s="16">
        <f>IF($C278="","",IFERROR(IF(INDEX(Deals!$U$2:$U$355,MATCH($C278,Deals!$A$2:$A$355,0))=0,"",INDEX(Deals!$U$2:$U$355,MATCH($C278,Deals!$A$2:$A$355,0))),""))</f>
        <v/>
      </c>
      <c r="S278" s="34">
        <f>IFERROR(IF($U278="",1,INDEX(Deals!$V$2:$V$355,MATCH($C278,Deals!$A$2:$A$355,0))),1)</f>
        <v/>
      </c>
      <c r="T278" s="34">
        <f>IFERROR(IF($U278="",1,INDEX(Deals!$W$2:$W$355,MATCH($C278,Deals!$A$2:$A$355,0))),1)</f>
        <v/>
      </c>
      <c r="U278" s="22">
        <f>IF($C278="","",IFERROR(IF(INDEX(Deals!$Y$2:$Y$355,MATCH($C278,Deals!$A$2:$A$355,0))=0,"",INDEX(Deals!$Y$2:$Y$355,MATCH($C278,Deals!$A$2:$A$355,0))),""))</f>
        <v/>
      </c>
      <c r="V278" s="35">
        <f>IF($U278="",DATE(1900,1,1),$N278)</f>
        <v/>
      </c>
      <c r="W278" s="35">
        <f>IF($U278="",DATE(2100,12,31),$U278)</f>
        <v/>
      </c>
      <c r="X278" s="32">
        <f>IF($U278="",$K278,$K278*$S278)</f>
        <v/>
      </c>
      <c r="Y278" s="35">
        <f>IF($U278="",DATE(2100,12,31),$U278+1)</f>
        <v/>
      </c>
      <c r="Z278" s="35">
        <f>IF($U278="",DATE(1900,1,1),$O278)</f>
        <v/>
      </c>
      <c r="AA278" s="32">
        <f>IF($U278="",0,$K278*$T278)</f>
        <v/>
      </c>
      <c r="AB278" s="21">
        <f>IF($C278="",0,IFERROR(INDEX(Deals!$AD$2:$AD$355,MATCH($C278,Deals!$A$2:$A$355,0)),0))</f>
        <v/>
      </c>
      <c r="AC278" s="32">
        <f>IF(Settings!$B$4="Yes",$I278*$AB278,$I278)</f>
        <v/>
      </c>
      <c r="AD278" s="22">
        <f>IF($C278="","",IFERROR(IF(INDEX(Deals!$AE$2:$AE$355,MATCH($C278,Deals!$A$2:$A$355,0))=0,"",INDEX(Deals!$AE$2:$AE$355,MATCH($C278,Deals!$A$2:$A$355,0))),""))</f>
        <v/>
      </c>
      <c r="AE278" s="22">
        <f>IF($C278="","",IFERROR(IF(INDEX(Deals!$AF$2:$AF$355,MATCH($C278,Deals!$A$2:$A$355,0))=0,"",INDEX(Deals!$AF$2:$AF$355,MATCH($C278,Deals!$A$2:$A$355,0))),""))</f>
        <v/>
      </c>
      <c r="AF278" s="35">
        <f>IF($AD278="",DATE(1900,1,1),$AD278)</f>
        <v/>
      </c>
      <c r="AG278" s="35">
        <f>IF($AE278="",DATE(2100,12,31),$AE278)</f>
        <v/>
      </c>
      <c r="AH278" s="22">
        <f>IF($C278="","",IFERROR(IF(INDEX(Deals!$AG$2:$AG$355,MATCH($C278,Deals!$A$2:$A$355,0))=0,"",INDEX(Deals!$AG$2:$AG$355,MATCH($C278,Deals!$A$2:$A$355,0))),""))</f>
        <v/>
      </c>
      <c r="AI278" s="35">
        <f>IF($AH278="",DATE(1900,1,1),$AF278)</f>
        <v/>
      </c>
      <c r="AJ278" s="35">
        <f>IF($AH278="",DATE(2100,12,31),$AH278)</f>
        <v/>
      </c>
      <c r="AK278" s="32">
        <f>IF($AH278="",$AC278,$AC278*$S278)</f>
        <v/>
      </c>
      <c r="AL278" s="35">
        <f>IF($AH278="",DATE(2100,12,31),$AH278+1)</f>
        <v/>
      </c>
      <c r="AM278" s="35">
        <f>IF($AH278="",DATE(1900,1,1),$AG278)</f>
        <v/>
      </c>
      <c r="AN278" s="32">
        <f>IF($AH278="",0,$AC278*$T278)</f>
        <v/>
      </c>
    </row>
    <row r="279">
      <c r="A279" s="28" t="inlineStr">
        <is>
          <t>Kyle Risser</t>
        </is>
      </c>
      <c r="B279" s="16">
        <f>IF($A279="","",IFERROR(INDEX(Roster!$B$2:$B$40,MATCH($A279,Roster!$A$2:$A$40,0)),"?"))</f>
        <v/>
      </c>
      <c r="C279" s="28" t="inlineStr">
        <is>
          <t>Truman_1</t>
        </is>
      </c>
      <c r="D279" s="16">
        <f>IF($C279="","",IFERROR(IF(INDEX(Deals!$C$2:$C$355,MATCH($C279,Deals!$A$2:$A$355,0))=0,"",INDEX(Deals!$C$2:$C$355,MATCH($C279,Deals!$A$2:$A$355,0))),"?"))</f>
        <v/>
      </c>
      <c r="E279" s="16">
        <f>IF($C279="","",IFERROR(INDEX(Deals!$F$2:$F$355,MATCH($C279,Deals!$A$2:$A$355,0)),"?"))</f>
        <v/>
      </c>
      <c r="F279" s="28" t="inlineStr">
        <is>
          <t>Director</t>
        </is>
      </c>
      <c r="G279" s="28" t="inlineStr">
        <is>
          <t>Active</t>
        </is>
      </c>
      <c r="H279" s="31" t="n"/>
      <c r="I279" s="32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1">
        <f>IF($C279="",0,IFERROR(INDEX(Deals!$H$2:$H$355,MATCH($C279,Deals!$A$2:$A$355,0)),0))</f>
        <v/>
      </c>
      <c r="K279" s="32">
        <f>IF(Settings!$B$4="Yes",$I279*$J279,$I279)</f>
        <v/>
      </c>
      <c r="L279" s="22">
        <f>IF($C279="","",IFERROR(IF(INDEX(Deals!$I$2:$I$355,MATCH($C279,Deals!$A$2:$A$355,0))=0,"",INDEX(Deals!$I$2:$I$355,MATCH($C279,Deals!$A$2:$A$355,0))),""))</f>
        <v/>
      </c>
      <c r="M279" s="22">
        <f>IF($C279="","",IFERROR(IF(INDEX(Deals!$J$2:$J$355,MATCH($C279,Deals!$A$2:$A$355,0))=0,"",INDEX(Deals!$J$2:$J$355,MATCH($C279,Deals!$A$2:$A$355,0))),""))</f>
        <v/>
      </c>
      <c r="N279" s="35">
        <f>IF($L279="",DATE(1900,1,1),$L279)</f>
        <v/>
      </c>
      <c r="O279" s="35">
        <f>IF($M279="",DATE(2100,12,31),$M279)</f>
        <v/>
      </c>
      <c r="P279" s="20" t="inlineStr"/>
      <c r="Q279" s="43" t="inlineStr"/>
      <c r="R279" s="16">
        <f>IF($C279="","",IFERROR(IF(INDEX(Deals!$U$2:$U$355,MATCH($C279,Deals!$A$2:$A$355,0))=0,"",INDEX(Deals!$U$2:$U$355,MATCH($C279,Deals!$A$2:$A$355,0))),""))</f>
        <v/>
      </c>
      <c r="S279" s="34">
        <f>IFERROR(IF($U279="",1,INDEX(Deals!$V$2:$V$355,MATCH($C279,Deals!$A$2:$A$355,0))),1)</f>
        <v/>
      </c>
      <c r="T279" s="34">
        <f>IFERROR(IF($U279="",1,INDEX(Deals!$W$2:$W$355,MATCH($C279,Deals!$A$2:$A$355,0))),1)</f>
        <v/>
      </c>
      <c r="U279" s="22">
        <f>IF($C279="","",IFERROR(IF(INDEX(Deals!$Y$2:$Y$355,MATCH($C279,Deals!$A$2:$A$355,0))=0,"",INDEX(Deals!$Y$2:$Y$355,MATCH($C279,Deals!$A$2:$A$355,0))),""))</f>
        <v/>
      </c>
      <c r="V279" s="35">
        <f>IF($U279="",DATE(1900,1,1),$N279)</f>
        <v/>
      </c>
      <c r="W279" s="35">
        <f>IF($U279="",DATE(2100,12,31),$U279)</f>
        <v/>
      </c>
      <c r="X279" s="32">
        <f>IF($U279="",$K279,$K279*$S279)</f>
        <v/>
      </c>
      <c r="Y279" s="35">
        <f>IF($U279="",DATE(2100,12,31),$U279+1)</f>
        <v/>
      </c>
      <c r="Z279" s="35">
        <f>IF($U279="",DATE(1900,1,1),$O279)</f>
        <v/>
      </c>
      <c r="AA279" s="32">
        <f>IF($U279="",0,$K279*$T279)</f>
        <v/>
      </c>
      <c r="AB279" s="21">
        <f>IF($C279="",0,IFERROR(INDEX(Deals!$AD$2:$AD$355,MATCH($C279,Deals!$A$2:$A$355,0)),0))</f>
        <v/>
      </c>
      <c r="AC279" s="32">
        <f>IF(Settings!$B$4="Yes",$I279*$AB279,$I279)</f>
        <v/>
      </c>
      <c r="AD279" s="22">
        <f>IF($C279="","",IFERROR(IF(INDEX(Deals!$AE$2:$AE$355,MATCH($C279,Deals!$A$2:$A$355,0))=0,"",INDEX(Deals!$AE$2:$AE$355,MATCH($C279,Deals!$A$2:$A$355,0))),""))</f>
        <v/>
      </c>
      <c r="AE279" s="22">
        <f>IF($C279="","",IFERROR(IF(INDEX(Deals!$AF$2:$AF$355,MATCH($C279,Deals!$A$2:$A$355,0))=0,"",INDEX(Deals!$AF$2:$AF$355,MATCH($C279,Deals!$A$2:$A$355,0))),""))</f>
        <v/>
      </c>
      <c r="AF279" s="35">
        <f>IF($AD279="",DATE(1900,1,1),$AD279)</f>
        <v/>
      </c>
      <c r="AG279" s="35">
        <f>IF($AE279="",DATE(2100,12,31),$AE279)</f>
        <v/>
      </c>
      <c r="AH279" s="22">
        <f>IF($C279="","",IFERROR(IF(INDEX(Deals!$AG$2:$AG$355,MATCH($C279,Deals!$A$2:$A$355,0))=0,"",INDEX(Deals!$AG$2:$AG$355,MATCH($C279,Deals!$A$2:$A$355,0))),""))</f>
        <v/>
      </c>
      <c r="AI279" s="35">
        <f>IF($AH279="",DATE(1900,1,1),$AF279)</f>
        <v/>
      </c>
      <c r="AJ279" s="35">
        <f>IF($AH279="",DATE(2100,12,31),$AH279)</f>
        <v/>
      </c>
      <c r="AK279" s="32">
        <f>IF($AH279="",$AC279,$AC279*$S279)</f>
        <v/>
      </c>
      <c r="AL279" s="35">
        <f>IF($AH279="",DATE(2100,12,31),$AH279+1)</f>
        <v/>
      </c>
      <c r="AM279" s="35">
        <f>IF($AH279="",DATE(1900,1,1),$AG279)</f>
        <v/>
      </c>
      <c r="AN279" s="32">
        <f>IF($AH279="",0,$AC279*$T279)</f>
        <v/>
      </c>
    </row>
    <row r="280">
      <c r="A280" s="28" t="inlineStr">
        <is>
          <t>Kyle Risser</t>
        </is>
      </c>
      <c r="B280" s="16">
        <f>IF($A280="","",IFERROR(INDEX(Roster!$B$2:$B$40,MATCH($A280,Roster!$A$2:$A$40,0)),"?"))</f>
        <v/>
      </c>
      <c r="C280" s="28" t="inlineStr">
        <is>
          <t>Truman_2</t>
        </is>
      </c>
      <c r="D280" s="16">
        <f>IF($C280="","",IFERROR(IF(INDEX(Deals!$C$2:$C$355,MATCH($C280,Deals!$A$2:$A$355,0))=0,"",INDEX(Deals!$C$2:$C$355,MATCH($C280,Deals!$A$2:$A$355,0))),"?"))</f>
        <v/>
      </c>
      <c r="E280" s="16">
        <f>IF($C280="","",IFERROR(INDEX(Deals!$F$2:$F$355,MATCH($C280,Deals!$A$2:$A$355,0)),"?"))</f>
        <v/>
      </c>
      <c r="F280" s="28" t="inlineStr">
        <is>
          <t>Director</t>
        </is>
      </c>
      <c r="G280" s="28" t="inlineStr">
        <is>
          <t>Active</t>
        </is>
      </c>
      <c r="H280" s="31" t="n"/>
      <c r="I280" s="32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1">
        <f>IF($C280="",0,IFERROR(INDEX(Deals!$H$2:$H$355,MATCH($C280,Deals!$A$2:$A$355,0)),0))</f>
        <v/>
      </c>
      <c r="K280" s="32">
        <f>IF(Settings!$B$4="Yes",$I280*$J280,$I280)</f>
        <v/>
      </c>
      <c r="L280" s="22">
        <f>IF($C280="","",IFERROR(IF(INDEX(Deals!$I$2:$I$355,MATCH($C280,Deals!$A$2:$A$355,0))=0,"",INDEX(Deals!$I$2:$I$355,MATCH($C280,Deals!$A$2:$A$355,0))),""))</f>
        <v/>
      </c>
      <c r="M280" s="22">
        <f>IF($C280="","",IFERROR(IF(INDEX(Deals!$J$2:$J$355,MATCH($C280,Deals!$A$2:$A$355,0))=0,"",INDEX(Deals!$J$2:$J$355,MATCH($C280,Deals!$A$2:$A$355,0))),""))</f>
        <v/>
      </c>
      <c r="N280" s="35">
        <f>IF($L280="",DATE(1900,1,1),$L280)</f>
        <v/>
      </c>
      <c r="O280" s="35">
        <f>IF($M280="",DATE(2100,12,31),$M280)</f>
        <v/>
      </c>
      <c r="P280" s="20" t="inlineStr"/>
      <c r="Q280" s="43" t="inlineStr"/>
      <c r="R280" s="16">
        <f>IF($C280="","",IFERROR(IF(INDEX(Deals!$U$2:$U$355,MATCH($C280,Deals!$A$2:$A$355,0))=0,"",INDEX(Deals!$U$2:$U$355,MATCH($C280,Deals!$A$2:$A$355,0))),""))</f>
        <v/>
      </c>
      <c r="S280" s="34">
        <f>IFERROR(IF($U280="",1,INDEX(Deals!$V$2:$V$355,MATCH($C280,Deals!$A$2:$A$355,0))),1)</f>
        <v/>
      </c>
      <c r="T280" s="34">
        <f>IFERROR(IF($U280="",1,INDEX(Deals!$W$2:$W$355,MATCH($C280,Deals!$A$2:$A$355,0))),1)</f>
        <v/>
      </c>
      <c r="U280" s="22">
        <f>IF($C280="","",IFERROR(IF(INDEX(Deals!$Y$2:$Y$355,MATCH($C280,Deals!$A$2:$A$355,0))=0,"",INDEX(Deals!$Y$2:$Y$355,MATCH($C280,Deals!$A$2:$A$355,0))),""))</f>
        <v/>
      </c>
      <c r="V280" s="35">
        <f>IF($U280="",DATE(1900,1,1),$N280)</f>
        <v/>
      </c>
      <c r="W280" s="35">
        <f>IF($U280="",DATE(2100,12,31),$U280)</f>
        <v/>
      </c>
      <c r="X280" s="32">
        <f>IF($U280="",$K280,$K280*$S280)</f>
        <v/>
      </c>
      <c r="Y280" s="35">
        <f>IF($U280="",DATE(2100,12,31),$U280+1)</f>
        <v/>
      </c>
      <c r="Z280" s="35">
        <f>IF($U280="",DATE(1900,1,1),$O280)</f>
        <v/>
      </c>
      <c r="AA280" s="32">
        <f>IF($U280="",0,$K280*$T280)</f>
        <v/>
      </c>
      <c r="AB280" s="21">
        <f>IF($C280="",0,IFERROR(INDEX(Deals!$AD$2:$AD$355,MATCH($C280,Deals!$A$2:$A$355,0)),0))</f>
        <v/>
      </c>
      <c r="AC280" s="32">
        <f>IF(Settings!$B$4="Yes",$I280*$AB280,$I280)</f>
        <v/>
      </c>
      <c r="AD280" s="22">
        <f>IF($C280="","",IFERROR(IF(INDEX(Deals!$AE$2:$AE$355,MATCH($C280,Deals!$A$2:$A$355,0))=0,"",INDEX(Deals!$AE$2:$AE$355,MATCH($C280,Deals!$A$2:$A$355,0))),""))</f>
        <v/>
      </c>
      <c r="AE280" s="22">
        <f>IF($C280="","",IFERROR(IF(INDEX(Deals!$AF$2:$AF$355,MATCH($C280,Deals!$A$2:$A$355,0))=0,"",INDEX(Deals!$AF$2:$AF$355,MATCH($C280,Deals!$A$2:$A$355,0))),""))</f>
        <v/>
      </c>
      <c r="AF280" s="35">
        <f>IF($AD280="",DATE(1900,1,1),$AD280)</f>
        <v/>
      </c>
      <c r="AG280" s="35">
        <f>IF($AE280="",DATE(2100,12,31),$AE280)</f>
        <v/>
      </c>
      <c r="AH280" s="22">
        <f>IF($C280="","",IFERROR(IF(INDEX(Deals!$AG$2:$AG$355,MATCH($C280,Deals!$A$2:$A$355,0))=0,"",INDEX(Deals!$AG$2:$AG$355,MATCH($C280,Deals!$A$2:$A$355,0))),""))</f>
        <v/>
      </c>
      <c r="AI280" s="35">
        <f>IF($AH280="",DATE(1900,1,1),$AF280)</f>
        <v/>
      </c>
      <c r="AJ280" s="35">
        <f>IF($AH280="",DATE(2100,12,31),$AH280)</f>
        <v/>
      </c>
      <c r="AK280" s="32">
        <f>IF($AH280="",$AC280,$AC280*$S280)</f>
        <v/>
      </c>
      <c r="AL280" s="35">
        <f>IF($AH280="",DATE(2100,12,31),$AH280+1)</f>
        <v/>
      </c>
      <c r="AM280" s="35">
        <f>IF($AH280="",DATE(1900,1,1),$AG280)</f>
        <v/>
      </c>
      <c r="AN280" s="32">
        <f>IF($AH280="",0,$AC280*$T280)</f>
        <v/>
      </c>
    </row>
    <row r="281">
      <c r="A281" s="28" t="inlineStr">
        <is>
          <t>Will Covalt</t>
        </is>
      </c>
      <c r="B281" s="16">
        <f>IF($A281="","",IFERROR(INDEX(Roster!$B$2:$B$40,MATCH($A281,Roster!$A$2:$A$40,0)),"?"))</f>
        <v/>
      </c>
      <c r="C281" s="28" t="inlineStr">
        <is>
          <t>Blue_6</t>
        </is>
      </c>
      <c r="D281" s="16">
        <f>IF($C281="","",IFERROR(IF(INDEX(Deals!$C$2:$C$355,MATCH($C281,Deals!$A$2:$A$355,0))=0,"",INDEX(Deals!$C$2:$C$355,MATCH($C281,Deals!$A$2:$A$355,0))),"?"))</f>
        <v/>
      </c>
      <c r="E281" s="16">
        <f>IF($C281="","",IFERROR(INDEX(Deals!$F$2:$F$355,MATCH($C281,Deals!$A$2:$A$355,0)),"?"))</f>
        <v/>
      </c>
      <c r="F281" s="28" t="inlineStr">
        <is>
          <t>Director</t>
        </is>
      </c>
      <c r="G281" s="28" t="inlineStr">
        <is>
          <t>Active</t>
        </is>
      </c>
      <c r="H281" s="31" t="n"/>
      <c r="I281" s="32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1">
        <f>IF($C281="",0,IFERROR(INDEX(Deals!$H$2:$H$355,MATCH($C281,Deals!$A$2:$A$355,0)),0))</f>
        <v/>
      </c>
      <c r="K281" s="32">
        <f>IF(Settings!$B$4="Yes",$I281*$J281,$I281)</f>
        <v/>
      </c>
      <c r="L281" s="22">
        <f>IF($C281="","",IFERROR(IF(INDEX(Deals!$I$2:$I$355,MATCH($C281,Deals!$A$2:$A$355,0))=0,"",INDEX(Deals!$I$2:$I$355,MATCH($C281,Deals!$A$2:$A$355,0))),""))</f>
        <v/>
      </c>
      <c r="M281" s="22">
        <f>IF($C281="","",IFERROR(IF(INDEX(Deals!$J$2:$J$355,MATCH($C281,Deals!$A$2:$A$355,0))=0,"",INDEX(Deals!$J$2:$J$355,MATCH($C281,Deals!$A$2:$A$355,0))),""))</f>
        <v/>
      </c>
      <c r="N281" s="35">
        <f>IF($L281="",DATE(1900,1,1),$L281)</f>
        <v/>
      </c>
      <c r="O281" s="35">
        <f>IF($M281="",DATE(2100,12,31),$M281)</f>
        <v/>
      </c>
      <c r="P281" s="20" t="inlineStr"/>
      <c r="Q281" s="43" t="inlineStr"/>
      <c r="R281" s="16">
        <f>IF($C281="","",IFERROR(IF(INDEX(Deals!$U$2:$U$355,MATCH($C281,Deals!$A$2:$A$355,0))=0,"",INDEX(Deals!$U$2:$U$355,MATCH($C281,Deals!$A$2:$A$355,0))),""))</f>
        <v/>
      </c>
      <c r="S281" s="34">
        <f>IFERROR(IF($U281="",1,INDEX(Deals!$V$2:$V$355,MATCH($C281,Deals!$A$2:$A$355,0))),1)</f>
        <v/>
      </c>
      <c r="T281" s="34">
        <f>IFERROR(IF($U281="",1,INDEX(Deals!$W$2:$W$355,MATCH($C281,Deals!$A$2:$A$355,0))),1)</f>
        <v/>
      </c>
      <c r="U281" s="22">
        <f>IF($C281="","",IFERROR(IF(INDEX(Deals!$Y$2:$Y$355,MATCH($C281,Deals!$A$2:$A$355,0))=0,"",INDEX(Deals!$Y$2:$Y$355,MATCH($C281,Deals!$A$2:$A$355,0))),""))</f>
        <v/>
      </c>
      <c r="V281" s="35">
        <f>IF($U281="",DATE(1900,1,1),$N281)</f>
        <v/>
      </c>
      <c r="W281" s="35">
        <f>IF($U281="",DATE(2100,12,31),$U281)</f>
        <v/>
      </c>
      <c r="X281" s="32">
        <f>IF($U281="",$K281,$K281*$S281)</f>
        <v/>
      </c>
      <c r="Y281" s="35">
        <f>IF($U281="",DATE(2100,12,31),$U281+1)</f>
        <v/>
      </c>
      <c r="Z281" s="35">
        <f>IF($U281="",DATE(1900,1,1),$O281)</f>
        <v/>
      </c>
      <c r="AA281" s="32">
        <f>IF($U281="",0,$K281*$T281)</f>
        <v/>
      </c>
      <c r="AB281" s="21">
        <f>IF($C281="",0,IFERROR(INDEX(Deals!$AD$2:$AD$355,MATCH($C281,Deals!$A$2:$A$355,0)),0))</f>
        <v/>
      </c>
      <c r="AC281" s="32">
        <f>IF(Settings!$B$4="Yes",$I281*$AB281,$I281)</f>
        <v/>
      </c>
      <c r="AD281" s="22">
        <f>IF($C281="","",IFERROR(IF(INDEX(Deals!$AE$2:$AE$355,MATCH($C281,Deals!$A$2:$A$355,0))=0,"",INDEX(Deals!$AE$2:$AE$355,MATCH($C281,Deals!$A$2:$A$355,0))),""))</f>
        <v/>
      </c>
      <c r="AE281" s="22">
        <f>IF($C281="","",IFERROR(IF(INDEX(Deals!$AF$2:$AF$355,MATCH($C281,Deals!$A$2:$A$355,0))=0,"",INDEX(Deals!$AF$2:$AF$355,MATCH($C281,Deals!$A$2:$A$355,0))),""))</f>
        <v/>
      </c>
      <c r="AF281" s="35">
        <f>IF($AD281="",DATE(1900,1,1),$AD281)</f>
        <v/>
      </c>
      <c r="AG281" s="35">
        <f>IF($AE281="",DATE(2100,12,31),$AE281)</f>
        <v/>
      </c>
      <c r="AH281" s="22">
        <f>IF($C281="","",IFERROR(IF(INDEX(Deals!$AG$2:$AG$355,MATCH($C281,Deals!$A$2:$A$355,0))=0,"",INDEX(Deals!$AG$2:$AG$355,MATCH($C281,Deals!$A$2:$A$355,0))),""))</f>
        <v/>
      </c>
      <c r="AI281" s="35">
        <f>IF($AH281="",DATE(1900,1,1),$AF281)</f>
        <v/>
      </c>
      <c r="AJ281" s="35">
        <f>IF($AH281="",DATE(2100,12,31),$AH281)</f>
        <v/>
      </c>
      <c r="AK281" s="32">
        <f>IF($AH281="",$AC281,$AC281*$S281)</f>
        <v/>
      </c>
      <c r="AL281" s="35">
        <f>IF($AH281="",DATE(2100,12,31),$AH281+1)</f>
        <v/>
      </c>
      <c r="AM281" s="35">
        <f>IF($AH281="",DATE(1900,1,1),$AG281)</f>
        <v/>
      </c>
      <c r="AN281" s="32">
        <f>IF($AH281="",0,$AC281*$T281)</f>
        <v/>
      </c>
    </row>
    <row r="282">
      <c r="A282" s="28" t="inlineStr">
        <is>
          <t>Will Covalt</t>
        </is>
      </c>
      <c r="B282" s="16">
        <f>IF($A282="","",IFERROR(INDEX(Roster!$B$2:$B$40,MATCH($A282,Roster!$A$2:$A$40,0)),"?"))</f>
        <v/>
      </c>
      <c r="C282" s="28" t="inlineStr">
        <is>
          <t>Dental_1</t>
        </is>
      </c>
      <c r="D282" s="16">
        <f>IF($C282="","",IFERROR(IF(INDEX(Deals!$C$2:$C$355,MATCH($C282,Deals!$A$2:$A$355,0))=0,"",INDEX(Deals!$C$2:$C$355,MATCH($C282,Deals!$A$2:$A$355,0))),"?"))</f>
        <v/>
      </c>
      <c r="E282" s="16">
        <f>IF($C282="","",IFERROR(INDEX(Deals!$F$2:$F$355,MATCH($C282,Deals!$A$2:$A$355,0)),"?"))</f>
        <v/>
      </c>
      <c r="F282" s="28" t="inlineStr">
        <is>
          <t>Director</t>
        </is>
      </c>
      <c r="G282" s="28" t="inlineStr">
        <is>
          <t>Active</t>
        </is>
      </c>
      <c r="H282" s="31" t="n"/>
      <c r="I282" s="32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1">
        <f>IF($C282="",0,IFERROR(INDEX(Deals!$H$2:$H$355,MATCH($C282,Deals!$A$2:$A$355,0)),0))</f>
        <v/>
      </c>
      <c r="K282" s="32">
        <f>IF(Settings!$B$4="Yes",$I282*$J282,$I282)</f>
        <v/>
      </c>
      <c r="L282" s="22">
        <f>IF($C282="","",IFERROR(IF(INDEX(Deals!$I$2:$I$355,MATCH($C282,Deals!$A$2:$A$355,0))=0,"",INDEX(Deals!$I$2:$I$355,MATCH($C282,Deals!$A$2:$A$355,0))),""))</f>
        <v/>
      </c>
      <c r="M282" s="22">
        <f>IF($C282="","",IFERROR(IF(INDEX(Deals!$J$2:$J$355,MATCH($C282,Deals!$A$2:$A$355,0))=0,"",INDEX(Deals!$J$2:$J$355,MATCH($C282,Deals!$A$2:$A$355,0))),""))</f>
        <v/>
      </c>
      <c r="N282" s="35">
        <f>IF($L282="",DATE(1900,1,1),$L282)</f>
        <v/>
      </c>
      <c r="O282" s="35">
        <f>IF($M282="",DATE(2100,12,31),$M282)</f>
        <v/>
      </c>
      <c r="P282" s="20" t="inlineStr"/>
      <c r="Q282" s="43" t="inlineStr"/>
      <c r="R282" s="16">
        <f>IF($C282="","",IFERROR(IF(INDEX(Deals!$U$2:$U$355,MATCH($C282,Deals!$A$2:$A$355,0))=0,"",INDEX(Deals!$U$2:$U$355,MATCH($C282,Deals!$A$2:$A$355,0))),""))</f>
        <v/>
      </c>
      <c r="S282" s="34">
        <f>IFERROR(IF($U282="",1,INDEX(Deals!$V$2:$V$355,MATCH($C282,Deals!$A$2:$A$355,0))),1)</f>
        <v/>
      </c>
      <c r="T282" s="34">
        <f>IFERROR(IF($U282="",1,INDEX(Deals!$W$2:$W$355,MATCH($C282,Deals!$A$2:$A$355,0))),1)</f>
        <v/>
      </c>
      <c r="U282" s="22">
        <f>IF($C282="","",IFERROR(IF(INDEX(Deals!$Y$2:$Y$355,MATCH($C282,Deals!$A$2:$A$355,0))=0,"",INDEX(Deals!$Y$2:$Y$355,MATCH($C282,Deals!$A$2:$A$355,0))),""))</f>
        <v/>
      </c>
      <c r="V282" s="35">
        <f>IF($U282="",DATE(1900,1,1),$N282)</f>
        <v/>
      </c>
      <c r="W282" s="35">
        <f>IF($U282="",DATE(2100,12,31),$U282)</f>
        <v/>
      </c>
      <c r="X282" s="32">
        <f>IF($U282="",$K282,$K282*$S282)</f>
        <v/>
      </c>
      <c r="Y282" s="35">
        <f>IF($U282="",DATE(2100,12,31),$U282+1)</f>
        <v/>
      </c>
      <c r="Z282" s="35">
        <f>IF($U282="",DATE(1900,1,1),$O282)</f>
        <v/>
      </c>
      <c r="AA282" s="32">
        <f>IF($U282="",0,$K282*$T282)</f>
        <v/>
      </c>
      <c r="AB282" s="21">
        <f>IF($C282="",0,IFERROR(INDEX(Deals!$AD$2:$AD$355,MATCH($C282,Deals!$A$2:$A$355,0)),0))</f>
        <v/>
      </c>
      <c r="AC282" s="32">
        <f>IF(Settings!$B$4="Yes",$I282*$AB282,$I282)</f>
        <v/>
      </c>
      <c r="AD282" s="22">
        <f>IF($C282="","",IFERROR(IF(INDEX(Deals!$AE$2:$AE$355,MATCH($C282,Deals!$A$2:$A$355,0))=0,"",INDEX(Deals!$AE$2:$AE$355,MATCH($C282,Deals!$A$2:$A$355,0))),""))</f>
        <v/>
      </c>
      <c r="AE282" s="22">
        <f>IF($C282="","",IFERROR(IF(INDEX(Deals!$AF$2:$AF$355,MATCH($C282,Deals!$A$2:$A$355,0))=0,"",INDEX(Deals!$AF$2:$AF$355,MATCH($C282,Deals!$A$2:$A$355,0))),""))</f>
        <v/>
      </c>
      <c r="AF282" s="35">
        <f>IF($AD282="",DATE(1900,1,1),$AD282)</f>
        <v/>
      </c>
      <c r="AG282" s="35">
        <f>IF($AE282="",DATE(2100,12,31),$AE282)</f>
        <v/>
      </c>
      <c r="AH282" s="22">
        <f>IF($C282="","",IFERROR(IF(INDEX(Deals!$AG$2:$AG$355,MATCH($C282,Deals!$A$2:$A$355,0))=0,"",INDEX(Deals!$AG$2:$AG$355,MATCH($C282,Deals!$A$2:$A$355,0))),""))</f>
        <v/>
      </c>
      <c r="AI282" s="35">
        <f>IF($AH282="",DATE(1900,1,1),$AF282)</f>
        <v/>
      </c>
      <c r="AJ282" s="35">
        <f>IF($AH282="",DATE(2100,12,31),$AH282)</f>
        <v/>
      </c>
      <c r="AK282" s="32">
        <f>IF($AH282="",$AC282,$AC282*$S282)</f>
        <v/>
      </c>
      <c r="AL282" s="35">
        <f>IF($AH282="",DATE(2100,12,31),$AH282+1)</f>
        <v/>
      </c>
      <c r="AM282" s="35">
        <f>IF($AH282="",DATE(1900,1,1),$AG282)</f>
        <v/>
      </c>
      <c r="AN282" s="32">
        <f>IF($AH282="",0,$AC282*$T282)</f>
        <v/>
      </c>
    </row>
    <row r="283">
      <c r="A283" s="28" t="inlineStr">
        <is>
          <t>Will Covalt</t>
        </is>
      </c>
      <c r="B283" s="16">
        <f>IF($A283="","",IFERROR(INDEX(Roster!$B$2:$B$40,MATCH($A283,Roster!$A$2:$A$40,0)),"?"))</f>
        <v/>
      </c>
      <c r="C283" s="28" t="inlineStr">
        <is>
          <t>Emerald_6</t>
        </is>
      </c>
      <c r="D283" s="16">
        <f>IF($C283="","",IFERROR(IF(INDEX(Deals!$C$2:$C$355,MATCH($C283,Deals!$A$2:$A$355,0))=0,"",INDEX(Deals!$C$2:$C$355,MATCH($C283,Deals!$A$2:$A$355,0))),"?"))</f>
        <v/>
      </c>
      <c r="E283" s="16">
        <f>IF($C283="","",IFERROR(INDEX(Deals!$F$2:$F$355,MATCH($C283,Deals!$A$2:$A$355,0)),"?"))</f>
        <v/>
      </c>
      <c r="F283" s="28" t="inlineStr">
        <is>
          <t>Director</t>
        </is>
      </c>
      <c r="G283" s="28" t="inlineStr">
        <is>
          <t>Active</t>
        </is>
      </c>
      <c r="H283" s="31" t="n"/>
      <c r="I283" s="32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1">
        <f>IF($C283="",0,IFERROR(INDEX(Deals!$H$2:$H$355,MATCH($C283,Deals!$A$2:$A$355,0)),0))</f>
        <v/>
      </c>
      <c r="K283" s="32">
        <f>IF(Settings!$B$4="Yes",$I283*$J283,$I283)</f>
        <v/>
      </c>
      <c r="L283" s="22">
        <f>IF($C283="","",IFERROR(IF(INDEX(Deals!$I$2:$I$355,MATCH($C283,Deals!$A$2:$A$355,0))=0,"",INDEX(Deals!$I$2:$I$355,MATCH($C283,Deals!$A$2:$A$355,0))),""))</f>
        <v/>
      </c>
      <c r="M283" s="22">
        <f>IF($C283="","",IFERROR(IF(INDEX(Deals!$J$2:$J$355,MATCH($C283,Deals!$A$2:$A$355,0))=0,"",INDEX(Deals!$J$2:$J$355,MATCH($C283,Deals!$A$2:$A$355,0))),""))</f>
        <v/>
      </c>
      <c r="N283" s="35">
        <f>IF($L283="",DATE(1900,1,1),$L283)</f>
        <v/>
      </c>
      <c r="O283" s="35">
        <f>IF($M283="",DATE(2100,12,31),$M283)</f>
        <v/>
      </c>
      <c r="P283" s="20" t="inlineStr"/>
      <c r="Q283" s="43" t="inlineStr"/>
      <c r="R283" s="16">
        <f>IF($C283="","",IFERROR(IF(INDEX(Deals!$U$2:$U$355,MATCH($C283,Deals!$A$2:$A$355,0))=0,"",INDEX(Deals!$U$2:$U$355,MATCH($C283,Deals!$A$2:$A$355,0))),""))</f>
        <v/>
      </c>
      <c r="S283" s="34">
        <f>IFERROR(IF($U283="",1,INDEX(Deals!$V$2:$V$355,MATCH($C283,Deals!$A$2:$A$355,0))),1)</f>
        <v/>
      </c>
      <c r="T283" s="34">
        <f>IFERROR(IF($U283="",1,INDEX(Deals!$W$2:$W$355,MATCH($C283,Deals!$A$2:$A$355,0))),1)</f>
        <v/>
      </c>
      <c r="U283" s="22">
        <f>IF($C283="","",IFERROR(IF(INDEX(Deals!$Y$2:$Y$355,MATCH($C283,Deals!$A$2:$A$355,0))=0,"",INDEX(Deals!$Y$2:$Y$355,MATCH($C283,Deals!$A$2:$A$355,0))),""))</f>
        <v/>
      </c>
      <c r="V283" s="35">
        <f>IF($U283="",DATE(1900,1,1),$N283)</f>
        <v/>
      </c>
      <c r="W283" s="35">
        <f>IF($U283="",DATE(2100,12,31),$U283)</f>
        <v/>
      </c>
      <c r="X283" s="32">
        <f>IF($U283="",$K283,$K283*$S283)</f>
        <v/>
      </c>
      <c r="Y283" s="35">
        <f>IF($U283="",DATE(2100,12,31),$U283+1)</f>
        <v/>
      </c>
      <c r="Z283" s="35">
        <f>IF($U283="",DATE(1900,1,1),$O283)</f>
        <v/>
      </c>
      <c r="AA283" s="32">
        <f>IF($U283="",0,$K283*$T283)</f>
        <v/>
      </c>
      <c r="AB283" s="21">
        <f>IF($C283="",0,IFERROR(INDEX(Deals!$AD$2:$AD$355,MATCH($C283,Deals!$A$2:$A$355,0)),0))</f>
        <v/>
      </c>
      <c r="AC283" s="32">
        <f>IF(Settings!$B$4="Yes",$I283*$AB283,$I283)</f>
        <v/>
      </c>
      <c r="AD283" s="22">
        <f>IF($C283="","",IFERROR(IF(INDEX(Deals!$AE$2:$AE$355,MATCH($C283,Deals!$A$2:$A$355,0))=0,"",INDEX(Deals!$AE$2:$AE$355,MATCH($C283,Deals!$A$2:$A$355,0))),""))</f>
        <v/>
      </c>
      <c r="AE283" s="22">
        <f>IF($C283="","",IFERROR(IF(INDEX(Deals!$AF$2:$AF$355,MATCH($C283,Deals!$A$2:$A$355,0))=0,"",INDEX(Deals!$AF$2:$AF$355,MATCH($C283,Deals!$A$2:$A$355,0))),""))</f>
        <v/>
      </c>
      <c r="AF283" s="35">
        <f>IF($AD283="",DATE(1900,1,1),$AD283)</f>
        <v/>
      </c>
      <c r="AG283" s="35">
        <f>IF($AE283="",DATE(2100,12,31),$AE283)</f>
        <v/>
      </c>
      <c r="AH283" s="22">
        <f>IF($C283="","",IFERROR(IF(INDEX(Deals!$AG$2:$AG$355,MATCH($C283,Deals!$A$2:$A$355,0))=0,"",INDEX(Deals!$AG$2:$AG$355,MATCH($C283,Deals!$A$2:$A$355,0))),""))</f>
        <v/>
      </c>
      <c r="AI283" s="35">
        <f>IF($AH283="",DATE(1900,1,1),$AF283)</f>
        <v/>
      </c>
      <c r="AJ283" s="35">
        <f>IF($AH283="",DATE(2100,12,31),$AH283)</f>
        <v/>
      </c>
      <c r="AK283" s="32">
        <f>IF($AH283="",$AC283,$AC283*$S283)</f>
        <v/>
      </c>
      <c r="AL283" s="35">
        <f>IF($AH283="",DATE(2100,12,31),$AH283+1)</f>
        <v/>
      </c>
      <c r="AM283" s="35">
        <f>IF($AH283="",DATE(1900,1,1),$AG283)</f>
        <v/>
      </c>
      <c r="AN283" s="32">
        <f>IF($AH283="",0,$AC283*$T283)</f>
        <v/>
      </c>
    </row>
    <row r="284">
      <c r="A284" s="28" t="inlineStr">
        <is>
          <t>Will Covalt</t>
        </is>
      </c>
      <c r="B284" s="16">
        <f>IF($A284="","",IFERROR(INDEX(Roster!$B$2:$B$40,MATCH($A284,Roster!$A$2:$A$40,0)),"?"))</f>
        <v/>
      </c>
      <c r="C284" s="28" t="inlineStr">
        <is>
          <t>Gateway_3</t>
        </is>
      </c>
      <c r="D284" s="16">
        <f>IF($C284="","",IFERROR(IF(INDEX(Deals!$C$2:$C$355,MATCH($C284,Deals!$A$2:$A$355,0))=0,"",INDEX(Deals!$C$2:$C$355,MATCH($C284,Deals!$A$2:$A$355,0))),"?"))</f>
        <v/>
      </c>
      <c r="E284" s="16">
        <f>IF($C284="","",IFERROR(INDEX(Deals!$F$2:$F$355,MATCH($C284,Deals!$A$2:$A$355,0)),"?"))</f>
        <v/>
      </c>
      <c r="F284" s="28" t="inlineStr">
        <is>
          <t>Director</t>
        </is>
      </c>
      <c r="G284" s="28" t="inlineStr">
        <is>
          <t>Active</t>
        </is>
      </c>
      <c r="H284" s="31" t="n"/>
      <c r="I284" s="32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1">
        <f>IF($C284="",0,IFERROR(INDEX(Deals!$H$2:$H$355,MATCH($C284,Deals!$A$2:$A$355,0)),0))</f>
        <v/>
      </c>
      <c r="K284" s="32">
        <f>IF(Settings!$B$4="Yes",$I284*$J284,$I284)</f>
        <v/>
      </c>
      <c r="L284" s="22">
        <f>IF($C284="","",IFERROR(IF(INDEX(Deals!$I$2:$I$355,MATCH($C284,Deals!$A$2:$A$355,0))=0,"",INDEX(Deals!$I$2:$I$355,MATCH($C284,Deals!$A$2:$A$355,0))),""))</f>
        <v/>
      </c>
      <c r="M284" s="22">
        <f>IF($C284="","",IFERROR(IF(INDEX(Deals!$J$2:$J$355,MATCH($C284,Deals!$A$2:$A$355,0))=0,"",INDEX(Deals!$J$2:$J$355,MATCH($C284,Deals!$A$2:$A$355,0))),""))</f>
        <v/>
      </c>
      <c r="N284" s="35">
        <f>IF($L284="",DATE(1900,1,1),$L284)</f>
        <v/>
      </c>
      <c r="O284" s="35">
        <f>IF($M284="",DATE(2100,12,31),$M284)</f>
        <v/>
      </c>
      <c r="P284" s="20" t="inlineStr"/>
      <c r="Q284" s="43" t="inlineStr"/>
      <c r="R284" s="16">
        <f>IF($C284="","",IFERROR(IF(INDEX(Deals!$U$2:$U$355,MATCH($C284,Deals!$A$2:$A$355,0))=0,"",INDEX(Deals!$U$2:$U$355,MATCH($C284,Deals!$A$2:$A$355,0))),""))</f>
        <v/>
      </c>
      <c r="S284" s="34">
        <f>IFERROR(IF($U284="",1,INDEX(Deals!$V$2:$V$355,MATCH($C284,Deals!$A$2:$A$355,0))),1)</f>
        <v/>
      </c>
      <c r="T284" s="34">
        <f>IFERROR(IF($U284="",1,INDEX(Deals!$W$2:$W$355,MATCH($C284,Deals!$A$2:$A$355,0))),1)</f>
        <v/>
      </c>
      <c r="U284" s="22">
        <f>IF($C284="","",IFERROR(IF(INDEX(Deals!$Y$2:$Y$355,MATCH($C284,Deals!$A$2:$A$355,0))=0,"",INDEX(Deals!$Y$2:$Y$355,MATCH($C284,Deals!$A$2:$A$355,0))),""))</f>
        <v/>
      </c>
      <c r="V284" s="35">
        <f>IF($U284="",DATE(1900,1,1),$N284)</f>
        <v/>
      </c>
      <c r="W284" s="35">
        <f>IF($U284="",DATE(2100,12,31),$U284)</f>
        <v/>
      </c>
      <c r="X284" s="32">
        <f>IF($U284="",$K284,$K284*$S284)</f>
        <v/>
      </c>
      <c r="Y284" s="35">
        <f>IF($U284="",DATE(2100,12,31),$U284+1)</f>
        <v/>
      </c>
      <c r="Z284" s="35">
        <f>IF($U284="",DATE(1900,1,1),$O284)</f>
        <v/>
      </c>
      <c r="AA284" s="32">
        <f>IF($U284="",0,$K284*$T284)</f>
        <v/>
      </c>
      <c r="AB284" s="21">
        <f>IF($C284="",0,IFERROR(INDEX(Deals!$AD$2:$AD$355,MATCH($C284,Deals!$A$2:$A$355,0)),0))</f>
        <v/>
      </c>
      <c r="AC284" s="32">
        <f>IF(Settings!$B$4="Yes",$I284*$AB284,$I284)</f>
        <v/>
      </c>
      <c r="AD284" s="22">
        <f>IF($C284="","",IFERROR(IF(INDEX(Deals!$AE$2:$AE$355,MATCH($C284,Deals!$A$2:$A$355,0))=0,"",INDEX(Deals!$AE$2:$AE$355,MATCH($C284,Deals!$A$2:$A$355,0))),""))</f>
        <v/>
      </c>
      <c r="AE284" s="22">
        <f>IF($C284="","",IFERROR(IF(INDEX(Deals!$AF$2:$AF$355,MATCH($C284,Deals!$A$2:$A$355,0))=0,"",INDEX(Deals!$AF$2:$AF$355,MATCH($C284,Deals!$A$2:$A$355,0))),""))</f>
        <v/>
      </c>
      <c r="AF284" s="35">
        <f>IF($AD284="",DATE(1900,1,1),$AD284)</f>
        <v/>
      </c>
      <c r="AG284" s="35">
        <f>IF($AE284="",DATE(2100,12,31),$AE284)</f>
        <v/>
      </c>
      <c r="AH284" s="22">
        <f>IF($C284="","",IFERROR(IF(INDEX(Deals!$AG$2:$AG$355,MATCH($C284,Deals!$A$2:$A$355,0))=0,"",INDEX(Deals!$AG$2:$AG$355,MATCH($C284,Deals!$A$2:$A$355,0))),""))</f>
        <v/>
      </c>
      <c r="AI284" s="35">
        <f>IF($AH284="",DATE(1900,1,1),$AF284)</f>
        <v/>
      </c>
      <c r="AJ284" s="35">
        <f>IF($AH284="",DATE(2100,12,31),$AH284)</f>
        <v/>
      </c>
      <c r="AK284" s="32">
        <f>IF($AH284="",$AC284,$AC284*$S284)</f>
        <v/>
      </c>
      <c r="AL284" s="35">
        <f>IF($AH284="",DATE(2100,12,31),$AH284+1)</f>
        <v/>
      </c>
      <c r="AM284" s="35">
        <f>IF($AH284="",DATE(1900,1,1),$AG284)</f>
        <v/>
      </c>
      <c r="AN284" s="32">
        <f>IF($AH284="",0,$AC284*$T284)</f>
        <v/>
      </c>
    </row>
    <row r="285">
      <c r="A285" s="28" t="inlineStr">
        <is>
          <t>Will Covalt</t>
        </is>
      </c>
      <c r="B285" s="16">
        <f>IF($A285="","",IFERROR(INDEX(Roster!$B$2:$B$40,MATCH($A285,Roster!$A$2:$A$40,0)),"?"))</f>
        <v/>
      </c>
      <c r="C285" s="28" t="inlineStr">
        <is>
          <t>Heartland_2</t>
        </is>
      </c>
      <c r="D285" s="16">
        <f>IF($C285="","",IFERROR(IF(INDEX(Deals!$C$2:$C$355,MATCH($C285,Deals!$A$2:$A$355,0))=0,"",INDEX(Deals!$C$2:$C$355,MATCH($C285,Deals!$A$2:$A$355,0))),"?"))</f>
        <v/>
      </c>
      <c r="E285" s="16">
        <f>IF($C285="","",IFERROR(INDEX(Deals!$F$2:$F$355,MATCH($C285,Deals!$A$2:$A$355,0)),"?"))</f>
        <v/>
      </c>
      <c r="F285" s="28" t="inlineStr">
        <is>
          <t>Director</t>
        </is>
      </c>
      <c r="G285" s="28" t="inlineStr">
        <is>
          <t>Active</t>
        </is>
      </c>
      <c r="H285" s="31" t="n"/>
      <c r="I285" s="32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1">
        <f>IF($C285="",0,IFERROR(INDEX(Deals!$H$2:$H$355,MATCH($C285,Deals!$A$2:$A$355,0)),0))</f>
        <v/>
      </c>
      <c r="K285" s="32">
        <f>IF(Settings!$B$4="Yes",$I285*$J285,$I285)</f>
        <v/>
      </c>
      <c r="L285" s="22">
        <f>IF($C285="","",IFERROR(IF(INDEX(Deals!$I$2:$I$355,MATCH($C285,Deals!$A$2:$A$355,0))=0,"",INDEX(Deals!$I$2:$I$355,MATCH($C285,Deals!$A$2:$A$355,0))),""))</f>
        <v/>
      </c>
      <c r="M285" s="22">
        <f>IF($C285="","",IFERROR(IF(INDEX(Deals!$J$2:$J$355,MATCH($C285,Deals!$A$2:$A$355,0))=0,"",INDEX(Deals!$J$2:$J$355,MATCH($C285,Deals!$A$2:$A$355,0))),""))</f>
        <v/>
      </c>
      <c r="N285" s="35">
        <f>IF($L285="",DATE(1900,1,1),$L285)</f>
        <v/>
      </c>
      <c r="O285" s="35">
        <f>IF($M285="",DATE(2100,12,31),$M285)</f>
        <v/>
      </c>
      <c r="P285" s="20" t="inlineStr"/>
      <c r="Q285" s="43" t="inlineStr"/>
      <c r="R285" s="16">
        <f>IF($C285="","",IFERROR(IF(INDEX(Deals!$U$2:$U$355,MATCH($C285,Deals!$A$2:$A$355,0))=0,"",INDEX(Deals!$U$2:$U$355,MATCH($C285,Deals!$A$2:$A$355,0))),""))</f>
        <v/>
      </c>
      <c r="S285" s="34">
        <f>IFERROR(IF($U285="",1,INDEX(Deals!$V$2:$V$355,MATCH($C285,Deals!$A$2:$A$355,0))),1)</f>
        <v/>
      </c>
      <c r="T285" s="34">
        <f>IFERROR(IF($U285="",1,INDEX(Deals!$W$2:$W$355,MATCH($C285,Deals!$A$2:$A$355,0))),1)</f>
        <v/>
      </c>
      <c r="U285" s="22">
        <f>IF($C285="","",IFERROR(IF(INDEX(Deals!$Y$2:$Y$355,MATCH($C285,Deals!$A$2:$A$355,0))=0,"",INDEX(Deals!$Y$2:$Y$355,MATCH($C285,Deals!$A$2:$A$355,0))),""))</f>
        <v/>
      </c>
      <c r="V285" s="35">
        <f>IF($U285="",DATE(1900,1,1),$N285)</f>
        <v/>
      </c>
      <c r="W285" s="35">
        <f>IF($U285="",DATE(2100,12,31),$U285)</f>
        <v/>
      </c>
      <c r="X285" s="32">
        <f>IF($U285="",$K285,$K285*$S285)</f>
        <v/>
      </c>
      <c r="Y285" s="35">
        <f>IF($U285="",DATE(2100,12,31),$U285+1)</f>
        <v/>
      </c>
      <c r="Z285" s="35">
        <f>IF($U285="",DATE(1900,1,1),$O285)</f>
        <v/>
      </c>
      <c r="AA285" s="32">
        <f>IF($U285="",0,$K285*$T285)</f>
        <v/>
      </c>
      <c r="AB285" s="21">
        <f>IF($C285="",0,IFERROR(INDEX(Deals!$AD$2:$AD$355,MATCH($C285,Deals!$A$2:$A$355,0)),0))</f>
        <v/>
      </c>
      <c r="AC285" s="32">
        <f>IF(Settings!$B$4="Yes",$I285*$AB285,$I285)</f>
        <v/>
      </c>
      <c r="AD285" s="22">
        <f>IF($C285="","",IFERROR(IF(INDEX(Deals!$AE$2:$AE$355,MATCH($C285,Deals!$A$2:$A$355,0))=0,"",INDEX(Deals!$AE$2:$AE$355,MATCH($C285,Deals!$A$2:$A$355,0))),""))</f>
        <v/>
      </c>
      <c r="AE285" s="22">
        <f>IF($C285="","",IFERROR(IF(INDEX(Deals!$AF$2:$AF$355,MATCH($C285,Deals!$A$2:$A$355,0))=0,"",INDEX(Deals!$AF$2:$AF$355,MATCH($C285,Deals!$A$2:$A$355,0))),""))</f>
        <v/>
      </c>
      <c r="AF285" s="35">
        <f>IF($AD285="",DATE(1900,1,1),$AD285)</f>
        <v/>
      </c>
      <c r="AG285" s="35">
        <f>IF($AE285="",DATE(2100,12,31),$AE285)</f>
        <v/>
      </c>
      <c r="AH285" s="22">
        <f>IF($C285="","",IFERROR(IF(INDEX(Deals!$AG$2:$AG$355,MATCH($C285,Deals!$A$2:$A$355,0))=0,"",INDEX(Deals!$AG$2:$AG$355,MATCH($C285,Deals!$A$2:$A$355,0))),""))</f>
        <v/>
      </c>
      <c r="AI285" s="35">
        <f>IF($AH285="",DATE(1900,1,1),$AF285)</f>
        <v/>
      </c>
      <c r="AJ285" s="35">
        <f>IF($AH285="",DATE(2100,12,31),$AH285)</f>
        <v/>
      </c>
      <c r="AK285" s="32">
        <f>IF($AH285="",$AC285,$AC285*$S285)</f>
        <v/>
      </c>
      <c r="AL285" s="35">
        <f>IF($AH285="",DATE(2100,12,31),$AH285+1)</f>
        <v/>
      </c>
      <c r="AM285" s="35">
        <f>IF($AH285="",DATE(1900,1,1),$AG285)</f>
        <v/>
      </c>
      <c r="AN285" s="32">
        <f>IF($AH285="",0,$AC285*$T285)</f>
        <v/>
      </c>
    </row>
    <row r="286">
      <c r="A286" s="28" t="inlineStr">
        <is>
          <t>Will Covalt</t>
        </is>
      </c>
      <c r="B286" s="16">
        <f>IF($A286="","",IFERROR(INDEX(Roster!$B$2:$B$40,MATCH($A286,Roster!$A$2:$A$40,0)),"?"))</f>
        <v/>
      </c>
      <c r="C286" s="28" t="inlineStr">
        <is>
          <t>i3 Broadband _1</t>
        </is>
      </c>
      <c r="D286" s="16">
        <f>IF($C286="","",IFERROR(IF(INDEX(Deals!$C$2:$C$355,MATCH($C286,Deals!$A$2:$A$355,0))=0,"",INDEX(Deals!$C$2:$C$355,MATCH($C286,Deals!$A$2:$A$355,0))),"?"))</f>
        <v/>
      </c>
      <c r="E286" s="16">
        <f>IF($C286="","",IFERROR(INDEX(Deals!$F$2:$F$355,MATCH($C286,Deals!$A$2:$A$355,0)),"?"))</f>
        <v/>
      </c>
      <c r="F286" s="28" t="inlineStr">
        <is>
          <t>Director</t>
        </is>
      </c>
      <c r="G286" s="28" t="inlineStr">
        <is>
          <t>Active</t>
        </is>
      </c>
      <c r="H286" s="31" t="n"/>
      <c r="I286" s="32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1">
        <f>IF($C286="",0,IFERROR(INDEX(Deals!$H$2:$H$355,MATCH($C286,Deals!$A$2:$A$355,0)),0))</f>
        <v/>
      </c>
      <c r="K286" s="32">
        <f>IF(Settings!$B$4="Yes",$I286*$J286,$I286)</f>
        <v/>
      </c>
      <c r="L286" s="22">
        <f>IF($C286="","",IFERROR(IF(INDEX(Deals!$I$2:$I$355,MATCH($C286,Deals!$A$2:$A$355,0))=0,"",INDEX(Deals!$I$2:$I$355,MATCH($C286,Deals!$A$2:$A$355,0))),""))</f>
        <v/>
      </c>
      <c r="M286" s="22">
        <f>IF($C286="","",IFERROR(IF(INDEX(Deals!$J$2:$J$355,MATCH($C286,Deals!$A$2:$A$355,0))=0,"",INDEX(Deals!$J$2:$J$355,MATCH($C286,Deals!$A$2:$A$355,0))),""))</f>
        <v/>
      </c>
      <c r="N286" s="35">
        <f>IF($L286="",DATE(1900,1,1),$L286)</f>
        <v/>
      </c>
      <c r="O286" s="35">
        <f>IF($M286="",DATE(2100,12,31),$M286)</f>
        <v/>
      </c>
      <c r="P286" s="20" t="inlineStr"/>
      <c r="Q286" s="43" t="inlineStr"/>
      <c r="R286" s="16">
        <f>IF($C286="","",IFERROR(IF(INDEX(Deals!$U$2:$U$355,MATCH($C286,Deals!$A$2:$A$355,0))=0,"",INDEX(Deals!$U$2:$U$355,MATCH($C286,Deals!$A$2:$A$355,0))),""))</f>
        <v/>
      </c>
      <c r="S286" s="34">
        <f>IFERROR(IF($U286="",1,INDEX(Deals!$V$2:$V$355,MATCH($C286,Deals!$A$2:$A$355,0))),1)</f>
        <v/>
      </c>
      <c r="T286" s="34">
        <f>IFERROR(IF($U286="",1,INDEX(Deals!$W$2:$W$355,MATCH($C286,Deals!$A$2:$A$355,0))),1)</f>
        <v/>
      </c>
      <c r="U286" s="22">
        <f>IF($C286="","",IFERROR(IF(INDEX(Deals!$Y$2:$Y$355,MATCH($C286,Deals!$A$2:$A$355,0))=0,"",INDEX(Deals!$Y$2:$Y$355,MATCH($C286,Deals!$A$2:$A$355,0))),""))</f>
        <v/>
      </c>
      <c r="V286" s="35">
        <f>IF($U286="",DATE(1900,1,1),$N286)</f>
        <v/>
      </c>
      <c r="W286" s="35">
        <f>IF($U286="",DATE(2100,12,31),$U286)</f>
        <v/>
      </c>
      <c r="X286" s="32">
        <f>IF($U286="",$K286,$K286*$S286)</f>
        <v/>
      </c>
      <c r="Y286" s="35">
        <f>IF($U286="",DATE(2100,12,31),$U286+1)</f>
        <v/>
      </c>
      <c r="Z286" s="35">
        <f>IF($U286="",DATE(1900,1,1),$O286)</f>
        <v/>
      </c>
      <c r="AA286" s="32">
        <f>IF($U286="",0,$K286*$T286)</f>
        <v/>
      </c>
      <c r="AB286" s="21">
        <f>IF($C286="",0,IFERROR(INDEX(Deals!$AD$2:$AD$355,MATCH($C286,Deals!$A$2:$A$355,0)),0))</f>
        <v/>
      </c>
      <c r="AC286" s="32">
        <f>IF(Settings!$B$4="Yes",$I286*$AB286,$I286)</f>
        <v/>
      </c>
      <c r="AD286" s="22">
        <f>IF($C286="","",IFERROR(IF(INDEX(Deals!$AE$2:$AE$355,MATCH($C286,Deals!$A$2:$A$355,0))=0,"",INDEX(Deals!$AE$2:$AE$355,MATCH($C286,Deals!$A$2:$A$355,0))),""))</f>
        <v/>
      </c>
      <c r="AE286" s="22">
        <f>IF($C286="","",IFERROR(IF(INDEX(Deals!$AF$2:$AF$355,MATCH($C286,Deals!$A$2:$A$355,0))=0,"",INDEX(Deals!$AF$2:$AF$355,MATCH($C286,Deals!$A$2:$A$355,0))),""))</f>
        <v/>
      </c>
      <c r="AF286" s="35">
        <f>IF($AD286="",DATE(1900,1,1),$AD286)</f>
        <v/>
      </c>
      <c r="AG286" s="35">
        <f>IF($AE286="",DATE(2100,12,31),$AE286)</f>
        <v/>
      </c>
      <c r="AH286" s="22">
        <f>IF($C286="","",IFERROR(IF(INDEX(Deals!$AG$2:$AG$355,MATCH($C286,Deals!$A$2:$A$355,0))=0,"",INDEX(Deals!$AG$2:$AG$355,MATCH($C286,Deals!$A$2:$A$355,0))),""))</f>
        <v/>
      </c>
      <c r="AI286" s="35">
        <f>IF($AH286="",DATE(1900,1,1),$AF286)</f>
        <v/>
      </c>
      <c r="AJ286" s="35">
        <f>IF($AH286="",DATE(2100,12,31),$AH286)</f>
        <v/>
      </c>
      <c r="AK286" s="32">
        <f>IF($AH286="",$AC286,$AC286*$S286)</f>
        <v/>
      </c>
      <c r="AL286" s="35">
        <f>IF($AH286="",DATE(2100,12,31),$AH286+1)</f>
        <v/>
      </c>
      <c r="AM286" s="35">
        <f>IF($AH286="",DATE(1900,1,1),$AG286)</f>
        <v/>
      </c>
      <c r="AN286" s="32">
        <f>IF($AH286="",0,$AC286*$T286)</f>
        <v/>
      </c>
    </row>
    <row r="287">
      <c r="A287" s="28" t="inlineStr">
        <is>
          <t>Will Covalt</t>
        </is>
      </c>
      <c r="B287" s="16">
        <f>IF($A287="","",IFERROR(INDEX(Roster!$B$2:$B$40,MATCH($A287,Roster!$A$2:$A$40,0)),"?"))</f>
        <v/>
      </c>
      <c r="C287" s="28" t="inlineStr">
        <is>
          <t>Javelina Gain_1</t>
        </is>
      </c>
      <c r="D287" s="16">
        <f>IF($C287="","",IFERROR(IF(INDEX(Deals!$C$2:$C$355,MATCH($C287,Deals!$A$2:$A$355,0))=0,"",INDEX(Deals!$C$2:$C$355,MATCH($C287,Deals!$A$2:$A$355,0))),"?"))</f>
        <v/>
      </c>
      <c r="E287" s="16">
        <f>IF($C287="","",IFERROR(INDEX(Deals!$F$2:$F$355,MATCH($C287,Deals!$A$2:$A$355,0)),"?"))</f>
        <v/>
      </c>
      <c r="F287" s="28" t="inlineStr">
        <is>
          <t>Director</t>
        </is>
      </c>
      <c r="G287" s="28" t="inlineStr">
        <is>
          <t>Active</t>
        </is>
      </c>
      <c r="H287" s="31" t="n"/>
      <c r="I287" s="32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1">
        <f>IF($C287="",0,IFERROR(INDEX(Deals!$H$2:$H$355,MATCH($C287,Deals!$A$2:$A$355,0)),0))</f>
        <v/>
      </c>
      <c r="K287" s="32">
        <f>IF(Settings!$B$4="Yes",$I287*$J287,$I287)</f>
        <v/>
      </c>
      <c r="L287" s="22">
        <f>IF($C287="","",IFERROR(IF(INDEX(Deals!$I$2:$I$355,MATCH($C287,Deals!$A$2:$A$355,0))=0,"",INDEX(Deals!$I$2:$I$355,MATCH($C287,Deals!$A$2:$A$355,0))),""))</f>
        <v/>
      </c>
      <c r="M287" s="22">
        <f>IF($C287="","",IFERROR(IF(INDEX(Deals!$J$2:$J$355,MATCH($C287,Deals!$A$2:$A$355,0))=0,"",INDEX(Deals!$J$2:$J$355,MATCH($C287,Deals!$A$2:$A$355,0))),""))</f>
        <v/>
      </c>
      <c r="N287" s="35">
        <f>IF($L287="",DATE(1900,1,1),$L287)</f>
        <v/>
      </c>
      <c r="O287" s="35">
        <f>IF($M287="",DATE(2100,12,31),$M287)</f>
        <v/>
      </c>
      <c r="P287" s="20" t="inlineStr"/>
      <c r="Q287" s="43" t="inlineStr"/>
      <c r="R287" s="16">
        <f>IF($C287="","",IFERROR(IF(INDEX(Deals!$U$2:$U$355,MATCH($C287,Deals!$A$2:$A$355,0))=0,"",INDEX(Deals!$U$2:$U$355,MATCH($C287,Deals!$A$2:$A$355,0))),""))</f>
        <v/>
      </c>
      <c r="S287" s="34">
        <f>IFERROR(IF($U287="",1,INDEX(Deals!$V$2:$V$355,MATCH($C287,Deals!$A$2:$A$355,0))),1)</f>
        <v/>
      </c>
      <c r="T287" s="34">
        <f>IFERROR(IF($U287="",1,INDEX(Deals!$W$2:$W$355,MATCH($C287,Deals!$A$2:$A$355,0))),1)</f>
        <v/>
      </c>
      <c r="U287" s="22">
        <f>IF($C287="","",IFERROR(IF(INDEX(Deals!$Y$2:$Y$355,MATCH($C287,Deals!$A$2:$A$355,0))=0,"",INDEX(Deals!$Y$2:$Y$355,MATCH($C287,Deals!$A$2:$A$355,0))),""))</f>
        <v/>
      </c>
      <c r="V287" s="35">
        <f>IF($U287="",DATE(1900,1,1),$N287)</f>
        <v/>
      </c>
      <c r="W287" s="35">
        <f>IF($U287="",DATE(2100,12,31),$U287)</f>
        <v/>
      </c>
      <c r="X287" s="32">
        <f>IF($U287="",$K287,$K287*$S287)</f>
        <v/>
      </c>
      <c r="Y287" s="35">
        <f>IF($U287="",DATE(2100,12,31),$U287+1)</f>
        <v/>
      </c>
      <c r="Z287" s="35">
        <f>IF($U287="",DATE(1900,1,1),$O287)</f>
        <v/>
      </c>
      <c r="AA287" s="32">
        <f>IF($U287="",0,$K287*$T287)</f>
        <v/>
      </c>
      <c r="AB287" s="21">
        <f>IF($C287="",0,IFERROR(INDEX(Deals!$AD$2:$AD$355,MATCH($C287,Deals!$A$2:$A$355,0)),0))</f>
        <v/>
      </c>
      <c r="AC287" s="32">
        <f>IF(Settings!$B$4="Yes",$I287*$AB287,$I287)</f>
        <v/>
      </c>
      <c r="AD287" s="22">
        <f>IF($C287="","",IFERROR(IF(INDEX(Deals!$AE$2:$AE$355,MATCH($C287,Deals!$A$2:$A$355,0))=0,"",INDEX(Deals!$AE$2:$AE$355,MATCH($C287,Deals!$A$2:$A$355,0))),""))</f>
        <v/>
      </c>
      <c r="AE287" s="22">
        <f>IF($C287="","",IFERROR(IF(INDEX(Deals!$AF$2:$AF$355,MATCH($C287,Deals!$A$2:$A$355,0))=0,"",INDEX(Deals!$AF$2:$AF$355,MATCH($C287,Deals!$A$2:$A$355,0))),""))</f>
        <v/>
      </c>
      <c r="AF287" s="35">
        <f>IF($AD287="",DATE(1900,1,1),$AD287)</f>
        <v/>
      </c>
      <c r="AG287" s="35">
        <f>IF($AE287="",DATE(2100,12,31),$AE287)</f>
        <v/>
      </c>
      <c r="AH287" s="22">
        <f>IF($C287="","",IFERROR(IF(INDEX(Deals!$AG$2:$AG$355,MATCH($C287,Deals!$A$2:$A$355,0))=0,"",INDEX(Deals!$AG$2:$AG$355,MATCH($C287,Deals!$A$2:$A$355,0))),""))</f>
        <v/>
      </c>
      <c r="AI287" s="35">
        <f>IF($AH287="",DATE(1900,1,1),$AF287)</f>
        <v/>
      </c>
      <c r="AJ287" s="35">
        <f>IF($AH287="",DATE(2100,12,31),$AH287)</f>
        <v/>
      </c>
      <c r="AK287" s="32">
        <f>IF($AH287="",$AC287,$AC287*$S287)</f>
        <v/>
      </c>
      <c r="AL287" s="35">
        <f>IF($AH287="",DATE(2100,12,31),$AH287+1)</f>
        <v/>
      </c>
      <c r="AM287" s="35">
        <f>IF($AH287="",DATE(1900,1,1),$AG287)</f>
        <v/>
      </c>
      <c r="AN287" s="32">
        <f>IF($AH287="",0,$AC287*$T287)</f>
        <v/>
      </c>
    </row>
    <row r="288">
      <c r="A288" s="28" t="inlineStr">
        <is>
          <t>Will Covalt</t>
        </is>
      </c>
      <c r="B288" s="16">
        <f>IF($A288="","",IFERROR(INDEX(Roster!$B$2:$B$40,MATCH($A288,Roster!$A$2:$A$40,0)),"?"))</f>
        <v/>
      </c>
      <c r="C288" s="28" t="inlineStr">
        <is>
          <t>JHIF 2026 Restructuring_1</t>
        </is>
      </c>
      <c r="D288" s="16">
        <f>IF($C288="","",IFERROR(IF(INDEX(Deals!$C$2:$C$355,MATCH($C288,Deals!$A$2:$A$355,0))=0,"",INDEX(Deals!$C$2:$C$355,MATCH($C288,Deals!$A$2:$A$355,0))),"?"))</f>
        <v/>
      </c>
      <c r="E288" s="16">
        <f>IF($C288="","",IFERROR(INDEX(Deals!$F$2:$F$355,MATCH($C288,Deals!$A$2:$A$355,0)),"?"))</f>
        <v/>
      </c>
      <c r="F288" s="28" t="inlineStr">
        <is>
          <t>Director</t>
        </is>
      </c>
      <c r="G288" s="28" t="inlineStr">
        <is>
          <t>Active</t>
        </is>
      </c>
      <c r="H288" s="31" t="n"/>
      <c r="I288" s="32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1">
        <f>IF($C288="",0,IFERROR(INDEX(Deals!$H$2:$H$355,MATCH($C288,Deals!$A$2:$A$355,0)),0))</f>
        <v/>
      </c>
      <c r="K288" s="32">
        <f>IF(Settings!$B$4="Yes",$I288*$J288,$I288)</f>
        <v/>
      </c>
      <c r="L288" s="22">
        <f>IF($C288="","",IFERROR(IF(INDEX(Deals!$I$2:$I$355,MATCH($C288,Deals!$A$2:$A$355,0))=0,"",INDEX(Deals!$I$2:$I$355,MATCH($C288,Deals!$A$2:$A$355,0))),""))</f>
        <v/>
      </c>
      <c r="M288" s="22">
        <f>IF($C288="","",IFERROR(IF(INDEX(Deals!$J$2:$J$355,MATCH($C288,Deals!$A$2:$A$355,0))=0,"",INDEX(Deals!$J$2:$J$355,MATCH($C288,Deals!$A$2:$A$355,0))),""))</f>
        <v/>
      </c>
      <c r="N288" s="35">
        <f>IF($L288="",DATE(1900,1,1),$L288)</f>
        <v/>
      </c>
      <c r="O288" s="35">
        <f>IF($M288="",DATE(2100,12,31),$M288)</f>
        <v/>
      </c>
      <c r="P288" s="20" t="inlineStr"/>
      <c r="Q288" s="43" t="inlineStr"/>
      <c r="R288" s="16">
        <f>IF($C288="","",IFERROR(IF(INDEX(Deals!$U$2:$U$355,MATCH($C288,Deals!$A$2:$A$355,0))=0,"",INDEX(Deals!$U$2:$U$355,MATCH($C288,Deals!$A$2:$A$355,0))),""))</f>
        <v/>
      </c>
      <c r="S288" s="34">
        <f>IFERROR(IF($U288="",1,INDEX(Deals!$V$2:$V$355,MATCH($C288,Deals!$A$2:$A$355,0))),1)</f>
        <v/>
      </c>
      <c r="T288" s="34">
        <f>IFERROR(IF($U288="",1,INDEX(Deals!$W$2:$W$355,MATCH($C288,Deals!$A$2:$A$355,0))),1)</f>
        <v/>
      </c>
      <c r="U288" s="22">
        <f>IF($C288="","",IFERROR(IF(INDEX(Deals!$Y$2:$Y$355,MATCH($C288,Deals!$A$2:$A$355,0))=0,"",INDEX(Deals!$Y$2:$Y$355,MATCH($C288,Deals!$A$2:$A$355,0))),""))</f>
        <v/>
      </c>
      <c r="V288" s="35">
        <f>IF($U288="",DATE(1900,1,1),$N288)</f>
        <v/>
      </c>
      <c r="W288" s="35">
        <f>IF($U288="",DATE(2100,12,31),$U288)</f>
        <v/>
      </c>
      <c r="X288" s="32">
        <f>IF($U288="",$K288,$K288*$S288)</f>
        <v/>
      </c>
      <c r="Y288" s="35">
        <f>IF($U288="",DATE(2100,12,31),$U288+1)</f>
        <v/>
      </c>
      <c r="Z288" s="35">
        <f>IF($U288="",DATE(1900,1,1),$O288)</f>
        <v/>
      </c>
      <c r="AA288" s="32">
        <f>IF($U288="",0,$K288*$T288)</f>
        <v/>
      </c>
      <c r="AB288" s="21">
        <f>IF($C288="",0,IFERROR(INDEX(Deals!$AD$2:$AD$355,MATCH($C288,Deals!$A$2:$A$355,0)),0))</f>
        <v/>
      </c>
      <c r="AC288" s="32">
        <f>IF(Settings!$B$4="Yes",$I288*$AB288,$I288)</f>
        <v/>
      </c>
      <c r="AD288" s="22">
        <f>IF($C288="","",IFERROR(IF(INDEX(Deals!$AE$2:$AE$355,MATCH($C288,Deals!$A$2:$A$355,0))=0,"",INDEX(Deals!$AE$2:$AE$355,MATCH($C288,Deals!$A$2:$A$355,0))),""))</f>
        <v/>
      </c>
      <c r="AE288" s="22">
        <f>IF($C288="","",IFERROR(IF(INDEX(Deals!$AF$2:$AF$355,MATCH($C288,Deals!$A$2:$A$355,0))=0,"",INDEX(Deals!$AF$2:$AF$355,MATCH($C288,Deals!$A$2:$A$355,0))),""))</f>
        <v/>
      </c>
      <c r="AF288" s="35">
        <f>IF($AD288="",DATE(1900,1,1),$AD288)</f>
        <v/>
      </c>
      <c r="AG288" s="35">
        <f>IF($AE288="",DATE(2100,12,31),$AE288)</f>
        <v/>
      </c>
      <c r="AH288" s="22">
        <f>IF($C288="","",IFERROR(IF(INDEX(Deals!$AG$2:$AG$355,MATCH($C288,Deals!$A$2:$A$355,0))=0,"",INDEX(Deals!$AG$2:$AG$355,MATCH($C288,Deals!$A$2:$A$355,0))),""))</f>
        <v/>
      </c>
      <c r="AI288" s="35">
        <f>IF($AH288="",DATE(1900,1,1),$AF288)</f>
        <v/>
      </c>
      <c r="AJ288" s="35">
        <f>IF($AH288="",DATE(2100,12,31),$AH288)</f>
        <v/>
      </c>
      <c r="AK288" s="32">
        <f>IF($AH288="",$AC288,$AC288*$S288)</f>
        <v/>
      </c>
      <c r="AL288" s="35">
        <f>IF($AH288="",DATE(2100,12,31),$AH288+1)</f>
        <v/>
      </c>
      <c r="AM288" s="35">
        <f>IF($AH288="",DATE(1900,1,1),$AG288)</f>
        <v/>
      </c>
      <c r="AN288" s="32">
        <f>IF($AH288="",0,$AC288*$T288)</f>
        <v/>
      </c>
    </row>
    <row r="289">
      <c r="A289" s="28" t="inlineStr">
        <is>
          <t>Will Covalt</t>
        </is>
      </c>
      <c r="B289" s="16">
        <f>IF($A289="","",IFERROR(INDEX(Roster!$B$2:$B$40,MATCH($A289,Roster!$A$2:$A$40,0)),"?"))</f>
        <v/>
      </c>
      <c r="C289" s="28" t="inlineStr">
        <is>
          <t>Octopus Post-close_1</t>
        </is>
      </c>
      <c r="D289" s="16">
        <f>IF($C289="","",IFERROR(IF(INDEX(Deals!$C$2:$C$355,MATCH($C289,Deals!$A$2:$A$355,0))=0,"",INDEX(Deals!$C$2:$C$355,MATCH($C289,Deals!$A$2:$A$355,0))),"?"))</f>
        <v/>
      </c>
      <c r="E289" s="16">
        <f>IF($C289="","",IFERROR(INDEX(Deals!$F$2:$F$355,MATCH($C289,Deals!$A$2:$A$355,0)),"?"))</f>
        <v/>
      </c>
      <c r="F289" s="28" t="inlineStr">
        <is>
          <t>Director</t>
        </is>
      </c>
      <c r="G289" s="28" t="inlineStr">
        <is>
          <t>Active</t>
        </is>
      </c>
      <c r="H289" s="31" t="n"/>
      <c r="I289" s="32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1">
        <f>IF($C289="",0,IFERROR(INDEX(Deals!$H$2:$H$355,MATCH($C289,Deals!$A$2:$A$355,0)),0))</f>
        <v/>
      </c>
      <c r="K289" s="32">
        <f>IF(Settings!$B$4="Yes",$I289*$J289,$I289)</f>
        <v/>
      </c>
      <c r="L289" s="22">
        <f>IF($C289="","",IFERROR(IF(INDEX(Deals!$I$2:$I$355,MATCH($C289,Deals!$A$2:$A$355,0))=0,"",INDEX(Deals!$I$2:$I$355,MATCH($C289,Deals!$A$2:$A$355,0))),""))</f>
        <v/>
      </c>
      <c r="M289" s="22">
        <f>IF($C289="","",IFERROR(IF(INDEX(Deals!$J$2:$J$355,MATCH($C289,Deals!$A$2:$A$355,0))=0,"",INDEX(Deals!$J$2:$J$355,MATCH($C289,Deals!$A$2:$A$355,0))),""))</f>
        <v/>
      </c>
      <c r="N289" s="35">
        <f>IF($L289="",DATE(1900,1,1),$L289)</f>
        <v/>
      </c>
      <c r="O289" s="35">
        <f>IF($M289="",DATE(2100,12,31),$M289)</f>
        <v/>
      </c>
      <c r="P289" s="20" t="inlineStr"/>
      <c r="Q289" s="43" t="inlineStr"/>
      <c r="R289" s="16">
        <f>IF($C289="","",IFERROR(IF(INDEX(Deals!$U$2:$U$355,MATCH($C289,Deals!$A$2:$A$355,0))=0,"",INDEX(Deals!$U$2:$U$355,MATCH($C289,Deals!$A$2:$A$355,0))),""))</f>
        <v/>
      </c>
      <c r="S289" s="34">
        <f>IFERROR(IF($U289="",1,INDEX(Deals!$V$2:$V$355,MATCH($C289,Deals!$A$2:$A$355,0))),1)</f>
        <v/>
      </c>
      <c r="T289" s="34">
        <f>IFERROR(IF($U289="",1,INDEX(Deals!$W$2:$W$355,MATCH($C289,Deals!$A$2:$A$355,0))),1)</f>
        <v/>
      </c>
      <c r="U289" s="22">
        <f>IF($C289="","",IFERROR(IF(INDEX(Deals!$Y$2:$Y$355,MATCH($C289,Deals!$A$2:$A$355,0))=0,"",INDEX(Deals!$Y$2:$Y$355,MATCH($C289,Deals!$A$2:$A$355,0))),""))</f>
        <v/>
      </c>
      <c r="V289" s="35">
        <f>IF($U289="",DATE(1900,1,1),$N289)</f>
        <v/>
      </c>
      <c r="W289" s="35">
        <f>IF($U289="",DATE(2100,12,31),$U289)</f>
        <v/>
      </c>
      <c r="X289" s="32">
        <f>IF($U289="",$K289,$K289*$S289)</f>
        <v/>
      </c>
      <c r="Y289" s="35">
        <f>IF($U289="",DATE(2100,12,31),$U289+1)</f>
        <v/>
      </c>
      <c r="Z289" s="35">
        <f>IF($U289="",DATE(1900,1,1),$O289)</f>
        <v/>
      </c>
      <c r="AA289" s="32">
        <f>IF($U289="",0,$K289*$T289)</f>
        <v/>
      </c>
      <c r="AB289" s="21">
        <f>IF($C289="",0,IFERROR(INDEX(Deals!$AD$2:$AD$355,MATCH($C289,Deals!$A$2:$A$355,0)),0))</f>
        <v/>
      </c>
      <c r="AC289" s="32">
        <f>IF(Settings!$B$4="Yes",$I289*$AB289,$I289)</f>
        <v/>
      </c>
      <c r="AD289" s="22">
        <f>IF($C289="","",IFERROR(IF(INDEX(Deals!$AE$2:$AE$355,MATCH($C289,Deals!$A$2:$A$355,0))=0,"",INDEX(Deals!$AE$2:$AE$355,MATCH($C289,Deals!$A$2:$A$355,0))),""))</f>
        <v/>
      </c>
      <c r="AE289" s="22">
        <f>IF($C289="","",IFERROR(IF(INDEX(Deals!$AF$2:$AF$355,MATCH($C289,Deals!$A$2:$A$355,0))=0,"",INDEX(Deals!$AF$2:$AF$355,MATCH($C289,Deals!$A$2:$A$355,0))),""))</f>
        <v/>
      </c>
      <c r="AF289" s="35">
        <f>IF($AD289="",DATE(1900,1,1),$AD289)</f>
        <v/>
      </c>
      <c r="AG289" s="35">
        <f>IF($AE289="",DATE(2100,12,31),$AE289)</f>
        <v/>
      </c>
      <c r="AH289" s="22">
        <f>IF($C289="","",IFERROR(IF(INDEX(Deals!$AG$2:$AG$355,MATCH($C289,Deals!$A$2:$A$355,0))=0,"",INDEX(Deals!$AG$2:$AG$355,MATCH($C289,Deals!$A$2:$A$355,0))),""))</f>
        <v/>
      </c>
      <c r="AI289" s="35">
        <f>IF($AH289="",DATE(1900,1,1),$AF289)</f>
        <v/>
      </c>
      <c r="AJ289" s="35">
        <f>IF($AH289="",DATE(2100,12,31),$AH289)</f>
        <v/>
      </c>
      <c r="AK289" s="32">
        <f>IF($AH289="",$AC289,$AC289*$S289)</f>
        <v/>
      </c>
      <c r="AL289" s="35">
        <f>IF($AH289="",DATE(2100,12,31),$AH289+1)</f>
        <v/>
      </c>
      <c r="AM289" s="35">
        <f>IF($AH289="",DATE(1900,1,1),$AG289)</f>
        <v/>
      </c>
      <c r="AN289" s="32">
        <f>IF($AH289="",0,$AC289*$T289)</f>
        <v/>
      </c>
    </row>
    <row r="290">
      <c r="A290" s="28" t="inlineStr">
        <is>
          <t>Will Covalt</t>
        </is>
      </c>
      <c r="B290" s="16">
        <f>IF($A290="","",IFERROR(INDEX(Roster!$B$2:$B$40,MATCH($A290,Roster!$A$2:$A$40,0)),"?"))</f>
        <v/>
      </c>
      <c r="C290" s="28" t="inlineStr">
        <is>
          <t>Torch_4</t>
        </is>
      </c>
      <c r="D290" s="16">
        <f>IF($C290="","",IFERROR(IF(INDEX(Deals!$C$2:$C$355,MATCH($C290,Deals!$A$2:$A$355,0))=0,"",INDEX(Deals!$C$2:$C$355,MATCH($C290,Deals!$A$2:$A$355,0))),"?"))</f>
        <v/>
      </c>
      <c r="E290" s="16">
        <f>IF($C290="","",IFERROR(INDEX(Deals!$F$2:$F$355,MATCH($C290,Deals!$A$2:$A$355,0)),"?"))</f>
        <v/>
      </c>
      <c r="F290" s="28" t="inlineStr">
        <is>
          <t>Director</t>
        </is>
      </c>
      <c r="G290" s="28" t="inlineStr">
        <is>
          <t>Active</t>
        </is>
      </c>
      <c r="H290" s="31" t="n"/>
      <c r="I290" s="32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1">
        <f>IF($C290="",0,IFERROR(INDEX(Deals!$H$2:$H$355,MATCH($C290,Deals!$A$2:$A$355,0)),0))</f>
        <v/>
      </c>
      <c r="K290" s="32">
        <f>IF(Settings!$B$4="Yes",$I290*$J290,$I290)</f>
        <v/>
      </c>
      <c r="L290" s="22">
        <f>IF($C290="","",IFERROR(IF(INDEX(Deals!$I$2:$I$355,MATCH($C290,Deals!$A$2:$A$355,0))=0,"",INDEX(Deals!$I$2:$I$355,MATCH($C290,Deals!$A$2:$A$355,0))),""))</f>
        <v/>
      </c>
      <c r="M290" s="22">
        <f>IF($C290="","",IFERROR(IF(INDEX(Deals!$J$2:$J$355,MATCH($C290,Deals!$A$2:$A$355,0))=0,"",INDEX(Deals!$J$2:$J$355,MATCH($C290,Deals!$A$2:$A$355,0))),""))</f>
        <v/>
      </c>
      <c r="N290" s="35">
        <f>IF($L290="",DATE(1900,1,1),$L290)</f>
        <v/>
      </c>
      <c r="O290" s="35">
        <f>IF($M290="",DATE(2100,12,31),$M290)</f>
        <v/>
      </c>
      <c r="P290" s="20" t="inlineStr"/>
      <c r="Q290" s="43" t="inlineStr"/>
      <c r="R290" s="16">
        <f>IF($C290="","",IFERROR(IF(INDEX(Deals!$U$2:$U$355,MATCH($C290,Deals!$A$2:$A$355,0))=0,"",INDEX(Deals!$U$2:$U$355,MATCH($C290,Deals!$A$2:$A$355,0))),""))</f>
        <v/>
      </c>
      <c r="S290" s="34">
        <f>IFERROR(IF($U290="",1,INDEX(Deals!$V$2:$V$355,MATCH($C290,Deals!$A$2:$A$355,0))),1)</f>
        <v/>
      </c>
      <c r="T290" s="34">
        <f>IFERROR(IF($U290="",1,INDEX(Deals!$W$2:$W$355,MATCH($C290,Deals!$A$2:$A$355,0))),1)</f>
        <v/>
      </c>
      <c r="U290" s="22">
        <f>IF($C290="","",IFERROR(IF(INDEX(Deals!$Y$2:$Y$355,MATCH($C290,Deals!$A$2:$A$355,0))=0,"",INDEX(Deals!$Y$2:$Y$355,MATCH($C290,Deals!$A$2:$A$355,0))),""))</f>
        <v/>
      </c>
      <c r="V290" s="35">
        <f>IF($U290="",DATE(1900,1,1),$N290)</f>
        <v/>
      </c>
      <c r="W290" s="35">
        <f>IF($U290="",DATE(2100,12,31),$U290)</f>
        <v/>
      </c>
      <c r="X290" s="32">
        <f>IF($U290="",$K290,$K290*$S290)</f>
        <v/>
      </c>
      <c r="Y290" s="35">
        <f>IF($U290="",DATE(2100,12,31),$U290+1)</f>
        <v/>
      </c>
      <c r="Z290" s="35">
        <f>IF($U290="",DATE(1900,1,1),$O290)</f>
        <v/>
      </c>
      <c r="AA290" s="32">
        <f>IF($U290="",0,$K290*$T290)</f>
        <v/>
      </c>
      <c r="AB290" s="21">
        <f>IF($C290="",0,IFERROR(INDEX(Deals!$AD$2:$AD$355,MATCH($C290,Deals!$A$2:$A$355,0)),0))</f>
        <v/>
      </c>
      <c r="AC290" s="32">
        <f>IF(Settings!$B$4="Yes",$I290*$AB290,$I290)</f>
        <v/>
      </c>
      <c r="AD290" s="22">
        <f>IF($C290="","",IFERROR(IF(INDEX(Deals!$AE$2:$AE$355,MATCH($C290,Deals!$A$2:$A$355,0))=0,"",INDEX(Deals!$AE$2:$AE$355,MATCH($C290,Deals!$A$2:$A$355,0))),""))</f>
        <v/>
      </c>
      <c r="AE290" s="22">
        <f>IF($C290="","",IFERROR(IF(INDEX(Deals!$AF$2:$AF$355,MATCH($C290,Deals!$A$2:$A$355,0))=0,"",INDEX(Deals!$AF$2:$AF$355,MATCH($C290,Deals!$A$2:$A$355,0))),""))</f>
        <v/>
      </c>
      <c r="AF290" s="35">
        <f>IF($AD290="",DATE(1900,1,1),$AD290)</f>
        <v/>
      </c>
      <c r="AG290" s="35">
        <f>IF($AE290="",DATE(2100,12,31),$AE290)</f>
        <v/>
      </c>
      <c r="AH290" s="22">
        <f>IF($C290="","",IFERROR(IF(INDEX(Deals!$AG$2:$AG$355,MATCH($C290,Deals!$A$2:$A$355,0))=0,"",INDEX(Deals!$AG$2:$AG$355,MATCH($C290,Deals!$A$2:$A$355,0))),""))</f>
        <v/>
      </c>
      <c r="AI290" s="35">
        <f>IF($AH290="",DATE(1900,1,1),$AF290)</f>
        <v/>
      </c>
      <c r="AJ290" s="35">
        <f>IF($AH290="",DATE(2100,12,31),$AH290)</f>
        <v/>
      </c>
      <c r="AK290" s="32">
        <f>IF($AH290="",$AC290,$AC290*$S290)</f>
        <v/>
      </c>
      <c r="AL290" s="35">
        <f>IF($AH290="",DATE(2100,12,31),$AH290+1)</f>
        <v/>
      </c>
      <c r="AM290" s="35">
        <f>IF($AH290="",DATE(1900,1,1),$AG290)</f>
        <v/>
      </c>
      <c r="AN290" s="32">
        <f>IF($AH290="",0,$AC290*$T290)</f>
        <v/>
      </c>
    </row>
    <row r="291">
      <c r="A291" s="28" t="inlineStr">
        <is>
          <t>Lauren</t>
        </is>
      </c>
      <c r="B291" s="16">
        <f>IF($A291="","",IFERROR(INDEX(Roster!$B$2:$B$40,MATCH($A291,Roster!$A$2:$A$40,0)),"?"))</f>
        <v/>
      </c>
      <c r="C291" s="28" t="inlineStr">
        <is>
          <t>Avengers</t>
        </is>
      </c>
      <c r="D291" s="16">
        <f>IF($C291="","",IFERROR(IF(INDEX(Deals!$C$2:$C$355,MATCH($C291,Deals!$A$2:$A$355,0))=0,"",INDEX(Deals!$C$2:$C$355,MATCH($C291,Deals!$A$2:$A$355,0))),"?"))</f>
        <v/>
      </c>
      <c r="E291" s="16">
        <f>IF($C291="","",IFERROR(INDEX(Deals!$F$2:$F$355,MATCH($C291,Deals!$A$2:$A$355,0)),"?"))</f>
        <v/>
      </c>
      <c r="F291" s="28" t="inlineStr">
        <is>
          <t>Director</t>
        </is>
      </c>
      <c r="G291" s="28" t="inlineStr">
        <is>
          <t>Active</t>
        </is>
      </c>
      <c r="H291" s="31" t="n"/>
      <c r="I291" s="32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1">
        <f>IF($C291="",0,IFERROR(INDEX(Deals!$H$2:$H$355,MATCH($C291,Deals!$A$2:$A$355,0)),0))</f>
        <v/>
      </c>
      <c r="K291" s="32">
        <f>IF(Settings!$B$4="Yes",$I291*$J291,$I291)</f>
        <v/>
      </c>
      <c r="L291" s="22">
        <f>IF($C291="","",IFERROR(IF(INDEX(Deals!$I$2:$I$355,MATCH($C291,Deals!$A$2:$A$355,0))=0,"",INDEX(Deals!$I$2:$I$355,MATCH($C291,Deals!$A$2:$A$355,0))),""))</f>
        <v/>
      </c>
      <c r="M291" s="22">
        <f>IF($C291="","",IFERROR(IF(INDEX(Deals!$J$2:$J$355,MATCH($C291,Deals!$A$2:$A$355,0))=0,"",INDEX(Deals!$J$2:$J$355,MATCH($C291,Deals!$A$2:$A$355,0))),""))</f>
        <v/>
      </c>
      <c r="N291" s="35">
        <f>IF($L291="",DATE(1900,1,1),$L291)</f>
        <v/>
      </c>
      <c r="O291" s="35">
        <f>IF($M291="",DATE(2100,12,31),$M291)</f>
        <v/>
      </c>
      <c r="P291" s="20" t="inlineStr"/>
      <c r="Q291" s="43" t="inlineStr"/>
      <c r="R291" s="16">
        <f>IF($C291="","",IFERROR(IF(INDEX(Deals!$U$2:$U$355,MATCH($C291,Deals!$A$2:$A$355,0))=0,"",INDEX(Deals!$U$2:$U$355,MATCH($C291,Deals!$A$2:$A$355,0))),""))</f>
        <v/>
      </c>
      <c r="S291" s="34">
        <f>IFERROR(IF($U291="",1,INDEX(Deals!$V$2:$V$355,MATCH($C291,Deals!$A$2:$A$355,0))),1)</f>
        <v/>
      </c>
      <c r="T291" s="34">
        <f>IFERROR(IF($U291="",1,INDEX(Deals!$W$2:$W$355,MATCH($C291,Deals!$A$2:$A$355,0))),1)</f>
        <v/>
      </c>
      <c r="U291" s="22">
        <f>IF($C291="","",IFERROR(IF(INDEX(Deals!$Y$2:$Y$355,MATCH($C291,Deals!$A$2:$A$355,0))=0,"",INDEX(Deals!$Y$2:$Y$355,MATCH($C291,Deals!$A$2:$A$355,0))),""))</f>
        <v/>
      </c>
      <c r="V291" s="35">
        <f>IF($U291="",DATE(1900,1,1),$N291)</f>
        <v/>
      </c>
      <c r="W291" s="35">
        <f>IF($U291="",DATE(2100,12,31),$U291)</f>
        <v/>
      </c>
      <c r="X291" s="32">
        <f>IF($U291="",$K291,$K291*$S291)</f>
        <v/>
      </c>
      <c r="Y291" s="35">
        <f>IF($U291="",DATE(2100,12,31),$U291+1)</f>
        <v/>
      </c>
      <c r="Z291" s="35">
        <f>IF($U291="",DATE(1900,1,1),$O291)</f>
        <v/>
      </c>
      <c r="AA291" s="32">
        <f>IF($U291="",0,$K291*$T291)</f>
        <v/>
      </c>
      <c r="AB291" s="21">
        <f>IF($C291="",0,IFERROR(INDEX(Deals!$AD$2:$AD$355,MATCH($C291,Deals!$A$2:$A$355,0)),0))</f>
        <v/>
      </c>
      <c r="AC291" s="32">
        <f>IF(Settings!$B$4="Yes",$I291*$AB291,$I291)</f>
        <v/>
      </c>
      <c r="AD291" s="22">
        <f>IF($C291="","",IFERROR(IF(INDEX(Deals!$AE$2:$AE$355,MATCH($C291,Deals!$A$2:$A$355,0))=0,"",INDEX(Deals!$AE$2:$AE$355,MATCH($C291,Deals!$A$2:$A$355,0))),""))</f>
        <v/>
      </c>
      <c r="AE291" s="22">
        <f>IF($C291="","",IFERROR(IF(INDEX(Deals!$AF$2:$AF$355,MATCH($C291,Deals!$A$2:$A$355,0))=0,"",INDEX(Deals!$AF$2:$AF$355,MATCH($C291,Deals!$A$2:$A$355,0))),""))</f>
        <v/>
      </c>
      <c r="AF291" s="35">
        <f>IF($AD291="",DATE(1900,1,1),$AD291)</f>
        <v/>
      </c>
      <c r="AG291" s="35">
        <f>IF($AE291="",DATE(2100,12,31),$AE291)</f>
        <v/>
      </c>
      <c r="AH291" s="22">
        <f>IF($C291="","",IFERROR(IF(INDEX(Deals!$AG$2:$AG$355,MATCH($C291,Deals!$A$2:$A$355,0))=0,"",INDEX(Deals!$AG$2:$AG$355,MATCH($C291,Deals!$A$2:$A$355,0))),""))</f>
        <v/>
      </c>
      <c r="AI291" s="35">
        <f>IF($AH291="",DATE(1900,1,1),$AF291)</f>
        <v/>
      </c>
      <c r="AJ291" s="35">
        <f>IF($AH291="",DATE(2100,12,31),$AH291)</f>
        <v/>
      </c>
      <c r="AK291" s="32">
        <f>IF($AH291="",$AC291,$AC291*$S291)</f>
        <v/>
      </c>
      <c r="AL291" s="35">
        <f>IF($AH291="",DATE(2100,12,31),$AH291+1)</f>
        <v/>
      </c>
      <c r="AM291" s="35">
        <f>IF($AH291="",DATE(1900,1,1),$AG291)</f>
        <v/>
      </c>
      <c r="AN291" s="32">
        <f>IF($AH291="",0,$AC291*$T291)</f>
        <v/>
      </c>
    </row>
    <row r="292">
      <c r="A292" s="28" t="inlineStr">
        <is>
          <t>Lauren</t>
        </is>
      </c>
      <c r="B292" s="16">
        <f>IF($A292="","",IFERROR(INDEX(Roster!$B$2:$B$40,MATCH($A292,Roster!$A$2:$A$40,0)),"?"))</f>
        <v/>
      </c>
      <c r="C292" s="28" t="inlineStr">
        <is>
          <t>Aypa Power General PW&amp;A Advisory_1</t>
        </is>
      </c>
      <c r="D292" s="16">
        <f>IF($C292="","",IFERROR(IF(INDEX(Deals!$C$2:$C$355,MATCH($C292,Deals!$A$2:$A$355,0))=0,"",INDEX(Deals!$C$2:$C$355,MATCH($C292,Deals!$A$2:$A$355,0))),"?"))</f>
        <v/>
      </c>
      <c r="E292" s="16">
        <f>IF($C292="","",IFERROR(INDEX(Deals!$F$2:$F$355,MATCH($C292,Deals!$A$2:$A$355,0)),"?"))</f>
        <v/>
      </c>
      <c r="F292" s="28" t="inlineStr">
        <is>
          <t>Director</t>
        </is>
      </c>
      <c r="G292" s="28" t="inlineStr">
        <is>
          <t>Inactive</t>
        </is>
      </c>
      <c r="H292" s="31" t="n"/>
      <c r="I292" s="32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1">
        <f>IF($C292="",0,IFERROR(INDEX(Deals!$H$2:$H$355,MATCH($C292,Deals!$A$2:$A$355,0)),0))</f>
        <v/>
      </c>
      <c r="K292" s="32">
        <f>IF(Settings!$B$4="Yes",$I292*$J292,$I292)</f>
        <v/>
      </c>
      <c r="L292" s="22">
        <f>IF($C292="","",IFERROR(IF(INDEX(Deals!$I$2:$I$355,MATCH($C292,Deals!$A$2:$A$355,0))=0,"",INDEX(Deals!$I$2:$I$355,MATCH($C292,Deals!$A$2:$A$355,0))),""))</f>
        <v/>
      </c>
      <c r="M292" s="22">
        <f>IF($C292="","",IFERROR(IF(INDEX(Deals!$J$2:$J$355,MATCH($C292,Deals!$A$2:$A$355,0))=0,"",INDEX(Deals!$J$2:$J$355,MATCH($C292,Deals!$A$2:$A$355,0))),""))</f>
        <v/>
      </c>
      <c r="N292" s="35">
        <f>IF($L292="",DATE(1900,1,1),$L292)</f>
        <v/>
      </c>
      <c r="O292" s="35">
        <f>IF($M292="",DATE(2100,12,31),$M292)</f>
        <v/>
      </c>
      <c r="P292" s="20" t="inlineStr"/>
      <c r="Q292" s="43" t="inlineStr">
        <is>
          <t>Deal lifecycle is On hold</t>
        </is>
      </c>
      <c r="R292" s="16">
        <f>IF($C292="","",IFERROR(IF(INDEX(Deals!$U$2:$U$355,MATCH($C292,Deals!$A$2:$A$355,0))=0,"",INDEX(Deals!$U$2:$U$355,MATCH($C292,Deals!$A$2:$A$355,0))),""))</f>
        <v/>
      </c>
      <c r="S292" s="34">
        <f>IFERROR(IF($U292="",1,INDEX(Deals!$V$2:$V$355,MATCH($C292,Deals!$A$2:$A$355,0))),1)</f>
        <v/>
      </c>
      <c r="T292" s="34">
        <f>IFERROR(IF($U292="",1,INDEX(Deals!$W$2:$W$355,MATCH($C292,Deals!$A$2:$A$355,0))),1)</f>
        <v/>
      </c>
      <c r="U292" s="22">
        <f>IF($C292="","",IFERROR(IF(INDEX(Deals!$Y$2:$Y$355,MATCH($C292,Deals!$A$2:$A$355,0))=0,"",INDEX(Deals!$Y$2:$Y$355,MATCH($C292,Deals!$A$2:$A$355,0))),""))</f>
        <v/>
      </c>
      <c r="V292" s="35">
        <f>IF($U292="",DATE(1900,1,1),$N292)</f>
        <v/>
      </c>
      <c r="W292" s="35">
        <f>IF($U292="",DATE(2100,12,31),$U292)</f>
        <v/>
      </c>
      <c r="X292" s="32">
        <f>IF($U292="",$K292,$K292*$S292)</f>
        <v/>
      </c>
      <c r="Y292" s="35">
        <f>IF($U292="",DATE(2100,12,31),$U292+1)</f>
        <v/>
      </c>
      <c r="Z292" s="35">
        <f>IF($U292="",DATE(1900,1,1),$O292)</f>
        <v/>
      </c>
      <c r="AA292" s="32">
        <f>IF($U292="",0,$K292*$T292)</f>
        <v/>
      </c>
      <c r="AB292" s="21">
        <f>IF($C292="",0,IFERROR(INDEX(Deals!$AD$2:$AD$355,MATCH($C292,Deals!$A$2:$A$355,0)),0))</f>
        <v/>
      </c>
      <c r="AC292" s="32">
        <f>IF(Settings!$B$4="Yes",$I292*$AB292,$I292)</f>
        <v/>
      </c>
      <c r="AD292" s="22">
        <f>IF($C292="","",IFERROR(IF(INDEX(Deals!$AE$2:$AE$355,MATCH($C292,Deals!$A$2:$A$355,0))=0,"",INDEX(Deals!$AE$2:$AE$355,MATCH($C292,Deals!$A$2:$A$355,0))),""))</f>
        <v/>
      </c>
      <c r="AE292" s="22">
        <f>IF($C292="","",IFERROR(IF(INDEX(Deals!$AF$2:$AF$355,MATCH($C292,Deals!$A$2:$A$355,0))=0,"",INDEX(Deals!$AF$2:$AF$355,MATCH($C292,Deals!$A$2:$A$355,0))),""))</f>
        <v/>
      </c>
      <c r="AF292" s="35">
        <f>IF($AD292="",DATE(1900,1,1),$AD292)</f>
        <v/>
      </c>
      <c r="AG292" s="35">
        <f>IF($AE292="",DATE(2100,12,31),$AE292)</f>
        <v/>
      </c>
      <c r="AH292" s="22">
        <f>IF($C292="","",IFERROR(IF(INDEX(Deals!$AG$2:$AG$355,MATCH($C292,Deals!$A$2:$A$355,0))=0,"",INDEX(Deals!$AG$2:$AG$355,MATCH($C292,Deals!$A$2:$A$355,0))),""))</f>
        <v/>
      </c>
      <c r="AI292" s="35">
        <f>IF($AH292="",DATE(1900,1,1),$AF292)</f>
        <v/>
      </c>
      <c r="AJ292" s="35">
        <f>IF($AH292="",DATE(2100,12,31),$AH292)</f>
        <v/>
      </c>
      <c r="AK292" s="32">
        <f>IF($AH292="",$AC292,$AC292*$S292)</f>
        <v/>
      </c>
      <c r="AL292" s="35">
        <f>IF($AH292="",DATE(2100,12,31),$AH292+1)</f>
        <v/>
      </c>
      <c r="AM292" s="35">
        <f>IF($AH292="",DATE(1900,1,1),$AG292)</f>
        <v/>
      </c>
      <c r="AN292" s="32">
        <f>IF($AH292="",0,$AC292*$T292)</f>
        <v/>
      </c>
    </row>
    <row r="293">
      <c r="A293" s="28" t="inlineStr">
        <is>
          <t>Lauren</t>
        </is>
      </c>
      <c r="B293" s="16">
        <f>IF($A293="","",IFERROR(INDEX(Roster!$B$2:$B$40,MATCH($A293,Roster!$A$2:$A$40,0)),"?"))</f>
        <v/>
      </c>
      <c r="C293" s="28" t="inlineStr">
        <is>
          <t>B2V_1</t>
        </is>
      </c>
      <c r="D293" s="16">
        <f>IF($C293="","",IFERROR(IF(INDEX(Deals!$C$2:$C$355,MATCH($C293,Deals!$A$2:$A$355,0))=0,"",INDEX(Deals!$C$2:$C$355,MATCH($C293,Deals!$A$2:$A$355,0))),"?"))</f>
        <v/>
      </c>
      <c r="E293" s="16">
        <f>IF($C293="","",IFERROR(INDEX(Deals!$F$2:$F$355,MATCH($C293,Deals!$A$2:$A$355,0)),"?"))</f>
        <v/>
      </c>
      <c r="F293" s="28" t="inlineStr">
        <is>
          <t>Director</t>
        </is>
      </c>
      <c r="G293" s="28" t="inlineStr">
        <is>
          <t>Active</t>
        </is>
      </c>
      <c r="H293" s="31" t="n"/>
      <c r="I293" s="32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1">
        <f>IF($C293="",0,IFERROR(INDEX(Deals!$H$2:$H$355,MATCH($C293,Deals!$A$2:$A$355,0)),0))</f>
        <v/>
      </c>
      <c r="K293" s="32">
        <f>IF(Settings!$B$4="Yes",$I293*$J293,$I293)</f>
        <v/>
      </c>
      <c r="L293" s="22">
        <f>IF($C293="","",IFERROR(IF(INDEX(Deals!$I$2:$I$355,MATCH($C293,Deals!$A$2:$A$355,0))=0,"",INDEX(Deals!$I$2:$I$355,MATCH($C293,Deals!$A$2:$A$355,0))),""))</f>
        <v/>
      </c>
      <c r="M293" s="22">
        <f>IF($C293="","",IFERROR(IF(INDEX(Deals!$J$2:$J$355,MATCH($C293,Deals!$A$2:$A$355,0))=0,"",INDEX(Deals!$J$2:$J$355,MATCH($C293,Deals!$A$2:$A$355,0))),""))</f>
        <v/>
      </c>
      <c r="N293" s="35">
        <f>IF($L293="",DATE(1900,1,1),$L293)</f>
        <v/>
      </c>
      <c r="O293" s="35">
        <f>IF($M293="",DATE(2100,12,31),$M293)</f>
        <v/>
      </c>
      <c r="P293" s="20" t="inlineStr"/>
      <c r="Q293" s="43" t="inlineStr"/>
      <c r="R293" s="16">
        <f>IF($C293="","",IFERROR(IF(INDEX(Deals!$U$2:$U$355,MATCH($C293,Deals!$A$2:$A$355,0))=0,"",INDEX(Deals!$U$2:$U$355,MATCH($C293,Deals!$A$2:$A$355,0))),""))</f>
        <v/>
      </c>
      <c r="S293" s="34">
        <f>IFERROR(IF($U293="",1,INDEX(Deals!$V$2:$V$355,MATCH($C293,Deals!$A$2:$A$355,0))),1)</f>
        <v/>
      </c>
      <c r="T293" s="34">
        <f>IFERROR(IF($U293="",1,INDEX(Deals!$W$2:$W$355,MATCH($C293,Deals!$A$2:$A$355,0))),1)</f>
        <v/>
      </c>
      <c r="U293" s="22">
        <f>IF($C293="","",IFERROR(IF(INDEX(Deals!$Y$2:$Y$355,MATCH($C293,Deals!$A$2:$A$355,0))=0,"",INDEX(Deals!$Y$2:$Y$355,MATCH($C293,Deals!$A$2:$A$355,0))),""))</f>
        <v/>
      </c>
      <c r="V293" s="35">
        <f>IF($U293="",DATE(1900,1,1),$N293)</f>
        <v/>
      </c>
      <c r="W293" s="35">
        <f>IF($U293="",DATE(2100,12,31),$U293)</f>
        <v/>
      </c>
      <c r="X293" s="32">
        <f>IF($U293="",$K293,$K293*$S293)</f>
        <v/>
      </c>
      <c r="Y293" s="35">
        <f>IF($U293="",DATE(2100,12,31),$U293+1)</f>
        <v/>
      </c>
      <c r="Z293" s="35">
        <f>IF($U293="",DATE(1900,1,1),$O293)</f>
        <v/>
      </c>
      <c r="AA293" s="32">
        <f>IF($U293="",0,$K293*$T293)</f>
        <v/>
      </c>
      <c r="AB293" s="21">
        <f>IF($C293="",0,IFERROR(INDEX(Deals!$AD$2:$AD$355,MATCH($C293,Deals!$A$2:$A$355,0)),0))</f>
        <v/>
      </c>
      <c r="AC293" s="32">
        <f>IF(Settings!$B$4="Yes",$I293*$AB293,$I293)</f>
        <v/>
      </c>
      <c r="AD293" s="22">
        <f>IF($C293="","",IFERROR(IF(INDEX(Deals!$AE$2:$AE$355,MATCH($C293,Deals!$A$2:$A$355,0))=0,"",INDEX(Deals!$AE$2:$AE$355,MATCH($C293,Deals!$A$2:$A$355,0))),""))</f>
        <v/>
      </c>
      <c r="AE293" s="22">
        <f>IF($C293="","",IFERROR(IF(INDEX(Deals!$AF$2:$AF$355,MATCH($C293,Deals!$A$2:$A$355,0))=0,"",INDEX(Deals!$AF$2:$AF$355,MATCH($C293,Deals!$A$2:$A$355,0))),""))</f>
        <v/>
      </c>
      <c r="AF293" s="35">
        <f>IF($AD293="",DATE(1900,1,1),$AD293)</f>
        <v/>
      </c>
      <c r="AG293" s="35">
        <f>IF($AE293="",DATE(2100,12,31),$AE293)</f>
        <v/>
      </c>
      <c r="AH293" s="22">
        <f>IF($C293="","",IFERROR(IF(INDEX(Deals!$AG$2:$AG$355,MATCH($C293,Deals!$A$2:$A$355,0))=0,"",INDEX(Deals!$AG$2:$AG$355,MATCH($C293,Deals!$A$2:$A$355,0))),""))</f>
        <v/>
      </c>
      <c r="AI293" s="35">
        <f>IF($AH293="",DATE(1900,1,1),$AF293)</f>
        <v/>
      </c>
      <c r="AJ293" s="35">
        <f>IF($AH293="",DATE(2100,12,31),$AH293)</f>
        <v/>
      </c>
      <c r="AK293" s="32">
        <f>IF($AH293="",$AC293,$AC293*$S293)</f>
        <v/>
      </c>
      <c r="AL293" s="35">
        <f>IF($AH293="",DATE(2100,12,31),$AH293+1)</f>
        <v/>
      </c>
      <c r="AM293" s="35">
        <f>IF($AH293="",DATE(1900,1,1),$AG293)</f>
        <v/>
      </c>
      <c r="AN293" s="32">
        <f>IF($AH293="",0,$AC293*$T293)</f>
        <v/>
      </c>
    </row>
    <row r="294">
      <c r="A294" s="28" t="inlineStr">
        <is>
          <t>Lauren</t>
        </is>
      </c>
      <c r="B294" s="16">
        <f>IF($A294="","",IFERROR(INDEX(Roster!$B$2:$B$40,MATCH($A294,Roster!$A$2:$A$40,0)),"?"))</f>
        <v/>
      </c>
      <c r="C294" s="28" t="inlineStr">
        <is>
          <t>Bay_2</t>
        </is>
      </c>
      <c r="D294" s="16">
        <f>IF($C294="","",IFERROR(IF(INDEX(Deals!$C$2:$C$355,MATCH($C294,Deals!$A$2:$A$355,0))=0,"",INDEX(Deals!$C$2:$C$355,MATCH($C294,Deals!$A$2:$A$355,0))),"?"))</f>
        <v/>
      </c>
      <c r="E294" s="16">
        <f>IF($C294="","",IFERROR(INDEX(Deals!$F$2:$F$355,MATCH($C294,Deals!$A$2:$A$355,0)),"?"))</f>
        <v/>
      </c>
      <c r="F294" s="28" t="inlineStr">
        <is>
          <t>Director</t>
        </is>
      </c>
      <c r="G294" s="28" t="inlineStr">
        <is>
          <t>Active</t>
        </is>
      </c>
      <c r="H294" s="31" t="n"/>
      <c r="I294" s="32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1">
        <f>IF($C294="",0,IFERROR(INDEX(Deals!$H$2:$H$355,MATCH($C294,Deals!$A$2:$A$355,0)),0))</f>
        <v/>
      </c>
      <c r="K294" s="32">
        <f>IF(Settings!$B$4="Yes",$I294*$J294,$I294)</f>
        <v/>
      </c>
      <c r="L294" s="22">
        <f>IF($C294="","",IFERROR(IF(INDEX(Deals!$I$2:$I$355,MATCH($C294,Deals!$A$2:$A$355,0))=0,"",INDEX(Deals!$I$2:$I$355,MATCH($C294,Deals!$A$2:$A$355,0))),""))</f>
        <v/>
      </c>
      <c r="M294" s="22">
        <f>IF($C294="","",IFERROR(IF(INDEX(Deals!$J$2:$J$355,MATCH($C294,Deals!$A$2:$A$355,0))=0,"",INDEX(Deals!$J$2:$J$355,MATCH($C294,Deals!$A$2:$A$355,0))),""))</f>
        <v/>
      </c>
      <c r="N294" s="35">
        <f>IF($L294="",DATE(1900,1,1),$L294)</f>
        <v/>
      </c>
      <c r="O294" s="35">
        <f>IF($M294="",DATE(2100,12,31),$M294)</f>
        <v/>
      </c>
      <c r="P294" s="20" t="inlineStr"/>
      <c r="Q294" s="43" t="inlineStr"/>
      <c r="R294" s="16">
        <f>IF($C294="","",IFERROR(IF(INDEX(Deals!$U$2:$U$355,MATCH($C294,Deals!$A$2:$A$355,0))=0,"",INDEX(Deals!$U$2:$U$355,MATCH($C294,Deals!$A$2:$A$355,0))),""))</f>
        <v/>
      </c>
      <c r="S294" s="34">
        <f>IFERROR(IF($U294="",1,INDEX(Deals!$V$2:$V$355,MATCH($C294,Deals!$A$2:$A$355,0))),1)</f>
        <v/>
      </c>
      <c r="T294" s="34">
        <f>IFERROR(IF($U294="",1,INDEX(Deals!$W$2:$W$355,MATCH($C294,Deals!$A$2:$A$355,0))),1)</f>
        <v/>
      </c>
      <c r="U294" s="22">
        <f>IF($C294="","",IFERROR(IF(INDEX(Deals!$Y$2:$Y$355,MATCH($C294,Deals!$A$2:$A$355,0))=0,"",INDEX(Deals!$Y$2:$Y$355,MATCH($C294,Deals!$A$2:$A$355,0))),""))</f>
        <v/>
      </c>
      <c r="V294" s="35">
        <f>IF($U294="",DATE(1900,1,1),$N294)</f>
        <v/>
      </c>
      <c r="W294" s="35">
        <f>IF($U294="",DATE(2100,12,31),$U294)</f>
        <v/>
      </c>
      <c r="X294" s="32">
        <f>IF($U294="",$K294,$K294*$S294)</f>
        <v/>
      </c>
      <c r="Y294" s="35">
        <f>IF($U294="",DATE(2100,12,31),$U294+1)</f>
        <v/>
      </c>
      <c r="Z294" s="35">
        <f>IF($U294="",DATE(1900,1,1),$O294)</f>
        <v/>
      </c>
      <c r="AA294" s="32">
        <f>IF($U294="",0,$K294*$T294)</f>
        <v/>
      </c>
      <c r="AB294" s="21">
        <f>IF($C294="",0,IFERROR(INDEX(Deals!$AD$2:$AD$355,MATCH($C294,Deals!$A$2:$A$355,0)),0))</f>
        <v/>
      </c>
      <c r="AC294" s="32">
        <f>IF(Settings!$B$4="Yes",$I294*$AB294,$I294)</f>
        <v/>
      </c>
      <c r="AD294" s="22">
        <f>IF($C294="","",IFERROR(IF(INDEX(Deals!$AE$2:$AE$355,MATCH($C294,Deals!$A$2:$A$355,0))=0,"",INDEX(Deals!$AE$2:$AE$355,MATCH($C294,Deals!$A$2:$A$355,0))),""))</f>
        <v/>
      </c>
      <c r="AE294" s="22">
        <f>IF($C294="","",IFERROR(IF(INDEX(Deals!$AF$2:$AF$355,MATCH($C294,Deals!$A$2:$A$355,0))=0,"",INDEX(Deals!$AF$2:$AF$355,MATCH($C294,Deals!$A$2:$A$355,0))),""))</f>
        <v/>
      </c>
      <c r="AF294" s="35">
        <f>IF($AD294="",DATE(1900,1,1),$AD294)</f>
        <v/>
      </c>
      <c r="AG294" s="35">
        <f>IF($AE294="",DATE(2100,12,31),$AE294)</f>
        <v/>
      </c>
      <c r="AH294" s="22">
        <f>IF($C294="","",IFERROR(IF(INDEX(Deals!$AG$2:$AG$355,MATCH($C294,Deals!$A$2:$A$355,0))=0,"",INDEX(Deals!$AG$2:$AG$355,MATCH($C294,Deals!$A$2:$A$355,0))),""))</f>
        <v/>
      </c>
      <c r="AI294" s="35">
        <f>IF($AH294="",DATE(1900,1,1),$AF294)</f>
        <v/>
      </c>
      <c r="AJ294" s="35">
        <f>IF($AH294="",DATE(2100,12,31),$AH294)</f>
        <v/>
      </c>
      <c r="AK294" s="32">
        <f>IF($AH294="",$AC294,$AC294*$S294)</f>
        <v/>
      </c>
      <c r="AL294" s="35">
        <f>IF($AH294="",DATE(2100,12,31),$AH294+1)</f>
        <v/>
      </c>
      <c r="AM294" s="35">
        <f>IF($AH294="",DATE(1900,1,1),$AG294)</f>
        <v/>
      </c>
      <c r="AN294" s="32">
        <f>IF($AH294="",0,$AC294*$T294)</f>
        <v/>
      </c>
    </row>
    <row r="295">
      <c r="A295" s="28" t="inlineStr">
        <is>
          <t>Lauren</t>
        </is>
      </c>
      <c r="B295" s="16">
        <f>IF($A295="","",IFERROR(INDEX(Roster!$B$2:$B$40,MATCH($A295,Roster!$A$2:$A$40,0)),"?"))</f>
        <v/>
      </c>
      <c r="C295" s="28" t="inlineStr">
        <is>
          <t>Beacon_3</t>
        </is>
      </c>
      <c r="D295" s="16">
        <f>IF($C295="","",IFERROR(IF(INDEX(Deals!$C$2:$C$355,MATCH($C295,Deals!$A$2:$A$355,0))=0,"",INDEX(Deals!$C$2:$C$355,MATCH($C295,Deals!$A$2:$A$355,0))),"?"))</f>
        <v/>
      </c>
      <c r="E295" s="16">
        <f>IF($C295="","",IFERROR(INDEX(Deals!$F$2:$F$355,MATCH($C295,Deals!$A$2:$A$355,0)),"?"))</f>
        <v/>
      </c>
      <c r="F295" s="28" t="inlineStr">
        <is>
          <t>Director</t>
        </is>
      </c>
      <c r="G295" s="28" t="inlineStr">
        <is>
          <t>Inactive</t>
        </is>
      </c>
      <c r="H295" s="31" t="n"/>
      <c r="I295" s="32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1">
        <f>IF($C295="",0,IFERROR(INDEX(Deals!$H$2:$H$355,MATCH($C295,Deals!$A$2:$A$355,0)),0))</f>
        <v/>
      </c>
      <c r="K295" s="32">
        <f>IF(Settings!$B$4="Yes",$I295*$J295,$I295)</f>
        <v/>
      </c>
      <c r="L295" s="22">
        <f>IF($C295="","",IFERROR(IF(INDEX(Deals!$I$2:$I$355,MATCH($C295,Deals!$A$2:$A$355,0))=0,"",INDEX(Deals!$I$2:$I$355,MATCH($C295,Deals!$A$2:$A$355,0))),""))</f>
        <v/>
      </c>
      <c r="M295" s="22">
        <f>IF($C295="","",IFERROR(IF(INDEX(Deals!$J$2:$J$355,MATCH($C295,Deals!$A$2:$A$355,0))=0,"",INDEX(Deals!$J$2:$J$355,MATCH($C295,Deals!$A$2:$A$355,0))),""))</f>
        <v/>
      </c>
      <c r="N295" s="35">
        <f>IF($L295="",DATE(1900,1,1),$L295)</f>
        <v/>
      </c>
      <c r="O295" s="35">
        <f>IF($M295="",DATE(2100,12,31),$M295)</f>
        <v/>
      </c>
      <c r="P295" s="20" t="inlineStr"/>
      <c r="Q295" s="43" t="inlineStr">
        <is>
          <t>Deal lifecycle is Dead</t>
        </is>
      </c>
      <c r="R295" s="16">
        <f>IF($C295="","",IFERROR(IF(INDEX(Deals!$U$2:$U$355,MATCH($C295,Deals!$A$2:$A$355,0))=0,"",INDEX(Deals!$U$2:$U$355,MATCH($C295,Deals!$A$2:$A$355,0))),""))</f>
        <v/>
      </c>
      <c r="S295" s="34">
        <f>IFERROR(IF($U295="",1,INDEX(Deals!$V$2:$V$355,MATCH($C295,Deals!$A$2:$A$355,0))),1)</f>
        <v/>
      </c>
      <c r="T295" s="34">
        <f>IFERROR(IF($U295="",1,INDEX(Deals!$W$2:$W$355,MATCH($C295,Deals!$A$2:$A$355,0))),1)</f>
        <v/>
      </c>
      <c r="U295" s="22">
        <f>IF($C295="","",IFERROR(IF(INDEX(Deals!$Y$2:$Y$355,MATCH($C295,Deals!$A$2:$A$355,0))=0,"",INDEX(Deals!$Y$2:$Y$355,MATCH($C295,Deals!$A$2:$A$355,0))),""))</f>
        <v/>
      </c>
      <c r="V295" s="35">
        <f>IF($U295="",DATE(1900,1,1),$N295)</f>
        <v/>
      </c>
      <c r="W295" s="35">
        <f>IF($U295="",DATE(2100,12,31),$U295)</f>
        <v/>
      </c>
      <c r="X295" s="32">
        <f>IF($U295="",$K295,$K295*$S295)</f>
        <v/>
      </c>
      <c r="Y295" s="35">
        <f>IF($U295="",DATE(2100,12,31),$U295+1)</f>
        <v/>
      </c>
      <c r="Z295" s="35">
        <f>IF($U295="",DATE(1900,1,1),$O295)</f>
        <v/>
      </c>
      <c r="AA295" s="32">
        <f>IF($U295="",0,$K295*$T295)</f>
        <v/>
      </c>
      <c r="AB295" s="21">
        <f>IF($C295="",0,IFERROR(INDEX(Deals!$AD$2:$AD$355,MATCH($C295,Deals!$A$2:$A$355,0)),0))</f>
        <v/>
      </c>
      <c r="AC295" s="32">
        <f>IF(Settings!$B$4="Yes",$I295*$AB295,$I295)</f>
        <v/>
      </c>
      <c r="AD295" s="22">
        <f>IF($C295="","",IFERROR(IF(INDEX(Deals!$AE$2:$AE$355,MATCH($C295,Deals!$A$2:$A$355,0))=0,"",INDEX(Deals!$AE$2:$AE$355,MATCH($C295,Deals!$A$2:$A$355,0))),""))</f>
        <v/>
      </c>
      <c r="AE295" s="22">
        <f>IF($C295="","",IFERROR(IF(INDEX(Deals!$AF$2:$AF$355,MATCH($C295,Deals!$A$2:$A$355,0))=0,"",INDEX(Deals!$AF$2:$AF$355,MATCH($C295,Deals!$A$2:$A$355,0))),""))</f>
        <v/>
      </c>
      <c r="AF295" s="35">
        <f>IF($AD295="",DATE(1900,1,1),$AD295)</f>
        <v/>
      </c>
      <c r="AG295" s="35">
        <f>IF($AE295="",DATE(2100,12,31),$AE295)</f>
        <v/>
      </c>
      <c r="AH295" s="22">
        <f>IF($C295="","",IFERROR(IF(INDEX(Deals!$AG$2:$AG$355,MATCH($C295,Deals!$A$2:$A$355,0))=0,"",INDEX(Deals!$AG$2:$AG$355,MATCH($C295,Deals!$A$2:$A$355,0))),""))</f>
        <v/>
      </c>
      <c r="AI295" s="35">
        <f>IF($AH295="",DATE(1900,1,1),$AF295)</f>
        <v/>
      </c>
      <c r="AJ295" s="35">
        <f>IF($AH295="",DATE(2100,12,31),$AH295)</f>
        <v/>
      </c>
      <c r="AK295" s="32">
        <f>IF($AH295="",$AC295,$AC295*$S295)</f>
        <v/>
      </c>
      <c r="AL295" s="35">
        <f>IF($AH295="",DATE(2100,12,31),$AH295+1)</f>
        <v/>
      </c>
      <c r="AM295" s="35">
        <f>IF($AH295="",DATE(1900,1,1),$AG295)</f>
        <v/>
      </c>
      <c r="AN295" s="32">
        <f>IF($AH295="",0,$AC295*$T295)</f>
        <v/>
      </c>
    </row>
    <row r="296">
      <c r="A296" s="28" t="inlineStr">
        <is>
          <t>Lauren</t>
        </is>
      </c>
      <c r="B296" s="16">
        <f>IF($A296="","",IFERROR(INDEX(Roster!$B$2:$B$40,MATCH($A296,Roster!$A$2:$A$40,0)),"?"))</f>
        <v/>
      </c>
      <c r="C296" s="28" t="inlineStr">
        <is>
          <t>Bernhard_3</t>
        </is>
      </c>
      <c r="D296" s="16">
        <f>IF($C296="","",IFERROR(IF(INDEX(Deals!$C$2:$C$355,MATCH($C296,Deals!$A$2:$A$355,0))=0,"",INDEX(Deals!$C$2:$C$355,MATCH($C296,Deals!$A$2:$A$355,0))),"?"))</f>
        <v/>
      </c>
      <c r="E296" s="16">
        <f>IF($C296="","",IFERROR(INDEX(Deals!$F$2:$F$355,MATCH($C296,Deals!$A$2:$A$355,0)),"?"))</f>
        <v/>
      </c>
      <c r="F296" s="28" t="inlineStr">
        <is>
          <t>Director</t>
        </is>
      </c>
      <c r="G296" s="28" t="inlineStr">
        <is>
          <t>Active</t>
        </is>
      </c>
      <c r="H296" s="31" t="n"/>
      <c r="I296" s="32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1">
        <f>IF($C296="",0,IFERROR(INDEX(Deals!$H$2:$H$355,MATCH($C296,Deals!$A$2:$A$355,0)),0))</f>
        <v/>
      </c>
      <c r="K296" s="32">
        <f>IF(Settings!$B$4="Yes",$I296*$J296,$I296)</f>
        <v/>
      </c>
      <c r="L296" s="22">
        <f>IF($C296="","",IFERROR(IF(INDEX(Deals!$I$2:$I$355,MATCH($C296,Deals!$A$2:$A$355,0))=0,"",INDEX(Deals!$I$2:$I$355,MATCH($C296,Deals!$A$2:$A$355,0))),""))</f>
        <v/>
      </c>
      <c r="M296" s="22">
        <f>IF($C296="","",IFERROR(IF(INDEX(Deals!$J$2:$J$355,MATCH($C296,Deals!$A$2:$A$355,0))=0,"",INDEX(Deals!$J$2:$J$355,MATCH($C296,Deals!$A$2:$A$355,0))),""))</f>
        <v/>
      </c>
      <c r="N296" s="35">
        <f>IF($L296="",DATE(1900,1,1),$L296)</f>
        <v/>
      </c>
      <c r="O296" s="35">
        <f>IF($M296="",DATE(2100,12,31),$M296)</f>
        <v/>
      </c>
      <c r="P296" s="20" t="inlineStr"/>
      <c r="Q296" s="43" t="inlineStr"/>
      <c r="R296" s="16">
        <f>IF($C296="","",IFERROR(IF(INDEX(Deals!$U$2:$U$355,MATCH($C296,Deals!$A$2:$A$355,0))=0,"",INDEX(Deals!$U$2:$U$355,MATCH($C296,Deals!$A$2:$A$355,0))),""))</f>
        <v/>
      </c>
      <c r="S296" s="34">
        <f>IFERROR(IF($U296="",1,INDEX(Deals!$V$2:$V$355,MATCH($C296,Deals!$A$2:$A$355,0))),1)</f>
        <v/>
      </c>
      <c r="T296" s="34">
        <f>IFERROR(IF($U296="",1,INDEX(Deals!$W$2:$W$355,MATCH($C296,Deals!$A$2:$A$355,0))),1)</f>
        <v/>
      </c>
      <c r="U296" s="22">
        <f>IF($C296="","",IFERROR(IF(INDEX(Deals!$Y$2:$Y$355,MATCH($C296,Deals!$A$2:$A$355,0))=0,"",INDEX(Deals!$Y$2:$Y$355,MATCH($C296,Deals!$A$2:$A$355,0))),""))</f>
        <v/>
      </c>
      <c r="V296" s="35">
        <f>IF($U296="",DATE(1900,1,1),$N296)</f>
        <v/>
      </c>
      <c r="W296" s="35">
        <f>IF($U296="",DATE(2100,12,31),$U296)</f>
        <v/>
      </c>
      <c r="X296" s="32">
        <f>IF($U296="",$K296,$K296*$S296)</f>
        <v/>
      </c>
      <c r="Y296" s="35">
        <f>IF($U296="",DATE(2100,12,31),$U296+1)</f>
        <v/>
      </c>
      <c r="Z296" s="35">
        <f>IF($U296="",DATE(1900,1,1),$O296)</f>
        <v/>
      </c>
      <c r="AA296" s="32">
        <f>IF($U296="",0,$K296*$T296)</f>
        <v/>
      </c>
      <c r="AB296" s="21">
        <f>IF($C296="",0,IFERROR(INDEX(Deals!$AD$2:$AD$355,MATCH($C296,Deals!$A$2:$A$355,0)),0))</f>
        <v/>
      </c>
      <c r="AC296" s="32">
        <f>IF(Settings!$B$4="Yes",$I296*$AB296,$I296)</f>
        <v/>
      </c>
      <c r="AD296" s="22">
        <f>IF($C296="","",IFERROR(IF(INDEX(Deals!$AE$2:$AE$355,MATCH($C296,Deals!$A$2:$A$355,0))=0,"",INDEX(Deals!$AE$2:$AE$355,MATCH($C296,Deals!$A$2:$A$355,0))),""))</f>
        <v/>
      </c>
      <c r="AE296" s="22">
        <f>IF($C296="","",IFERROR(IF(INDEX(Deals!$AF$2:$AF$355,MATCH($C296,Deals!$A$2:$A$355,0))=0,"",INDEX(Deals!$AF$2:$AF$355,MATCH($C296,Deals!$A$2:$A$355,0))),""))</f>
        <v/>
      </c>
      <c r="AF296" s="35">
        <f>IF($AD296="",DATE(1900,1,1),$AD296)</f>
        <v/>
      </c>
      <c r="AG296" s="35">
        <f>IF($AE296="",DATE(2100,12,31),$AE296)</f>
        <v/>
      </c>
      <c r="AH296" s="22">
        <f>IF($C296="","",IFERROR(IF(INDEX(Deals!$AG$2:$AG$355,MATCH($C296,Deals!$A$2:$A$355,0))=0,"",INDEX(Deals!$AG$2:$AG$355,MATCH($C296,Deals!$A$2:$A$355,0))),""))</f>
        <v/>
      </c>
      <c r="AI296" s="35">
        <f>IF($AH296="",DATE(1900,1,1),$AF296)</f>
        <v/>
      </c>
      <c r="AJ296" s="35">
        <f>IF($AH296="",DATE(2100,12,31),$AH296)</f>
        <v/>
      </c>
      <c r="AK296" s="32">
        <f>IF($AH296="",$AC296,$AC296*$S296)</f>
        <v/>
      </c>
      <c r="AL296" s="35">
        <f>IF($AH296="",DATE(2100,12,31),$AH296+1)</f>
        <v/>
      </c>
      <c r="AM296" s="35">
        <f>IF($AH296="",DATE(1900,1,1),$AG296)</f>
        <v/>
      </c>
      <c r="AN296" s="32">
        <f>IF($AH296="",0,$AC296*$T296)</f>
        <v/>
      </c>
    </row>
    <row r="297">
      <c r="A297" s="28" t="inlineStr">
        <is>
          <t>Lauren</t>
        </is>
      </c>
      <c r="B297" s="16">
        <f>IF($A297="","",IFERROR(INDEX(Roster!$B$2:$B$40,MATCH($A297,Roster!$A$2:$A$40,0)),"?"))</f>
        <v/>
      </c>
      <c r="C297" s="28" t="inlineStr">
        <is>
          <t>Bledsoe_1</t>
        </is>
      </c>
      <c r="D297" s="16">
        <f>IF($C297="","",IFERROR(IF(INDEX(Deals!$C$2:$C$355,MATCH($C297,Deals!$A$2:$A$355,0))=0,"",INDEX(Deals!$C$2:$C$355,MATCH($C297,Deals!$A$2:$A$355,0))),"?"))</f>
        <v/>
      </c>
      <c r="E297" s="16">
        <f>IF($C297="","",IFERROR(INDEX(Deals!$F$2:$F$355,MATCH($C297,Deals!$A$2:$A$355,0)),"?"))</f>
        <v/>
      </c>
      <c r="F297" s="28" t="inlineStr">
        <is>
          <t>Director</t>
        </is>
      </c>
      <c r="G297" s="28" t="inlineStr">
        <is>
          <t>Active</t>
        </is>
      </c>
      <c r="H297" s="31" t="n"/>
      <c r="I297" s="32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1">
        <f>IF($C297="",0,IFERROR(INDEX(Deals!$H$2:$H$355,MATCH($C297,Deals!$A$2:$A$355,0)),0))</f>
        <v/>
      </c>
      <c r="K297" s="32">
        <f>IF(Settings!$B$4="Yes",$I297*$J297,$I297)</f>
        <v/>
      </c>
      <c r="L297" s="22">
        <f>IF($C297="","",IFERROR(IF(INDEX(Deals!$I$2:$I$355,MATCH($C297,Deals!$A$2:$A$355,0))=0,"",INDEX(Deals!$I$2:$I$355,MATCH($C297,Deals!$A$2:$A$355,0))),""))</f>
        <v/>
      </c>
      <c r="M297" s="22">
        <f>IF($C297="","",IFERROR(IF(INDEX(Deals!$J$2:$J$355,MATCH($C297,Deals!$A$2:$A$355,0))=0,"",INDEX(Deals!$J$2:$J$355,MATCH($C297,Deals!$A$2:$A$355,0))),""))</f>
        <v/>
      </c>
      <c r="N297" s="35">
        <f>IF($L297="",DATE(1900,1,1),$L297)</f>
        <v/>
      </c>
      <c r="O297" s="35">
        <f>IF($M297="",DATE(2100,12,31),$M297)</f>
        <v/>
      </c>
      <c r="P297" s="20" t="inlineStr"/>
      <c r="Q297" s="43" t="inlineStr"/>
      <c r="R297" s="16">
        <f>IF($C297="","",IFERROR(IF(INDEX(Deals!$U$2:$U$355,MATCH($C297,Deals!$A$2:$A$355,0))=0,"",INDEX(Deals!$U$2:$U$355,MATCH($C297,Deals!$A$2:$A$355,0))),""))</f>
        <v/>
      </c>
      <c r="S297" s="34">
        <f>IFERROR(IF($U297="",1,INDEX(Deals!$V$2:$V$355,MATCH($C297,Deals!$A$2:$A$355,0))),1)</f>
        <v/>
      </c>
      <c r="T297" s="34">
        <f>IFERROR(IF($U297="",1,INDEX(Deals!$W$2:$W$355,MATCH($C297,Deals!$A$2:$A$355,0))),1)</f>
        <v/>
      </c>
      <c r="U297" s="22">
        <f>IF($C297="","",IFERROR(IF(INDEX(Deals!$Y$2:$Y$355,MATCH($C297,Deals!$A$2:$A$355,0))=0,"",INDEX(Deals!$Y$2:$Y$355,MATCH($C297,Deals!$A$2:$A$355,0))),""))</f>
        <v/>
      </c>
      <c r="V297" s="35">
        <f>IF($U297="",DATE(1900,1,1),$N297)</f>
        <v/>
      </c>
      <c r="W297" s="35">
        <f>IF($U297="",DATE(2100,12,31),$U297)</f>
        <v/>
      </c>
      <c r="X297" s="32">
        <f>IF($U297="",$K297,$K297*$S297)</f>
        <v/>
      </c>
      <c r="Y297" s="35">
        <f>IF($U297="",DATE(2100,12,31),$U297+1)</f>
        <v/>
      </c>
      <c r="Z297" s="35">
        <f>IF($U297="",DATE(1900,1,1),$O297)</f>
        <v/>
      </c>
      <c r="AA297" s="32">
        <f>IF($U297="",0,$K297*$T297)</f>
        <v/>
      </c>
      <c r="AB297" s="21">
        <f>IF($C297="",0,IFERROR(INDEX(Deals!$AD$2:$AD$355,MATCH($C297,Deals!$A$2:$A$355,0)),0))</f>
        <v/>
      </c>
      <c r="AC297" s="32">
        <f>IF(Settings!$B$4="Yes",$I297*$AB297,$I297)</f>
        <v/>
      </c>
      <c r="AD297" s="22">
        <f>IF($C297="","",IFERROR(IF(INDEX(Deals!$AE$2:$AE$355,MATCH($C297,Deals!$A$2:$A$355,0))=0,"",INDEX(Deals!$AE$2:$AE$355,MATCH($C297,Deals!$A$2:$A$355,0))),""))</f>
        <v/>
      </c>
      <c r="AE297" s="22">
        <f>IF($C297="","",IFERROR(IF(INDEX(Deals!$AF$2:$AF$355,MATCH($C297,Deals!$A$2:$A$355,0))=0,"",INDEX(Deals!$AF$2:$AF$355,MATCH($C297,Deals!$A$2:$A$355,0))),""))</f>
        <v/>
      </c>
      <c r="AF297" s="35">
        <f>IF($AD297="",DATE(1900,1,1),$AD297)</f>
        <v/>
      </c>
      <c r="AG297" s="35">
        <f>IF($AE297="",DATE(2100,12,31),$AE297)</f>
        <v/>
      </c>
      <c r="AH297" s="22">
        <f>IF($C297="","",IFERROR(IF(INDEX(Deals!$AG$2:$AG$355,MATCH($C297,Deals!$A$2:$A$355,0))=0,"",INDEX(Deals!$AG$2:$AG$355,MATCH($C297,Deals!$A$2:$A$355,0))),""))</f>
        <v/>
      </c>
      <c r="AI297" s="35">
        <f>IF($AH297="",DATE(1900,1,1),$AF297)</f>
        <v/>
      </c>
      <c r="AJ297" s="35">
        <f>IF($AH297="",DATE(2100,12,31),$AH297)</f>
        <v/>
      </c>
      <c r="AK297" s="32">
        <f>IF($AH297="",$AC297,$AC297*$S297)</f>
        <v/>
      </c>
      <c r="AL297" s="35">
        <f>IF($AH297="",DATE(2100,12,31),$AH297+1)</f>
        <v/>
      </c>
      <c r="AM297" s="35">
        <f>IF($AH297="",DATE(1900,1,1),$AG297)</f>
        <v/>
      </c>
      <c r="AN297" s="32">
        <f>IF($AH297="",0,$AC297*$T297)</f>
        <v/>
      </c>
    </row>
    <row r="298">
      <c r="A298" s="28" t="inlineStr">
        <is>
          <t>Lauren</t>
        </is>
      </c>
      <c r="B298" s="16">
        <f>IF($A298="","",IFERROR(INDEX(Roster!$B$2:$B$40,MATCH($A298,Roster!$A$2:$A$40,0)),"?"))</f>
        <v/>
      </c>
      <c r="C298" s="28" t="inlineStr">
        <is>
          <t>Breakaway_1</t>
        </is>
      </c>
      <c r="D298" s="16">
        <f>IF($C298="","",IFERROR(IF(INDEX(Deals!$C$2:$C$355,MATCH($C298,Deals!$A$2:$A$355,0))=0,"",INDEX(Deals!$C$2:$C$355,MATCH($C298,Deals!$A$2:$A$355,0))),"?"))</f>
        <v/>
      </c>
      <c r="E298" s="16">
        <f>IF($C298="","",IFERROR(INDEX(Deals!$F$2:$F$355,MATCH($C298,Deals!$A$2:$A$355,0)),"?"))</f>
        <v/>
      </c>
      <c r="F298" s="28" t="inlineStr">
        <is>
          <t>Director</t>
        </is>
      </c>
      <c r="G298" s="28" t="inlineStr">
        <is>
          <t>Active</t>
        </is>
      </c>
      <c r="H298" s="31" t="n"/>
      <c r="I298" s="32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1">
        <f>IF($C298="",0,IFERROR(INDEX(Deals!$H$2:$H$355,MATCH($C298,Deals!$A$2:$A$355,0)),0))</f>
        <v/>
      </c>
      <c r="K298" s="32">
        <f>IF(Settings!$B$4="Yes",$I298*$J298,$I298)</f>
        <v/>
      </c>
      <c r="L298" s="22">
        <f>IF($C298="","",IFERROR(IF(INDEX(Deals!$I$2:$I$355,MATCH($C298,Deals!$A$2:$A$355,0))=0,"",INDEX(Deals!$I$2:$I$355,MATCH($C298,Deals!$A$2:$A$355,0))),""))</f>
        <v/>
      </c>
      <c r="M298" s="22">
        <f>IF($C298="","",IFERROR(IF(INDEX(Deals!$J$2:$J$355,MATCH($C298,Deals!$A$2:$A$355,0))=0,"",INDEX(Deals!$J$2:$J$355,MATCH($C298,Deals!$A$2:$A$355,0))),""))</f>
        <v/>
      </c>
      <c r="N298" s="35">
        <f>IF($L298="",DATE(1900,1,1),$L298)</f>
        <v/>
      </c>
      <c r="O298" s="35">
        <f>IF($M298="",DATE(2100,12,31),$M298)</f>
        <v/>
      </c>
      <c r="P298" s="20" t="inlineStr"/>
      <c r="Q298" s="43" t="inlineStr"/>
      <c r="R298" s="16">
        <f>IF($C298="","",IFERROR(IF(INDEX(Deals!$U$2:$U$355,MATCH($C298,Deals!$A$2:$A$355,0))=0,"",INDEX(Deals!$U$2:$U$355,MATCH($C298,Deals!$A$2:$A$355,0))),""))</f>
        <v/>
      </c>
      <c r="S298" s="34">
        <f>IFERROR(IF($U298="",1,INDEX(Deals!$V$2:$V$355,MATCH($C298,Deals!$A$2:$A$355,0))),1)</f>
        <v/>
      </c>
      <c r="T298" s="34">
        <f>IFERROR(IF($U298="",1,INDEX(Deals!$W$2:$W$355,MATCH($C298,Deals!$A$2:$A$355,0))),1)</f>
        <v/>
      </c>
      <c r="U298" s="22">
        <f>IF($C298="","",IFERROR(IF(INDEX(Deals!$Y$2:$Y$355,MATCH($C298,Deals!$A$2:$A$355,0))=0,"",INDEX(Deals!$Y$2:$Y$355,MATCH($C298,Deals!$A$2:$A$355,0))),""))</f>
        <v/>
      </c>
      <c r="V298" s="35">
        <f>IF($U298="",DATE(1900,1,1),$N298)</f>
        <v/>
      </c>
      <c r="W298" s="35">
        <f>IF($U298="",DATE(2100,12,31),$U298)</f>
        <v/>
      </c>
      <c r="X298" s="32">
        <f>IF($U298="",$K298,$K298*$S298)</f>
        <v/>
      </c>
      <c r="Y298" s="35">
        <f>IF($U298="",DATE(2100,12,31),$U298+1)</f>
        <v/>
      </c>
      <c r="Z298" s="35">
        <f>IF($U298="",DATE(1900,1,1),$O298)</f>
        <v/>
      </c>
      <c r="AA298" s="32">
        <f>IF($U298="",0,$K298*$T298)</f>
        <v/>
      </c>
      <c r="AB298" s="21">
        <f>IF($C298="",0,IFERROR(INDEX(Deals!$AD$2:$AD$355,MATCH($C298,Deals!$A$2:$A$355,0)),0))</f>
        <v/>
      </c>
      <c r="AC298" s="32">
        <f>IF(Settings!$B$4="Yes",$I298*$AB298,$I298)</f>
        <v/>
      </c>
      <c r="AD298" s="22">
        <f>IF($C298="","",IFERROR(IF(INDEX(Deals!$AE$2:$AE$355,MATCH($C298,Deals!$A$2:$A$355,0))=0,"",INDEX(Deals!$AE$2:$AE$355,MATCH($C298,Deals!$A$2:$A$355,0))),""))</f>
        <v/>
      </c>
      <c r="AE298" s="22">
        <f>IF($C298="","",IFERROR(IF(INDEX(Deals!$AF$2:$AF$355,MATCH($C298,Deals!$A$2:$A$355,0))=0,"",INDEX(Deals!$AF$2:$AF$355,MATCH($C298,Deals!$A$2:$A$355,0))),""))</f>
        <v/>
      </c>
      <c r="AF298" s="35">
        <f>IF($AD298="",DATE(1900,1,1),$AD298)</f>
        <v/>
      </c>
      <c r="AG298" s="35">
        <f>IF($AE298="",DATE(2100,12,31),$AE298)</f>
        <v/>
      </c>
      <c r="AH298" s="22">
        <f>IF($C298="","",IFERROR(IF(INDEX(Deals!$AG$2:$AG$355,MATCH($C298,Deals!$A$2:$A$355,0))=0,"",INDEX(Deals!$AG$2:$AG$355,MATCH($C298,Deals!$A$2:$A$355,0))),""))</f>
        <v/>
      </c>
      <c r="AI298" s="35">
        <f>IF($AH298="",DATE(1900,1,1),$AF298)</f>
        <v/>
      </c>
      <c r="AJ298" s="35">
        <f>IF($AH298="",DATE(2100,12,31),$AH298)</f>
        <v/>
      </c>
      <c r="AK298" s="32">
        <f>IF($AH298="",$AC298,$AC298*$S298)</f>
        <v/>
      </c>
      <c r="AL298" s="35">
        <f>IF($AH298="",DATE(2100,12,31),$AH298+1)</f>
        <v/>
      </c>
      <c r="AM298" s="35">
        <f>IF($AH298="",DATE(1900,1,1),$AG298)</f>
        <v/>
      </c>
      <c r="AN298" s="32">
        <f>IF($AH298="",0,$AC298*$T298)</f>
        <v/>
      </c>
    </row>
    <row r="299">
      <c r="A299" s="28" t="inlineStr">
        <is>
          <t>Lauren</t>
        </is>
      </c>
      <c r="B299" s="16">
        <f>IF($A299="","",IFERROR(INDEX(Roster!$B$2:$B$40,MATCH($A299,Roster!$A$2:$A$40,0)),"?"))</f>
        <v/>
      </c>
      <c r="C299" s="28" t="inlineStr">
        <is>
          <t>Broadway_1</t>
        </is>
      </c>
      <c r="D299" s="16">
        <f>IF($C299="","",IFERROR(IF(INDEX(Deals!$C$2:$C$355,MATCH($C299,Deals!$A$2:$A$355,0))=0,"",INDEX(Deals!$C$2:$C$355,MATCH($C299,Deals!$A$2:$A$355,0))),"?"))</f>
        <v/>
      </c>
      <c r="E299" s="16">
        <f>IF($C299="","",IFERROR(INDEX(Deals!$F$2:$F$355,MATCH($C299,Deals!$A$2:$A$355,0)),"?"))</f>
        <v/>
      </c>
      <c r="F299" s="28" t="inlineStr">
        <is>
          <t>Director</t>
        </is>
      </c>
      <c r="G299" s="28" t="inlineStr">
        <is>
          <t>Active</t>
        </is>
      </c>
      <c r="H299" s="31" t="n"/>
      <c r="I299" s="32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1">
        <f>IF($C299="",0,IFERROR(INDEX(Deals!$H$2:$H$355,MATCH($C299,Deals!$A$2:$A$355,0)),0))</f>
        <v/>
      </c>
      <c r="K299" s="32">
        <f>IF(Settings!$B$4="Yes",$I299*$J299,$I299)</f>
        <v/>
      </c>
      <c r="L299" s="22">
        <f>IF($C299="","",IFERROR(IF(INDEX(Deals!$I$2:$I$355,MATCH($C299,Deals!$A$2:$A$355,0))=0,"",INDEX(Deals!$I$2:$I$355,MATCH($C299,Deals!$A$2:$A$355,0))),""))</f>
        <v/>
      </c>
      <c r="M299" s="22">
        <f>IF($C299="","",IFERROR(IF(INDEX(Deals!$J$2:$J$355,MATCH($C299,Deals!$A$2:$A$355,0))=0,"",INDEX(Deals!$J$2:$J$355,MATCH($C299,Deals!$A$2:$A$355,0))),""))</f>
        <v/>
      </c>
      <c r="N299" s="35">
        <f>IF($L299="",DATE(1900,1,1),$L299)</f>
        <v/>
      </c>
      <c r="O299" s="35">
        <f>IF($M299="",DATE(2100,12,31),$M299)</f>
        <v/>
      </c>
      <c r="P299" s="20" t="inlineStr"/>
      <c r="Q299" s="43" t="inlineStr"/>
      <c r="R299" s="16">
        <f>IF($C299="","",IFERROR(IF(INDEX(Deals!$U$2:$U$355,MATCH($C299,Deals!$A$2:$A$355,0))=0,"",INDEX(Deals!$U$2:$U$355,MATCH($C299,Deals!$A$2:$A$355,0))),""))</f>
        <v/>
      </c>
      <c r="S299" s="34">
        <f>IFERROR(IF($U299="",1,INDEX(Deals!$V$2:$V$355,MATCH($C299,Deals!$A$2:$A$355,0))),1)</f>
        <v/>
      </c>
      <c r="T299" s="34">
        <f>IFERROR(IF($U299="",1,INDEX(Deals!$W$2:$W$355,MATCH($C299,Deals!$A$2:$A$355,0))),1)</f>
        <v/>
      </c>
      <c r="U299" s="22">
        <f>IF($C299="","",IFERROR(IF(INDEX(Deals!$Y$2:$Y$355,MATCH($C299,Deals!$A$2:$A$355,0))=0,"",INDEX(Deals!$Y$2:$Y$355,MATCH($C299,Deals!$A$2:$A$355,0))),""))</f>
        <v/>
      </c>
      <c r="V299" s="35">
        <f>IF($U299="",DATE(1900,1,1),$N299)</f>
        <v/>
      </c>
      <c r="W299" s="35">
        <f>IF($U299="",DATE(2100,12,31),$U299)</f>
        <v/>
      </c>
      <c r="X299" s="32">
        <f>IF($U299="",$K299,$K299*$S299)</f>
        <v/>
      </c>
      <c r="Y299" s="35">
        <f>IF($U299="",DATE(2100,12,31),$U299+1)</f>
        <v/>
      </c>
      <c r="Z299" s="35">
        <f>IF($U299="",DATE(1900,1,1),$O299)</f>
        <v/>
      </c>
      <c r="AA299" s="32">
        <f>IF($U299="",0,$K299*$T299)</f>
        <v/>
      </c>
      <c r="AB299" s="21">
        <f>IF($C299="",0,IFERROR(INDEX(Deals!$AD$2:$AD$355,MATCH($C299,Deals!$A$2:$A$355,0)),0))</f>
        <v/>
      </c>
      <c r="AC299" s="32">
        <f>IF(Settings!$B$4="Yes",$I299*$AB299,$I299)</f>
        <v/>
      </c>
      <c r="AD299" s="22">
        <f>IF($C299="","",IFERROR(IF(INDEX(Deals!$AE$2:$AE$355,MATCH($C299,Deals!$A$2:$A$355,0))=0,"",INDEX(Deals!$AE$2:$AE$355,MATCH($C299,Deals!$A$2:$A$355,0))),""))</f>
        <v/>
      </c>
      <c r="AE299" s="22">
        <f>IF($C299="","",IFERROR(IF(INDEX(Deals!$AF$2:$AF$355,MATCH($C299,Deals!$A$2:$A$355,0))=0,"",INDEX(Deals!$AF$2:$AF$355,MATCH($C299,Deals!$A$2:$A$355,0))),""))</f>
        <v/>
      </c>
      <c r="AF299" s="35">
        <f>IF($AD299="",DATE(1900,1,1),$AD299)</f>
        <v/>
      </c>
      <c r="AG299" s="35">
        <f>IF($AE299="",DATE(2100,12,31),$AE299)</f>
        <v/>
      </c>
      <c r="AH299" s="22">
        <f>IF($C299="","",IFERROR(IF(INDEX(Deals!$AG$2:$AG$355,MATCH($C299,Deals!$A$2:$A$355,0))=0,"",INDEX(Deals!$AG$2:$AG$355,MATCH($C299,Deals!$A$2:$A$355,0))),""))</f>
        <v/>
      </c>
      <c r="AI299" s="35">
        <f>IF($AH299="",DATE(1900,1,1),$AF299)</f>
        <v/>
      </c>
      <c r="AJ299" s="35">
        <f>IF($AH299="",DATE(2100,12,31),$AH299)</f>
        <v/>
      </c>
      <c r="AK299" s="32">
        <f>IF($AH299="",$AC299,$AC299*$S299)</f>
        <v/>
      </c>
      <c r="AL299" s="35">
        <f>IF($AH299="",DATE(2100,12,31),$AH299+1)</f>
        <v/>
      </c>
      <c r="AM299" s="35">
        <f>IF($AH299="",DATE(1900,1,1),$AG299)</f>
        <v/>
      </c>
      <c r="AN299" s="32">
        <f>IF($AH299="",0,$AC299*$T299)</f>
        <v/>
      </c>
    </row>
    <row r="300">
      <c r="A300" s="28" t="inlineStr">
        <is>
          <t>Lauren</t>
        </is>
      </c>
      <c r="B300" s="16">
        <f>IF($A300="","",IFERROR(INDEX(Roster!$B$2:$B$40,MATCH($A300,Roster!$A$2:$A$40,0)),"?"))</f>
        <v/>
      </c>
      <c r="C300" s="28" t="inlineStr">
        <is>
          <t>Cactus</t>
        </is>
      </c>
      <c r="D300" s="16">
        <f>IF($C300="","",IFERROR(IF(INDEX(Deals!$C$2:$C$355,MATCH($C300,Deals!$A$2:$A$355,0))=0,"",INDEX(Deals!$C$2:$C$355,MATCH($C300,Deals!$A$2:$A$355,0))),"?"))</f>
        <v/>
      </c>
      <c r="E300" s="16">
        <f>IF($C300="","",IFERROR(INDEX(Deals!$F$2:$F$355,MATCH($C300,Deals!$A$2:$A$355,0)),"?"))</f>
        <v/>
      </c>
      <c r="F300" s="28" t="inlineStr">
        <is>
          <t>Director</t>
        </is>
      </c>
      <c r="G300" s="28" t="inlineStr">
        <is>
          <t>Active</t>
        </is>
      </c>
      <c r="H300" s="31" t="n"/>
      <c r="I300" s="32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1">
        <f>IF($C300="",0,IFERROR(INDEX(Deals!$H$2:$H$355,MATCH($C300,Deals!$A$2:$A$355,0)),0))</f>
        <v/>
      </c>
      <c r="K300" s="32">
        <f>IF(Settings!$B$4="Yes",$I300*$J300,$I300)</f>
        <v/>
      </c>
      <c r="L300" s="22">
        <f>IF($C300="","",IFERROR(IF(INDEX(Deals!$I$2:$I$355,MATCH($C300,Deals!$A$2:$A$355,0))=0,"",INDEX(Deals!$I$2:$I$355,MATCH($C300,Deals!$A$2:$A$355,0))),""))</f>
        <v/>
      </c>
      <c r="M300" s="22">
        <f>IF($C300="","",IFERROR(IF(INDEX(Deals!$J$2:$J$355,MATCH($C300,Deals!$A$2:$A$355,0))=0,"",INDEX(Deals!$J$2:$J$355,MATCH($C300,Deals!$A$2:$A$355,0))),""))</f>
        <v/>
      </c>
      <c r="N300" s="35">
        <f>IF($L300="",DATE(1900,1,1),$L300)</f>
        <v/>
      </c>
      <c r="O300" s="35">
        <f>IF($M300="",DATE(2100,12,31),$M300)</f>
        <v/>
      </c>
      <c r="P300" s="20" t="inlineStr"/>
      <c r="Q300" s="43" t="inlineStr"/>
      <c r="R300" s="16">
        <f>IF($C300="","",IFERROR(IF(INDEX(Deals!$U$2:$U$355,MATCH($C300,Deals!$A$2:$A$355,0))=0,"",INDEX(Deals!$U$2:$U$355,MATCH($C300,Deals!$A$2:$A$355,0))),""))</f>
        <v/>
      </c>
      <c r="S300" s="34">
        <f>IFERROR(IF($U300="",1,INDEX(Deals!$V$2:$V$355,MATCH($C300,Deals!$A$2:$A$355,0))),1)</f>
        <v/>
      </c>
      <c r="T300" s="34">
        <f>IFERROR(IF($U300="",1,INDEX(Deals!$W$2:$W$355,MATCH($C300,Deals!$A$2:$A$355,0))),1)</f>
        <v/>
      </c>
      <c r="U300" s="22">
        <f>IF($C300="","",IFERROR(IF(INDEX(Deals!$Y$2:$Y$355,MATCH($C300,Deals!$A$2:$A$355,0))=0,"",INDEX(Deals!$Y$2:$Y$355,MATCH($C300,Deals!$A$2:$A$355,0))),""))</f>
        <v/>
      </c>
      <c r="V300" s="35">
        <f>IF($U300="",DATE(1900,1,1),$N300)</f>
        <v/>
      </c>
      <c r="W300" s="35">
        <f>IF($U300="",DATE(2100,12,31),$U300)</f>
        <v/>
      </c>
      <c r="X300" s="32">
        <f>IF($U300="",$K300,$K300*$S300)</f>
        <v/>
      </c>
      <c r="Y300" s="35">
        <f>IF($U300="",DATE(2100,12,31),$U300+1)</f>
        <v/>
      </c>
      <c r="Z300" s="35">
        <f>IF($U300="",DATE(1900,1,1),$O300)</f>
        <v/>
      </c>
      <c r="AA300" s="32">
        <f>IF($U300="",0,$K300*$T300)</f>
        <v/>
      </c>
      <c r="AB300" s="21">
        <f>IF($C300="",0,IFERROR(INDEX(Deals!$AD$2:$AD$355,MATCH($C300,Deals!$A$2:$A$355,0)),0))</f>
        <v/>
      </c>
      <c r="AC300" s="32">
        <f>IF(Settings!$B$4="Yes",$I300*$AB300,$I300)</f>
        <v/>
      </c>
      <c r="AD300" s="22">
        <f>IF($C300="","",IFERROR(IF(INDEX(Deals!$AE$2:$AE$355,MATCH($C300,Deals!$A$2:$A$355,0))=0,"",INDEX(Deals!$AE$2:$AE$355,MATCH($C300,Deals!$A$2:$A$355,0))),""))</f>
        <v/>
      </c>
      <c r="AE300" s="22">
        <f>IF($C300="","",IFERROR(IF(INDEX(Deals!$AF$2:$AF$355,MATCH($C300,Deals!$A$2:$A$355,0))=0,"",INDEX(Deals!$AF$2:$AF$355,MATCH($C300,Deals!$A$2:$A$355,0))),""))</f>
        <v/>
      </c>
      <c r="AF300" s="35">
        <f>IF($AD300="",DATE(1900,1,1),$AD300)</f>
        <v/>
      </c>
      <c r="AG300" s="35">
        <f>IF($AE300="",DATE(2100,12,31),$AE300)</f>
        <v/>
      </c>
      <c r="AH300" s="22">
        <f>IF($C300="","",IFERROR(IF(INDEX(Deals!$AG$2:$AG$355,MATCH($C300,Deals!$A$2:$A$355,0))=0,"",INDEX(Deals!$AG$2:$AG$355,MATCH($C300,Deals!$A$2:$A$355,0))),""))</f>
        <v/>
      </c>
      <c r="AI300" s="35">
        <f>IF($AH300="",DATE(1900,1,1),$AF300)</f>
        <v/>
      </c>
      <c r="AJ300" s="35">
        <f>IF($AH300="",DATE(2100,12,31),$AH300)</f>
        <v/>
      </c>
      <c r="AK300" s="32">
        <f>IF($AH300="",$AC300,$AC300*$S300)</f>
        <v/>
      </c>
      <c r="AL300" s="35">
        <f>IF($AH300="",DATE(2100,12,31),$AH300+1)</f>
        <v/>
      </c>
      <c r="AM300" s="35">
        <f>IF($AH300="",DATE(1900,1,1),$AG300)</f>
        <v/>
      </c>
      <c r="AN300" s="32">
        <f>IF($AH300="",0,$AC300*$T300)</f>
        <v/>
      </c>
    </row>
    <row r="301">
      <c r="A301" s="28" t="inlineStr">
        <is>
          <t>Lauren</t>
        </is>
      </c>
      <c r="B301" s="16">
        <f>IF($A301="","",IFERROR(INDEX(Roster!$B$2:$B$40,MATCH($A301,Roster!$A$2:$A$40,0)),"?"))</f>
        <v/>
      </c>
      <c r="C301" s="28" t="inlineStr">
        <is>
          <t>Canyon_1</t>
        </is>
      </c>
      <c r="D301" s="16">
        <f>IF($C301="","",IFERROR(IF(INDEX(Deals!$C$2:$C$355,MATCH($C301,Deals!$A$2:$A$355,0))=0,"",INDEX(Deals!$C$2:$C$355,MATCH($C301,Deals!$A$2:$A$355,0))),"?"))</f>
        <v/>
      </c>
      <c r="E301" s="16">
        <f>IF($C301="","",IFERROR(INDEX(Deals!$F$2:$F$355,MATCH($C301,Deals!$A$2:$A$355,0)),"?"))</f>
        <v/>
      </c>
      <c r="F301" s="28" t="inlineStr">
        <is>
          <t>Director</t>
        </is>
      </c>
      <c r="G301" s="28" t="inlineStr">
        <is>
          <t>Inactive</t>
        </is>
      </c>
      <c r="H301" s="31" t="n"/>
      <c r="I301" s="32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1">
        <f>IF($C301="",0,IFERROR(INDEX(Deals!$H$2:$H$355,MATCH($C301,Deals!$A$2:$A$355,0)),0))</f>
        <v/>
      </c>
      <c r="K301" s="32">
        <f>IF(Settings!$B$4="Yes",$I301*$J301,$I301)</f>
        <v/>
      </c>
      <c r="L301" s="22">
        <f>IF($C301="","",IFERROR(IF(INDEX(Deals!$I$2:$I$355,MATCH($C301,Deals!$A$2:$A$355,0))=0,"",INDEX(Deals!$I$2:$I$355,MATCH($C301,Deals!$A$2:$A$355,0))),""))</f>
        <v/>
      </c>
      <c r="M301" s="22">
        <f>IF($C301="","",IFERROR(IF(INDEX(Deals!$J$2:$J$355,MATCH($C301,Deals!$A$2:$A$355,0))=0,"",INDEX(Deals!$J$2:$J$355,MATCH($C301,Deals!$A$2:$A$355,0))),""))</f>
        <v/>
      </c>
      <c r="N301" s="35">
        <f>IF($L301="",DATE(1900,1,1),$L301)</f>
        <v/>
      </c>
      <c r="O301" s="35">
        <f>IF($M301="",DATE(2100,12,31),$M301)</f>
        <v/>
      </c>
      <c r="P301" s="20" t="inlineStr">
        <is>
          <t>Closed</t>
        </is>
      </c>
      <c r="Q301" s="43" t="inlineStr"/>
      <c r="R301" s="16">
        <f>IF($C301="","",IFERROR(IF(INDEX(Deals!$U$2:$U$355,MATCH($C301,Deals!$A$2:$A$355,0))=0,"",INDEX(Deals!$U$2:$U$355,MATCH($C301,Deals!$A$2:$A$355,0))),""))</f>
        <v/>
      </c>
      <c r="S301" s="34">
        <f>IFERROR(IF($U301="",1,INDEX(Deals!$V$2:$V$355,MATCH($C301,Deals!$A$2:$A$355,0))),1)</f>
        <v/>
      </c>
      <c r="T301" s="34">
        <f>IFERROR(IF($U301="",1,INDEX(Deals!$W$2:$W$355,MATCH($C301,Deals!$A$2:$A$355,0))),1)</f>
        <v/>
      </c>
      <c r="U301" s="22">
        <f>IF($C301="","",IFERROR(IF(INDEX(Deals!$Y$2:$Y$355,MATCH($C301,Deals!$A$2:$A$355,0))=0,"",INDEX(Deals!$Y$2:$Y$355,MATCH($C301,Deals!$A$2:$A$355,0))),""))</f>
        <v/>
      </c>
      <c r="V301" s="35">
        <f>IF($U301="",DATE(1900,1,1),$N301)</f>
        <v/>
      </c>
      <c r="W301" s="35">
        <f>IF($U301="",DATE(2100,12,31),$U301)</f>
        <v/>
      </c>
      <c r="X301" s="32">
        <f>IF($U301="",$K301,$K301*$S301)</f>
        <v/>
      </c>
      <c r="Y301" s="35">
        <f>IF($U301="",DATE(2100,12,31),$U301+1)</f>
        <v/>
      </c>
      <c r="Z301" s="35">
        <f>IF($U301="",DATE(1900,1,1),$O301)</f>
        <v/>
      </c>
      <c r="AA301" s="32">
        <f>IF($U301="",0,$K301*$T301)</f>
        <v/>
      </c>
      <c r="AB301" s="21">
        <f>IF($C301="",0,IFERROR(INDEX(Deals!$AD$2:$AD$355,MATCH($C301,Deals!$A$2:$A$355,0)),0))</f>
        <v/>
      </c>
      <c r="AC301" s="32">
        <f>IF(Settings!$B$4="Yes",$I301*$AB301,$I301)</f>
        <v/>
      </c>
      <c r="AD301" s="22">
        <f>IF($C301="","",IFERROR(IF(INDEX(Deals!$AE$2:$AE$355,MATCH($C301,Deals!$A$2:$A$355,0))=0,"",INDEX(Deals!$AE$2:$AE$355,MATCH($C301,Deals!$A$2:$A$355,0))),""))</f>
        <v/>
      </c>
      <c r="AE301" s="22">
        <f>IF($C301="","",IFERROR(IF(INDEX(Deals!$AF$2:$AF$355,MATCH($C301,Deals!$A$2:$A$355,0))=0,"",INDEX(Deals!$AF$2:$AF$355,MATCH($C301,Deals!$A$2:$A$355,0))),""))</f>
        <v/>
      </c>
      <c r="AF301" s="35">
        <f>IF($AD301="",DATE(1900,1,1),$AD301)</f>
        <v/>
      </c>
      <c r="AG301" s="35">
        <f>IF($AE301="",DATE(2100,12,31),$AE301)</f>
        <v/>
      </c>
      <c r="AH301" s="22">
        <f>IF($C301="","",IFERROR(IF(INDEX(Deals!$AG$2:$AG$355,MATCH($C301,Deals!$A$2:$A$355,0))=0,"",INDEX(Deals!$AG$2:$AG$355,MATCH($C301,Deals!$A$2:$A$355,0))),""))</f>
        <v/>
      </c>
      <c r="AI301" s="35">
        <f>IF($AH301="",DATE(1900,1,1),$AF301)</f>
        <v/>
      </c>
      <c r="AJ301" s="35">
        <f>IF($AH301="",DATE(2100,12,31),$AH301)</f>
        <v/>
      </c>
      <c r="AK301" s="32">
        <f>IF($AH301="",$AC301,$AC301*$S301)</f>
        <v/>
      </c>
      <c r="AL301" s="35">
        <f>IF($AH301="",DATE(2100,12,31),$AH301+1)</f>
        <v/>
      </c>
      <c r="AM301" s="35">
        <f>IF($AH301="",DATE(1900,1,1),$AG301)</f>
        <v/>
      </c>
      <c r="AN301" s="32">
        <f>IF($AH301="",0,$AC301*$T301)</f>
        <v/>
      </c>
    </row>
    <row r="302">
      <c r="A302" s="28" t="inlineStr">
        <is>
          <t>Lauren</t>
        </is>
      </c>
      <c r="B302" s="16">
        <f>IF($A302="","",IFERROR(INDEX(Roster!$B$2:$B$40,MATCH($A302,Roster!$A$2:$A$40,0)),"?"))</f>
        <v/>
      </c>
      <c r="C302" s="28" t="inlineStr">
        <is>
          <t>Cohost_1</t>
        </is>
      </c>
      <c r="D302" s="16">
        <f>IF($C302="","",IFERROR(IF(INDEX(Deals!$C$2:$C$355,MATCH($C302,Deals!$A$2:$A$355,0))=0,"",INDEX(Deals!$C$2:$C$355,MATCH($C302,Deals!$A$2:$A$355,0))),"?"))</f>
        <v/>
      </c>
      <c r="E302" s="16">
        <f>IF($C302="","",IFERROR(INDEX(Deals!$F$2:$F$355,MATCH($C302,Deals!$A$2:$A$355,0)),"?"))</f>
        <v/>
      </c>
      <c r="F302" s="28" t="inlineStr">
        <is>
          <t>Director</t>
        </is>
      </c>
      <c r="G302" s="28" t="inlineStr">
        <is>
          <t>Active</t>
        </is>
      </c>
      <c r="H302" s="31" t="n"/>
      <c r="I302" s="32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1">
        <f>IF($C302="",0,IFERROR(INDEX(Deals!$H$2:$H$355,MATCH($C302,Deals!$A$2:$A$355,0)),0))</f>
        <v/>
      </c>
      <c r="K302" s="32">
        <f>IF(Settings!$B$4="Yes",$I302*$J302,$I302)</f>
        <v/>
      </c>
      <c r="L302" s="22">
        <f>IF($C302="","",IFERROR(IF(INDEX(Deals!$I$2:$I$355,MATCH($C302,Deals!$A$2:$A$355,0))=0,"",INDEX(Deals!$I$2:$I$355,MATCH($C302,Deals!$A$2:$A$355,0))),""))</f>
        <v/>
      </c>
      <c r="M302" s="22">
        <f>IF($C302="","",IFERROR(IF(INDEX(Deals!$J$2:$J$355,MATCH($C302,Deals!$A$2:$A$355,0))=0,"",INDEX(Deals!$J$2:$J$355,MATCH($C302,Deals!$A$2:$A$355,0))),""))</f>
        <v/>
      </c>
      <c r="N302" s="35">
        <f>IF($L302="",DATE(1900,1,1),$L302)</f>
        <v/>
      </c>
      <c r="O302" s="35">
        <f>IF($M302="",DATE(2100,12,31),$M302)</f>
        <v/>
      </c>
      <c r="P302" s="20" t="inlineStr"/>
      <c r="Q302" s="43" t="inlineStr"/>
      <c r="R302" s="16">
        <f>IF($C302="","",IFERROR(IF(INDEX(Deals!$U$2:$U$355,MATCH($C302,Deals!$A$2:$A$355,0))=0,"",INDEX(Deals!$U$2:$U$355,MATCH($C302,Deals!$A$2:$A$355,0))),""))</f>
        <v/>
      </c>
      <c r="S302" s="34">
        <f>IFERROR(IF($U302="",1,INDEX(Deals!$V$2:$V$355,MATCH($C302,Deals!$A$2:$A$355,0))),1)</f>
        <v/>
      </c>
      <c r="T302" s="34">
        <f>IFERROR(IF($U302="",1,INDEX(Deals!$W$2:$W$355,MATCH($C302,Deals!$A$2:$A$355,0))),1)</f>
        <v/>
      </c>
      <c r="U302" s="22">
        <f>IF($C302="","",IFERROR(IF(INDEX(Deals!$Y$2:$Y$355,MATCH($C302,Deals!$A$2:$A$355,0))=0,"",INDEX(Deals!$Y$2:$Y$355,MATCH($C302,Deals!$A$2:$A$355,0))),""))</f>
        <v/>
      </c>
      <c r="V302" s="35">
        <f>IF($U302="",DATE(1900,1,1),$N302)</f>
        <v/>
      </c>
      <c r="W302" s="35">
        <f>IF($U302="",DATE(2100,12,31),$U302)</f>
        <v/>
      </c>
      <c r="X302" s="32">
        <f>IF($U302="",$K302,$K302*$S302)</f>
        <v/>
      </c>
      <c r="Y302" s="35">
        <f>IF($U302="",DATE(2100,12,31),$U302+1)</f>
        <v/>
      </c>
      <c r="Z302" s="35">
        <f>IF($U302="",DATE(1900,1,1),$O302)</f>
        <v/>
      </c>
      <c r="AA302" s="32">
        <f>IF($U302="",0,$K302*$T302)</f>
        <v/>
      </c>
      <c r="AB302" s="21">
        <f>IF($C302="",0,IFERROR(INDEX(Deals!$AD$2:$AD$355,MATCH($C302,Deals!$A$2:$A$355,0)),0))</f>
        <v/>
      </c>
      <c r="AC302" s="32">
        <f>IF(Settings!$B$4="Yes",$I302*$AB302,$I302)</f>
        <v/>
      </c>
      <c r="AD302" s="22">
        <f>IF($C302="","",IFERROR(IF(INDEX(Deals!$AE$2:$AE$355,MATCH($C302,Deals!$A$2:$A$355,0))=0,"",INDEX(Deals!$AE$2:$AE$355,MATCH($C302,Deals!$A$2:$A$355,0))),""))</f>
        <v/>
      </c>
      <c r="AE302" s="22">
        <f>IF($C302="","",IFERROR(IF(INDEX(Deals!$AF$2:$AF$355,MATCH($C302,Deals!$A$2:$A$355,0))=0,"",INDEX(Deals!$AF$2:$AF$355,MATCH($C302,Deals!$A$2:$A$355,0))),""))</f>
        <v/>
      </c>
      <c r="AF302" s="35">
        <f>IF($AD302="",DATE(1900,1,1),$AD302)</f>
        <v/>
      </c>
      <c r="AG302" s="35">
        <f>IF($AE302="",DATE(2100,12,31),$AE302)</f>
        <v/>
      </c>
      <c r="AH302" s="22">
        <f>IF($C302="","",IFERROR(IF(INDEX(Deals!$AG$2:$AG$355,MATCH($C302,Deals!$A$2:$A$355,0))=0,"",INDEX(Deals!$AG$2:$AG$355,MATCH($C302,Deals!$A$2:$A$355,0))),""))</f>
        <v/>
      </c>
      <c r="AI302" s="35">
        <f>IF($AH302="",DATE(1900,1,1),$AF302)</f>
        <v/>
      </c>
      <c r="AJ302" s="35">
        <f>IF($AH302="",DATE(2100,12,31),$AH302)</f>
        <v/>
      </c>
      <c r="AK302" s="32">
        <f>IF($AH302="",$AC302,$AC302*$S302)</f>
        <v/>
      </c>
      <c r="AL302" s="35">
        <f>IF($AH302="",DATE(2100,12,31),$AH302+1)</f>
        <v/>
      </c>
      <c r="AM302" s="35">
        <f>IF($AH302="",DATE(1900,1,1),$AG302)</f>
        <v/>
      </c>
      <c r="AN302" s="32">
        <f>IF($AH302="",0,$AC302*$T302)</f>
        <v/>
      </c>
    </row>
    <row r="303">
      <c r="A303" s="28" t="inlineStr">
        <is>
          <t>Lauren</t>
        </is>
      </c>
      <c r="B303" s="16">
        <f>IF($A303="","",IFERROR(INDEX(Roster!$B$2:$B$40,MATCH($A303,Roster!$A$2:$A$40,0)),"?"))</f>
        <v/>
      </c>
      <c r="C303" s="28" t="inlineStr">
        <is>
          <t>Denali_3</t>
        </is>
      </c>
      <c r="D303" s="16">
        <f>IF($C303="","",IFERROR(IF(INDEX(Deals!$C$2:$C$355,MATCH($C303,Deals!$A$2:$A$355,0))=0,"",INDEX(Deals!$C$2:$C$355,MATCH($C303,Deals!$A$2:$A$355,0))),"?"))</f>
        <v/>
      </c>
      <c r="E303" s="16">
        <f>IF($C303="","",IFERROR(INDEX(Deals!$F$2:$F$355,MATCH($C303,Deals!$A$2:$A$355,0)),"?"))</f>
        <v/>
      </c>
      <c r="F303" s="28" t="inlineStr">
        <is>
          <t>Director</t>
        </is>
      </c>
      <c r="G303" s="28" t="inlineStr">
        <is>
          <t>Active</t>
        </is>
      </c>
      <c r="H303" s="31" t="n"/>
      <c r="I303" s="32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1">
        <f>IF($C303="",0,IFERROR(INDEX(Deals!$H$2:$H$355,MATCH($C303,Deals!$A$2:$A$355,0)),0))</f>
        <v/>
      </c>
      <c r="K303" s="32">
        <f>IF(Settings!$B$4="Yes",$I303*$J303,$I303)</f>
        <v/>
      </c>
      <c r="L303" s="22">
        <f>IF($C303="","",IFERROR(IF(INDEX(Deals!$I$2:$I$355,MATCH($C303,Deals!$A$2:$A$355,0))=0,"",INDEX(Deals!$I$2:$I$355,MATCH($C303,Deals!$A$2:$A$355,0))),""))</f>
        <v/>
      </c>
      <c r="M303" s="22">
        <f>IF($C303="","",IFERROR(IF(INDEX(Deals!$J$2:$J$355,MATCH($C303,Deals!$A$2:$A$355,0))=0,"",INDEX(Deals!$J$2:$J$355,MATCH($C303,Deals!$A$2:$A$355,0))),""))</f>
        <v/>
      </c>
      <c r="N303" s="35">
        <f>IF($L303="",DATE(1900,1,1),$L303)</f>
        <v/>
      </c>
      <c r="O303" s="35">
        <f>IF($M303="",DATE(2100,12,31),$M303)</f>
        <v/>
      </c>
      <c r="P303" s="20" t="inlineStr"/>
      <c r="Q303" s="43" t="inlineStr"/>
      <c r="R303" s="16">
        <f>IF($C303="","",IFERROR(IF(INDEX(Deals!$U$2:$U$355,MATCH($C303,Deals!$A$2:$A$355,0))=0,"",INDEX(Deals!$U$2:$U$355,MATCH($C303,Deals!$A$2:$A$355,0))),""))</f>
        <v/>
      </c>
      <c r="S303" s="34">
        <f>IFERROR(IF($U303="",1,INDEX(Deals!$V$2:$V$355,MATCH($C303,Deals!$A$2:$A$355,0))),1)</f>
        <v/>
      </c>
      <c r="T303" s="34">
        <f>IFERROR(IF($U303="",1,INDEX(Deals!$W$2:$W$355,MATCH($C303,Deals!$A$2:$A$355,0))),1)</f>
        <v/>
      </c>
      <c r="U303" s="22">
        <f>IF($C303="","",IFERROR(IF(INDEX(Deals!$Y$2:$Y$355,MATCH($C303,Deals!$A$2:$A$355,0))=0,"",INDEX(Deals!$Y$2:$Y$355,MATCH($C303,Deals!$A$2:$A$355,0))),""))</f>
        <v/>
      </c>
      <c r="V303" s="35">
        <f>IF($U303="",DATE(1900,1,1),$N303)</f>
        <v/>
      </c>
      <c r="W303" s="35">
        <f>IF($U303="",DATE(2100,12,31),$U303)</f>
        <v/>
      </c>
      <c r="X303" s="32">
        <f>IF($U303="",$K303,$K303*$S303)</f>
        <v/>
      </c>
      <c r="Y303" s="35">
        <f>IF($U303="",DATE(2100,12,31),$U303+1)</f>
        <v/>
      </c>
      <c r="Z303" s="35">
        <f>IF($U303="",DATE(1900,1,1),$O303)</f>
        <v/>
      </c>
      <c r="AA303" s="32">
        <f>IF($U303="",0,$K303*$T303)</f>
        <v/>
      </c>
      <c r="AB303" s="21">
        <f>IF($C303="",0,IFERROR(INDEX(Deals!$AD$2:$AD$355,MATCH($C303,Deals!$A$2:$A$355,0)),0))</f>
        <v/>
      </c>
      <c r="AC303" s="32">
        <f>IF(Settings!$B$4="Yes",$I303*$AB303,$I303)</f>
        <v/>
      </c>
      <c r="AD303" s="22">
        <f>IF($C303="","",IFERROR(IF(INDEX(Deals!$AE$2:$AE$355,MATCH($C303,Deals!$A$2:$A$355,0))=0,"",INDEX(Deals!$AE$2:$AE$355,MATCH($C303,Deals!$A$2:$A$355,0))),""))</f>
        <v/>
      </c>
      <c r="AE303" s="22">
        <f>IF($C303="","",IFERROR(IF(INDEX(Deals!$AF$2:$AF$355,MATCH($C303,Deals!$A$2:$A$355,0))=0,"",INDEX(Deals!$AF$2:$AF$355,MATCH($C303,Deals!$A$2:$A$355,0))),""))</f>
        <v/>
      </c>
      <c r="AF303" s="35">
        <f>IF($AD303="",DATE(1900,1,1),$AD303)</f>
        <v/>
      </c>
      <c r="AG303" s="35">
        <f>IF($AE303="",DATE(2100,12,31),$AE303)</f>
        <v/>
      </c>
      <c r="AH303" s="22">
        <f>IF($C303="","",IFERROR(IF(INDEX(Deals!$AG$2:$AG$355,MATCH($C303,Deals!$A$2:$A$355,0))=0,"",INDEX(Deals!$AG$2:$AG$355,MATCH($C303,Deals!$A$2:$A$355,0))),""))</f>
        <v/>
      </c>
      <c r="AI303" s="35">
        <f>IF($AH303="",DATE(1900,1,1),$AF303)</f>
        <v/>
      </c>
      <c r="AJ303" s="35">
        <f>IF($AH303="",DATE(2100,12,31),$AH303)</f>
        <v/>
      </c>
      <c r="AK303" s="32">
        <f>IF($AH303="",$AC303,$AC303*$S303)</f>
        <v/>
      </c>
      <c r="AL303" s="35">
        <f>IF($AH303="",DATE(2100,12,31),$AH303+1)</f>
        <v/>
      </c>
      <c r="AM303" s="35">
        <f>IF($AH303="",DATE(1900,1,1),$AG303)</f>
        <v/>
      </c>
      <c r="AN303" s="32">
        <f>IF($AH303="",0,$AC303*$T303)</f>
        <v/>
      </c>
    </row>
    <row r="304">
      <c r="A304" s="28" t="inlineStr">
        <is>
          <t>Lauren</t>
        </is>
      </c>
      <c r="B304" s="16">
        <f>IF($A304="","",IFERROR(INDEX(Roster!$B$2:$B$40,MATCH($A304,Roster!$A$2:$A$40,0)),"?"))</f>
        <v/>
      </c>
      <c r="C304" s="28" t="inlineStr">
        <is>
          <t>DIF Twister_2</t>
        </is>
      </c>
      <c r="D304" s="16">
        <f>IF($C304="","",IFERROR(IF(INDEX(Deals!$C$2:$C$355,MATCH($C304,Deals!$A$2:$A$355,0))=0,"",INDEX(Deals!$C$2:$C$355,MATCH($C304,Deals!$A$2:$A$355,0))),"?"))</f>
        <v/>
      </c>
      <c r="E304" s="16">
        <f>IF($C304="","",IFERROR(INDEX(Deals!$F$2:$F$355,MATCH($C304,Deals!$A$2:$A$355,0)),"?"))</f>
        <v/>
      </c>
      <c r="F304" s="28" t="inlineStr">
        <is>
          <t>Director</t>
        </is>
      </c>
      <c r="G304" s="28" t="inlineStr">
        <is>
          <t>Active</t>
        </is>
      </c>
      <c r="H304" s="31" t="n"/>
      <c r="I304" s="32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1">
        <f>IF($C304="",0,IFERROR(INDEX(Deals!$H$2:$H$355,MATCH($C304,Deals!$A$2:$A$355,0)),0))</f>
        <v/>
      </c>
      <c r="K304" s="32">
        <f>IF(Settings!$B$4="Yes",$I304*$J304,$I304)</f>
        <v/>
      </c>
      <c r="L304" s="22">
        <f>IF($C304="","",IFERROR(IF(INDEX(Deals!$I$2:$I$355,MATCH($C304,Deals!$A$2:$A$355,0))=0,"",INDEX(Deals!$I$2:$I$355,MATCH($C304,Deals!$A$2:$A$355,0))),""))</f>
        <v/>
      </c>
      <c r="M304" s="22">
        <f>IF($C304="","",IFERROR(IF(INDEX(Deals!$J$2:$J$355,MATCH($C304,Deals!$A$2:$A$355,0))=0,"",INDEX(Deals!$J$2:$J$355,MATCH($C304,Deals!$A$2:$A$355,0))),""))</f>
        <v/>
      </c>
      <c r="N304" s="35">
        <f>IF($L304="",DATE(1900,1,1),$L304)</f>
        <v/>
      </c>
      <c r="O304" s="35">
        <f>IF($M304="",DATE(2100,12,31),$M304)</f>
        <v/>
      </c>
      <c r="P304" s="20" t="inlineStr"/>
      <c r="Q304" s="43" t="inlineStr"/>
      <c r="R304" s="16">
        <f>IF($C304="","",IFERROR(IF(INDEX(Deals!$U$2:$U$355,MATCH($C304,Deals!$A$2:$A$355,0))=0,"",INDEX(Deals!$U$2:$U$355,MATCH($C304,Deals!$A$2:$A$355,0))),""))</f>
        <v/>
      </c>
      <c r="S304" s="34">
        <f>IFERROR(IF($U304="",1,INDEX(Deals!$V$2:$V$355,MATCH($C304,Deals!$A$2:$A$355,0))),1)</f>
        <v/>
      </c>
      <c r="T304" s="34">
        <f>IFERROR(IF($U304="",1,INDEX(Deals!$W$2:$W$355,MATCH($C304,Deals!$A$2:$A$355,0))),1)</f>
        <v/>
      </c>
      <c r="U304" s="22">
        <f>IF($C304="","",IFERROR(IF(INDEX(Deals!$Y$2:$Y$355,MATCH($C304,Deals!$A$2:$A$355,0))=0,"",INDEX(Deals!$Y$2:$Y$355,MATCH($C304,Deals!$A$2:$A$355,0))),""))</f>
        <v/>
      </c>
      <c r="V304" s="35">
        <f>IF($U304="",DATE(1900,1,1),$N304)</f>
        <v/>
      </c>
      <c r="W304" s="35">
        <f>IF($U304="",DATE(2100,12,31),$U304)</f>
        <v/>
      </c>
      <c r="X304" s="32">
        <f>IF($U304="",$K304,$K304*$S304)</f>
        <v/>
      </c>
      <c r="Y304" s="35">
        <f>IF($U304="",DATE(2100,12,31),$U304+1)</f>
        <v/>
      </c>
      <c r="Z304" s="35">
        <f>IF($U304="",DATE(1900,1,1),$O304)</f>
        <v/>
      </c>
      <c r="AA304" s="32">
        <f>IF($U304="",0,$K304*$T304)</f>
        <v/>
      </c>
      <c r="AB304" s="21">
        <f>IF($C304="",0,IFERROR(INDEX(Deals!$AD$2:$AD$355,MATCH($C304,Deals!$A$2:$A$355,0)),0))</f>
        <v/>
      </c>
      <c r="AC304" s="32">
        <f>IF(Settings!$B$4="Yes",$I304*$AB304,$I304)</f>
        <v/>
      </c>
      <c r="AD304" s="22">
        <f>IF($C304="","",IFERROR(IF(INDEX(Deals!$AE$2:$AE$355,MATCH($C304,Deals!$A$2:$A$355,0))=0,"",INDEX(Deals!$AE$2:$AE$355,MATCH($C304,Deals!$A$2:$A$355,0))),""))</f>
        <v/>
      </c>
      <c r="AE304" s="22">
        <f>IF($C304="","",IFERROR(IF(INDEX(Deals!$AF$2:$AF$355,MATCH($C304,Deals!$A$2:$A$355,0))=0,"",INDEX(Deals!$AF$2:$AF$355,MATCH($C304,Deals!$A$2:$A$355,0))),""))</f>
        <v/>
      </c>
      <c r="AF304" s="35">
        <f>IF($AD304="",DATE(1900,1,1),$AD304)</f>
        <v/>
      </c>
      <c r="AG304" s="35">
        <f>IF($AE304="",DATE(2100,12,31),$AE304)</f>
        <v/>
      </c>
      <c r="AH304" s="22">
        <f>IF($C304="","",IFERROR(IF(INDEX(Deals!$AG$2:$AG$355,MATCH($C304,Deals!$A$2:$A$355,0))=0,"",INDEX(Deals!$AG$2:$AG$355,MATCH($C304,Deals!$A$2:$A$355,0))),""))</f>
        <v/>
      </c>
      <c r="AI304" s="35">
        <f>IF($AH304="",DATE(1900,1,1),$AF304)</f>
        <v/>
      </c>
      <c r="AJ304" s="35">
        <f>IF($AH304="",DATE(2100,12,31),$AH304)</f>
        <v/>
      </c>
      <c r="AK304" s="32">
        <f>IF($AH304="",$AC304,$AC304*$S304)</f>
        <v/>
      </c>
      <c r="AL304" s="35">
        <f>IF($AH304="",DATE(2100,12,31),$AH304+1)</f>
        <v/>
      </c>
      <c r="AM304" s="35">
        <f>IF($AH304="",DATE(1900,1,1),$AG304)</f>
        <v/>
      </c>
      <c r="AN304" s="32">
        <f>IF($AH304="",0,$AC304*$T304)</f>
        <v/>
      </c>
    </row>
    <row r="305">
      <c r="A305" s="28" t="inlineStr">
        <is>
          <t>Lauren</t>
        </is>
      </c>
      <c r="B305" s="16">
        <f>IF($A305="","",IFERROR(INDEX(Roster!$B$2:$B$40,MATCH($A305,Roster!$A$2:$A$40,0)),"?"))</f>
        <v/>
      </c>
      <c r="C305" s="28" t="inlineStr">
        <is>
          <t>Edward_1</t>
        </is>
      </c>
      <c r="D305" s="16">
        <f>IF($C305="","",IFERROR(IF(INDEX(Deals!$C$2:$C$355,MATCH($C305,Deals!$A$2:$A$355,0))=0,"",INDEX(Deals!$C$2:$C$355,MATCH($C305,Deals!$A$2:$A$355,0))),"?"))</f>
        <v/>
      </c>
      <c r="E305" s="16">
        <f>IF($C305="","",IFERROR(INDEX(Deals!$F$2:$F$355,MATCH($C305,Deals!$A$2:$A$355,0)),"?"))</f>
        <v/>
      </c>
      <c r="F305" s="28" t="inlineStr">
        <is>
          <t>Director</t>
        </is>
      </c>
      <c r="G305" s="28" t="inlineStr">
        <is>
          <t>Inactive</t>
        </is>
      </c>
      <c r="H305" s="31" t="n"/>
      <c r="I305" s="32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1">
        <f>IF($C305="",0,IFERROR(INDEX(Deals!$H$2:$H$355,MATCH($C305,Deals!$A$2:$A$355,0)),0))</f>
        <v/>
      </c>
      <c r="K305" s="32">
        <f>IF(Settings!$B$4="Yes",$I305*$J305,$I305)</f>
        <v/>
      </c>
      <c r="L305" s="22">
        <f>IF($C305="","",IFERROR(IF(INDEX(Deals!$I$2:$I$355,MATCH($C305,Deals!$A$2:$A$355,0))=0,"",INDEX(Deals!$I$2:$I$355,MATCH($C305,Deals!$A$2:$A$355,0))),""))</f>
        <v/>
      </c>
      <c r="M305" s="22">
        <f>IF($C305="","",IFERROR(IF(INDEX(Deals!$J$2:$J$355,MATCH($C305,Deals!$A$2:$A$355,0))=0,"",INDEX(Deals!$J$2:$J$355,MATCH($C305,Deals!$A$2:$A$355,0))),""))</f>
        <v/>
      </c>
      <c r="N305" s="35">
        <f>IF($L305="",DATE(1900,1,1),$L305)</f>
        <v/>
      </c>
      <c r="O305" s="35">
        <f>IF($M305="",DATE(2100,12,31),$M305)</f>
        <v/>
      </c>
      <c r="P305" s="20" t="inlineStr"/>
      <c r="Q305" s="43" t="inlineStr">
        <is>
          <t>Deal lifecycle is Closed</t>
        </is>
      </c>
      <c r="R305" s="16">
        <f>IF($C305="","",IFERROR(IF(INDEX(Deals!$U$2:$U$355,MATCH($C305,Deals!$A$2:$A$355,0))=0,"",INDEX(Deals!$U$2:$U$355,MATCH($C305,Deals!$A$2:$A$355,0))),""))</f>
        <v/>
      </c>
      <c r="S305" s="34">
        <f>IFERROR(IF($U305="",1,INDEX(Deals!$V$2:$V$355,MATCH($C305,Deals!$A$2:$A$355,0))),1)</f>
        <v/>
      </c>
      <c r="T305" s="34">
        <f>IFERROR(IF($U305="",1,INDEX(Deals!$W$2:$W$355,MATCH($C305,Deals!$A$2:$A$355,0))),1)</f>
        <v/>
      </c>
      <c r="U305" s="22">
        <f>IF($C305="","",IFERROR(IF(INDEX(Deals!$Y$2:$Y$355,MATCH($C305,Deals!$A$2:$A$355,0))=0,"",INDEX(Deals!$Y$2:$Y$355,MATCH($C305,Deals!$A$2:$A$355,0))),""))</f>
        <v/>
      </c>
      <c r="V305" s="35">
        <f>IF($U305="",DATE(1900,1,1),$N305)</f>
        <v/>
      </c>
      <c r="W305" s="35">
        <f>IF($U305="",DATE(2100,12,31),$U305)</f>
        <v/>
      </c>
      <c r="X305" s="32">
        <f>IF($U305="",$K305,$K305*$S305)</f>
        <v/>
      </c>
      <c r="Y305" s="35">
        <f>IF($U305="",DATE(2100,12,31),$U305+1)</f>
        <v/>
      </c>
      <c r="Z305" s="35">
        <f>IF($U305="",DATE(1900,1,1),$O305)</f>
        <v/>
      </c>
      <c r="AA305" s="32">
        <f>IF($U305="",0,$K305*$T305)</f>
        <v/>
      </c>
      <c r="AB305" s="21">
        <f>IF($C305="",0,IFERROR(INDEX(Deals!$AD$2:$AD$355,MATCH($C305,Deals!$A$2:$A$355,0)),0))</f>
        <v/>
      </c>
      <c r="AC305" s="32">
        <f>IF(Settings!$B$4="Yes",$I305*$AB305,$I305)</f>
        <v/>
      </c>
      <c r="AD305" s="22">
        <f>IF($C305="","",IFERROR(IF(INDEX(Deals!$AE$2:$AE$355,MATCH($C305,Deals!$A$2:$A$355,0))=0,"",INDEX(Deals!$AE$2:$AE$355,MATCH($C305,Deals!$A$2:$A$355,0))),""))</f>
        <v/>
      </c>
      <c r="AE305" s="22">
        <f>IF($C305="","",IFERROR(IF(INDEX(Deals!$AF$2:$AF$355,MATCH($C305,Deals!$A$2:$A$355,0))=0,"",INDEX(Deals!$AF$2:$AF$355,MATCH($C305,Deals!$A$2:$A$355,0))),""))</f>
        <v/>
      </c>
      <c r="AF305" s="35">
        <f>IF($AD305="",DATE(1900,1,1),$AD305)</f>
        <v/>
      </c>
      <c r="AG305" s="35">
        <f>IF($AE305="",DATE(2100,12,31),$AE305)</f>
        <v/>
      </c>
      <c r="AH305" s="22">
        <f>IF($C305="","",IFERROR(IF(INDEX(Deals!$AG$2:$AG$355,MATCH($C305,Deals!$A$2:$A$355,0))=0,"",INDEX(Deals!$AG$2:$AG$355,MATCH($C305,Deals!$A$2:$A$355,0))),""))</f>
        <v/>
      </c>
      <c r="AI305" s="35">
        <f>IF($AH305="",DATE(1900,1,1),$AF305)</f>
        <v/>
      </c>
      <c r="AJ305" s="35">
        <f>IF($AH305="",DATE(2100,12,31),$AH305)</f>
        <v/>
      </c>
      <c r="AK305" s="32">
        <f>IF($AH305="",$AC305,$AC305*$S305)</f>
        <v/>
      </c>
      <c r="AL305" s="35">
        <f>IF($AH305="",DATE(2100,12,31),$AH305+1)</f>
        <v/>
      </c>
      <c r="AM305" s="35">
        <f>IF($AH305="",DATE(1900,1,1),$AG305)</f>
        <v/>
      </c>
      <c r="AN305" s="32">
        <f>IF($AH305="",0,$AC305*$T305)</f>
        <v/>
      </c>
    </row>
    <row r="306">
      <c r="A306" s="28" t="inlineStr">
        <is>
          <t>Lauren</t>
        </is>
      </c>
      <c r="B306" s="16">
        <f>IF($A306="","",IFERROR(INDEX(Roster!$B$2:$B$40,MATCH($A306,Roster!$A$2:$A$40,0)),"?"))</f>
        <v/>
      </c>
      <c r="C306" s="28" t="inlineStr">
        <is>
          <t>Gemini</t>
        </is>
      </c>
      <c r="D306" s="16">
        <f>IF($C306="","",IFERROR(IF(INDEX(Deals!$C$2:$C$355,MATCH($C306,Deals!$A$2:$A$355,0))=0,"",INDEX(Deals!$C$2:$C$355,MATCH($C306,Deals!$A$2:$A$355,0))),"?"))</f>
        <v/>
      </c>
      <c r="E306" s="16">
        <f>IF($C306="","",IFERROR(INDEX(Deals!$F$2:$F$355,MATCH($C306,Deals!$A$2:$A$355,0)),"?"))</f>
        <v/>
      </c>
      <c r="F306" s="28" t="inlineStr">
        <is>
          <t>Director</t>
        </is>
      </c>
      <c r="G306" s="28" t="inlineStr">
        <is>
          <t>Active</t>
        </is>
      </c>
      <c r="H306" s="31" t="n"/>
      <c r="I306" s="32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1">
        <f>IF($C306="",0,IFERROR(INDEX(Deals!$H$2:$H$355,MATCH($C306,Deals!$A$2:$A$355,0)),0))</f>
        <v/>
      </c>
      <c r="K306" s="32">
        <f>IF(Settings!$B$4="Yes",$I306*$J306,$I306)</f>
        <v/>
      </c>
      <c r="L306" s="22">
        <f>IF($C306="","",IFERROR(IF(INDEX(Deals!$I$2:$I$355,MATCH($C306,Deals!$A$2:$A$355,0))=0,"",INDEX(Deals!$I$2:$I$355,MATCH($C306,Deals!$A$2:$A$355,0))),""))</f>
        <v/>
      </c>
      <c r="M306" s="22">
        <f>IF($C306="","",IFERROR(IF(INDEX(Deals!$J$2:$J$355,MATCH($C306,Deals!$A$2:$A$355,0))=0,"",INDEX(Deals!$J$2:$J$355,MATCH($C306,Deals!$A$2:$A$355,0))),""))</f>
        <v/>
      </c>
      <c r="N306" s="35">
        <f>IF($L306="",DATE(1900,1,1),$L306)</f>
        <v/>
      </c>
      <c r="O306" s="35">
        <f>IF($M306="",DATE(2100,12,31),$M306)</f>
        <v/>
      </c>
      <c r="P306" s="20" t="inlineStr"/>
      <c r="Q306" s="43" t="inlineStr"/>
      <c r="R306" s="16">
        <f>IF($C306="","",IFERROR(IF(INDEX(Deals!$U$2:$U$355,MATCH($C306,Deals!$A$2:$A$355,0))=0,"",INDEX(Deals!$U$2:$U$355,MATCH($C306,Deals!$A$2:$A$355,0))),""))</f>
        <v/>
      </c>
      <c r="S306" s="34">
        <f>IFERROR(IF($U306="",1,INDEX(Deals!$V$2:$V$355,MATCH($C306,Deals!$A$2:$A$355,0))),1)</f>
        <v/>
      </c>
      <c r="T306" s="34">
        <f>IFERROR(IF($U306="",1,INDEX(Deals!$W$2:$W$355,MATCH($C306,Deals!$A$2:$A$355,0))),1)</f>
        <v/>
      </c>
      <c r="U306" s="22">
        <f>IF($C306="","",IFERROR(IF(INDEX(Deals!$Y$2:$Y$355,MATCH($C306,Deals!$A$2:$A$355,0))=0,"",INDEX(Deals!$Y$2:$Y$355,MATCH($C306,Deals!$A$2:$A$355,0))),""))</f>
        <v/>
      </c>
      <c r="V306" s="35">
        <f>IF($U306="",DATE(1900,1,1),$N306)</f>
        <v/>
      </c>
      <c r="W306" s="35">
        <f>IF($U306="",DATE(2100,12,31),$U306)</f>
        <v/>
      </c>
      <c r="X306" s="32">
        <f>IF($U306="",$K306,$K306*$S306)</f>
        <v/>
      </c>
      <c r="Y306" s="35">
        <f>IF($U306="",DATE(2100,12,31),$U306+1)</f>
        <v/>
      </c>
      <c r="Z306" s="35">
        <f>IF($U306="",DATE(1900,1,1),$O306)</f>
        <v/>
      </c>
      <c r="AA306" s="32">
        <f>IF($U306="",0,$K306*$T306)</f>
        <v/>
      </c>
      <c r="AB306" s="21">
        <f>IF($C306="",0,IFERROR(INDEX(Deals!$AD$2:$AD$355,MATCH($C306,Deals!$A$2:$A$355,0)),0))</f>
        <v/>
      </c>
      <c r="AC306" s="32">
        <f>IF(Settings!$B$4="Yes",$I306*$AB306,$I306)</f>
        <v/>
      </c>
      <c r="AD306" s="22">
        <f>IF($C306="","",IFERROR(IF(INDEX(Deals!$AE$2:$AE$355,MATCH($C306,Deals!$A$2:$A$355,0))=0,"",INDEX(Deals!$AE$2:$AE$355,MATCH($C306,Deals!$A$2:$A$355,0))),""))</f>
        <v/>
      </c>
      <c r="AE306" s="22">
        <f>IF($C306="","",IFERROR(IF(INDEX(Deals!$AF$2:$AF$355,MATCH($C306,Deals!$A$2:$A$355,0))=0,"",INDEX(Deals!$AF$2:$AF$355,MATCH($C306,Deals!$A$2:$A$355,0))),""))</f>
        <v/>
      </c>
      <c r="AF306" s="35">
        <f>IF($AD306="",DATE(1900,1,1),$AD306)</f>
        <v/>
      </c>
      <c r="AG306" s="35">
        <f>IF($AE306="",DATE(2100,12,31),$AE306)</f>
        <v/>
      </c>
      <c r="AH306" s="22">
        <f>IF($C306="","",IFERROR(IF(INDEX(Deals!$AG$2:$AG$355,MATCH($C306,Deals!$A$2:$A$355,0))=0,"",INDEX(Deals!$AG$2:$AG$355,MATCH($C306,Deals!$A$2:$A$355,0))),""))</f>
        <v/>
      </c>
      <c r="AI306" s="35">
        <f>IF($AH306="",DATE(1900,1,1),$AF306)</f>
        <v/>
      </c>
      <c r="AJ306" s="35">
        <f>IF($AH306="",DATE(2100,12,31),$AH306)</f>
        <v/>
      </c>
      <c r="AK306" s="32">
        <f>IF($AH306="",$AC306,$AC306*$S306)</f>
        <v/>
      </c>
      <c r="AL306" s="35">
        <f>IF($AH306="",DATE(2100,12,31),$AH306+1)</f>
        <v/>
      </c>
      <c r="AM306" s="35">
        <f>IF($AH306="",DATE(1900,1,1),$AG306)</f>
        <v/>
      </c>
      <c r="AN306" s="32">
        <f>IF($AH306="",0,$AC306*$T306)</f>
        <v/>
      </c>
    </row>
    <row r="307">
      <c r="A307" s="28" t="inlineStr">
        <is>
          <t>Lauren</t>
        </is>
      </c>
      <c r="B307" s="16">
        <f>IF($A307="","",IFERROR(INDEX(Roster!$B$2:$B$40,MATCH($A307,Roster!$A$2:$A$40,0)),"?"))</f>
        <v/>
      </c>
      <c r="C307" s="28" t="inlineStr">
        <is>
          <t>Maple_4</t>
        </is>
      </c>
      <c r="D307" s="16">
        <f>IF($C307="","",IFERROR(IF(INDEX(Deals!$C$2:$C$355,MATCH($C307,Deals!$A$2:$A$355,0))=0,"",INDEX(Deals!$C$2:$C$355,MATCH($C307,Deals!$A$2:$A$355,0))),"?"))</f>
        <v/>
      </c>
      <c r="E307" s="16">
        <f>IF($C307="","",IFERROR(INDEX(Deals!$F$2:$F$355,MATCH($C307,Deals!$A$2:$A$355,0)),"?"))</f>
        <v/>
      </c>
      <c r="F307" s="28" t="inlineStr">
        <is>
          <t>Director</t>
        </is>
      </c>
      <c r="G307" s="28" t="inlineStr">
        <is>
          <t>Active</t>
        </is>
      </c>
      <c r="H307" s="31" t="n"/>
      <c r="I307" s="32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1">
        <f>IF($C307="",0,IFERROR(INDEX(Deals!$H$2:$H$355,MATCH($C307,Deals!$A$2:$A$355,0)),0))</f>
        <v/>
      </c>
      <c r="K307" s="32">
        <f>IF(Settings!$B$4="Yes",$I307*$J307,$I307)</f>
        <v/>
      </c>
      <c r="L307" s="22">
        <f>IF($C307="","",IFERROR(IF(INDEX(Deals!$I$2:$I$355,MATCH($C307,Deals!$A$2:$A$355,0))=0,"",INDEX(Deals!$I$2:$I$355,MATCH($C307,Deals!$A$2:$A$355,0))),""))</f>
        <v/>
      </c>
      <c r="M307" s="22">
        <f>IF($C307="","",IFERROR(IF(INDEX(Deals!$J$2:$J$355,MATCH($C307,Deals!$A$2:$A$355,0))=0,"",INDEX(Deals!$J$2:$J$355,MATCH($C307,Deals!$A$2:$A$355,0))),""))</f>
        <v/>
      </c>
      <c r="N307" s="35">
        <f>IF($L307="",DATE(1900,1,1),$L307)</f>
        <v/>
      </c>
      <c r="O307" s="35">
        <f>IF($M307="",DATE(2100,12,31),$M307)</f>
        <v/>
      </c>
      <c r="P307" s="20" t="inlineStr"/>
      <c r="Q307" s="43" t="inlineStr"/>
      <c r="R307" s="16">
        <f>IF($C307="","",IFERROR(IF(INDEX(Deals!$U$2:$U$355,MATCH($C307,Deals!$A$2:$A$355,0))=0,"",INDEX(Deals!$U$2:$U$355,MATCH($C307,Deals!$A$2:$A$355,0))),""))</f>
        <v/>
      </c>
      <c r="S307" s="34">
        <f>IFERROR(IF($U307="",1,INDEX(Deals!$V$2:$V$355,MATCH($C307,Deals!$A$2:$A$355,0))),1)</f>
        <v/>
      </c>
      <c r="T307" s="34">
        <f>IFERROR(IF($U307="",1,INDEX(Deals!$W$2:$W$355,MATCH($C307,Deals!$A$2:$A$355,0))),1)</f>
        <v/>
      </c>
      <c r="U307" s="22">
        <f>IF($C307="","",IFERROR(IF(INDEX(Deals!$Y$2:$Y$355,MATCH($C307,Deals!$A$2:$A$355,0))=0,"",INDEX(Deals!$Y$2:$Y$355,MATCH($C307,Deals!$A$2:$A$355,0))),""))</f>
        <v/>
      </c>
      <c r="V307" s="35">
        <f>IF($U307="",DATE(1900,1,1),$N307)</f>
        <v/>
      </c>
      <c r="W307" s="35">
        <f>IF($U307="",DATE(2100,12,31),$U307)</f>
        <v/>
      </c>
      <c r="X307" s="32">
        <f>IF($U307="",$K307,$K307*$S307)</f>
        <v/>
      </c>
      <c r="Y307" s="35">
        <f>IF($U307="",DATE(2100,12,31),$U307+1)</f>
        <v/>
      </c>
      <c r="Z307" s="35">
        <f>IF($U307="",DATE(1900,1,1),$O307)</f>
        <v/>
      </c>
      <c r="AA307" s="32">
        <f>IF($U307="",0,$K307*$T307)</f>
        <v/>
      </c>
      <c r="AB307" s="21">
        <f>IF($C307="",0,IFERROR(INDEX(Deals!$AD$2:$AD$355,MATCH($C307,Deals!$A$2:$A$355,0)),0))</f>
        <v/>
      </c>
      <c r="AC307" s="32">
        <f>IF(Settings!$B$4="Yes",$I307*$AB307,$I307)</f>
        <v/>
      </c>
      <c r="AD307" s="22">
        <f>IF($C307="","",IFERROR(IF(INDEX(Deals!$AE$2:$AE$355,MATCH($C307,Deals!$A$2:$A$355,0))=0,"",INDEX(Deals!$AE$2:$AE$355,MATCH($C307,Deals!$A$2:$A$355,0))),""))</f>
        <v/>
      </c>
      <c r="AE307" s="22">
        <f>IF($C307="","",IFERROR(IF(INDEX(Deals!$AF$2:$AF$355,MATCH($C307,Deals!$A$2:$A$355,0))=0,"",INDEX(Deals!$AF$2:$AF$355,MATCH($C307,Deals!$A$2:$A$355,0))),""))</f>
        <v/>
      </c>
      <c r="AF307" s="35">
        <f>IF($AD307="",DATE(1900,1,1),$AD307)</f>
        <v/>
      </c>
      <c r="AG307" s="35">
        <f>IF($AE307="",DATE(2100,12,31),$AE307)</f>
        <v/>
      </c>
      <c r="AH307" s="22">
        <f>IF($C307="","",IFERROR(IF(INDEX(Deals!$AG$2:$AG$355,MATCH($C307,Deals!$A$2:$A$355,0))=0,"",INDEX(Deals!$AG$2:$AG$355,MATCH($C307,Deals!$A$2:$A$355,0))),""))</f>
        <v/>
      </c>
      <c r="AI307" s="35">
        <f>IF($AH307="",DATE(1900,1,1),$AF307)</f>
        <v/>
      </c>
      <c r="AJ307" s="35">
        <f>IF($AH307="",DATE(2100,12,31),$AH307)</f>
        <v/>
      </c>
      <c r="AK307" s="32">
        <f>IF($AH307="",$AC307,$AC307*$S307)</f>
        <v/>
      </c>
      <c r="AL307" s="35">
        <f>IF($AH307="",DATE(2100,12,31),$AH307+1)</f>
        <v/>
      </c>
      <c r="AM307" s="35">
        <f>IF($AH307="",DATE(1900,1,1),$AG307)</f>
        <v/>
      </c>
      <c r="AN307" s="32">
        <f>IF($AH307="",0,$AC307*$T307)</f>
        <v/>
      </c>
    </row>
    <row r="308">
      <c r="A308" s="28" t="inlineStr">
        <is>
          <t>Lauren</t>
        </is>
      </c>
      <c r="B308" s="16">
        <f>IF($A308="","",IFERROR(INDEX(Roster!$B$2:$B$40,MATCH($A308,Roster!$A$2:$A$40,0)),"?"))</f>
        <v/>
      </c>
      <c r="C308" s="28" t="inlineStr">
        <is>
          <t>Marigold_2</t>
        </is>
      </c>
      <c r="D308" s="16">
        <f>IF($C308="","",IFERROR(IF(INDEX(Deals!$C$2:$C$355,MATCH($C308,Deals!$A$2:$A$355,0))=0,"",INDEX(Deals!$C$2:$C$355,MATCH($C308,Deals!$A$2:$A$355,0))),"?"))</f>
        <v/>
      </c>
      <c r="E308" s="16">
        <f>IF($C308="","",IFERROR(INDEX(Deals!$F$2:$F$355,MATCH($C308,Deals!$A$2:$A$355,0)),"?"))</f>
        <v/>
      </c>
      <c r="F308" s="28" t="inlineStr">
        <is>
          <t>Director</t>
        </is>
      </c>
      <c r="G308" s="28" t="inlineStr">
        <is>
          <t>Active</t>
        </is>
      </c>
      <c r="H308" s="31" t="n"/>
      <c r="I308" s="32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1">
        <f>IF($C308="",0,IFERROR(INDEX(Deals!$H$2:$H$355,MATCH($C308,Deals!$A$2:$A$355,0)),0))</f>
        <v/>
      </c>
      <c r="K308" s="32">
        <f>IF(Settings!$B$4="Yes",$I308*$J308,$I308)</f>
        <v/>
      </c>
      <c r="L308" s="22">
        <f>IF($C308="","",IFERROR(IF(INDEX(Deals!$I$2:$I$355,MATCH($C308,Deals!$A$2:$A$355,0))=0,"",INDEX(Deals!$I$2:$I$355,MATCH($C308,Deals!$A$2:$A$355,0))),""))</f>
        <v/>
      </c>
      <c r="M308" s="22">
        <f>IF($C308="","",IFERROR(IF(INDEX(Deals!$J$2:$J$355,MATCH($C308,Deals!$A$2:$A$355,0))=0,"",INDEX(Deals!$J$2:$J$355,MATCH($C308,Deals!$A$2:$A$355,0))),""))</f>
        <v/>
      </c>
      <c r="N308" s="35">
        <f>IF($L308="",DATE(1900,1,1),$L308)</f>
        <v/>
      </c>
      <c r="O308" s="35">
        <f>IF($M308="",DATE(2100,12,31),$M308)</f>
        <v/>
      </c>
      <c r="P308" s="20" t="inlineStr"/>
      <c r="Q308" s="43" t="inlineStr"/>
      <c r="R308" s="16">
        <f>IF($C308="","",IFERROR(IF(INDEX(Deals!$U$2:$U$355,MATCH($C308,Deals!$A$2:$A$355,0))=0,"",INDEX(Deals!$U$2:$U$355,MATCH($C308,Deals!$A$2:$A$355,0))),""))</f>
        <v/>
      </c>
      <c r="S308" s="34">
        <f>IFERROR(IF($U308="",1,INDEX(Deals!$V$2:$V$355,MATCH($C308,Deals!$A$2:$A$355,0))),1)</f>
        <v/>
      </c>
      <c r="T308" s="34">
        <f>IFERROR(IF($U308="",1,INDEX(Deals!$W$2:$W$355,MATCH($C308,Deals!$A$2:$A$355,0))),1)</f>
        <v/>
      </c>
      <c r="U308" s="22">
        <f>IF($C308="","",IFERROR(IF(INDEX(Deals!$Y$2:$Y$355,MATCH($C308,Deals!$A$2:$A$355,0))=0,"",INDEX(Deals!$Y$2:$Y$355,MATCH($C308,Deals!$A$2:$A$355,0))),""))</f>
        <v/>
      </c>
      <c r="V308" s="35">
        <f>IF($U308="",DATE(1900,1,1),$N308)</f>
        <v/>
      </c>
      <c r="W308" s="35">
        <f>IF($U308="",DATE(2100,12,31),$U308)</f>
        <v/>
      </c>
      <c r="X308" s="32">
        <f>IF($U308="",$K308,$K308*$S308)</f>
        <v/>
      </c>
      <c r="Y308" s="35">
        <f>IF($U308="",DATE(2100,12,31),$U308+1)</f>
        <v/>
      </c>
      <c r="Z308" s="35">
        <f>IF($U308="",DATE(1900,1,1),$O308)</f>
        <v/>
      </c>
      <c r="AA308" s="32">
        <f>IF($U308="",0,$K308*$T308)</f>
        <v/>
      </c>
      <c r="AB308" s="21">
        <f>IF($C308="",0,IFERROR(INDEX(Deals!$AD$2:$AD$355,MATCH($C308,Deals!$A$2:$A$355,0)),0))</f>
        <v/>
      </c>
      <c r="AC308" s="32">
        <f>IF(Settings!$B$4="Yes",$I308*$AB308,$I308)</f>
        <v/>
      </c>
      <c r="AD308" s="22">
        <f>IF($C308="","",IFERROR(IF(INDEX(Deals!$AE$2:$AE$355,MATCH($C308,Deals!$A$2:$A$355,0))=0,"",INDEX(Deals!$AE$2:$AE$355,MATCH($C308,Deals!$A$2:$A$355,0))),""))</f>
        <v/>
      </c>
      <c r="AE308" s="22">
        <f>IF($C308="","",IFERROR(IF(INDEX(Deals!$AF$2:$AF$355,MATCH($C308,Deals!$A$2:$A$355,0))=0,"",INDEX(Deals!$AF$2:$AF$355,MATCH($C308,Deals!$A$2:$A$355,0))),""))</f>
        <v/>
      </c>
      <c r="AF308" s="35">
        <f>IF($AD308="",DATE(1900,1,1),$AD308)</f>
        <v/>
      </c>
      <c r="AG308" s="35">
        <f>IF($AE308="",DATE(2100,12,31),$AE308)</f>
        <v/>
      </c>
      <c r="AH308" s="22">
        <f>IF($C308="","",IFERROR(IF(INDEX(Deals!$AG$2:$AG$355,MATCH($C308,Deals!$A$2:$A$355,0))=0,"",INDEX(Deals!$AG$2:$AG$355,MATCH($C308,Deals!$A$2:$A$355,0))),""))</f>
        <v/>
      </c>
      <c r="AI308" s="35">
        <f>IF($AH308="",DATE(1900,1,1),$AF308)</f>
        <v/>
      </c>
      <c r="AJ308" s="35">
        <f>IF($AH308="",DATE(2100,12,31),$AH308)</f>
        <v/>
      </c>
      <c r="AK308" s="32">
        <f>IF($AH308="",$AC308,$AC308*$S308)</f>
        <v/>
      </c>
      <c r="AL308" s="35">
        <f>IF($AH308="",DATE(2100,12,31),$AH308+1)</f>
        <v/>
      </c>
      <c r="AM308" s="35">
        <f>IF($AH308="",DATE(1900,1,1),$AG308)</f>
        <v/>
      </c>
      <c r="AN308" s="32">
        <f>IF($AH308="",0,$AC308*$T308)</f>
        <v/>
      </c>
    </row>
    <row r="309">
      <c r="A309" s="28" t="inlineStr">
        <is>
          <t>Lauren</t>
        </is>
      </c>
      <c r="B309" s="16">
        <f>IF($A309="","",IFERROR(INDEX(Roster!$B$2:$B$40,MATCH($A309,Roster!$A$2:$A$40,0)),"?"))</f>
        <v/>
      </c>
      <c r="C309" s="28" t="inlineStr">
        <is>
          <t>NXT Add_1</t>
        </is>
      </c>
      <c r="D309" s="16">
        <f>IF($C309="","",IFERROR(IF(INDEX(Deals!$C$2:$C$355,MATCH($C309,Deals!$A$2:$A$355,0))=0,"",INDEX(Deals!$C$2:$C$355,MATCH($C309,Deals!$A$2:$A$355,0))),"?"))</f>
        <v/>
      </c>
      <c r="E309" s="16">
        <f>IF($C309="","",IFERROR(INDEX(Deals!$F$2:$F$355,MATCH($C309,Deals!$A$2:$A$355,0)),"?"))</f>
        <v/>
      </c>
      <c r="F309" s="28" t="inlineStr">
        <is>
          <t>Director</t>
        </is>
      </c>
      <c r="G309" s="28" t="inlineStr">
        <is>
          <t>Active</t>
        </is>
      </c>
      <c r="H309" s="31" t="n"/>
      <c r="I309" s="32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1">
        <f>IF($C309="",0,IFERROR(INDEX(Deals!$H$2:$H$355,MATCH($C309,Deals!$A$2:$A$355,0)),0))</f>
        <v/>
      </c>
      <c r="K309" s="32">
        <f>IF(Settings!$B$4="Yes",$I309*$J309,$I309)</f>
        <v/>
      </c>
      <c r="L309" s="22">
        <f>IF($C309="","",IFERROR(IF(INDEX(Deals!$I$2:$I$355,MATCH($C309,Deals!$A$2:$A$355,0))=0,"",INDEX(Deals!$I$2:$I$355,MATCH($C309,Deals!$A$2:$A$355,0))),""))</f>
        <v/>
      </c>
      <c r="M309" s="22">
        <f>IF($C309="","",IFERROR(IF(INDEX(Deals!$J$2:$J$355,MATCH($C309,Deals!$A$2:$A$355,0))=0,"",INDEX(Deals!$J$2:$J$355,MATCH($C309,Deals!$A$2:$A$355,0))),""))</f>
        <v/>
      </c>
      <c r="N309" s="35">
        <f>IF($L309="",DATE(1900,1,1),$L309)</f>
        <v/>
      </c>
      <c r="O309" s="35">
        <f>IF($M309="",DATE(2100,12,31),$M309)</f>
        <v/>
      </c>
      <c r="P309" s="20" t="inlineStr"/>
      <c r="Q309" s="43" t="inlineStr"/>
      <c r="R309" s="16">
        <f>IF($C309="","",IFERROR(IF(INDEX(Deals!$U$2:$U$355,MATCH($C309,Deals!$A$2:$A$355,0))=0,"",INDEX(Deals!$U$2:$U$355,MATCH($C309,Deals!$A$2:$A$355,0))),""))</f>
        <v/>
      </c>
      <c r="S309" s="34">
        <f>IFERROR(IF($U309="",1,INDEX(Deals!$V$2:$V$355,MATCH($C309,Deals!$A$2:$A$355,0))),1)</f>
        <v/>
      </c>
      <c r="T309" s="34">
        <f>IFERROR(IF($U309="",1,INDEX(Deals!$W$2:$W$355,MATCH($C309,Deals!$A$2:$A$355,0))),1)</f>
        <v/>
      </c>
      <c r="U309" s="22">
        <f>IF($C309="","",IFERROR(IF(INDEX(Deals!$Y$2:$Y$355,MATCH($C309,Deals!$A$2:$A$355,0))=0,"",INDEX(Deals!$Y$2:$Y$355,MATCH($C309,Deals!$A$2:$A$355,0))),""))</f>
        <v/>
      </c>
      <c r="V309" s="35">
        <f>IF($U309="",DATE(1900,1,1),$N309)</f>
        <v/>
      </c>
      <c r="W309" s="35">
        <f>IF($U309="",DATE(2100,12,31),$U309)</f>
        <v/>
      </c>
      <c r="X309" s="32">
        <f>IF($U309="",$K309,$K309*$S309)</f>
        <v/>
      </c>
      <c r="Y309" s="35">
        <f>IF($U309="",DATE(2100,12,31),$U309+1)</f>
        <v/>
      </c>
      <c r="Z309" s="35">
        <f>IF($U309="",DATE(1900,1,1),$O309)</f>
        <v/>
      </c>
      <c r="AA309" s="32">
        <f>IF($U309="",0,$K309*$T309)</f>
        <v/>
      </c>
      <c r="AB309" s="21">
        <f>IF($C309="",0,IFERROR(INDEX(Deals!$AD$2:$AD$355,MATCH($C309,Deals!$A$2:$A$355,0)),0))</f>
        <v/>
      </c>
      <c r="AC309" s="32">
        <f>IF(Settings!$B$4="Yes",$I309*$AB309,$I309)</f>
        <v/>
      </c>
      <c r="AD309" s="22">
        <f>IF($C309="","",IFERROR(IF(INDEX(Deals!$AE$2:$AE$355,MATCH($C309,Deals!$A$2:$A$355,0))=0,"",INDEX(Deals!$AE$2:$AE$355,MATCH($C309,Deals!$A$2:$A$355,0))),""))</f>
        <v/>
      </c>
      <c r="AE309" s="22">
        <f>IF($C309="","",IFERROR(IF(INDEX(Deals!$AF$2:$AF$355,MATCH($C309,Deals!$A$2:$A$355,0))=0,"",INDEX(Deals!$AF$2:$AF$355,MATCH($C309,Deals!$A$2:$A$355,0))),""))</f>
        <v/>
      </c>
      <c r="AF309" s="35">
        <f>IF($AD309="",DATE(1900,1,1),$AD309)</f>
        <v/>
      </c>
      <c r="AG309" s="35">
        <f>IF($AE309="",DATE(2100,12,31),$AE309)</f>
        <v/>
      </c>
      <c r="AH309" s="22">
        <f>IF($C309="","",IFERROR(IF(INDEX(Deals!$AG$2:$AG$355,MATCH($C309,Deals!$A$2:$A$355,0))=0,"",INDEX(Deals!$AG$2:$AG$355,MATCH($C309,Deals!$A$2:$A$355,0))),""))</f>
        <v/>
      </c>
      <c r="AI309" s="35">
        <f>IF($AH309="",DATE(1900,1,1),$AF309)</f>
        <v/>
      </c>
      <c r="AJ309" s="35">
        <f>IF($AH309="",DATE(2100,12,31),$AH309)</f>
        <v/>
      </c>
      <c r="AK309" s="32">
        <f>IF($AH309="",$AC309,$AC309*$S309)</f>
        <v/>
      </c>
      <c r="AL309" s="35">
        <f>IF($AH309="",DATE(2100,12,31),$AH309+1)</f>
        <v/>
      </c>
      <c r="AM309" s="35">
        <f>IF($AH309="",DATE(1900,1,1),$AG309)</f>
        <v/>
      </c>
      <c r="AN309" s="32">
        <f>IF($AH309="",0,$AC309*$T309)</f>
        <v/>
      </c>
    </row>
    <row r="310">
      <c r="A310" s="28" t="inlineStr">
        <is>
          <t>Lauren</t>
        </is>
      </c>
      <c r="B310" s="16">
        <f>IF($A310="","",IFERROR(INDEX(Roster!$B$2:$B$40,MATCH($A310,Roster!$A$2:$A$40,0)),"?"))</f>
        <v/>
      </c>
      <c r="C310" s="28" t="inlineStr">
        <is>
          <t>Oasis_2</t>
        </is>
      </c>
      <c r="D310" s="16">
        <f>IF($C310="","",IFERROR(IF(INDEX(Deals!$C$2:$C$355,MATCH($C310,Deals!$A$2:$A$355,0))=0,"",INDEX(Deals!$C$2:$C$355,MATCH($C310,Deals!$A$2:$A$355,0))),"?"))</f>
        <v/>
      </c>
      <c r="E310" s="16">
        <f>IF($C310="","",IFERROR(INDEX(Deals!$F$2:$F$355,MATCH($C310,Deals!$A$2:$A$355,0)),"?"))</f>
        <v/>
      </c>
      <c r="F310" s="28" t="inlineStr">
        <is>
          <t>Director</t>
        </is>
      </c>
      <c r="G310" s="28" t="inlineStr">
        <is>
          <t>Active</t>
        </is>
      </c>
      <c r="H310" s="31" t="n"/>
      <c r="I310" s="32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1">
        <f>IF($C310="",0,IFERROR(INDEX(Deals!$H$2:$H$355,MATCH($C310,Deals!$A$2:$A$355,0)),0))</f>
        <v/>
      </c>
      <c r="K310" s="32">
        <f>IF(Settings!$B$4="Yes",$I310*$J310,$I310)</f>
        <v/>
      </c>
      <c r="L310" s="22">
        <f>IF($C310="","",IFERROR(IF(INDEX(Deals!$I$2:$I$355,MATCH($C310,Deals!$A$2:$A$355,0))=0,"",INDEX(Deals!$I$2:$I$355,MATCH($C310,Deals!$A$2:$A$355,0))),""))</f>
        <v/>
      </c>
      <c r="M310" s="22">
        <f>IF($C310="","",IFERROR(IF(INDEX(Deals!$J$2:$J$355,MATCH($C310,Deals!$A$2:$A$355,0))=0,"",INDEX(Deals!$J$2:$J$355,MATCH($C310,Deals!$A$2:$A$355,0))),""))</f>
        <v/>
      </c>
      <c r="N310" s="35">
        <f>IF($L310="",DATE(1900,1,1),$L310)</f>
        <v/>
      </c>
      <c r="O310" s="35">
        <f>IF($M310="",DATE(2100,12,31),$M310)</f>
        <v/>
      </c>
      <c r="P310" s="20" t="inlineStr"/>
      <c r="Q310" s="43" t="inlineStr"/>
      <c r="R310" s="16">
        <f>IF($C310="","",IFERROR(IF(INDEX(Deals!$U$2:$U$355,MATCH($C310,Deals!$A$2:$A$355,0))=0,"",INDEX(Deals!$U$2:$U$355,MATCH($C310,Deals!$A$2:$A$355,0))),""))</f>
        <v/>
      </c>
      <c r="S310" s="34">
        <f>IFERROR(IF($U310="",1,INDEX(Deals!$V$2:$V$355,MATCH($C310,Deals!$A$2:$A$355,0))),1)</f>
        <v/>
      </c>
      <c r="T310" s="34">
        <f>IFERROR(IF($U310="",1,INDEX(Deals!$W$2:$W$355,MATCH($C310,Deals!$A$2:$A$355,0))),1)</f>
        <v/>
      </c>
      <c r="U310" s="22">
        <f>IF($C310="","",IFERROR(IF(INDEX(Deals!$Y$2:$Y$355,MATCH($C310,Deals!$A$2:$A$355,0))=0,"",INDEX(Deals!$Y$2:$Y$355,MATCH($C310,Deals!$A$2:$A$355,0))),""))</f>
        <v/>
      </c>
      <c r="V310" s="35">
        <f>IF($U310="",DATE(1900,1,1),$N310)</f>
        <v/>
      </c>
      <c r="W310" s="35">
        <f>IF($U310="",DATE(2100,12,31),$U310)</f>
        <v/>
      </c>
      <c r="X310" s="32">
        <f>IF($U310="",$K310,$K310*$S310)</f>
        <v/>
      </c>
      <c r="Y310" s="35">
        <f>IF($U310="",DATE(2100,12,31),$U310+1)</f>
        <v/>
      </c>
      <c r="Z310" s="35">
        <f>IF($U310="",DATE(1900,1,1),$O310)</f>
        <v/>
      </c>
      <c r="AA310" s="32">
        <f>IF($U310="",0,$K310*$T310)</f>
        <v/>
      </c>
      <c r="AB310" s="21">
        <f>IF($C310="",0,IFERROR(INDEX(Deals!$AD$2:$AD$355,MATCH($C310,Deals!$A$2:$A$355,0)),0))</f>
        <v/>
      </c>
      <c r="AC310" s="32">
        <f>IF(Settings!$B$4="Yes",$I310*$AB310,$I310)</f>
        <v/>
      </c>
      <c r="AD310" s="22">
        <f>IF($C310="","",IFERROR(IF(INDEX(Deals!$AE$2:$AE$355,MATCH($C310,Deals!$A$2:$A$355,0))=0,"",INDEX(Deals!$AE$2:$AE$355,MATCH($C310,Deals!$A$2:$A$355,0))),""))</f>
        <v/>
      </c>
      <c r="AE310" s="22">
        <f>IF($C310="","",IFERROR(IF(INDEX(Deals!$AF$2:$AF$355,MATCH($C310,Deals!$A$2:$A$355,0))=0,"",INDEX(Deals!$AF$2:$AF$355,MATCH($C310,Deals!$A$2:$A$355,0))),""))</f>
        <v/>
      </c>
      <c r="AF310" s="35">
        <f>IF($AD310="",DATE(1900,1,1),$AD310)</f>
        <v/>
      </c>
      <c r="AG310" s="35">
        <f>IF($AE310="",DATE(2100,12,31),$AE310)</f>
        <v/>
      </c>
      <c r="AH310" s="22">
        <f>IF($C310="","",IFERROR(IF(INDEX(Deals!$AG$2:$AG$355,MATCH($C310,Deals!$A$2:$A$355,0))=0,"",INDEX(Deals!$AG$2:$AG$355,MATCH($C310,Deals!$A$2:$A$355,0))),""))</f>
        <v/>
      </c>
      <c r="AI310" s="35">
        <f>IF($AH310="",DATE(1900,1,1),$AF310)</f>
        <v/>
      </c>
      <c r="AJ310" s="35">
        <f>IF($AH310="",DATE(2100,12,31),$AH310)</f>
        <v/>
      </c>
      <c r="AK310" s="32">
        <f>IF($AH310="",$AC310,$AC310*$S310)</f>
        <v/>
      </c>
      <c r="AL310" s="35">
        <f>IF($AH310="",DATE(2100,12,31),$AH310+1)</f>
        <v/>
      </c>
      <c r="AM310" s="35">
        <f>IF($AH310="",DATE(1900,1,1),$AG310)</f>
        <v/>
      </c>
      <c r="AN310" s="32">
        <f>IF($AH310="",0,$AC310*$T310)</f>
        <v/>
      </c>
    </row>
    <row r="311">
      <c r="A311" s="28" t="inlineStr">
        <is>
          <t>Lauren</t>
        </is>
      </c>
      <c r="B311" s="16">
        <f>IF($A311="","",IFERROR(INDEX(Roster!$B$2:$B$40,MATCH($A311,Roster!$A$2:$A$40,0)),"?"))</f>
        <v/>
      </c>
      <c r="C311" s="28" t="inlineStr">
        <is>
          <t>ProEnergy_3</t>
        </is>
      </c>
      <c r="D311" s="16">
        <f>IF($C311="","",IFERROR(IF(INDEX(Deals!$C$2:$C$355,MATCH($C311,Deals!$A$2:$A$355,0))=0,"",INDEX(Deals!$C$2:$C$355,MATCH($C311,Deals!$A$2:$A$355,0))),"?"))</f>
        <v/>
      </c>
      <c r="E311" s="16">
        <f>IF($C311="","",IFERROR(INDEX(Deals!$F$2:$F$355,MATCH($C311,Deals!$A$2:$A$355,0)),"?"))</f>
        <v/>
      </c>
      <c r="F311" s="28" t="inlineStr">
        <is>
          <t>Director</t>
        </is>
      </c>
      <c r="G311" s="28" t="inlineStr">
        <is>
          <t>Inactive</t>
        </is>
      </c>
      <c r="H311" s="31" t="n"/>
      <c r="I311" s="32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1">
        <f>IF($C311="",0,IFERROR(INDEX(Deals!$H$2:$H$355,MATCH($C311,Deals!$A$2:$A$355,0)),0))</f>
        <v/>
      </c>
      <c r="K311" s="32">
        <f>IF(Settings!$B$4="Yes",$I311*$J311,$I311)</f>
        <v/>
      </c>
      <c r="L311" s="22">
        <f>IF($C311="","",IFERROR(IF(INDEX(Deals!$I$2:$I$355,MATCH($C311,Deals!$A$2:$A$355,0))=0,"",INDEX(Deals!$I$2:$I$355,MATCH($C311,Deals!$A$2:$A$355,0))),""))</f>
        <v/>
      </c>
      <c r="M311" s="22">
        <f>IF($C311="","",IFERROR(IF(INDEX(Deals!$J$2:$J$355,MATCH($C311,Deals!$A$2:$A$355,0))=0,"",INDEX(Deals!$J$2:$J$355,MATCH($C311,Deals!$A$2:$A$355,0))),""))</f>
        <v/>
      </c>
      <c r="N311" s="35">
        <f>IF($L311="",DATE(1900,1,1),$L311)</f>
        <v/>
      </c>
      <c r="O311" s="35">
        <f>IF($M311="",DATE(2100,12,31),$M311)</f>
        <v/>
      </c>
      <c r="P311" s="20" t="inlineStr"/>
      <c r="Q311" s="43" t="inlineStr">
        <is>
          <t>Deal lifecycle is Internal</t>
        </is>
      </c>
      <c r="R311" s="16">
        <f>IF($C311="","",IFERROR(IF(INDEX(Deals!$U$2:$U$355,MATCH($C311,Deals!$A$2:$A$355,0))=0,"",INDEX(Deals!$U$2:$U$355,MATCH($C311,Deals!$A$2:$A$355,0))),""))</f>
        <v/>
      </c>
      <c r="S311" s="34">
        <f>IFERROR(IF($U311="",1,INDEX(Deals!$V$2:$V$355,MATCH($C311,Deals!$A$2:$A$355,0))),1)</f>
        <v/>
      </c>
      <c r="T311" s="34">
        <f>IFERROR(IF($U311="",1,INDEX(Deals!$W$2:$W$355,MATCH($C311,Deals!$A$2:$A$355,0))),1)</f>
        <v/>
      </c>
      <c r="U311" s="22">
        <f>IF($C311="","",IFERROR(IF(INDEX(Deals!$Y$2:$Y$355,MATCH($C311,Deals!$A$2:$A$355,0))=0,"",INDEX(Deals!$Y$2:$Y$355,MATCH($C311,Deals!$A$2:$A$355,0))),""))</f>
        <v/>
      </c>
      <c r="V311" s="35">
        <f>IF($U311="",DATE(1900,1,1),$N311)</f>
        <v/>
      </c>
      <c r="W311" s="35">
        <f>IF($U311="",DATE(2100,12,31),$U311)</f>
        <v/>
      </c>
      <c r="X311" s="32">
        <f>IF($U311="",$K311,$K311*$S311)</f>
        <v/>
      </c>
      <c r="Y311" s="35">
        <f>IF($U311="",DATE(2100,12,31),$U311+1)</f>
        <v/>
      </c>
      <c r="Z311" s="35">
        <f>IF($U311="",DATE(1900,1,1),$O311)</f>
        <v/>
      </c>
      <c r="AA311" s="32">
        <f>IF($U311="",0,$K311*$T311)</f>
        <v/>
      </c>
      <c r="AB311" s="21">
        <f>IF($C311="",0,IFERROR(INDEX(Deals!$AD$2:$AD$355,MATCH($C311,Deals!$A$2:$A$355,0)),0))</f>
        <v/>
      </c>
      <c r="AC311" s="32">
        <f>IF(Settings!$B$4="Yes",$I311*$AB311,$I311)</f>
        <v/>
      </c>
      <c r="AD311" s="22">
        <f>IF($C311="","",IFERROR(IF(INDEX(Deals!$AE$2:$AE$355,MATCH($C311,Deals!$A$2:$A$355,0))=0,"",INDEX(Deals!$AE$2:$AE$355,MATCH($C311,Deals!$A$2:$A$355,0))),""))</f>
        <v/>
      </c>
      <c r="AE311" s="22">
        <f>IF($C311="","",IFERROR(IF(INDEX(Deals!$AF$2:$AF$355,MATCH($C311,Deals!$A$2:$A$355,0))=0,"",INDEX(Deals!$AF$2:$AF$355,MATCH($C311,Deals!$A$2:$A$355,0))),""))</f>
        <v/>
      </c>
      <c r="AF311" s="35">
        <f>IF($AD311="",DATE(1900,1,1),$AD311)</f>
        <v/>
      </c>
      <c r="AG311" s="35">
        <f>IF($AE311="",DATE(2100,12,31),$AE311)</f>
        <v/>
      </c>
      <c r="AH311" s="22">
        <f>IF($C311="","",IFERROR(IF(INDEX(Deals!$AG$2:$AG$355,MATCH($C311,Deals!$A$2:$A$355,0))=0,"",INDEX(Deals!$AG$2:$AG$355,MATCH($C311,Deals!$A$2:$A$355,0))),""))</f>
        <v/>
      </c>
      <c r="AI311" s="35">
        <f>IF($AH311="",DATE(1900,1,1),$AF311)</f>
        <v/>
      </c>
      <c r="AJ311" s="35">
        <f>IF($AH311="",DATE(2100,12,31),$AH311)</f>
        <v/>
      </c>
      <c r="AK311" s="32">
        <f>IF($AH311="",$AC311,$AC311*$S311)</f>
        <v/>
      </c>
      <c r="AL311" s="35">
        <f>IF($AH311="",DATE(2100,12,31),$AH311+1)</f>
        <v/>
      </c>
      <c r="AM311" s="35">
        <f>IF($AH311="",DATE(1900,1,1),$AG311)</f>
        <v/>
      </c>
      <c r="AN311" s="32">
        <f>IF($AH311="",0,$AC311*$T311)</f>
        <v/>
      </c>
    </row>
    <row r="312">
      <c r="A312" s="28" t="inlineStr">
        <is>
          <t>Lauren</t>
        </is>
      </c>
      <c r="B312" s="16">
        <f>IF($A312="","",IFERROR(INDEX(Roster!$B$2:$B$40,MATCH($A312,Roster!$A$2:$A$40,0)),"?"))</f>
        <v/>
      </c>
      <c r="C312" s="28" t="inlineStr">
        <is>
          <t>Resolute_1</t>
        </is>
      </c>
      <c r="D312" s="16">
        <f>IF($C312="","",IFERROR(IF(INDEX(Deals!$C$2:$C$355,MATCH($C312,Deals!$A$2:$A$355,0))=0,"",INDEX(Deals!$C$2:$C$355,MATCH($C312,Deals!$A$2:$A$355,0))),"?"))</f>
        <v/>
      </c>
      <c r="E312" s="16">
        <f>IF($C312="","",IFERROR(INDEX(Deals!$F$2:$F$355,MATCH($C312,Deals!$A$2:$A$355,0)),"?"))</f>
        <v/>
      </c>
      <c r="F312" s="28" t="inlineStr">
        <is>
          <t>Director</t>
        </is>
      </c>
      <c r="G312" s="28" t="inlineStr">
        <is>
          <t>Active</t>
        </is>
      </c>
      <c r="H312" s="31" t="n"/>
      <c r="I312" s="32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1">
        <f>IF($C312="",0,IFERROR(INDEX(Deals!$H$2:$H$355,MATCH($C312,Deals!$A$2:$A$355,0)),0))</f>
        <v/>
      </c>
      <c r="K312" s="32">
        <f>IF(Settings!$B$4="Yes",$I312*$J312,$I312)</f>
        <v/>
      </c>
      <c r="L312" s="22">
        <f>IF($C312="","",IFERROR(IF(INDEX(Deals!$I$2:$I$355,MATCH($C312,Deals!$A$2:$A$355,0))=0,"",INDEX(Deals!$I$2:$I$355,MATCH($C312,Deals!$A$2:$A$355,0))),""))</f>
        <v/>
      </c>
      <c r="M312" s="22">
        <f>IF($C312="","",IFERROR(IF(INDEX(Deals!$J$2:$J$355,MATCH($C312,Deals!$A$2:$A$355,0))=0,"",INDEX(Deals!$J$2:$J$355,MATCH($C312,Deals!$A$2:$A$355,0))),""))</f>
        <v/>
      </c>
      <c r="N312" s="35">
        <f>IF($L312="",DATE(1900,1,1),$L312)</f>
        <v/>
      </c>
      <c r="O312" s="35">
        <f>IF($M312="",DATE(2100,12,31),$M312)</f>
        <v/>
      </c>
      <c r="P312" s="20" t="inlineStr"/>
      <c r="Q312" s="43" t="inlineStr"/>
      <c r="R312" s="16">
        <f>IF($C312="","",IFERROR(IF(INDEX(Deals!$U$2:$U$355,MATCH($C312,Deals!$A$2:$A$355,0))=0,"",INDEX(Deals!$U$2:$U$355,MATCH($C312,Deals!$A$2:$A$355,0))),""))</f>
        <v/>
      </c>
      <c r="S312" s="34">
        <f>IFERROR(IF($U312="",1,INDEX(Deals!$V$2:$V$355,MATCH($C312,Deals!$A$2:$A$355,0))),1)</f>
        <v/>
      </c>
      <c r="T312" s="34">
        <f>IFERROR(IF($U312="",1,INDEX(Deals!$W$2:$W$355,MATCH($C312,Deals!$A$2:$A$355,0))),1)</f>
        <v/>
      </c>
      <c r="U312" s="22">
        <f>IF($C312="","",IFERROR(IF(INDEX(Deals!$Y$2:$Y$355,MATCH($C312,Deals!$A$2:$A$355,0))=0,"",INDEX(Deals!$Y$2:$Y$355,MATCH($C312,Deals!$A$2:$A$355,0))),""))</f>
        <v/>
      </c>
      <c r="V312" s="35">
        <f>IF($U312="",DATE(1900,1,1),$N312)</f>
        <v/>
      </c>
      <c r="W312" s="35">
        <f>IF($U312="",DATE(2100,12,31),$U312)</f>
        <v/>
      </c>
      <c r="X312" s="32">
        <f>IF($U312="",$K312,$K312*$S312)</f>
        <v/>
      </c>
      <c r="Y312" s="35">
        <f>IF($U312="",DATE(2100,12,31),$U312+1)</f>
        <v/>
      </c>
      <c r="Z312" s="35">
        <f>IF($U312="",DATE(1900,1,1),$O312)</f>
        <v/>
      </c>
      <c r="AA312" s="32">
        <f>IF($U312="",0,$K312*$T312)</f>
        <v/>
      </c>
      <c r="AB312" s="21">
        <f>IF($C312="",0,IFERROR(INDEX(Deals!$AD$2:$AD$355,MATCH($C312,Deals!$A$2:$A$355,0)),0))</f>
        <v/>
      </c>
      <c r="AC312" s="32">
        <f>IF(Settings!$B$4="Yes",$I312*$AB312,$I312)</f>
        <v/>
      </c>
      <c r="AD312" s="22">
        <f>IF($C312="","",IFERROR(IF(INDEX(Deals!$AE$2:$AE$355,MATCH($C312,Deals!$A$2:$A$355,0))=0,"",INDEX(Deals!$AE$2:$AE$355,MATCH($C312,Deals!$A$2:$A$355,0))),""))</f>
        <v/>
      </c>
      <c r="AE312" s="22">
        <f>IF($C312="","",IFERROR(IF(INDEX(Deals!$AF$2:$AF$355,MATCH($C312,Deals!$A$2:$A$355,0))=0,"",INDEX(Deals!$AF$2:$AF$355,MATCH($C312,Deals!$A$2:$A$355,0))),""))</f>
        <v/>
      </c>
      <c r="AF312" s="35">
        <f>IF($AD312="",DATE(1900,1,1),$AD312)</f>
        <v/>
      </c>
      <c r="AG312" s="35">
        <f>IF($AE312="",DATE(2100,12,31),$AE312)</f>
        <v/>
      </c>
      <c r="AH312" s="22">
        <f>IF($C312="","",IFERROR(IF(INDEX(Deals!$AG$2:$AG$355,MATCH($C312,Deals!$A$2:$A$355,0))=0,"",INDEX(Deals!$AG$2:$AG$355,MATCH($C312,Deals!$A$2:$A$355,0))),""))</f>
        <v/>
      </c>
      <c r="AI312" s="35">
        <f>IF($AH312="",DATE(1900,1,1),$AF312)</f>
        <v/>
      </c>
      <c r="AJ312" s="35">
        <f>IF($AH312="",DATE(2100,12,31),$AH312)</f>
        <v/>
      </c>
      <c r="AK312" s="32">
        <f>IF($AH312="",$AC312,$AC312*$S312)</f>
        <v/>
      </c>
      <c r="AL312" s="35">
        <f>IF($AH312="",DATE(2100,12,31),$AH312+1)</f>
        <v/>
      </c>
      <c r="AM312" s="35">
        <f>IF($AH312="",DATE(1900,1,1),$AG312)</f>
        <v/>
      </c>
      <c r="AN312" s="32">
        <f>IF($AH312="",0,$AC312*$T312)</f>
        <v/>
      </c>
    </row>
    <row r="313">
      <c r="A313" s="28" t="inlineStr">
        <is>
          <t>Lauren</t>
        </is>
      </c>
      <c r="B313" s="16">
        <f>IF($A313="","",IFERROR(INDEX(Roster!$B$2:$B$40,MATCH($A313,Roster!$A$2:$A$40,0)),"?"))</f>
        <v/>
      </c>
      <c r="C313" s="28" t="inlineStr">
        <is>
          <t>Sakura</t>
        </is>
      </c>
      <c r="D313" s="16">
        <f>IF($C313="","",IFERROR(IF(INDEX(Deals!$C$2:$C$355,MATCH($C313,Deals!$A$2:$A$355,0))=0,"",INDEX(Deals!$C$2:$C$355,MATCH($C313,Deals!$A$2:$A$355,0))),"?"))</f>
        <v/>
      </c>
      <c r="E313" s="16">
        <f>IF($C313="","",IFERROR(INDEX(Deals!$F$2:$F$355,MATCH($C313,Deals!$A$2:$A$355,0)),"?"))</f>
        <v/>
      </c>
      <c r="F313" s="28" t="inlineStr">
        <is>
          <t>Director</t>
        </is>
      </c>
      <c r="G313" s="28" t="inlineStr">
        <is>
          <t>Active</t>
        </is>
      </c>
      <c r="H313" s="31" t="n"/>
      <c r="I313" s="32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1">
        <f>IF($C313="",0,IFERROR(INDEX(Deals!$H$2:$H$355,MATCH($C313,Deals!$A$2:$A$355,0)),0))</f>
        <v/>
      </c>
      <c r="K313" s="32">
        <f>IF(Settings!$B$4="Yes",$I313*$J313,$I313)</f>
        <v/>
      </c>
      <c r="L313" s="22">
        <f>IF($C313="","",IFERROR(IF(INDEX(Deals!$I$2:$I$355,MATCH($C313,Deals!$A$2:$A$355,0))=0,"",INDEX(Deals!$I$2:$I$355,MATCH($C313,Deals!$A$2:$A$355,0))),""))</f>
        <v/>
      </c>
      <c r="M313" s="22">
        <f>IF($C313="","",IFERROR(IF(INDEX(Deals!$J$2:$J$355,MATCH($C313,Deals!$A$2:$A$355,0))=0,"",INDEX(Deals!$J$2:$J$355,MATCH($C313,Deals!$A$2:$A$355,0))),""))</f>
        <v/>
      </c>
      <c r="N313" s="35">
        <f>IF($L313="",DATE(1900,1,1),$L313)</f>
        <v/>
      </c>
      <c r="O313" s="35">
        <f>IF($M313="",DATE(2100,12,31),$M313)</f>
        <v/>
      </c>
      <c r="P313" s="20" t="inlineStr"/>
      <c r="Q313" s="43" t="inlineStr"/>
      <c r="R313" s="16">
        <f>IF($C313="","",IFERROR(IF(INDEX(Deals!$U$2:$U$355,MATCH($C313,Deals!$A$2:$A$355,0))=0,"",INDEX(Deals!$U$2:$U$355,MATCH($C313,Deals!$A$2:$A$355,0))),""))</f>
        <v/>
      </c>
      <c r="S313" s="34">
        <f>IFERROR(IF($U313="",1,INDEX(Deals!$V$2:$V$355,MATCH($C313,Deals!$A$2:$A$355,0))),1)</f>
        <v/>
      </c>
      <c r="T313" s="34">
        <f>IFERROR(IF($U313="",1,INDEX(Deals!$W$2:$W$355,MATCH($C313,Deals!$A$2:$A$355,0))),1)</f>
        <v/>
      </c>
      <c r="U313" s="22">
        <f>IF($C313="","",IFERROR(IF(INDEX(Deals!$Y$2:$Y$355,MATCH($C313,Deals!$A$2:$A$355,0))=0,"",INDEX(Deals!$Y$2:$Y$355,MATCH($C313,Deals!$A$2:$A$355,0))),""))</f>
        <v/>
      </c>
      <c r="V313" s="35">
        <f>IF($U313="",DATE(1900,1,1),$N313)</f>
        <v/>
      </c>
      <c r="W313" s="35">
        <f>IF($U313="",DATE(2100,12,31),$U313)</f>
        <v/>
      </c>
      <c r="X313" s="32">
        <f>IF($U313="",$K313,$K313*$S313)</f>
        <v/>
      </c>
      <c r="Y313" s="35">
        <f>IF($U313="",DATE(2100,12,31),$U313+1)</f>
        <v/>
      </c>
      <c r="Z313" s="35">
        <f>IF($U313="",DATE(1900,1,1),$O313)</f>
        <v/>
      </c>
      <c r="AA313" s="32">
        <f>IF($U313="",0,$K313*$T313)</f>
        <v/>
      </c>
      <c r="AB313" s="21">
        <f>IF($C313="",0,IFERROR(INDEX(Deals!$AD$2:$AD$355,MATCH($C313,Deals!$A$2:$A$355,0)),0))</f>
        <v/>
      </c>
      <c r="AC313" s="32">
        <f>IF(Settings!$B$4="Yes",$I313*$AB313,$I313)</f>
        <v/>
      </c>
      <c r="AD313" s="22">
        <f>IF($C313="","",IFERROR(IF(INDEX(Deals!$AE$2:$AE$355,MATCH($C313,Deals!$A$2:$A$355,0))=0,"",INDEX(Deals!$AE$2:$AE$355,MATCH($C313,Deals!$A$2:$A$355,0))),""))</f>
        <v/>
      </c>
      <c r="AE313" s="22">
        <f>IF($C313="","",IFERROR(IF(INDEX(Deals!$AF$2:$AF$355,MATCH($C313,Deals!$A$2:$A$355,0))=0,"",INDEX(Deals!$AF$2:$AF$355,MATCH($C313,Deals!$A$2:$A$355,0))),""))</f>
        <v/>
      </c>
      <c r="AF313" s="35">
        <f>IF($AD313="",DATE(1900,1,1),$AD313)</f>
        <v/>
      </c>
      <c r="AG313" s="35">
        <f>IF($AE313="",DATE(2100,12,31),$AE313)</f>
        <v/>
      </c>
      <c r="AH313" s="22">
        <f>IF($C313="","",IFERROR(IF(INDEX(Deals!$AG$2:$AG$355,MATCH($C313,Deals!$A$2:$A$355,0))=0,"",INDEX(Deals!$AG$2:$AG$355,MATCH($C313,Deals!$A$2:$A$355,0))),""))</f>
        <v/>
      </c>
      <c r="AI313" s="35">
        <f>IF($AH313="",DATE(1900,1,1),$AF313)</f>
        <v/>
      </c>
      <c r="AJ313" s="35">
        <f>IF($AH313="",DATE(2100,12,31),$AH313)</f>
        <v/>
      </c>
      <c r="AK313" s="32">
        <f>IF($AH313="",$AC313,$AC313*$S313)</f>
        <v/>
      </c>
      <c r="AL313" s="35">
        <f>IF($AH313="",DATE(2100,12,31),$AH313+1)</f>
        <v/>
      </c>
      <c r="AM313" s="35">
        <f>IF($AH313="",DATE(1900,1,1),$AG313)</f>
        <v/>
      </c>
      <c r="AN313" s="32">
        <f>IF($AH313="",0,$AC313*$T313)</f>
        <v/>
      </c>
    </row>
    <row r="314">
      <c r="A314" s="28" t="inlineStr">
        <is>
          <t>Lauren</t>
        </is>
      </c>
      <c r="B314" s="16">
        <f>IF($A314="","",IFERROR(INDEX(Roster!$B$2:$B$40,MATCH($A314,Roster!$A$2:$A$40,0)),"?"))</f>
        <v/>
      </c>
      <c r="C314" s="28" t="inlineStr">
        <is>
          <t>Steam_3</t>
        </is>
      </c>
      <c r="D314" s="16">
        <f>IF($C314="","",IFERROR(IF(INDEX(Deals!$C$2:$C$355,MATCH($C314,Deals!$A$2:$A$355,0))=0,"",INDEX(Deals!$C$2:$C$355,MATCH($C314,Deals!$A$2:$A$355,0))),"?"))</f>
        <v/>
      </c>
      <c r="E314" s="16">
        <f>IF($C314="","",IFERROR(INDEX(Deals!$F$2:$F$355,MATCH($C314,Deals!$A$2:$A$355,0)),"?"))</f>
        <v/>
      </c>
      <c r="F314" s="28" t="inlineStr">
        <is>
          <t>Director</t>
        </is>
      </c>
      <c r="G314" s="28" t="inlineStr">
        <is>
          <t>Inactive</t>
        </is>
      </c>
      <c r="H314" s="31" t="n"/>
      <c r="I314" s="32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1">
        <f>IF($C314="",0,IFERROR(INDEX(Deals!$H$2:$H$355,MATCH($C314,Deals!$A$2:$A$355,0)),0))</f>
        <v/>
      </c>
      <c r="K314" s="32">
        <f>IF(Settings!$B$4="Yes",$I314*$J314,$I314)</f>
        <v/>
      </c>
      <c r="L314" s="22">
        <f>IF($C314="","",IFERROR(IF(INDEX(Deals!$I$2:$I$355,MATCH($C314,Deals!$A$2:$A$355,0))=0,"",INDEX(Deals!$I$2:$I$355,MATCH($C314,Deals!$A$2:$A$355,0))),""))</f>
        <v/>
      </c>
      <c r="M314" s="22">
        <f>IF($C314="","",IFERROR(IF(INDEX(Deals!$J$2:$J$355,MATCH($C314,Deals!$A$2:$A$355,0))=0,"",INDEX(Deals!$J$2:$J$355,MATCH($C314,Deals!$A$2:$A$355,0))),""))</f>
        <v/>
      </c>
      <c r="N314" s="35">
        <f>IF($L314="",DATE(1900,1,1),$L314)</f>
        <v/>
      </c>
      <c r="O314" s="35">
        <f>IF($M314="",DATE(2100,12,31),$M314)</f>
        <v/>
      </c>
      <c r="P314" s="20" t="inlineStr"/>
      <c r="Q314" s="43" t="inlineStr">
        <is>
          <t>Deal lifecycle is Dead</t>
        </is>
      </c>
      <c r="R314" s="16">
        <f>IF($C314="","",IFERROR(IF(INDEX(Deals!$U$2:$U$355,MATCH($C314,Deals!$A$2:$A$355,0))=0,"",INDEX(Deals!$U$2:$U$355,MATCH($C314,Deals!$A$2:$A$355,0))),""))</f>
        <v/>
      </c>
      <c r="S314" s="34">
        <f>IFERROR(IF($U314="",1,INDEX(Deals!$V$2:$V$355,MATCH($C314,Deals!$A$2:$A$355,0))),1)</f>
        <v/>
      </c>
      <c r="T314" s="34">
        <f>IFERROR(IF($U314="",1,INDEX(Deals!$W$2:$W$355,MATCH($C314,Deals!$A$2:$A$355,0))),1)</f>
        <v/>
      </c>
      <c r="U314" s="22">
        <f>IF($C314="","",IFERROR(IF(INDEX(Deals!$Y$2:$Y$355,MATCH($C314,Deals!$A$2:$A$355,0))=0,"",INDEX(Deals!$Y$2:$Y$355,MATCH($C314,Deals!$A$2:$A$355,0))),""))</f>
        <v/>
      </c>
      <c r="V314" s="35">
        <f>IF($U314="",DATE(1900,1,1),$N314)</f>
        <v/>
      </c>
      <c r="W314" s="35">
        <f>IF($U314="",DATE(2100,12,31),$U314)</f>
        <v/>
      </c>
      <c r="X314" s="32">
        <f>IF($U314="",$K314,$K314*$S314)</f>
        <v/>
      </c>
      <c r="Y314" s="35">
        <f>IF($U314="",DATE(2100,12,31),$U314+1)</f>
        <v/>
      </c>
      <c r="Z314" s="35">
        <f>IF($U314="",DATE(1900,1,1),$O314)</f>
        <v/>
      </c>
      <c r="AA314" s="32">
        <f>IF($U314="",0,$K314*$T314)</f>
        <v/>
      </c>
      <c r="AB314" s="21">
        <f>IF($C314="",0,IFERROR(INDEX(Deals!$AD$2:$AD$355,MATCH($C314,Deals!$A$2:$A$355,0)),0))</f>
        <v/>
      </c>
      <c r="AC314" s="32">
        <f>IF(Settings!$B$4="Yes",$I314*$AB314,$I314)</f>
        <v/>
      </c>
      <c r="AD314" s="22">
        <f>IF($C314="","",IFERROR(IF(INDEX(Deals!$AE$2:$AE$355,MATCH($C314,Deals!$A$2:$A$355,0))=0,"",INDEX(Deals!$AE$2:$AE$355,MATCH($C314,Deals!$A$2:$A$355,0))),""))</f>
        <v/>
      </c>
      <c r="AE314" s="22">
        <f>IF($C314="","",IFERROR(IF(INDEX(Deals!$AF$2:$AF$355,MATCH($C314,Deals!$A$2:$A$355,0))=0,"",INDEX(Deals!$AF$2:$AF$355,MATCH($C314,Deals!$A$2:$A$355,0))),""))</f>
        <v/>
      </c>
      <c r="AF314" s="35">
        <f>IF($AD314="",DATE(1900,1,1),$AD314)</f>
        <v/>
      </c>
      <c r="AG314" s="35">
        <f>IF($AE314="",DATE(2100,12,31),$AE314)</f>
        <v/>
      </c>
      <c r="AH314" s="22">
        <f>IF($C314="","",IFERROR(IF(INDEX(Deals!$AG$2:$AG$355,MATCH($C314,Deals!$A$2:$A$355,0))=0,"",INDEX(Deals!$AG$2:$AG$355,MATCH($C314,Deals!$A$2:$A$355,0))),""))</f>
        <v/>
      </c>
      <c r="AI314" s="35">
        <f>IF($AH314="",DATE(1900,1,1),$AF314)</f>
        <v/>
      </c>
      <c r="AJ314" s="35">
        <f>IF($AH314="",DATE(2100,12,31),$AH314)</f>
        <v/>
      </c>
      <c r="AK314" s="32">
        <f>IF($AH314="",$AC314,$AC314*$S314)</f>
        <v/>
      </c>
      <c r="AL314" s="35">
        <f>IF($AH314="",DATE(2100,12,31),$AH314+1)</f>
        <v/>
      </c>
      <c r="AM314" s="35">
        <f>IF($AH314="",DATE(1900,1,1),$AG314)</f>
        <v/>
      </c>
      <c r="AN314" s="32">
        <f>IF($AH314="",0,$AC314*$T314)</f>
        <v/>
      </c>
    </row>
    <row r="315">
      <c r="A315" s="28" t="inlineStr">
        <is>
          <t>Lauren</t>
        </is>
      </c>
      <c r="B315" s="16">
        <f>IF($A315="","",IFERROR(INDEX(Roster!$B$2:$B$40,MATCH($A315,Roster!$A$2:$A$40,0)),"?"))</f>
        <v/>
      </c>
      <c r="C315" s="28" t="inlineStr">
        <is>
          <t>Talon_1</t>
        </is>
      </c>
      <c r="D315" s="16">
        <f>IF($C315="","",IFERROR(IF(INDEX(Deals!$C$2:$C$355,MATCH($C315,Deals!$A$2:$A$355,0))=0,"",INDEX(Deals!$C$2:$C$355,MATCH($C315,Deals!$A$2:$A$355,0))),"?"))</f>
        <v/>
      </c>
      <c r="E315" s="16">
        <f>IF($C315="","",IFERROR(INDEX(Deals!$F$2:$F$355,MATCH($C315,Deals!$A$2:$A$355,0)),"?"))</f>
        <v/>
      </c>
      <c r="F315" s="28" t="inlineStr">
        <is>
          <t>Director</t>
        </is>
      </c>
      <c r="G315" s="28" t="inlineStr">
        <is>
          <t>Active</t>
        </is>
      </c>
      <c r="H315" s="31" t="n"/>
      <c r="I315" s="32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1">
        <f>IF($C315="",0,IFERROR(INDEX(Deals!$H$2:$H$355,MATCH($C315,Deals!$A$2:$A$355,0)),0))</f>
        <v/>
      </c>
      <c r="K315" s="32">
        <f>IF(Settings!$B$4="Yes",$I315*$J315,$I315)</f>
        <v/>
      </c>
      <c r="L315" s="22">
        <f>IF($C315="","",IFERROR(IF(INDEX(Deals!$I$2:$I$355,MATCH($C315,Deals!$A$2:$A$355,0))=0,"",INDEX(Deals!$I$2:$I$355,MATCH($C315,Deals!$A$2:$A$355,0))),""))</f>
        <v/>
      </c>
      <c r="M315" s="22">
        <f>IF($C315="","",IFERROR(IF(INDEX(Deals!$J$2:$J$355,MATCH($C315,Deals!$A$2:$A$355,0))=0,"",INDEX(Deals!$J$2:$J$355,MATCH($C315,Deals!$A$2:$A$355,0))),""))</f>
        <v/>
      </c>
      <c r="N315" s="35">
        <f>IF($L315="",DATE(1900,1,1),$L315)</f>
        <v/>
      </c>
      <c r="O315" s="35">
        <f>IF($M315="",DATE(2100,12,31),$M315)</f>
        <v/>
      </c>
      <c r="P315" s="20" t="inlineStr"/>
      <c r="Q315" s="43" t="inlineStr"/>
      <c r="R315" s="16">
        <f>IF($C315="","",IFERROR(IF(INDEX(Deals!$U$2:$U$355,MATCH($C315,Deals!$A$2:$A$355,0))=0,"",INDEX(Deals!$U$2:$U$355,MATCH($C315,Deals!$A$2:$A$355,0))),""))</f>
        <v/>
      </c>
      <c r="S315" s="34">
        <f>IFERROR(IF($U315="",1,INDEX(Deals!$V$2:$V$355,MATCH($C315,Deals!$A$2:$A$355,0))),1)</f>
        <v/>
      </c>
      <c r="T315" s="34">
        <f>IFERROR(IF($U315="",1,INDEX(Deals!$W$2:$W$355,MATCH($C315,Deals!$A$2:$A$355,0))),1)</f>
        <v/>
      </c>
      <c r="U315" s="22">
        <f>IF($C315="","",IFERROR(IF(INDEX(Deals!$Y$2:$Y$355,MATCH($C315,Deals!$A$2:$A$355,0))=0,"",INDEX(Deals!$Y$2:$Y$355,MATCH($C315,Deals!$A$2:$A$355,0))),""))</f>
        <v/>
      </c>
      <c r="V315" s="35">
        <f>IF($U315="",DATE(1900,1,1),$N315)</f>
        <v/>
      </c>
      <c r="W315" s="35">
        <f>IF($U315="",DATE(2100,12,31),$U315)</f>
        <v/>
      </c>
      <c r="X315" s="32">
        <f>IF($U315="",$K315,$K315*$S315)</f>
        <v/>
      </c>
      <c r="Y315" s="35">
        <f>IF($U315="",DATE(2100,12,31),$U315+1)</f>
        <v/>
      </c>
      <c r="Z315" s="35">
        <f>IF($U315="",DATE(1900,1,1),$O315)</f>
        <v/>
      </c>
      <c r="AA315" s="32">
        <f>IF($U315="",0,$K315*$T315)</f>
        <v/>
      </c>
      <c r="AB315" s="21">
        <f>IF($C315="",0,IFERROR(INDEX(Deals!$AD$2:$AD$355,MATCH($C315,Deals!$A$2:$A$355,0)),0))</f>
        <v/>
      </c>
      <c r="AC315" s="32">
        <f>IF(Settings!$B$4="Yes",$I315*$AB315,$I315)</f>
        <v/>
      </c>
      <c r="AD315" s="22">
        <f>IF($C315="","",IFERROR(IF(INDEX(Deals!$AE$2:$AE$355,MATCH($C315,Deals!$A$2:$A$355,0))=0,"",INDEX(Deals!$AE$2:$AE$355,MATCH($C315,Deals!$A$2:$A$355,0))),""))</f>
        <v/>
      </c>
      <c r="AE315" s="22">
        <f>IF($C315="","",IFERROR(IF(INDEX(Deals!$AF$2:$AF$355,MATCH($C315,Deals!$A$2:$A$355,0))=0,"",INDEX(Deals!$AF$2:$AF$355,MATCH($C315,Deals!$A$2:$A$355,0))),""))</f>
        <v/>
      </c>
      <c r="AF315" s="35">
        <f>IF($AD315="",DATE(1900,1,1),$AD315)</f>
        <v/>
      </c>
      <c r="AG315" s="35">
        <f>IF($AE315="",DATE(2100,12,31),$AE315)</f>
        <v/>
      </c>
      <c r="AH315" s="22">
        <f>IF($C315="","",IFERROR(IF(INDEX(Deals!$AG$2:$AG$355,MATCH($C315,Deals!$A$2:$A$355,0))=0,"",INDEX(Deals!$AG$2:$AG$355,MATCH($C315,Deals!$A$2:$A$355,0))),""))</f>
        <v/>
      </c>
      <c r="AI315" s="35">
        <f>IF($AH315="",DATE(1900,1,1),$AF315)</f>
        <v/>
      </c>
      <c r="AJ315" s="35">
        <f>IF($AH315="",DATE(2100,12,31),$AH315)</f>
        <v/>
      </c>
      <c r="AK315" s="32">
        <f>IF($AH315="",$AC315,$AC315*$S315)</f>
        <v/>
      </c>
      <c r="AL315" s="35">
        <f>IF($AH315="",DATE(2100,12,31),$AH315+1)</f>
        <v/>
      </c>
      <c r="AM315" s="35">
        <f>IF($AH315="",DATE(1900,1,1),$AG315)</f>
        <v/>
      </c>
      <c r="AN315" s="32">
        <f>IF($AH315="",0,$AC315*$T315)</f>
        <v/>
      </c>
    </row>
    <row r="316">
      <c r="A316" s="28" t="inlineStr">
        <is>
          <t>Lauren</t>
        </is>
      </c>
      <c r="B316" s="16">
        <f>IF($A316="","",IFERROR(INDEX(Roster!$B$2:$B$40,MATCH($A316,Roster!$A$2:$A$40,0)),"?"))</f>
        <v/>
      </c>
      <c r="C316" s="28" t="inlineStr">
        <is>
          <t>Twister_1</t>
        </is>
      </c>
      <c r="D316" s="16">
        <f>IF($C316="","",IFERROR(IF(INDEX(Deals!$C$2:$C$355,MATCH($C316,Deals!$A$2:$A$355,0))=0,"",INDEX(Deals!$C$2:$C$355,MATCH($C316,Deals!$A$2:$A$355,0))),"?"))</f>
        <v/>
      </c>
      <c r="E316" s="16">
        <f>IF($C316="","",IFERROR(INDEX(Deals!$F$2:$F$355,MATCH($C316,Deals!$A$2:$A$355,0)),"?"))</f>
        <v/>
      </c>
      <c r="F316" s="28" t="inlineStr">
        <is>
          <t>Director</t>
        </is>
      </c>
      <c r="G316" s="28" t="inlineStr">
        <is>
          <t>Active</t>
        </is>
      </c>
      <c r="H316" s="31" t="n"/>
      <c r="I316" s="32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1">
        <f>IF($C316="",0,IFERROR(INDEX(Deals!$H$2:$H$355,MATCH($C316,Deals!$A$2:$A$355,0)),0))</f>
        <v/>
      </c>
      <c r="K316" s="32">
        <f>IF(Settings!$B$4="Yes",$I316*$J316,$I316)</f>
        <v/>
      </c>
      <c r="L316" s="22">
        <f>IF($C316="","",IFERROR(IF(INDEX(Deals!$I$2:$I$355,MATCH($C316,Deals!$A$2:$A$355,0))=0,"",INDEX(Deals!$I$2:$I$355,MATCH($C316,Deals!$A$2:$A$355,0))),""))</f>
        <v/>
      </c>
      <c r="M316" s="22">
        <f>IF($C316="","",IFERROR(IF(INDEX(Deals!$J$2:$J$355,MATCH($C316,Deals!$A$2:$A$355,0))=0,"",INDEX(Deals!$J$2:$J$355,MATCH($C316,Deals!$A$2:$A$355,0))),""))</f>
        <v/>
      </c>
      <c r="N316" s="35">
        <f>IF($L316="",DATE(1900,1,1),$L316)</f>
        <v/>
      </c>
      <c r="O316" s="35">
        <f>IF($M316="",DATE(2100,12,31),$M316)</f>
        <v/>
      </c>
      <c r="P316" s="20" t="inlineStr"/>
      <c r="Q316" s="43" t="inlineStr"/>
      <c r="R316" s="16">
        <f>IF($C316="","",IFERROR(IF(INDEX(Deals!$U$2:$U$355,MATCH($C316,Deals!$A$2:$A$355,0))=0,"",INDEX(Deals!$U$2:$U$355,MATCH($C316,Deals!$A$2:$A$355,0))),""))</f>
        <v/>
      </c>
      <c r="S316" s="34">
        <f>IFERROR(IF($U316="",1,INDEX(Deals!$V$2:$V$355,MATCH($C316,Deals!$A$2:$A$355,0))),1)</f>
        <v/>
      </c>
      <c r="T316" s="34">
        <f>IFERROR(IF($U316="",1,INDEX(Deals!$W$2:$W$355,MATCH($C316,Deals!$A$2:$A$355,0))),1)</f>
        <v/>
      </c>
      <c r="U316" s="22">
        <f>IF($C316="","",IFERROR(IF(INDEX(Deals!$Y$2:$Y$355,MATCH($C316,Deals!$A$2:$A$355,0))=0,"",INDEX(Deals!$Y$2:$Y$355,MATCH($C316,Deals!$A$2:$A$355,0))),""))</f>
        <v/>
      </c>
      <c r="V316" s="35">
        <f>IF($U316="",DATE(1900,1,1),$N316)</f>
        <v/>
      </c>
      <c r="W316" s="35">
        <f>IF($U316="",DATE(2100,12,31),$U316)</f>
        <v/>
      </c>
      <c r="X316" s="32">
        <f>IF($U316="",$K316,$K316*$S316)</f>
        <v/>
      </c>
      <c r="Y316" s="35">
        <f>IF($U316="",DATE(2100,12,31),$U316+1)</f>
        <v/>
      </c>
      <c r="Z316" s="35">
        <f>IF($U316="",DATE(1900,1,1),$O316)</f>
        <v/>
      </c>
      <c r="AA316" s="32">
        <f>IF($U316="",0,$K316*$T316)</f>
        <v/>
      </c>
      <c r="AB316" s="21">
        <f>IF($C316="",0,IFERROR(INDEX(Deals!$AD$2:$AD$355,MATCH($C316,Deals!$A$2:$A$355,0)),0))</f>
        <v/>
      </c>
      <c r="AC316" s="32">
        <f>IF(Settings!$B$4="Yes",$I316*$AB316,$I316)</f>
        <v/>
      </c>
      <c r="AD316" s="22">
        <f>IF($C316="","",IFERROR(IF(INDEX(Deals!$AE$2:$AE$355,MATCH($C316,Deals!$A$2:$A$355,0))=0,"",INDEX(Deals!$AE$2:$AE$355,MATCH($C316,Deals!$A$2:$A$355,0))),""))</f>
        <v/>
      </c>
      <c r="AE316" s="22">
        <f>IF($C316="","",IFERROR(IF(INDEX(Deals!$AF$2:$AF$355,MATCH($C316,Deals!$A$2:$A$355,0))=0,"",INDEX(Deals!$AF$2:$AF$355,MATCH($C316,Deals!$A$2:$A$355,0))),""))</f>
        <v/>
      </c>
      <c r="AF316" s="35">
        <f>IF($AD316="",DATE(1900,1,1),$AD316)</f>
        <v/>
      </c>
      <c r="AG316" s="35">
        <f>IF($AE316="",DATE(2100,12,31),$AE316)</f>
        <v/>
      </c>
      <c r="AH316" s="22">
        <f>IF($C316="","",IFERROR(IF(INDEX(Deals!$AG$2:$AG$355,MATCH($C316,Deals!$A$2:$A$355,0))=0,"",INDEX(Deals!$AG$2:$AG$355,MATCH($C316,Deals!$A$2:$A$355,0))),""))</f>
        <v/>
      </c>
      <c r="AI316" s="35">
        <f>IF($AH316="",DATE(1900,1,1),$AF316)</f>
        <v/>
      </c>
      <c r="AJ316" s="35">
        <f>IF($AH316="",DATE(2100,12,31),$AH316)</f>
        <v/>
      </c>
      <c r="AK316" s="32">
        <f>IF($AH316="",$AC316,$AC316*$S316)</f>
        <v/>
      </c>
      <c r="AL316" s="35">
        <f>IF($AH316="",DATE(2100,12,31),$AH316+1)</f>
        <v/>
      </c>
      <c r="AM316" s="35">
        <f>IF($AH316="",DATE(1900,1,1),$AG316)</f>
        <v/>
      </c>
      <c r="AN316" s="32">
        <f>IF($AH316="",0,$AC316*$T316)</f>
        <v/>
      </c>
    </row>
    <row r="317">
      <c r="A317" s="28" t="inlineStr">
        <is>
          <t>Lauren</t>
        </is>
      </c>
      <c r="B317" s="16">
        <f>IF($A317="","",IFERROR(INDEX(Roster!$B$2:$B$40,MATCH($A317,Roster!$A$2:$A$40,0)),"?"))</f>
        <v/>
      </c>
      <c r="C317" s="28" t="inlineStr">
        <is>
          <t>Wheelhouse_2</t>
        </is>
      </c>
      <c r="D317" s="16">
        <f>IF($C317="","",IFERROR(IF(INDEX(Deals!$C$2:$C$355,MATCH($C317,Deals!$A$2:$A$355,0))=0,"",INDEX(Deals!$C$2:$C$355,MATCH($C317,Deals!$A$2:$A$355,0))),"?"))</f>
        <v/>
      </c>
      <c r="E317" s="16">
        <f>IF($C317="","",IFERROR(INDEX(Deals!$F$2:$F$355,MATCH($C317,Deals!$A$2:$A$355,0)),"?"))</f>
        <v/>
      </c>
      <c r="F317" s="28" t="inlineStr">
        <is>
          <t>Director</t>
        </is>
      </c>
      <c r="G317" s="28" t="inlineStr">
        <is>
          <t>Inactive</t>
        </is>
      </c>
      <c r="H317" s="31" t="n"/>
      <c r="I317" s="32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1">
        <f>IF($C317="",0,IFERROR(INDEX(Deals!$H$2:$H$355,MATCH($C317,Deals!$A$2:$A$355,0)),0))</f>
        <v/>
      </c>
      <c r="K317" s="32">
        <f>IF(Settings!$B$4="Yes",$I317*$J317,$I317)</f>
        <v/>
      </c>
      <c r="L317" s="22">
        <f>IF($C317="","",IFERROR(IF(INDEX(Deals!$I$2:$I$355,MATCH($C317,Deals!$A$2:$A$355,0))=0,"",INDEX(Deals!$I$2:$I$355,MATCH($C317,Deals!$A$2:$A$355,0))),""))</f>
        <v/>
      </c>
      <c r="M317" s="22">
        <f>IF($C317="","",IFERROR(IF(INDEX(Deals!$J$2:$J$355,MATCH($C317,Deals!$A$2:$A$355,0))=0,"",INDEX(Deals!$J$2:$J$355,MATCH($C317,Deals!$A$2:$A$355,0))),""))</f>
        <v/>
      </c>
      <c r="N317" s="35">
        <f>IF($L317="",DATE(1900,1,1),$L317)</f>
        <v/>
      </c>
      <c r="O317" s="35">
        <f>IF($M317="",DATE(2100,12,31),$M317)</f>
        <v/>
      </c>
      <c r="P317" s="20" t="inlineStr"/>
      <c r="Q317" s="43" t="inlineStr">
        <is>
          <t>Deal lifecycle is Closed</t>
        </is>
      </c>
      <c r="R317" s="16">
        <f>IF($C317="","",IFERROR(IF(INDEX(Deals!$U$2:$U$355,MATCH($C317,Deals!$A$2:$A$355,0))=0,"",INDEX(Deals!$U$2:$U$355,MATCH($C317,Deals!$A$2:$A$355,0))),""))</f>
        <v/>
      </c>
      <c r="S317" s="34">
        <f>IFERROR(IF($U317="",1,INDEX(Deals!$V$2:$V$355,MATCH($C317,Deals!$A$2:$A$355,0))),1)</f>
        <v/>
      </c>
      <c r="T317" s="34">
        <f>IFERROR(IF($U317="",1,INDEX(Deals!$W$2:$W$355,MATCH($C317,Deals!$A$2:$A$355,0))),1)</f>
        <v/>
      </c>
      <c r="U317" s="22">
        <f>IF($C317="","",IFERROR(IF(INDEX(Deals!$Y$2:$Y$355,MATCH($C317,Deals!$A$2:$A$355,0))=0,"",INDEX(Deals!$Y$2:$Y$355,MATCH($C317,Deals!$A$2:$A$355,0))),""))</f>
        <v/>
      </c>
      <c r="V317" s="35">
        <f>IF($U317="",DATE(1900,1,1),$N317)</f>
        <v/>
      </c>
      <c r="W317" s="35">
        <f>IF($U317="",DATE(2100,12,31),$U317)</f>
        <v/>
      </c>
      <c r="X317" s="32">
        <f>IF($U317="",$K317,$K317*$S317)</f>
        <v/>
      </c>
      <c r="Y317" s="35">
        <f>IF($U317="",DATE(2100,12,31),$U317+1)</f>
        <v/>
      </c>
      <c r="Z317" s="35">
        <f>IF($U317="",DATE(1900,1,1),$O317)</f>
        <v/>
      </c>
      <c r="AA317" s="32">
        <f>IF($U317="",0,$K317*$T317)</f>
        <v/>
      </c>
      <c r="AB317" s="21">
        <f>IF($C317="",0,IFERROR(INDEX(Deals!$AD$2:$AD$355,MATCH($C317,Deals!$A$2:$A$355,0)),0))</f>
        <v/>
      </c>
      <c r="AC317" s="32">
        <f>IF(Settings!$B$4="Yes",$I317*$AB317,$I317)</f>
        <v/>
      </c>
      <c r="AD317" s="22">
        <f>IF($C317="","",IFERROR(IF(INDEX(Deals!$AE$2:$AE$355,MATCH($C317,Deals!$A$2:$A$355,0))=0,"",INDEX(Deals!$AE$2:$AE$355,MATCH($C317,Deals!$A$2:$A$355,0))),""))</f>
        <v/>
      </c>
      <c r="AE317" s="22">
        <f>IF($C317="","",IFERROR(IF(INDEX(Deals!$AF$2:$AF$355,MATCH($C317,Deals!$A$2:$A$355,0))=0,"",INDEX(Deals!$AF$2:$AF$355,MATCH($C317,Deals!$A$2:$A$355,0))),""))</f>
        <v/>
      </c>
      <c r="AF317" s="35">
        <f>IF($AD317="",DATE(1900,1,1),$AD317)</f>
        <v/>
      </c>
      <c r="AG317" s="35">
        <f>IF($AE317="",DATE(2100,12,31),$AE317)</f>
        <v/>
      </c>
      <c r="AH317" s="22">
        <f>IF($C317="","",IFERROR(IF(INDEX(Deals!$AG$2:$AG$355,MATCH($C317,Deals!$A$2:$A$355,0))=0,"",INDEX(Deals!$AG$2:$AG$355,MATCH($C317,Deals!$A$2:$A$355,0))),""))</f>
        <v/>
      </c>
      <c r="AI317" s="35">
        <f>IF($AH317="",DATE(1900,1,1),$AF317)</f>
        <v/>
      </c>
      <c r="AJ317" s="35">
        <f>IF($AH317="",DATE(2100,12,31),$AH317)</f>
        <v/>
      </c>
      <c r="AK317" s="32">
        <f>IF($AH317="",$AC317,$AC317*$S317)</f>
        <v/>
      </c>
      <c r="AL317" s="35">
        <f>IF($AH317="",DATE(2100,12,31),$AH317+1)</f>
        <v/>
      </c>
      <c r="AM317" s="35">
        <f>IF($AH317="",DATE(1900,1,1),$AG317)</f>
        <v/>
      </c>
      <c r="AN317" s="32">
        <f>IF($AH317="",0,$AC317*$T317)</f>
        <v/>
      </c>
    </row>
    <row r="318">
      <c r="A318" s="28" t="inlineStr">
        <is>
          <t>George</t>
        </is>
      </c>
      <c r="B318" s="16">
        <f>IF($A318="","",IFERROR(INDEX(Roster!$B$2:$B$40,MATCH($A318,Roster!$A$2:$A$40,0)),"?"))</f>
        <v/>
      </c>
      <c r="C318" s="28" t="inlineStr">
        <is>
          <t>5C Ocean_1</t>
        </is>
      </c>
      <c r="D318" s="16">
        <f>IF($C318="","",IFERROR(IF(INDEX(Deals!$C$2:$C$355,MATCH($C318,Deals!$A$2:$A$355,0))=0,"",INDEX(Deals!$C$2:$C$355,MATCH($C318,Deals!$A$2:$A$355,0))),"?"))</f>
        <v/>
      </c>
      <c r="E318" s="16">
        <f>IF($C318="","",IFERROR(INDEX(Deals!$F$2:$F$355,MATCH($C318,Deals!$A$2:$A$355,0)),"?"))</f>
        <v/>
      </c>
      <c r="F318" s="28" t="inlineStr">
        <is>
          <t>VP</t>
        </is>
      </c>
      <c r="G318" s="28" t="inlineStr">
        <is>
          <t>Inactive</t>
        </is>
      </c>
      <c r="H318" s="31" t="n"/>
      <c r="I318" s="32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1">
        <f>IF($C318="",0,IFERROR(INDEX(Deals!$H$2:$H$355,MATCH($C318,Deals!$A$2:$A$355,0)),0))</f>
        <v/>
      </c>
      <c r="K318" s="32">
        <f>IF(Settings!$B$4="Yes",$I318*$J318,$I318)</f>
        <v/>
      </c>
      <c r="L318" s="22">
        <f>IF($C318="","",IFERROR(IF(INDEX(Deals!$I$2:$I$355,MATCH($C318,Deals!$A$2:$A$355,0))=0,"",INDEX(Deals!$I$2:$I$355,MATCH($C318,Deals!$A$2:$A$355,0))),""))</f>
        <v/>
      </c>
      <c r="M318" s="22">
        <f>IF($C318="","",IFERROR(IF(INDEX(Deals!$J$2:$J$355,MATCH($C318,Deals!$A$2:$A$355,0))=0,"",INDEX(Deals!$J$2:$J$355,MATCH($C318,Deals!$A$2:$A$355,0))),""))</f>
        <v/>
      </c>
      <c r="N318" s="35">
        <f>IF($L318="",DATE(1900,1,1),$L318)</f>
        <v/>
      </c>
      <c r="O318" s="35">
        <f>IF($M318="",DATE(2100,12,31),$M318)</f>
        <v/>
      </c>
      <c r="P318" s="20" t="inlineStr">
        <is>
          <t>Closed</t>
        </is>
      </c>
      <c r="Q318" s="43" t="inlineStr"/>
      <c r="R318" s="16">
        <f>IF($C318="","",IFERROR(IF(INDEX(Deals!$U$2:$U$355,MATCH($C318,Deals!$A$2:$A$355,0))=0,"",INDEX(Deals!$U$2:$U$355,MATCH($C318,Deals!$A$2:$A$355,0))),""))</f>
        <v/>
      </c>
      <c r="S318" s="34">
        <f>IFERROR(IF($U318="",1,INDEX(Deals!$V$2:$V$355,MATCH($C318,Deals!$A$2:$A$355,0))),1)</f>
        <v/>
      </c>
      <c r="T318" s="34">
        <f>IFERROR(IF($U318="",1,INDEX(Deals!$W$2:$W$355,MATCH($C318,Deals!$A$2:$A$355,0))),1)</f>
        <v/>
      </c>
      <c r="U318" s="22">
        <f>IF($C318="","",IFERROR(IF(INDEX(Deals!$Y$2:$Y$355,MATCH($C318,Deals!$A$2:$A$355,0))=0,"",INDEX(Deals!$Y$2:$Y$355,MATCH($C318,Deals!$A$2:$A$355,0))),""))</f>
        <v/>
      </c>
      <c r="V318" s="35">
        <f>IF($U318="",DATE(1900,1,1),$N318)</f>
        <v/>
      </c>
      <c r="W318" s="35">
        <f>IF($U318="",DATE(2100,12,31),$U318)</f>
        <v/>
      </c>
      <c r="X318" s="32">
        <f>IF($U318="",$K318,$K318*$S318)</f>
        <v/>
      </c>
      <c r="Y318" s="35">
        <f>IF($U318="",DATE(2100,12,31),$U318+1)</f>
        <v/>
      </c>
      <c r="Z318" s="35">
        <f>IF($U318="",DATE(1900,1,1),$O318)</f>
        <v/>
      </c>
      <c r="AA318" s="32">
        <f>IF($U318="",0,$K318*$T318)</f>
        <v/>
      </c>
      <c r="AB318" s="21">
        <f>IF($C318="",0,IFERROR(INDEX(Deals!$AD$2:$AD$355,MATCH($C318,Deals!$A$2:$A$355,0)),0))</f>
        <v/>
      </c>
      <c r="AC318" s="32">
        <f>IF(Settings!$B$4="Yes",$I318*$AB318,$I318)</f>
        <v/>
      </c>
      <c r="AD318" s="22">
        <f>IF($C318="","",IFERROR(IF(INDEX(Deals!$AE$2:$AE$355,MATCH($C318,Deals!$A$2:$A$355,0))=0,"",INDEX(Deals!$AE$2:$AE$355,MATCH($C318,Deals!$A$2:$A$355,0))),""))</f>
        <v/>
      </c>
      <c r="AE318" s="22">
        <f>IF($C318="","",IFERROR(IF(INDEX(Deals!$AF$2:$AF$355,MATCH($C318,Deals!$A$2:$A$355,0))=0,"",INDEX(Deals!$AF$2:$AF$355,MATCH($C318,Deals!$A$2:$A$355,0))),""))</f>
        <v/>
      </c>
      <c r="AF318" s="35">
        <f>IF($AD318="",DATE(1900,1,1),$AD318)</f>
        <v/>
      </c>
      <c r="AG318" s="35">
        <f>IF($AE318="",DATE(2100,12,31),$AE318)</f>
        <v/>
      </c>
      <c r="AH318" s="22">
        <f>IF($C318="","",IFERROR(IF(INDEX(Deals!$AG$2:$AG$355,MATCH($C318,Deals!$A$2:$A$355,0))=0,"",INDEX(Deals!$AG$2:$AG$355,MATCH($C318,Deals!$A$2:$A$355,0))),""))</f>
        <v/>
      </c>
      <c r="AI318" s="35">
        <f>IF($AH318="",DATE(1900,1,1),$AF318)</f>
        <v/>
      </c>
      <c r="AJ318" s="35">
        <f>IF($AH318="",DATE(2100,12,31),$AH318)</f>
        <v/>
      </c>
      <c r="AK318" s="32">
        <f>IF($AH318="",$AC318,$AC318*$S318)</f>
        <v/>
      </c>
      <c r="AL318" s="35">
        <f>IF($AH318="",DATE(2100,12,31),$AH318+1)</f>
        <v/>
      </c>
      <c r="AM318" s="35">
        <f>IF($AH318="",DATE(1900,1,1),$AG318)</f>
        <v/>
      </c>
      <c r="AN318" s="32">
        <f>IF($AH318="",0,$AC318*$T318)</f>
        <v/>
      </c>
    </row>
    <row r="319">
      <c r="A319" s="28" t="inlineStr">
        <is>
          <t>George</t>
        </is>
      </c>
      <c r="B319" s="16">
        <f>IF($A319="","",IFERROR(INDEX(Roster!$B$2:$B$40,MATCH($A319,Roster!$A$2:$A$40,0)),"?"))</f>
        <v/>
      </c>
      <c r="C319" s="28" t="inlineStr">
        <is>
          <t>Advantage_1</t>
        </is>
      </c>
      <c r="D319" s="16">
        <f>IF($C319="","",IFERROR(IF(INDEX(Deals!$C$2:$C$355,MATCH($C319,Deals!$A$2:$A$355,0))=0,"",INDEX(Deals!$C$2:$C$355,MATCH($C319,Deals!$A$2:$A$355,0))),"?"))</f>
        <v/>
      </c>
      <c r="E319" s="16">
        <f>IF($C319="","",IFERROR(INDEX(Deals!$F$2:$F$355,MATCH($C319,Deals!$A$2:$A$355,0)),"?"))</f>
        <v/>
      </c>
      <c r="F319" s="28" t="inlineStr">
        <is>
          <t>VP</t>
        </is>
      </c>
      <c r="G319" s="28" t="inlineStr">
        <is>
          <t>Active</t>
        </is>
      </c>
      <c r="H319" s="31" t="n"/>
      <c r="I319" s="32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1">
        <f>IF($C319="",0,IFERROR(INDEX(Deals!$H$2:$H$355,MATCH($C319,Deals!$A$2:$A$355,0)),0))</f>
        <v/>
      </c>
      <c r="K319" s="32">
        <f>IF(Settings!$B$4="Yes",$I319*$J319,$I319)</f>
        <v/>
      </c>
      <c r="L319" s="22">
        <f>IF($C319="","",IFERROR(IF(INDEX(Deals!$I$2:$I$355,MATCH($C319,Deals!$A$2:$A$355,0))=0,"",INDEX(Deals!$I$2:$I$355,MATCH($C319,Deals!$A$2:$A$355,0))),""))</f>
        <v/>
      </c>
      <c r="M319" s="22">
        <f>IF($C319="","",IFERROR(IF(INDEX(Deals!$J$2:$J$355,MATCH($C319,Deals!$A$2:$A$355,0))=0,"",INDEX(Deals!$J$2:$J$355,MATCH($C319,Deals!$A$2:$A$355,0))),""))</f>
        <v/>
      </c>
      <c r="N319" s="35">
        <f>IF($L319="",DATE(1900,1,1),$L319)</f>
        <v/>
      </c>
      <c r="O319" s="35">
        <f>IF($M319="",DATE(2100,12,31),$M319)</f>
        <v/>
      </c>
      <c r="P319" s="20" t="inlineStr">
        <is>
          <t>Ongoing</t>
        </is>
      </c>
      <c r="Q319" s="43" t="inlineStr"/>
      <c r="R319" s="16">
        <f>IF($C319="","",IFERROR(IF(INDEX(Deals!$U$2:$U$355,MATCH($C319,Deals!$A$2:$A$355,0))=0,"",INDEX(Deals!$U$2:$U$355,MATCH($C319,Deals!$A$2:$A$355,0))),""))</f>
        <v/>
      </c>
      <c r="S319" s="34">
        <f>IFERROR(IF($U319="",1,INDEX(Deals!$V$2:$V$355,MATCH($C319,Deals!$A$2:$A$355,0))),1)</f>
        <v/>
      </c>
      <c r="T319" s="34">
        <f>IFERROR(IF($U319="",1,INDEX(Deals!$W$2:$W$355,MATCH($C319,Deals!$A$2:$A$355,0))),1)</f>
        <v/>
      </c>
      <c r="U319" s="22">
        <f>IF($C319="","",IFERROR(IF(INDEX(Deals!$Y$2:$Y$355,MATCH($C319,Deals!$A$2:$A$355,0))=0,"",INDEX(Deals!$Y$2:$Y$355,MATCH($C319,Deals!$A$2:$A$355,0))),""))</f>
        <v/>
      </c>
      <c r="V319" s="35">
        <f>IF($U319="",DATE(1900,1,1),$N319)</f>
        <v/>
      </c>
      <c r="W319" s="35">
        <f>IF($U319="",DATE(2100,12,31),$U319)</f>
        <v/>
      </c>
      <c r="X319" s="32">
        <f>IF($U319="",$K319,$K319*$S319)</f>
        <v/>
      </c>
      <c r="Y319" s="35">
        <f>IF($U319="",DATE(2100,12,31),$U319+1)</f>
        <v/>
      </c>
      <c r="Z319" s="35">
        <f>IF($U319="",DATE(1900,1,1),$O319)</f>
        <v/>
      </c>
      <c r="AA319" s="32">
        <f>IF($U319="",0,$K319*$T319)</f>
        <v/>
      </c>
      <c r="AB319" s="21">
        <f>IF($C319="",0,IFERROR(INDEX(Deals!$AD$2:$AD$355,MATCH($C319,Deals!$A$2:$A$355,0)),0))</f>
        <v/>
      </c>
      <c r="AC319" s="32">
        <f>IF(Settings!$B$4="Yes",$I319*$AB319,$I319)</f>
        <v/>
      </c>
      <c r="AD319" s="22">
        <f>IF($C319="","",IFERROR(IF(INDEX(Deals!$AE$2:$AE$355,MATCH($C319,Deals!$A$2:$A$355,0))=0,"",INDEX(Deals!$AE$2:$AE$355,MATCH($C319,Deals!$A$2:$A$355,0))),""))</f>
        <v/>
      </c>
      <c r="AE319" s="22">
        <f>IF($C319="","",IFERROR(IF(INDEX(Deals!$AF$2:$AF$355,MATCH($C319,Deals!$A$2:$A$355,0))=0,"",INDEX(Deals!$AF$2:$AF$355,MATCH($C319,Deals!$A$2:$A$355,0))),""))</f>
        <v/>
      </c>
      <c r="AF319" s="35">
        <f>IF($AD319="",DATE(1900,1,1),$AD319)</f>
        <v/>
      </c>
      <c r="AG319" s="35">
        <f>IF($AE319="",DATE(2100,12,31),$AE319)</f>
        <v/>
      </c>
      <c r="AH319" s="22">
        <f>IF($C319="","",IFERROR(IF(INDEX(Deals!$AG$2:$AG$355,MATCH($C319,Deals!$A$2:$A$355,0))=0,"",INDEX(Deals!$AG$2:$AG$355,MATCH($C319,Deals!$A$2:$A$355,0))),""))</f>
        <v/>
      </c>
      <c r="AI319" s="35">
        <f>IF($AH319="",DATE(1900,1,1),$AF319)</f>
        <v/>
      </c>
      <c r="AJ319" s="35">
        <f>IF($AH319="",DATE(2100,12,31),$AH319)</f>
        <v/>
      </c>
      <c r="AK319" s="32">
        <f>IF($AH319="",$AC319,$AC319*$S319)</f>
        <v/>
      </c>
      <c r="AL319" s="35">
        <f>IF($AH319="",DATE(2100,12,31),$AH319+1)</f>
        <v/>
      </c>
      <c r="AM319" s="35">
        <f>IF($AH319="",DATE(1900,1,1),$AG319)</f>
        <v/>
      </c>
      <c r="AN319" s="32">
        <f>IF($AH319="",0,$AC319*$T319)</f>
        <v/>
      </c>
    </row>
    <row r="320">
      <c r="A320" s="28" t="inlineStr">
        <is>
          <t>George</t>
        </is>
      </c>
      <c r="B320" s="16">
        <f>IF($A320="","",IFERROR(INDEX(Roster!$B$2:$B$40,MATCH($A320,Roster!$A$2:$A$40,0)),"?"))</f>
        <v/>
      </c>
      <c r="C320" s="28" t="inlineStr">
        <is>
          <t>AOP Model_1</t>
        </is>
      </c>
      <c r="D320" s="16">
        <f>IF($C320="","",IFERROR(IF(INDEX(Deals!$C$2:$C$355,MATCH($C320,Deals!$A$2:$A$355,0))=0,"",INDEX(Deals!$C$2:$C$355,MATCH($C320,Deals!$A$2:$A$355,0))),"?"))</f>
        <v/>
      </c>
      <c r="E320" s="16">
        <f>IF($C320="","",IFERROR(INDEX(Deals!$F$2:$F$355,MATCH($C320,Deals!$A$2:$A$355,0)),"?"))</f>
        <v/>
      </c>
      <c r="F320" s="28" t="inlineStr">
        <is>
          <t>VP</t>
        </is>
      </c>
      <c r="G320" s="28" t="inlineStr">
        <is>
          <t>Active</t>
        </is>
      </c>
      <c r="H320" s="31" t="n"/>
      <c r="I320" s="32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1">
        <f>IF($C320="",0,IFERROR(INDEX(Deals!$H$2:$H$355,MATCH($C320,Deals!$A$2:$A$355,0)),0))</f>
        <v/>
      </c>
      <c r="K320" s="32">
        <f>IF(Settings!$B$4="Yes",$I320*$J320,$I320)</f>
        <v/>
      </c>
      <c r="L320" s="22">
        <f>IF($C320="","",IFERROR(IF(INDEX(Deals!$I$2:$I$355,MATCH($C320,Deals!$A$2:$A$355,0))=0,"",INDEX(Deals!$I$2:$I$355,MATCH($C320,Deals!$A$2:$A$355,0))),""))</f>
        <v/>
      </c>
      <c r="M320" s="22">
        <f>IF($C320="","",IFERROR(IF(INDEX(Deals!$J$2:$J$355,MATCH($C320,Deals!$A$2:$A$355,0))=0,"",INDEX(Deals!$J$2:$J$355,MATCH($C320,Deals!$A$2:$A$355,0))),""))</f>
        <v/>
      </c>
      <c r="N320" s="35">
        <f>IF($L320="",DATE(1900,1,1),$L320)</f>
        <v/>
      </c>
      <c r="O320" s="35">
        <f>IF($M320="",DATE(2100,12,31),$M320)</f>
        <v/>
      </c>
      <c r="P320" s="20" t="inlineStr">
        <is>
          <t>Ongoing</t>
        </is>
      </c>
      <c r="Q320" s="43" t="inlineStr"/>
      <c r="R320" s="16">
        <f>IF($C320="","",IFERROR(IF(INDEX(Deals!$U$2:$U$355,MATCH($C320,Deals!$A$2:$A$355,0))=0,"",INDEX(Deals!$U$2:$U$355,MATCH($C320,Deals!$A$2:$A$355,0))),""))</f>
        <v/>
      </c>
      <c r="S320" s="34">
        <f>IFERROR(IF($U320="",1,INDEX(Deals!$V$2:$V$355,MATCH($C320,Deals!$A$2:$A$355,0))),1)</f>
        <v/>
      </c>
      <c r="T320" s="34">
        <f>IFERROR(IF($U320="",1,INDEX(Deals!$W$2:$W$355,MATCH($C320,Deals!$A$2:$A$355,0))),1)</f>
        <v/>
      </c>
      <c r="U320" s="22">
        <f>IF($C320="","",IFERROR(IF(INDEX(Deals!$Y$2:$Y$355,MATCH($C320,Deals!$A$2:$A$355,0))=0,"",INDEX(Deals!$Y$2:$Y$355,MATCH($C320,Deals!$A$2:$A$355,0))),""))</f>
        <v/>
      </c>
      <c r="V320" s="35">
        <f>IF($U320="",DATE(1900,1,1),$N320)</f>
        <v/>
      </c>
      <c r="W320" s="35">
        <f>IF($U320="",DATE(2100,12,31),$U320)</f>
        <v/>
      </c>
      <c r="X320" s="32">
        <f>IF($U320="",$K320,$K320*$S320)</f>
        <v/>
      </c>
      <c r="Y320" s="35">
        <f>IF($U320="",DATE(2100,12,31),$U320+1)</f>
        <v/>
      </c>
      <c r="Z320" s="35">
        <f>IF($U320="",DATE(1900,1,1),$O320)</f>
        <v/>
      </c>
      <c r="AA320" s="32">
        <f>IF($U320="",0,$K320*$T320)</f>
        <v/>
      </c>
      <c r="AB320" s="21">
        <f>IF($C320="",0,IFERROR(INDEX(Deals!$AD$2:$AD$355,MATCH($C320,Deals!$A$2:$A$355,0)),0))</f>
        <v/>
      </c>
      <c r="AC320" s="32">
        <f>IF(Settings!$B$4="Yes",$I320*$AB320,$I320)</f>
        <v/>
      </c>
      <c r="AD320" s="22">
        <f>IF($C320="","",IFERROR(IF(INDEX(Deals!$AE$2:$AE$355,MATCH($C320,Deals!$A$2:$A$355,0))=0,"",INDEX(Deals!$AE$2:$AE$355,MATCH($C320,Deals!$A$2:$A$355,0))),""))</f>
        <v/>
      </c>
      <c r="AE320" s="22">
        <f>IF($C320="","",IFERROR(IF(INDEX(Deals!$AF$2:$AF$355,MATCH($C320,Deals!$A$2:$A$355,0))=0,"",INDEX(Deals!$AF$2:$AF$355,MATCH($C320,Deals!$A$2:$A$355,0))),""))</f>
        <v/>
      </c>
      <c r="AF320" s="35">
        <f>IF($AD320="",DATE(1900,1,1),$AD320)</f>
        <v/>
      </c>
      <c r="AG320" s="35">
        <f>IF($AE320="",DATE(2100,12,31),$AE320)</f>
        <v/>
      </c>
      <c r="AH320" s="22">
        <f>IF($C320="","",IFERROR(IF(INDEX(Deals!$AG$2:$AG$355,MATCH($C320,Deals!$A$2:$A$355,0))=0,"",INDEX(Deals!$AG$2:$AG$355,MATCH($C320,Deals!$A$2:$A$355,0))),""))</f>
        <v/>
      </c>
      <c r="AI320" s="35">
        <f>IF($AH320="",DATE(1900,1,1),$AF320)</f>
        <v/>
      </c>
      <c r="AJ320" s="35">
        <f>IF($AH320="",DATE(2100,12,31),$AH320)</f>
        <v/>
      </c>
      <c r="AK320" s="32">
        <f>IF($AH320="",$AC320,$AC320*$S320)</f>
        <v/>
      </c>
      <c r="AL320" s="35">
        <f>IF($AH320="",DATE(2100,12,31),$AH320+1)</f>
        <v/>
      </c>
      <c r="AM320" s="35">
        <f>IF($AH320="",DATE(1900,1,1),$AG320)</f>
        <v/>
      </c>
      <c r="AN320" s="32">
        <f>IF($AH320="",0,$AC320*$T320)</f>
        <v/>
      </c>
    </row>
    <row r="321">
      <c r="A321" s="28" t="inlineStr">
        <is>
          <t>George</t>
        </is>
      </c>
      <c r="B321" s="16">
        <f>IF($A321="","",IFERROR(INDEX(Roster!$B$2:$B$40,MATCH($A321,Roster!$A$2:$A$40,0)),"?"))</f>
        <v/>
      </c>
      <c r="C321" s="28" t="inlineStr">
        <is>
          <t>Bolt_2</t>
        </is>
      </c>
      <c r="D321" s="16">
        <f>IF($C321="","",IFERROR(IF(INDEX(Deals!$C$2:$C$355,MATCH($C321,Deals!$A$2:$A$355,0))=0,"",INDEX(Deals!$C$2:$C$355,MATCH($C321,Deals!$A$2:$A$355,0))),"?"))</f>
        <v/>
      </c>
      <c r="E321" s="16">
        <f>IF($C321="","",IFERROR(INDEX(Deals!$F$2:$F$355,MATCH($C321,Deals!$A$2:$A$355,0)),"?"))</f>
        <v/>
      </c>
      <c r="F321" s="28" t="inlineStr">
        <is>
          <t>VP</t>
        </is>
      </c>
      <c r="G321" s="28" t="inlineStr">
        <is>
          <t>Active</t>
        </is>
      </c>
      <c r="H321" s="31" t="n"/>
      <c r="I321" s="32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1">
        <f>IF($C321="",0,IFERROR(INDEX(Deals!$H$2:$H$355,MATCH($C321,Deals!$A$2:$A$355,0)),0))</f>
        <v/>
      </c>
      <c r="K321" s="32">
        <f>IF(Settings!$B$4="Yes",$I321*$J321,$I321)</f>
        <v/>
      </c>
      <c r="L321" s="22">
        <f>IF($C321="","",IFERROR(IF(INDEX(Deals!$I$2:$I$355,MATCH($C321,Deals!$A$2:$A$355,0))=0,"",INDEX(Deals!$I$2:$I$355,MATCH($C321,Deals!$A$2:$A$355,0))),""))</f>
        <v/>
      </c>
      <c r="M321" s="22">
        <f>IF($C321="","",IFERROR(IF(INDEX(Deals!$J$2:$J$355,MATCH($C321,Deals!$A$2:$A$355,0))=0,"",INDEX(Deals!$J$2:$J$355,MATCH($C321,Deals!$A$2:$A$355,0))),""))</f>
        <v/>
      </c>
      <c r="N321" s="35">
        <f>IF($L321="",DATE(1900,1,1),$L321)</f>
        <v/>
      </c>
      <c r="O321" s="35">
        <f>IF($M321="",DATE(2100,12,31),$M321)</f>
        <v/>
      </c>
      <c r="P321" s="20" t="inlineStr">
        <is>
          <t>Ongoing</t>
        </is>
      </c>
      <c r="Q321" s="43" t="inlineStr">
        <is>
          <t>Added from Summary tab</t>
        </is>
      </c>
      <c r="R321" s="16">
        <f>IF($C321="","",IFERROR(IF(INDEX(Deals!$U$2:$U$355,MATCH($C321,Deals!$A$2:$A$355,0))=0,"",INDEX(Deals!$U$2:$U$355,MATCH($C321,Deals!$A$2:$A$355,0))),""))</f>
        <v/>
      </c>
      <c r="S321" s="34">
        <f>IFERROR(IF($U321="",1,INDEX(Deals!$V$2:$V$355,MATCH($C321,Deals!$A$2:$A$355,0))),1)</f>
        <v/>
      </c>
      <c r="T321" s="34">
        <f>IFERROR(IF($U321="",1,INDEX(Deals!$W$2:$W$355,MATCH($C321,Deals!$A$2:$A$355,0))),1)</f>
        <v/>
      </c>
      <c r="U321" s="22">
        <f>IF($C321="","",IFERROR(IF(INDEX(Deals!$Y$2:$Y$355,MATCH($C321,Deals!$A$2:$A$355,0))=0,"",INDEX(Deals!$Y$2:$Y$355,MATCH($C321,Deals!$A$2:$A$355,0))),""))</f>
        <v/>
      </c>
      <c r="V321" s="35">
        <f>IF($U321="",DATE(1900,1,1),$N321)</f>
        <v/>
      </c>
      <c r="W321" s="35">
        <f>IF($U321="",DATE(2100,12,31),$U321)</f>
        <v/>
      </c>
      <c r="X321" s="32">
        <f>IF($U321="",$K321,$K321*$S321)</f>
        <v/>
      </c>
      <c r="Y321" s="35">
        <f>IF($U321="",DATE(2100,12,31),$U321+1)</f>
        <v/>
      </c>
      <c r="Z321" s="35">
        <f>IF($U321="",DATE(1900,1,1),$O321)</f>
        <v/>
      </c>
      <c r="AA321" s="32">
        <f>IF($U321="",0,$K321*$T321)</f>
        <v/>
      </c>
      <c r="AB321" s="21">
        <f>IF($C321="",0,IFERROR(INDEX(Deals!$AD$2:$AD$355,MATCH($C321,Deals!$A$2:$A$355,0)),0))</f>
        <v/>
      </c>
      <c r="AC321" s="32">
        <f>IF(Settings!$B$4="Yes",$I321*$AB321,$I321)</f>
        <v/>
      </c>
      <c r="AD321" s="22">
        <f>IF($C321="","",IFERROR(IF(INDEX(Deals!$AE$2:$AE$355,MATCH($C321,Deals!$A$2:$A$355,0))=0,"",INDEX(Deals!$AE$2:$AE$355,MATCH($C321,Deals!$A$2:$A$355,0))),""))</f>
        <v/>
      </c>
      <c r="AE321" s="22">
        <f>IF($C321="","",IFERROR(IF(INDEX(Deals!$AF$2:$AF$355,MATCH($C321,Deals!$A$2:$A$355,0))=0,"",INDEX(Deals!$AF$2:$AF$355,MATCH($C321,Deals!$A$2:$A$355,0))),""))</f>
        <v/>
      </c>
      <c r="AF321" s="35">
        <f>IF($AD321="",DATE(1900,1,1),$AD321)</f>
        <v/>
      </c>
      <c r="AG321" s="35">
        <f>IF($AE321="",DATE(2100,12,31),$AE321)</f>
        <v/>
      </c>
      <c r="AH321" s="22">
        <f>IF($C321="","",IFERROR(IF(INDEX(Deals!$AG$2:$AG$355,MATCH($C321,Deals!$A$2:$A$355,0))=0,"",INDEX(Deals!$AG$2:$AG$355,MATCH($C321,Deals!$A$2:$A$355,0))),""))</f>
        <v/>
      </c>
      <c r="AI321" s="35">
        <f>IF($AH321="",DATE(1900,1,1),$AF321)</f>
        <v/>
      </c>
      <c r="AJ321" s="35">
        <f>IF($AH321="",DATE(2100,12,31),$AH321)</f>
        <v/>
      </c>
      <c r="AK321" s="32">
        <f>IF($AH321="",$AC321,$AC321*$S321)</f>
        <v/>
      </c>
      <c r="AL321" s="35">
        <f>IF($AH321="",DATE(2100,12,31),$AH321+1)</f>
        <v/>
      </c>
      <c r="AM321" s="35">
        <f>IF($AH321="",DATE(1900,1,1),$AG321)</f>
        <v/>
      </c>
      <c r="AN321" s="32">
        <f>IF($AH321="",0,$AC321*$T321)</f>
        <v/>
      </c>
    </row>
    <row r="322">
      <c r="A322" s="28" t="inlineStr">
        <is>
          <t>George</t>
        </is>
      </c>
      <c r="B322" s="16">
        <f>IF($A322="","",IFERROR(INDEX(Roster!$B$2:$B$40,MATCH($A322,Roster!$A$2:$A$40,0)),"?"))</f>
        <v/>
      </c>
      <c r="C322" s="28" t="inlineStr">
        <is>
          <t>Brick_1</t>
        </is>
      </c>
      <c r="D322" s="16">
        <f>IF($C322="","",IFERROR(IF(INDEX(Deals!$C$2:$C$355,MATCH($C322,Deals!$A$2:$A$355,0))=0,"",INDEX(Deals!$C$2:$C$355,MATCH($C322,Deals!$A$2:$A$355,0))),"?"))</f>
        <v/>
      </c>
      <c r="E322" s="16">
        <f>IF($C322="","",IFERROR(INDEX(Deals!$F$2:$F$355,MATCH($C322,Deals!$A$2:$A$355,0)),"?"))</f>
        <v/>
      </c>
      <c r="F322" s="28" t="inlineStr">
        <is>
          <t>VP</t>
        </is>
      </c>
      <c r="G322" s="28" t="inlineStr">
        <is>
          <t>Active</t>
        </is>
      </c>
      <c r="H322" s="31" t="n"/>
      <c r="I322" s="32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1">
        <f>IF($C322="",0,IFERROR(INDEX(Deals!$H$2:$H$355,MATCH($C322,Deals!$A$2:$A$355,0)),0))</f>
        <v/>
      </c>
      <c r="K322" s="32">
        <f>IF(Settings!$B$4="Yes",$I322*$J322,$I322)</f>
        <v/>
      </c>
      <c r="L322" s="22">
        <f>IF($C322="","",IFERROR(IF(INDEX(Deals!$I$2:$I$355,MATCH($C322,Deals!$A$2:$A$355,0))=0,"",INDEX(Deals!$I$2:$I$355,MATCH($C322,Deals!$A$2:$A$355,0))),""))</f>
        <v/>
      </c>
      <c r="M322" s="22">
        <f>IF($C322="","",IFERROR(IF(INDEX(Deals!$J$2:$J$355,MATCH($C322,Deals!$A$2:$A$355,0))=0,"",INDEX(Deals!$J$2:$J$355,MATCH($C322,Deals!$A$2:$A$355,0))),""))</f>
        <v/>
      </c>
      <c r="N322" s="35">
        <f>IF($L322="",DATE(1900,1,1),$L322)</f>
        <v/>
      </c>
      <c r="O322" s="35">
        <f>IF($M322="",DATE(2100,12,31),$M322)</f>
        <v/>
      </c>
      <c r="P322" s="20" t="inlineStr">
        <is>
          <t>Ongoing</t>
        </is>
      </c>
      <c r="Q322" s="43" t="inlineStr">
        <is>
          <t>Added from Summary tab</t>
        </is>
      </c>
      <c r="R322" s="16">
        <f>IF($C322="","",IFERROR(IF(INDEX(Deals!$U$2:$U$355,MATCH($C322,Deals!$A$2:$A$355,0))=0,"",INDEX(Deals!$U$2:$U$355,MATCH($C322,Deals!$A$2:$A$355,0))),""))</f>
        <v/>
      </c>
      <c r="S322" s="34">
        <f>IFERROR(IF($U322="",1,INDEX(Deals!$V$2:$V$355,MATCH($C322,Deals!$A$2:$A$355,0))),1)</f>
        <v/>
      </c>
      <c r="T322" s="34">
        <f>IFERROR(IF($U322="",1,INDEX(Deals!$W$2:$W$355,MATCH($C322,Deals!$A$2:$A$355,0))),1)</f>
        <v/>
      </c>
      <c r="U322" s="22">
        <f>IF($C322="","",IFERROR(IF(INDEX(Deals!$Y$2:$Y$355,MATCH($C322,Deals!$A$2:$A$355,0))=0,"",INDEX(Deals!$Y$2:$Y$355,MATCH($C322,Deals!$A$2:$A$355,0))),""))</f>
        <v/>
      </c>
      <c r="V322" s="35">
        <f>IF($U322="",DATE(1900,1,1),$N322)</f>
        <v/>
      </c>
      <c r="W322" s="35">
        <f>IF($U322="",DATE(2100,12,31),$U322)</f>
        <v/>
      </c>
      <c r="X322" s="32">
        <f>IF($U322="",$K322,$K322*$S322)</f>
        <v/>
      </c>
      <c r="Y322" s="35">
        <f>IF($U322="",DATE(2100,12,31),$U322+1)</f>
        <v/>
      </c>
      <c r="Z322" s="35">
        <f>IF($U322="",DATE(1900,1,1),$O322)</f>
        <v/>
      </c>
      <c r="AA322" s="32">
        <f>IF($U322="",0,$K322*$T322)</f>
        <v/>
      </c>
      <c r="AB322" s="21">
        <f>IF($C322="",0,IFERROR(INDEX(Deals!$AD$2:$AD$355,MATCH($C322,Deals!$A$2:$A$355,0)),0))</f>
        <v/>
      </c>
      <c r="AC322" s="32">
        <f>IF(Settings!$B$4="Yes",$I322*$AB322,$I322)</f>
        <v/>
      </c>
      <c r="AD322" s="22">
        <f>IF($C322="","",IFERROR(IF(INDEX(Deals!$AE$2:$AE$355,MATCH($C322,Deals!$A$2:$A$355,0))=0,"",INDEX(Deals!$AE$2:$AE$355,MATCH($C322,Deals!$A$2:$A$355,0))),""))</f>
        <v/>
      </c>
      <c r="AE322" s="22">
        <f>IF($C322="","",IFERROR(IF(INDEX(Deals!$AF$2:$AF$355,MATCH($C322,Deals!$A$2:$A$355,0))=0,"",INDEX(Deals!$AF$2:$AF$355,MATCH($C322,Deals!$A$2:$A$355,0))),""))</f>
        <v/>
      </c>
      <c r="AF322" s="35">
        <f>IF($AD322="",DATE(1900,1,1),$AD322)</f>
        <v/>
      </c>
      <c r="AG322" s="35">
        <f>IF($AE322="",DATE(2100,12,31),$AE322)</f>
        <v/>
      </c>
      <c r="AH322" s="22">
        <f>IF($C322="","",IFERROR(IF(INDEX(Deals!$AG$2:$AG$355,MATCH($C322,Deals!$A$2:$A$355,0))=0,"",INDEX(Deals!$AG$2:$AG$355,MATCH($C322,Deals!$A$2:$A$355,0))),""))</f>
        <v/>
      </c>
      <c r="AI322" s="35">
        <f>IF($AH322="",DATE(1900,1,1),$AF322)</f>
        <v/>
      </c>
      <c r="AJ322" s="35">
        <f>IF($AH322="",DATE(2100,12,31),$AH322)</f>
        <v/>
      </c>
      <c r="AK322" s="32">
        <f>IF($AH322="",$AC322,$AC322*$S322)</f>
        <v/>
      </c>
      <c r="AL322" s="35">
        <f>IF($AH322="",DATE(2100,12,31),$AH322+1)</f>
        <v/>
      </c>
      <c r="AM322" s="35">
        <f>IF($AH322="",DATE(1900,1,1),$AG322)</f>
        <v/>
      </c>
      <c r="AN322" s="32">
        <f>IF($AH322="",0,$AC322*$T322)</f>
        <v/>
      </c>
    </row>
    <row r="323">
      <c r="A323" s="28" t="inlineStr">
        <is>
          <t>George</t>
        </is>
      </c>
      <c r="B323" s="16">
        <f>IF($A323="","",IFERROR(INDEX(Roster!$B$2:$B$40,MATCH($A323,Roster!$A$2:$A$40,0)),"?"))</f>
        <v/>
      </c>
      <c r="C323" s="28" t="inlineStr">
        <is>
          <t>Camaro_1</t>
        </is>
      </c>
      <c r="D323" s="16">
        <f>IF($C323="","",IFERROR(IF(INDEX(Deals!$C$2:$C$355,MATCH($C323,Deals!$A$2:$A$355,0))=0,"",INDEX(Deals!$C$2:$C$355,MATCH($C323,Deals!$A$2:$A$355,0))),"?"))</f>
        <v/>
      </c>
      <c r="E323" s="16">
        <f>IF($C323="","",IFERROR(INDEX(Deals!$F$2:$F$355,MATCH($C323,Deals!$A$2:$A$355,0)),"?"))</f>
        <v/>
      </c>
      <c r="F323" s="28" t="inlineStr">
        <is>
          <t>VP</t>
        </is>
      </c>
      <c r="G323" s="28" t="inlineStr">
        <is>
          <t>Inactive</t>
        </is>
      </c>
      <c r="H323" s="31" t="n"/>
      <c r="I323" s="32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1">
        <f>IF($C323="",0,IFERROR(INDEX(Deals!$H$2:$H$355,MATCH($C323,Deals!$A$2:$A$355,0)),0))</f>
        <v/>
      </c>
      <c r="K323" s="32">
        <f>IF(Settings!$B$4="Yes",$I323*$J323,$I323)</f>
        <v/>
      </c>
      <c r="L323" s="22">
        <f>IF($C323="","",IFERROR(IF(INDEX(Deals!$I$2:$I$355,MATCH($C323,Deals!$A$2:$A$355,0))=0,"",INDEX(Deals!$I$2:$I$355,MATCH($C323,Deals!$A$2:$A$355,0))),""))</f>
        <v/>
      </c>
      <c r="M323" s="22">
        <f>IF($C323="","",IFERROR(IF(INDEX(Deals!$J$2:$J$355,MATCH($C323,Deals!$A$2:$A$355,0))=0,"",INDEX(Deals!$J$2:$J$355,MATCH($C323,Deals!$A$2:$A$355,0))),""))</f>
        <v/>
      </c>
      <c r="N323" s="35">
        <f>IF($L323="",DATE(1900,1,1),$L323)</f>
        <v/>
      </c>
      <c r="O323" s="35">
        <f>IF($M323="",DATE(2100,12,31),$M323)</f>
        <v/>
      </c>
      <c r="P323" s="20" t="inlineStr">
        <is>
          <t>Closed</t>
        </is>
      </c>
      <c r="Q323" s="43" t="inlineStr"/>
      <c r="R323" s="16">
        <f>IF($C323="","",IFERROR(IF(INDEX(Deals!$U$2:$U$355,MATCH($C323,Deals!$A$2:$A$355,0))=0,"",INDEX(Deals!$U$2:$U$355,MATCH($C323,Deals!$A$2:$A$355,0))),""))</f>
        <v/>
      </c>
      <c r="S323" s="34">
        <f>IFERROR(IF($U323="",1,INDEX(Deals!$V$2:$V$355,MATCH($C323,Deals!$A$2:$A$355,0))),1)</f>
        <v/>
      </c>
      <c r="T323" s="34">
        <f>IFERROR(IF($U323="",1,INDEX(Deals!$W$2:$W$355,MATCH($C323,Deals!$A$2:$A$355,0))),1)</f>
        <v/>
      </c>
      <c r="U323" s="22">
        <f>IF($C323="","",IFERROR(IF(INDEX(Deals!$Y$2:$Y$355,MATCH($C323,Deals!$A$2:$A$355,0))=0,"",INDEX(Deals!$Y$2:$Y$355,MATCH($C323,Deals!$A$2:$A$355,0))),""))</f>
        <v/>
      </c>
      <c r="V323" s="35">
        <f>IF($U323="",DATE(1900,1,1),$N323)</f>
        <v/>
      </c>
      <c r="W323" s="35">
        <f>IF($U323="",DATE(2100,12,31),$U323)</f>
        <v/>
      </c>
      <c r="X323" s="32">
        <f>IF($U323="",$K323,$K323*$S323)</f>
        <v/>
      </c>
      <c r="Y323" s="35">
        <f>IF($U323="",DATE(2100,12,31),$U323+1)</f>
        <v/>
      </c>
      <c r="Z323" s="35">
        <f>IF($U323="",DATE(1900,1,1),$O323)</f>
        <v/>
      </c>
      <c r="AA323" s="32">
        <f>IF($U323="",0,$K323*$T323)</f>
        <v/>
      </c>
      <c r="AB323" s="21">
        <f>IF($C323="",0,IFERROR(INDEX(Deals!$AD$2:$AD$355,MATCH($C323,Deals!$A$2:$A$355,0)),0))</f>
        <v/>
      </c>
      <c r="AC323" s="32">
        <f>IF(Settings!$B$4="Yes",$I323*$AB323,$I323)</f>
        <v/>
      </c>
      <c r="AD323" s="22">
        <f>IF($C323="","",IFERROR(IF(INDEX(Deals!$AE$2:$AE$355,MATCH($C323,Deals!$A$2:$A$355,0))=0,"",INDEX(Deals!$AE$2:$AE$355,MATCH($C323,Deals!$A$2:$A$355,0))),""))</f>
        <v/>
      </c>
      <c r="AE323" s="22">
        <f>IF($C323="","",IFERROR(IF(INDEX(Deals!$AF$2:$AF$355,MATCH($C323,Deals!$A$2:$A$355,0))=0,"",INDEX(Deals!$AF$2:$AF$355,MATCH($C323,Deals!$A$2:$A$355,0))),""))</f>
        <v/>
      </c>
      <c r="AF323" s="35">
        <f>IF($AD323="",DATE(1900,1,1),$AD323)</f>
        <v/>
      </c>
      <c r="AG323" s="35">
        <f>IF($AE323="",DATE(2100,12,31),$AE323)</f>
        <v/>
      </c>
      <c r="AH323" s="22">
        <f>IF($C323="","",IFERROR(IF(INDEX(Deals!$AG$2:$AG$355,MATCH($C323,Deals!$A$2:$A$355,0))=0,"",INDEX(Deals!$AG$2:$AG$355,MATCH($C323,Deals!$A$2:$A$355,0))),""))</f>
        <v/>
      </c>
      <c r="AI323" s="35">
        <f>IF($AH323="",DATE(1900,1,1),$AF323)</f>
        <v/>
      </c>
      <c r="AJ323" s="35">
        <f>IF($AH323="",DATE(2100,12,31),$AH323)</f>
        <v/>
      </c>
      <c r="AK323" s="32">
        <f>IF($AH323="",$AC323,$AC323*$S323)</f>
        <v/>
      </c>
      <c r="AL323" s="35">
        <f>IF($AH323="",DATE(2100,12,31),$AH323+1)</f>
        <v/>
      </c>
      <c r="AM323" s="35">
        <f>IF($AH323="",DATE(1900,1,1),$AG323)</f>
        <v/>
      </c>
      <c r="AN323" s="32">
        <f>IF($AH323="",0,$AC323*$T323)</f>
        <v/>
      </c>
    </row>
    <row r="324">
      <c r="A324" s="28" t="inlineStr">
        <is>
          <t>George</t>
        </is>
      </c>
      <c r="B324" s="16">
        <f>IF($A324="","",IFERROR(INDEX(Roster!$B$2:$B$40,MATCH($A324,Roster!$A$2:$A$40,0)),"?"))</f>
        <v/>
      </c>
      <c r="C324" s="28" t="inlineStr">
        <is>
          <t>Canyon_2</t>
        </is>
      </c>
      <c r="D324" s="16">
        <f>IF($C324="","",IFERROR(IF(INDEX(Deals!$C$2:$C$355,MATCH($C324,Deals!$A$2:$A$355,0))=0,"",INDEX(Deals!$C$2:$C$355,MATCH($C324,Deals!$A$2:$A$355,0))),"?"))</f>
        <v/>
      </c>
      <c r="E324" s="16">
        <f>IF($C324="","",IFERROR(INDEX(Deals!$F$2:$F$355,MATCH($C324,Deals!$A$2:$A$355,0)),"?"))</f>
        <v/>
      </c>
      <c r="F324" s="28" t="inlineStr">
        <is>
          <t>VP</t>
        </is>
      </c>
      <c r="G324" s="28" t="inlineStr">
        <is>
          <t>Active</t>
        </is>
      </c>
      <c r="H324" s="31" t="n"/>
      <c r="I324" s="32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1">
        <f>IF($C324="",0,IFERROR(INDEX(Deals!$H$2:$H$355,MATCH($C324,Deals!$A$2:$A$355,0)),0))</f>
        <v/>
      </c>
      <c r="K324" s="32">
        <f>IF(Settings!$B$4="Yes",$I324*$J324,$I324)</f>
        <v/>
      </c>
      <c r="L324" s="22">
        <f>IF($C324="","",IFERROR(IF(INDEX(Deals!$I$2:$I$355,MATCH($C324,Deals!$A$2:$A$355,0))=0,"",INDEX(Deals!$I$2:$I$355,MATCH($C324,Deals!$A$2:$A$355,0))),""))</f>
        <v/>
      </c>
      <c r="M324" s="22">
        <f>IF($C324="","",IFERROR(IF(INDEX(Deals!$J$2:$J$355,MATCH($C324,Deals!$A$2:$A$355,0))=0,"",INDEX(Deals!$J$2:$J$355,MATCH($C324,Deals!$A$2:$A$355,0))),""))</f>
        <v/>
      </c>
      <c r="N324" s="35">
        <f>IF($L324="",DATE(1900,1,1),$L324)</f>
        <v/>
      </c>
      <c r="O324" s="35">
        <f>IF($M324="",DATE(2100,12,31),$M324)</f>
        <v/>
      </c>
      <c r="P324" s="20" t="inlineStr">
        <is>
          <t>Ongoing</t>
        </is>
      </c>
      <c r="Q324" s="43" t="inlineStr"/>
      <c r="R324" s="16">
        <f>IF($C324="","",IFERROR(IF(INDEX(Deals!$U$2:$U$355,MATCH($C324,Deals!$A$2:$A$355,0))=0,"",INDEX(Deals!$U$2:$U$355,MATCH($C324,Deals!$A$2:$A$355,0))),""))</f>
        <v/>
      </c>
      <c r="S324" s="34">
        <f>IFERROR(IF($U324="",1,INDEX(Deals!$V$2:$V$355,MATCH($C324,Deals!$A$2:$A$355,0))),1)</f>
        <v/>
      </c>
      <c r="T324" s="34">
        <f>IFERROR(IF($U324="",1,INDEX(Deals!$W$2:$W$355,MATCH($C324,Deals!$A$2:$A$355,0))),1)</f>
        <v/>
      </c>
      <c r="U324" s="22">
        <f>IF($C324="","",IFERROR(IF(INDEX(Deals!$Y$2:$Y$355,MATCH($C324,Deals!$A$2:$A$355,0))=0,"",INDEX(Deals!$Y$2:$Y$355,MATCH($C324,Deals!$A$2:$A$355,0))),""))</f>
        <v/>
      </c>
      <c r="V324" s="35">
        <f>IF($U324="",DATE(1900,1,1),$N324)</f>
        <v/>
      </c>
      <c r="W324" s="35">
        <f>IF($U324="",DATE(2100,12,31),$U324)</f>
        <v/>
      </c>
      <c r="X324" s="32">
        <f>IF($U324="",$K324,$K324*$S324)</f>
        <v/>
      </c>
      <c r="Y324" s="35">
        <f>IF($U324="",DATE(2100,12,31),$U324+1)</f>
        <v/>
      </c>
      <c r="Z324" s="35">
        <f>IF($U324="",DATE(1900,1,1),$O324)</f>
        <v/>
      </c>
      <c r="AA324" s="32">
        <f>IF($U324="",0,$K324*$T324)</f>
        <v/>
      </c>
      <c r="AB324" s="21">
        <f>IF($C324="",0,IFERROR(INDEX(Deals!$AD$2:$AD$355,MATCH($C324,Deals!$A$2:$A$355,0)),0))</f>
        <v/>
      </c>
      <c r="AC324" s="32">
        <f>IF(Settings!$B$4="Yes",$I324*$AB324,$I324)</f>
        <v/>
      </c>
      <c r="AD324" s="22">
        <f>IF($C324="","",IFERROR(IF(INDEX(Deals!$AE$2:$AE$355,MATCH($C324,Deals!$A$2:$A$355,0))=0,"",INDEX(Deals!$AE$2:$AE$355,MATCH($C324,Deals!$A$2:$A$355,0))),""))</f>
        <v/>
      </c>
      <c r="AE324" s="22">
        <f>IF($C324="","",IFERROR(IF(INDEX(Deals!$AF$2:$AF$355,MATCH($C324,Deals!$A$2:$A$355,0))=0,"",INDEX(Deals!$AF$2:$AF$355,MATCH($C324,Deals!$A$2:$A$355,0))),""))</f>
        <v/>
      </c>
      <c r="AF324" s="35">
        <f>IF($AD324="",DATE(1900,1,1),$AD324)</f>
        <v/>
      </c>
      <c r="AG324" s="35">
        <f>IF($AE324="",DATE(2100,12,31),$AE324)</f>
        <v/>
      </c>
      <c r="AH324" s="22">
        <f>IF($C324="","",IFERROR(IF(INDEX(Deals!$AG$2:$AG$355,MATCH($C324,Deals!$A$2:$A$355,0))=0,"",INDEX(Deals!$AG$2:$AG$355,MATCH($C324,Deals!$A$2:$A$355,0))),""))</f>
        <v/>
      </c>
      <c r="AI324" s="35">
        <f>IF($AH324="",DATE(1900,1,1),$AF324)</f>
        <v/>
      </c>
      <c r="AJ324" s="35">
        <f>IF($AH324="",DATE(2100,12,31),$AH324)</f>
        <v/>
      </c>
      <c r="AK324" s="32">
        <f>IF($AH324="",$AC324,$AC324*$S324)</f>
        <v/>
      </c>
      <c r="AL324" s="35">
        <f>IF($AH324="",DATE(2100,12,31),$AH324+1)</f>
        <v/>
      </c>
      <c r="AM324" s="35">
        <f>IF($AH324="",DATE(1900,1,1),$AG324)</f>
        <v/>
      </c>
      <c r="AN324" s="32">
        <f>IF($AH324="",0,$AC324*$T324)</f>
        <v/>
      </c>
    </row>
    <row r="325">
      <c r="A325" s="28" t="inlineStr">
        <is>
          <t>George</t>
        </is>
      </c>
      <c r="B325" s="16">
        <f>IF($A325="","",IFERROR(INDEX(Roster!$B$2:$B$40,MATCH($A325,Roster!$A$2:$A$40,0)),"?"))</f>
        <v/>
      </c>
      <c r="C325" s="28" t="inlineStr">
        <is>
          <t>Chicago RE_1</t>
        </is>
      </c>
      <c r="D325" s="16">
        <f>IF($C325="","",IFERROR(IF(INDEX(Deals!$C$2:$C$355,MATCH($C325,Deals!$A$2:$A$355,0))=0,"",INDEX(Deals!$C$2:$C$355,MATCH($C325,Deals!$A$2:$A$355,0))),"?"))</f>
        <v/>
      </c>
      <c r="E325" s="16">
        <f>IF($C325="","",IFERROR(INDEX(Deals!$F$2:$F$355,MATCH($C325,Deals!$A$2:$A$355,0)),"?"))</f>
        <v/>
      </c>
      <c r="F325" s="28" t="inlineStr">
        <is>
          <t>VP</t>
        </is>
      </c>
      <c r="G325" s="28" t="inlineStr">
        <is>
          <t>Active</t>
        </is>
      </c>
      <c r="H325" s="31" t="n"/>
      <c r="I325" s="32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1">
        <f>IF($C325="",0,IFERROR(INDEX(Deals!$H$2:$H$355,MATCH($C325,Deals!$A$2:$A$355,0)),0))</f>
        <v/>
      </c>
      <c r="K325" s="32">
        <f>IF(Settings!$B$4="Yes",$I325*$J325,$I325)</f>
        <v/>
      </c>
      <c r="L325" s="22">
        <f>IF($C325="","",IFERROR(IF(INDEX(Deals!$I$2:$I$355,MATCH($C325,Deals!$A$2:$A$355,0))=0,"",INDEX(Deals!$I$2:$I$355,MATCH($C325,Deals!$A$2:$A$355,0))),""))</f>
        <v/>
      </c>
      <c r="M325" s="22">
        <f>IF($C325="","",IFERROR(IF(INDEX(Deals!$J$2:$J$355,MATCH($C325,Deals!$A$2:$A$355,0))=0,"",INDEX(Deals!$J$2:$J$355,MATCH($C325,Deals!$A$2:$A$355,0))),""))</f>
        <v/>
      </c>
      <c r="N325" s="35">
        <f>IF($L325="",DATE(1900,1,1),$L325)</f>
        <v/>
      </c>
      <c r="O325" s="35">
        <f>IF($M325="",DATE(2100,12,31),$M325)</f>
        <v/>
      </c>
      <c r="P325" s="20" t="inlineStr">
        <is>
          <t>Ongoing</t>
        </is>
      </c>
      <c r="Q325" s="43" t="inlineStr"/>
      <c r="R325" s="16">
        <f>IF($C325="","",IFERROR(IF(INDEX(Deals!$U$2:$U$355,MATCH($C325,Deals!$A$2:$A$355,0))=0,"",INDEX(Deals!$U$2:$U$355,MATCH($C325,Deals!$A$2:$A$355,0))),""))</f>
        <v/>
      </c>
      <c r="S325" s="34">
        <f>IFERROR(IF($U325="",1,INDEX(Deals!$V$2:$V$355,MATCH($C325,Deals!$A$2:$A$355,0))),1)</f>
        <v/>
      </c>
      <c r="T325" s="34">
        <f>IFERROR(IF($U325="",1,INDEX(Deals!$W$2:$W$355,MATCH($C325,Deals!$A$2:$A$355,0))),1)</f>
        <v/>
      </c>
      <c r="U325" s="22">
        <f>IF($C325="","",IFERROR(IF(INDEX(Deals!$Y$2:$Y$355,MATCH($C325,Deals!$A$2:$A$355,0))=0,"",INDEX(Deals!$Y$2:$Y$355,MATCH($C325,Deals!$A$2:$A$355,0))),""))</f>
        <v/>
      </c>
      <c r="V325" s="35">
        <f>IF($U325="",DATE(1900,1,1),$N325)</f>
        <v/>
      </c>
      <c r="W325" s="35">
        <f>IF($U325="",DATE(2100,12,31),$U325)</f>
        <v/>
      </c>
      <c r="X325" s="32">
        <f>IF($U325="",$K325,$K325*$S325)</f>
        <v/>
      </c>
      <c r="Y325" s="35">
        <f>IF($U325="",DATE(2100,12,31),$U325+1)</f>
        <v/>
      </c>
      <c r="Z325" s="35">
        <f>IF($U325="",DATE(1900,1,1),$O325)</f>
        <v/>
      </c>
      <c r="AA325" s="32">
        <f>IF($U325="",0,$K325*$T325)</f>
        <v/>
      </c>
      <c r="AB325" s="21">
        <f>IF($C325="",0,IFERROR(INDEX(Deals!$AD$2:$AD$355,MATCH($C325,Deals!$A$2:$A$355,0)),0))</f>
        <v/>
      </c>
      <c r="AC325" s="32">
        <f>IF(Settings!$B$4="Yes",$I325*$AB325,$I325)</f>
        <v/>
      </c>
      <c r="AD325" s="22">
        <f>IF($C325="","",IFERROR(IF(INDEX(Deals!$AE$2:$AE$355,MATCH($C325,Deals!$A$2:$A$355,0))=0,"",INDEX(Deals!$AE$2:$AE$355,MATCH($C325,Deals!$A$2:$A$355,0))),""))</f>
        <v/>
      </c>
      <c r="AE325" s="22">
        <f>IF($C325="","",IFERROR(IF(INDEX(Deals!$AF$2:$AF$355,MATCH($C325,Deals!$A$2:$A$355,0))=0,"",INDEX(Deals!$AF$2:$AF$355,MATCH($C325,Deals!$A$2:$A$355,0))),""))</f>
        <v/>
      </c>
      <c r="AF325" s="35">
        <f>IF($AD325="",DATE(1900,1,1),$AD325)</f>
        <v/>
      </c>
      <c r="AG325" s="35">
        <f>IF($AE325="",DATE(2100,12,31),$AE325)</f>
        <v/>
      </c>
      <c r="AH325" s="22">
        <f>IF($C325="","",IFERROR(IF(INDEX(Deals!$AG$2:$AG$355,MATCH($C325,Deals!$A$2:$A$355,0))=0,"",INDEX(Deals!$AG$2:$AG$355,MATCH($C325,Deals!$A$2:$A$355,0))),""))</f>
        <v/>
      </c>
      <c r="AI325" s="35">
        <f>IF($AH325="",DATE(1900,1,1),$AF325)</f>
        <v/>
      </c>
      <c r="AJ325" s="35">
        <f>IF($AH325="",DATE(2100,12,31),$AH325)</f>
        <v/>
      </c>
      <c r="AK325" s="32">
        <f>IF($AH325="",$AC325,$AC325*$S325)</f>
        <v/>
      </c>
      <c r="AL325" s="35">
        <f>IF($AH325="",DATE(2100,12,31),$AH325+1)</f>
        <v/>
      </c>
      <c r="AM325" s="35">
        <f>IF($AH325="",DATE(1900,1,1),$AG325)</f>
        <v/>
      </c>
      <c r="AN325" s="32">
        <f>IF($AH325="",0,$AC325*$T325)</f>
        <v/>
      </c>
    </row>
    <row r="326">
      <c r="A326" s="28" t="inlineStr">
        <is>
          <t>George</t>
        </is>
      </c>
      <c r="B326" s="16">
        <f>IF($A326="","",IFERROR(INDEX(Roster!$B$2:$B$40,MATCH($A326,Roster!$A$2:$A$40,0)),"?"))</f>
        <v/>
      </c>
      <c r="C326" s="28" t="inlineStr">
        <is>
          <t>Circuit_1</t>
        </is>
      </c>
      <c r="D326" s="16">
        <f>IF($C326="","",IFERROR(IF(INDEX(Deals!$C$2:$C$355,MATCH($C326,Deals!$A$2:$A$355,0))=0,"",INDEX(Deals!$C$2:$C$355,MATCH($C326,Deals!$A$2:$A$355,0))),"?"))</f>
        <v/>
      </c>
      <c r="E326" s="16">
        <f>IF($C326="","",IFERROR(INDEX(Deals!$F$2:$F$355,MATCH($C326,Deals!$A$2:$A$355,0)),"?"))</f>
        <v/>
      </c>
      <c r="F326" s="28" t="inlineStr">
        <is>
          <t>VP</t>
        </is>
      </c>
      <c r="G326" s="28" t="inlineStr">
        <is>
          <t>Inactive</t>
        </is>
      </c>
      <c r="H326" s="31" t="n"/>
      <c r="I326" s="32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1">
        <f>IF($C326="",0,IFERROR(INDEX(Deals!$H$2:$H$355,MATCH($C326,Deals!$A$2:$A$355,0)),0))</f>
        <v/>
      </c>
      <c r="K326" s="32">
        <f>IF(Settings!$B$4="Yes",$I326*$J326,$I326)</f>
        <v/>
      </c>
      <c r="L326" s="22">
        <f>IF($C326="","",IFERROR(IF(INDEX(Deals!$I$2:$I$355,MATCH($C326,Deals!$A$2:$A$355,0))=0,"",INDEX(Deals!$I$2:$I$355,MATCH($C326,Deals!$A$2:$A$355,0))),""))</f>
        <v/>
      </c>
      <c r="M326" s="22">
        <f>IF($C326="","",IFERROR(IF(INDEX(Deals!$J$2:$J$355,MATCH($C326,Deals!$A$2:$A$355,0))=0,"",INDEX(Deals!$J$2:$J$355,MATCH($C326,Deals!$A$2:$A$355,0))),""))</f>
        <v/>
      </c>
      <c r="N326" s="35">
        <f>IF($L326="",DATE(1900,1,1),$L326)</f>
        <v/>
      </c>
      <c r="O326" s="35">
        <f>IF($M326="",DATE(2100,12,31),$M326)</f>
        <v/>
      </c>
      <c r="P326" s="20" t="inlineStr">
        <is>
          <t>Closed</t>
        </is>
      </c>
      <c r="Q326" s="43" t="inlineStr"/>
      <c r="R326" s="16">
        <f>IF($C326="","",IFERROR(IF(INDEX(Deals!$U$2:$U$355,MATCH($C326,Deals!$A$2:$A$355,0))=0,"",INDEX(Deals!$U$2:$U$355,MATCH($C326,Deals!$A$2:$A$355,0))),""))</f>
        <v/>
      </c>
      <c r="S326" s="34">
        <f>IFERROR(IF($U326="",1,INDEX(Deals!$V$2:$V$355,MATCH($C326,Deals!$A$2:$A$355,0))),1)</f>
        <v/>
      </c>
      <c r="T326" s="34">
        <f>IFERROR(IF($U326="",1,INDEX(Deals!$W$2:$W$355,MATCH($C326,Deals!$A$2:$A$355,0))),1)</f>
        <v/>
      </c>
      <c r="U326" s="22">
        <f>IF($C326="","",IFERROR(IF(INDEX(Deals!$Y$2:$Y$355,MATCH($C326,Deals!$A$2:$A$355,0))=0,"",INDEX(Deals!$Y$2:$Y$355,MATCH($C326,Deals!$A$2:$A$355,0))),""))</f>
        <v/>
      </c>
      <c r="V326" s="35">
        <f>IF($U326="",DATE(1900,1,1),$N326)</f>
        <v/>
      </c>
      <c r="W326" s="35">
        <f>IF($U326="",DATE(2100,12,31),$U326)</f>
        <v/>
      </c>
      <c r="X326" s="32">
        <f>IF($U326="",$K326,$K326*$S326)</f>
        <v/>
      </c>
      <c r="Y326" s="35">
        <f>IF($U326="",DATE(2100,12,31),$U326+1)</f>
        <v/>
      </c>
      <c r="Z326" s="35">
        <f>IF($U326="",DATE(1900,1,1),$O326)</f>
        <v/>
      </c>
      <c r="AA326" s="32">
        <f>IF($U326="",0,$K326*$T326)</f>
        <v/>
      </c>
      <c r="AB326" s="21">
        <f>IF($C326="",0,IFERROR(INDEX(Deals!$AD$2:$AD$355,MATCH($C326,Deals!$A$2:$A$355,0)),0))</f>
        <v/>
      </c>
      <c r="AC326" s="32">
        <f>IF(Settings!$B$4="Yes",$I326*$AB326,$I326)</f>
        <v/>
      </c>
      <c r="AD326" s="22">
        <f>IF($C326="","",IFERROR(IF(INDEX(Deals!$AE$2:$AE$355,MATCH($C326,Deals!$A$2:$A$355,0))=0,"",INDEX(Deals!$AE$2:$AE$355,MATCH($C326,Deals!$A$2:$A$355,0))),""))</f>
        <v/>
      </c>
      <c r="AE326" s="22">
        <f>IF($C326="","",IFERROR(IF(INDEX(Deals!$AF$2:$AF$355,MATCH($C326,Deals!$A$2:$A$355,0))=0,"",INDEX(Deals!$AF$2:$AF$355,MATCH($C326,Deals!$A$2:$A$355,0))),""))</f>
        <v/>
      </c>
      <c r="AF326" s="35">
        <f>IF($AD326="",DATE(1900,1,1),$AD326)</f>
        <v/>
      </c>
      <c r="AG326" s="35">
        <f>IF($AE326="",DATE(2100,12,31),$AE326)</f>
        <v/>
      </c>
      <c r="AH326" s="22">
        <f>IF($C326="","",IFERROR(IF(INDEX(Deals!$AG$2:$AG$355,MATCH($C326,Deals!$A$2:$A$355,0))=0,"",INDEX(Deals!$AG$2:$AG$355,MATCH($C326,Deals!$A$2:$A$355,0))),""))</f>
        <v/>
      </c>
      <c r="AI326" s="35">
        <f>IF($AH326="",DATE(1900,1,1),$AF326)</f>
        <v/>
      </c>
      <c r="AJ326" s="35">
        <f>IF($AH326="",DATE(2100,12,31),$AH326)</f>
        <v/>
      </c>
      <c r="AK326" s="32">
        <f>IF($AH326="",$AC326,$AC326*$S326)</f>
        <v/>
      </c>
      <c r="AL326" s="35">
        <f>IF($AH326="",DATE(2100,12,31),$AH326+1)</f>
        <v/>
      </c>
      <c r="AM326" s="35">
        <f>IF($AH326="",DATE(1900,1,1),$AG326)</f>
        <v/>
      </c>
      <c r="AN326" s="32">
        <f>IF($AH326="",0,$AC326*$T326)</f>
        <v/>
      </c>
    </row>
    <row r="327">
      <c r="A327" s="28" t="inlineStr">
        <is>
          <t>George</t>
        </is>
      </c>
      <c r="B327" s="16">
        <f>IF($A327="","",IFERROR(INDEX(Roster!$B$2:$B$40,MATCH($A327,Roster!$A$2:$A$40,0)),"?"))</f>
        <v/>
      </c>
      <c r="C327" s="28" t="inlineStr">
        <is>
          <t>Dental_1</t>
        </is>
      </c>
      <c r="D327" s="16">
        <f>IF($C327="","",IFERROR(IF(INDEX(Deals!$C$2:$C$355,MATCH($C327,Deals!$A$2:$A$355,0))=0,"",INDEX(Deals!$C$2:$C$355,MATCH($C327,Deals!$A$2:$A$355,0))),"?"))</f>
        <v/>
      </c>
      <c r="E327" s="16">
        <f>IF($C327="","",IFERROR(INDEX(Deals!$F$2:$F$355,MATCH($C327,Deals!$A$2:$A$355,0)),"?"))</f>
        <v/>
      </c>
      <c r="F327" s="28" t="inlineStr">
        <is>
          <t>VP</t>
        </is>
      </c>
      <c r="G327" s="28" t="inlineStr">
        <is>
          <t>Inactive</t>
        </is>
      </c>
      <c r="H327" s="31" t="n"/>
      <c r="I327" s="32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1">
        <f>IF($C327="",0,IFERROR(INDEX(Deals!$H$2:$H$355,MATCH($C327,Deals!$A$2:$A$355,0)),0))</f>
        <v/>
      </c>
      <c r="K327" s="32">
        <f>IF(Settings!$B$4="Yes",$I327*$J327,$I327)</f>
        <v/>
      </c>
      <c r="L327" s="22">
        <f>IF($C327="","",IFERROR(IF(INDEX(Deals!$I$2:$I$355,MATCH($C327,Deals!$A$2:$A$355,0))=0,"",INDEX(Deals!$I$2:$I$355,MATCH($C327,Deals!$A$2:$A$355,0))),""))</f>
        <v/>
      </c>
      <c r="M327" s="22">
        <f>IF($C327="","",IFERROR(IF(INDEX(Deals!$J$2:$J$355,MATCH($C327,Deals!$A$2:$A$355,0))=0,"",INDEX(Deals!$J$2:$J$355,MATCH($C327,Deals!$A$2:$A$355,0))),""))</f>
        <v/>
      </c>
      <c r="N327" s="35">
        <f>IF($L327="",DATE(1900,1,1),$L327)</f>
        <v/>
      </c>
      <c r="O327" s="35">
        <f>IF($M327="",DATE(2100,12,31),$M327)</f>
        <v/>
      </c>
      <c r="P327" s="20" t="inlineStr">
        <is>
          <t>Closed</t>
        </is>
      </c>
      <c r="Q327" s="43" t="inlineStr"/>
      <c r="R327" s="16">
        <f>IF($C327="","",IFERROR(IF(INDEX(Deals!$U$2:$U$355,MATCH($C327,Deals!$A$2:$A$355,0))=0,"",INDEX(Deals!$U$2:$U$355,MATCH($C327,Deals!$A$2:$A$355,0))),""))</f>
        <v/>
      </c>
      <c r="S327" s="34">
        <f>IFERROR(IF($U327="",1,INDEX(Deals!$V$2:$V$355,MATCH($C327,Deals!$A$2:$A$355,0))),1)</f>
        <v/>
      </c>
      <c r="T327" s="34">
        <f>IFERROR(IF($U327="",1,INDEX(Deals!$W$2:$W$355,MATCH($C327,Deals!$A$2:$A$355,0))),1)</f>
        <v/>
      </c>
      <c r="U327" s="22">
        <f>IF($C327="","",IFERROR(IF(INDEX(Deals!$Y$2:$Y$355,MATCH($C327,Deals!$A$2:$A$355,0))=0,"",INDEX(Deals!$Y$2:$Y$355,MATCH($C327,Deals!$A$2:$A$355,0))),""))</f>
        <v/>
      </c>
      <c r="V327" s="35">
        <f>IF($U327="",DATE(1900,1,1),$N327)</f>
        <v/>
      </c>
      <c r="W327" s="35">
        <f>IF($U327="",DATE(2100,12,31),$U327)</f>
        <v/>
      </c>
      <c r="X327" s="32">
        <f>IF($U327="",$K327,$K327*$S327)</f>
        <v/>
      </c>
      <c r="Y327" s="35">
        <f>IF($U327="",DATE(2100,12,31),$U327+1)</f>
        <v/>
      </c>
      <c r="Z327" s="35">
        <f>IF($U327="",DATE(1900,1,1),$O327)</f>
        <v/>
      </c>
      <c r="AA327" s="32">
        <f>IF($U327="",0,$K327*$T327)</f>
        <v/>
      </c>
      <c r="AB327" s="21">
        <f>IF($C327="",0,IFERROR(INDEX(Deals!$AD$2:$AD$355,MATCH($C327,Deals!$A$2:$A$355,0)),0))</f>
        <v/>
      </c>
      <c r="AC327" s="32">
        <f>IF(Settings!$B$4="Yes",$I327*$AB327,$I327)</f>
        <v/>
      </c>
      <c r="AD327" s="22">
        <f>IF($C327="","",IFERROR(IF(INDEX(Deals!$AE$2:$AE$355,MATCH($C327,Deals!$A$2:$A$355,0))=0,"",INDEX(Deals!$AE$2:$AE$355,MATCH($C327,Deals!$A$2:$A$355,0))),""))</f>
        <v/>
      </c>
      <c r="AE327" s="22">
        <f>IF($C327="","",IFERROR(IF(INDEX(Deals!$AF$2:$AF$355,MATCH($C327,Deals!$A$2:$A$355,0))=0,"",INDEX(Deals!$AF$2:$AF$355,MATCH($C327,Deals!$A$2:$A$355,0))),""))</f>
        <v/>
      </c>
      <c r="AF327" s="35">
        <f>IF($AD327="",DATE(1900,1,1),$AD327)</f>
        <v/>
      </c>
      <c r="AG327" s="35">
        <f>IF($AE327="",DATE(2100,12,31),$AE327)</f>
        <v/>
      </c>
      <c r="AH327" s="22">
        <f>IF($C327="","",IFERROR(IF(INDEX(Deals!$AG$2:$AG$355,MATCH($C327,Deals!$A$2:$A$355,0))=0,"",INDEX(Deals!$AG$2:$AG$355,MATCH($C327,Deals!$A$2:$A$355,0))),""))</f>
        <v/>
      </c>
      <c r="AI327" s="35">
        <f>IF($AH327="",DATE(1900,1,1),$AF327)</f>
        <v/>
      </c>
      <c r="AJ327" s="35">
        <f>IF($AH327="",DATE(2100,12,31),$AH327)</f>
        <v/>
      </c>
      <c r="AK327" s="32">
        <f>IF($AH327="",$AC327,$AC327*$S327)</f>
        <v/>
      </c>
      <c r="AL327" s="35">
        <f>IF($AH327="",DATE(2100,12,31),$AH327+1)</f>
        <v/>
      </c>
      <c r="AM327" s="35">
        <f>IF($AH327="",DATE(1900,1,1),$AG327)</f>
        <v/>
      </c>
      <c r="AN327" s="32">
        <f>IF($AH327="",0,$AC327*$T327)</f>
        <v/>
      </c>
    </row>
    <row r="328">
      <c r="A328" s="28" t="inlineStr">
        <is>
          <t>George</t>
        </is>
      </c>
      <c r="B328" s="16">
        <f>IF($A328="","",IFERROR(INDEX(Roster!$B$2:$B$40,MATCH($A328,Roster!$A$2:$A$40,0)),"?"))</f>
        <v/>
      </c>
      <c r="C328" s="28" t="inlineStr">
        <is>
          <t>Dunlin_1</t>
        </is>
      </c>
      <c r="D328" s="16">
        <f>IF($C328="","",IFERROR(IF(INDEX(Deals!$C$2:$C$355,MATCH($C328,Deals!$A$2:$A$355,0))=0,"",INDEX(Deals!$C$2:$C$355,MATCH($C328,Deals!$A$2:$A$355,0))),"?"))</f>
        <v/>
      </c>
      <c r="E328" s="16">
        <f>IF($C328="","",IFERROR(INDEX(Deals!$F$2:$F$355,MATCH($C328,Deals!$A$2:$A$355,0)),"?"))</f>
        <v/>
      </c>
      <c r="F328" s="28" t="inlineStr">
        <is>
          <t>VP</t>
        </is>
      </c>
      <c r="G328" s="28" t="inlineStr">
        <is>
          <t>Inactive</t>
        </is>
      </c>
      <c r="H328" s="31" t="n"/>
      <c r="I328" s="32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1">
        <f>IF($C328="",0,IFERROR(INDEX(Deals!$H$2:$H$355,MATCH($C328,Deals!$A$2:$A$355,0)),0))</f>
        <v/>
      </c>
      <c r="K328" s="32">
        <f>IF(Settings!$B$4="Yes",$I328*$J328,$I328)</f>
        <v/>
      </c>
      <c r="L328" s="22">
        <f>IF($C328="","",IFERROR(IF(INDEX(Deals!$I$2:$I$355,MATCH($C328,Deals!$A$2:$A$355,0))=0,"",INDEX(Deals!$I$2:$I$355,MATCH($C328,Deals!$A$2:$A$355,0))),""))</f>
        <v/>
      </c>
      <c r="M328" s="22">
        <f>IF($C328="","",IFERROR(IF(INDEX(Deals!$J$2:$J$355,MATCH($C328,Deals!$A$2:$A$355,0))=0,"",INDEX(Deals!$J$2:$J$355,MATCH($C328,Deals!$A$2:$A$355,0))),""))</f>
        <v/>
      </c>
      <c r="N328" s="35">
        <f>IF($L328="",DATE(1900,1,1),$L328)</f>
        <v/>
      </c>
      <c r="O328" s="35">
        <f>IF($M328="",DATE(2100,12,31),$M328)</f>
        <v/>
      </c>
      <c r="P328" s="20" t="inlineStr">
        <is>
          <t>Closed</t>
        </is>
      </c>
      <c r="Q328" s="43" t="inlineStr"/>
      <c r="R328" s="16">
        <f>IF($C328="","",IFERROR(IF(INDEX(Deals!$U$2:$U$355,MATCH($C328,Deals!$A$2:$A$355,0))=0,"",INDEX(Deals!$U$2:$U$355,MATCH($C328,Deals!$A$2:$A$355,0))),""))</f>
        <v/>
      </c>
      <c r="S328" s="34">
        <f>IFERROR(IF($U328="",1,INDEX(Deals!$V$2:$V$355,MATCH($C328,Deals!$A$2:$A$355,0))),1)</f>
        <v/>
      </c>
      <c r="T328" s="34">
        <f>IFERROR(IF($U328="",1,INDEX(Deals!$W$2:$W$355,MATCH($C328,Deals!$A$2:$A$355,0))),1)</f>
        <v/>
      </c>
      <c r="U328" s="22">
        <f>IF($C328="","",IFERROR(IF(INDEX(Deals!$Y$2:$Y$355,MATCH($C328,Deals!$A$2:$A$355,0))=0,"",INDEX(Deals!$Y$2:$Y$355,MATCH($C328,Deals!$A$2:$A$355,0))),""))</f>
        <v/>
      </c>
      <c r="V328" s="35">
        <f>IF($U328="",DATE(1900,1,1),$N328)</f>
        <v/>
      </c>
      <c r="W328" s="35">
        <f>IF($U328="",DATE(2100,12,31),$U328)</f>
        <v/>
      </c>
      <c r="X328" s="32">
        <f>IF($U328="",$K328,$K328*$S328)</f>
        <v/>
      </c>
      <c r="Y328" s="35">
        <f>IF($U328="",DATE(2100,12,31),$U328+1)</f>
        <v/>
      </c>
      <c r="Z328" s="35">
        <f>IF($U328="",DATE(1900,1,1),$O328)</f>
        <v/>
      </c>
      <c r="AA328" s="32">
        <f>IF($U328="",0,$K328*$T328)</f>
        <v/>
      </c>
      <c r="AB328" s="21">
        <f>IF($C328="",0,IFERROR(INDEX(Deals!$AD$2:$AD$355,MATCH($C328,Deals!$A$2:$A$355,0)),0))</f>
        <v/>
      </c>
      <c r="AC328" s="32">
        <f>IF(Settings!$B$4="Yes",$I328*$AB328,$I328)</f>
        <v/>
      </c>
      <c r="AD328" s="22">
        <f>IF($C328="","",IFERROR(IF(INDEX(Deals!$AE$2:$AE$355,MATCH($C328,Deals!$A$2:$A$355,0))=0,"",INDEX(Deals!$AE$2:$AE$355,MATCH($C328,Deals!$A$2:$A$355,0))),""))</f>
        <v/>
      </c>
      <c r="AE328" s="22">
        <f>IF($C328="","",IFERROR(IF(INDEX(Deals!$AF$2:$AF$355,MATCH($C328,Deals!$A$2:$A$355,0))=0,"",INDEX(Deals!$AF$2:$AF$355,MATCH($C328,Deals!$A$2:$A$355,0))),""))</f>
        <v/>
      </c>
      <c r="AF328" s="35">
        <f>IF($AD328="",DATE(1900,1,1),$AD328)</f>
        <v/>
      </c>
      <c r="AG328" s="35">
        <f>IF($AE328="",DATE(2100,12,31),$AE328)</f>
        <v/>
      </c>
      <c r="AH328" s="22">
        <f>IF($C328="","",IFERROR(IF(INDEX(Deals!$AG$2:$AG$355,MATCH($C328,Deals!$A$2:$A$355,0))=0,"",INDEX(Deals!$AG$2:$AG$355,MATCH($C328,Deals!$A$2:$A$355,0))),""))</f>
        <v/>
      </c>
      <c r="AI328" s="35">
        <f>IF($AH328="",DATE(1900,1,1),$AF328)</f>
        <v/>
      </c>
      <c r="AJ328" s="35">
        <f>IF($AH328="",DATE(2100,12,31),$AH328)</f>
        <v/>
      </c>
      <c r="AK328" s="32">
        <f>IF($AH328="",$AC328,$AC328*$S328)</f>
        <v/>
      </c>
      <c r="AL328" s="35">
        <f>IF($AH328="",DATE(2100,12,31),$AH328+1)</f>
        <v/>
      </c>
      <c r="AM328" s="35">
        <f>IF($AH328="",DATE(1900,1,1),$AG328)</f>
        <v/>
      </c>
      <c r="AN328" s="32">
        <f>IF($AH328="",0,$AC328*$T328)</f>
        <v/>
      </c>
    </row>
    <row r="329">
      <c r="A329" s="28" t="inlineStr">
        <is>
          <t>George</t>
        </is>
      </c>
      <c r="B329" s="16">
        <f>IF($A329="","",IFERROR(INDEX(Roster!$B$2:$B$40,MATCH($A329,Roster!$A$2:$A$40,0)),"?"))</f>
        <v/>
      </c>
      <c r="C329" s="28" t="inlineStr">
        <is>
          <t>Eagle_5</t>
        </is>
      </c>
      <c r="D329" s="16">
        <f>IF($C329="","",IFERROR(IF(INDEX(Deals!$C$2:$C$355,MATCH($C329,Deals!$A$2:$A$355,0))=0,"",INDEX(Deals!$C$2:$C$355,MATCH($C329,Deals!$A$2:$A$355,0))),"?"))</f>
        <v/>
      </c>
      <c r="E329" s="16">
        <f>IF($C329="","",IFERROR(INDEX(Deals!$F$2:$F$355,MATCH($C329,Deals!$A$2:$A$355,0)),"?"))</f>
        <v/>
      </c>
      <c r="F329" s="28" t="inlineStr">
        <is>
          <t>VP</t>
        </is>
      </c>
      <c r="G329" s="28" t="inlineStr">
        <is>
          <t>Active</t>
        </is>
      </c>
      <c r="H329" s="31" t="n"/>
      <c r="I329" s="32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1">
        <f>IF($C329="",0,IFERROR(INDEX(Deals!$H$2:$H$355,MATCH($C329,Deals!$A$2:$A$355,0)),0))</f>
        <v/>
      </c>
      <c r="K329" s="32">
        <f>IF(Settings!$B$4="Yes",$I329*$J329,$I329)</f>
        <v/>
      </c>
      <c r="L329" s="22">
        <f>IF($C329="","",IFERROR(IF(INDEX(Deals!$I$2:$I$355,MATCH($C329,Deals!$A$2:$A$355,0))=0,"",INDEX(Deals!$I$2:$I$355,MATCH($C329,Deals!$A$2:$A$355,0))),""))</f>
        <v/>
      </c>
      <c r="M329" s="22">
        <f>IF($C329="","",IFERROR(IF(INDEX(Deals!$J$2:$J$355,MATCH($C329,Deals!$A$2:$A$355,0))=0,"",INDEX(Deals!$J$2:$J$355,MATCH($C329,Deals!$A$2:$A$355,0))),""))</f>
        <v/>
      </c>
      <c r="N329" s="35">
        <f>IF($L329="",DATE(1900,1,1),$L329)</f>
        <v/>
      </c>
      <c r="O329" s="35">
        <f>IF($M329="",DATE(2100,12,31),$M329)</f>
        <v/>
      </c>
      <c r="P329" s="20" t="inlineStr">
        <is>
          <t>Ongoing</t>
        </is>
      </c>
      <c r="Q329" s="43" t="inlineStr"/>
      <c r="R329" s="16">
        <f>IF($C329="","",IFERROR(IF(INDEX(Deals!$U$2:$U$355,MATCH($C329,Deals!$A$2:$A$355,0))=0,"",INDEX(Deals!$U$2:$U$355,MATCH($C329,Deals!$A$2:$A$355,0))),""))</f>
        <v/>
      </c>
      <c r="S329" s="34">
        <f>IFERROR(IF($U329="",1,INDEX(Deals!$V$2:$V$355,MATCH($C329,Deals!$A$2:$A$355,0))),1)</f>
        <v/>
      </c>
      <c r="T329" s="34">
        <f>IFERROR(IF($U329="",1,INDEX(Deals!$W$2:$W$355,MATCH($C329,Deals!$A$2:$A$355,0))),1)</f>
        <v/>
      </c>
      <c r="U329" s="22">
        <f>IF($C329="","",IFERROR(IF(INDEX(Deals!$Y$2:$Y$355,MATCH($C329,Deals!$A$2:$A$355,0))=0,"",INDEX(Deals!$Y$2:$Y$355,MATCH($C329,Deals!$A$2:$A$355,0))),""))</f>
        <v/>
      </c>
      <c r="V329" s="35">
        <f>IF($U329="",DATE(1900,1,1),$N329)</f>
        <v/>
      </c>
      <c r="W329" s="35">
        <f>IF($U329="",DATE(2100,12,31),$U329)</f>
        <v/>
      </c>
      <c r="X329" s="32">
        <f>IF($U329="",$K329,$K329*$S329)</f>
        <v/>
      </c>
      <c r="Y329" s="35">
        <f>IF($U329="",DATE(2100,12,31),$U329+1)</f>
        <v/>
      </c>
      <c r="Z329" s="35">
        <f>IF($U329="",DATE(1900,1,1),$O329)</f>
        <v/>
      </c>
      <c r="AA329" s="32">
        <f>IF($U329="",0,$K329*$T329)</f>
        <v/>
      </c>
      <c r="AB329" s="21">
        <f>IF($C329="",0,IFERROR(INDEX(Deals!$AD$2:$AD$355,MATCH($C329,Deals!$A$2:$A$355,0)),0))</f>
        <v/>
      </c>
      <c r="AC329" s="32">
        <f>IF(Settings!$B$4="Yes",$I329*$AB329,$I329)</f>
        <v/>
      </c>
      <c r="AD329" s="22">
        <f>IF($C329="","",IFERROR(IF(INDEX(Deals!$AE$2:$AE$355,MATCH($C329,Deals!$A$2:$A$355,0))=0,"",INDEX(Deals!$AE$2:$AE$355,MATCH($C329,Deals!$A$2:$A$355,0))),""))</f>
        <v/>
      </c>
      <c r="AE329" s="22">
        <f>IF($C329="","",IFERROR(IF(INDEX(Deals!$AF$2:$AF$355,MATCH($C329,Deals!$A$2:$A$355,0))=0,"",INDEX(Deals!$AF$2:$AF$355,MATCH($C329,Deals!$A$2:$A$355,0))),""))</f>
        <v/>
      </c>
      <c r="AF329" s="35">
        <f>IF($AD329="",DATE(1900,1,1),$AD329)</f>
        <v/>
      </c>
      <c r="AG329" s="35">
        <f>IF($AE329="",DATE(2100,12,31),$AE329)</f>
        <v/>
      </c>
      <c r="AH329" s="22">
        <f>IF($C329="","",IFERROR(IF(INDEX(Deals!$AG$2:$AG$355,MATCH($C329,Deals!$A$2:$A$355,0))=0,"",INDEX(Deals!$AG$2:$AG$355,MATCH($C329,Deals!$A$2:$A$355,0))),""))</f>
        <v/>
      </c>
      <c r="AI329" s="35">
        <f>IF($AH329="",DATE(1900,1,1),$AF329)</f>
        <v/>
      </c>
      <c r="AJ329" s="35">
        <f>IF($AH329="",DATE(2100,12,31),$AH329)</f>
        <v/>
      </c>
      <c r="AK329" s="32">
        <f>IF($AH329="",$AC329,$AC329*$S329)</f>
        <v/>
      </c>
      <c r="AL329" s="35">
        <f>IF($AH329="",DATE(2100,12,31),$AH329+1)</f>
        <v/>
      </c>
      <c r="AM329" s="35">
        <f>IF($AH329="",DATE(1900,1,1),$AG329)</f>
        <v/>
      </c>
      <c r="AN329" s="32">
        <f>IF($AH329="",0,$AC329*$T329)</f>
        <v/>
      </c>
    </row>
    <row r="330">
      <c r="A330" s="28" t="inlineStr">
        <is>
          <t>George</t>
        </is>
      </c>
      <c r="B330" s="16">
        <f>IF($A330="","",IFERROR(INDEX(Roster!$B$2:$B$40,MATCH($A330,Roster!$A$2:$A$40,0)),"?"))</f>
        <v/>
      </c>
      <c r="C330" s="28" t="inlineStr">
        <is>
          <t>Eagle_7</t>
        </is>
      </c>
      <c r="D330" s="16">
        <f>IF($C330="","",IFERROR(IF(INDEX(Deals!$C$2:$C$355,MATCH($C330,Deals!$A$2:$A$355,0))=0,"",INDEX(Deals!$C$2:$C$355,MATCH($C330,Deals!$A$2:$A$355,0))),"?"))</f>
        <v/>
      </c>
      <c r="E330" s="16">
        <f>IF($C330="","",IFERROR(INDEX(Deals!$F$2:$F$355,MATCH($C330,Deals!$A$2:$A$355,0)),"?"))</f>
        <v/>
      </c>
      <c r="F330" s="28" t="inlineStr">
        <is>
          <t>VP</t>
        </is>
      </c>
      <c r="G330" s="28" t="inlineStr">
        <is>
          <t>Inactive</t>
        </is>
      </c>
      <c r="H330" s="31" t="n"/>
      <c r="I330" s="32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1">
        <f>IF($C330="",0,IFERROR(INDEX(Deals!$H$2:$H$355,MATCH($C330,Deals!$A$2:$A$355,0)),0))</f>
        <v/>
      </c>
      <c r="K330" s="32">
        <f>IF(Settings!$B$4="Yes",$I330*$J330,$I330)</f>
        <v/>
      </c>
      <c r="L330" s="22">
        <f>IF($C330="","",IFERROR(IF(INDEX(Deals!$I$2:$I$355,MATCH($C330,Deals!$A$2:$A$355,0))=0,"",INDEX(Deals!$I$2:$I$355,MATCH($C330,Deals!$A$2:$A$355,0))),""))</f>
        <v/>
      </c>
      <c r="M330" s="22">
        <f>IF($C330="","",IFERROR(IF(INDEX(Deals!$J$2:$J$355,MATCH($C330,Deals!$A$2:$A$355,0))=0,"",INDEX(Deals!$J$2:$J$355,MATCH($C330,Deals!$A$2:$A$355,0))),""))</f>
        <v/>
      </c>
      <c r="N330" s="35">
        <f>IF($L330="",DATE(1900,1,1),$L330)</f>
        <v/>
      </c>
      <c r="O330" s="35">
        <f>IF($M330="",DATE(2100,12,31),$M330)</f>
        <v/>
      </c>
      <c r="P330" s="20" t="inlineStr">
        <is>
          <t>Pens Down</t>
        </is>
      </c>
      <c r="Q330" s="43" t="inlineStr"/>
      <c r="R330" s="16">
        <f>IF($C330="","",IFERROR(IF(INDEX(Deals!$U$2:$U$355,MATCH($C330,Deals!$A$2:$A$355,0))=0,"",INDEX(Deals!$U$2:$U$355,MATCH($C330,Deals!$A$2:$A$355,0))),""))</f>
        <v/>
      </c>
      <c r="S330" s="34">
        <f>IFERROR(IF($U330="",1,INDEX(Deals!$V$2:$V$355,MATCH($C330,Deals!$A$2:$A$355,0))),1)</f>
        <v/>
      </c>
      <c r="T330" s="34">
        <f>IFERROR(IF($U330="",1,INDEX(Deals!$W$2:$W$355,MATCH($C330,Deals!$A$2:$A$355,0))),1)</f>
        <v/>
      </c>
      <c r="U330" s="22">
        <f>IF($C330="","",IFERROR(IF(INDEX(Deals!$Y$2:$Y$355,MATCH($C330,Deals!$A$2:$A$355,0))=0,"",INDEX(Deals!$Y$2:$Y$355,MATCH($C330,Deals!$A$2:$A$355,0))),""))</f>
        <v/>
      </c>
      <c r="V330" s="35">
        <f>IF($U330="",DATE(1900,1,1),$N330)</f>
        <v/>
      </c>
      <c r="W330" s="35">
        <f>IF($U330="",DATE(2100,12,31),$U330)</f>
        <v/>
      </c>
      <c r="X330" s="32">
        <f>IF($U330="",$K330,$K330*$S330)</f>
        <v/>
      </c>
      <c r="Y330" s="35">
        <f>IF($U330="",DATE(2100,12,31),$U330+1)</f>
        <v/>
      </c>
      <c r="Z330" s="35">
        <f>IF($U330="",DATE(1900,1,1),$O330)</f>
        <v/>
      </c>
      <c r="AA330" s="32">
        <f>IF($U330="",0,$K330*$T330)</f>
        <v/>
      </c>
      <c r="AB330" s="21">
        <f>IF($C330="",0,IFERROR(INDEX(Deals!$AD$2:$AD$355,MATCH($C330,Deals!$A$2:$A$355,0)),0))</f>
        <v/>
      </c>
      <c r="AC330" s="32">
        <f>IF(Settings!$B$4="Yes",$I330*$AB330,$I330)</f>
        <v/>
      </c>
      <c r="AD330" s="22">
        <f>IF($C330="","",IFERROR(IF(INDEX(Deals!$AE$2:$AE$355,MATCH($C330,Deals!$A$2:$A$355,0))=0,"",INDEX(Deals!$AE$2:$AE$355,MATCH($C330,Deals!$A$2:$A$355,0))),""))</f>
        <v/>
      </c>
      <c r="AE330" s="22">
        <f>IF($C330="","",IFERROR(IF(INDEX(Deals!$AF$2:$AF$355,MATCH($C330,Deals!$A$2:$A$355,0))=0,"",INDEX(Deals!$AF$2:$AF$355,MATCH($C330,Deals!$A$2:$A$355,0))),""))</f>
        <v/>
      </c>
      <c r="AF330" s="35">
        <f>IF($AD330="",DATE(1900,1,1),$AD330)</f>
        <v/>
      </c>
      <c r="AG330" s="35">
        <f>IF($AE330="",DATE(2100,12,31),$AE330)</f>
        <v/>
      </c>
      <c r="AH330" s="22">
        <f>IF($C330="","",IFERROR(IF(INDEX(Deals!$AG$2:$AG$355,MATCH($C330,Deals!$A$2:$A$355,0))=0,"",INDEX(Deals!$AG$2:$AG$355,MATCH($C330,Deals!$A$2:$A$355,0))),""))</f>
        <v/>
      </c>
      <c r="AI330" s="35">
        <f>IF($AH330="",DATE(1900,1,1),$AF330)</f>
        <v/>
      </c>
      <c r="AJ330" s="35">
        <f>IF($AH330="",DATE(2100,12,31),$AH330)</f>
        <v/>
      </c>
      <c r="AK330" s="32">
        <f>IF($AH330="",$AC330,$AC330*$S330)</f>
        <v/>
      </c>
      <c r="AL330" s="35">
        <f>IF($AH330="",DATE(2100,12,31),$AH330+1)</f>
        <v/>
      </c>
      <c r="AM330" s="35">
        <f>IF($AH330="",DATE(1900,1,1),$AG330)</f>
        <v/>
      </c>
      <c r="AN330" s="32">
        <f>IF($AH330="",0,$AC330*$T330)</f>
        <v/>
      </c>
    </row>
    <row r="331">
      <c r="A331" s="28" t="inlineStr">
        <is>
          <t>George</t>
        </is>
      </c>
      <c r="B331" s="16">
        <f>IF($A331="","",IFERROR(INDEX(Roster!$B$2:$B$40,MATCH($A331,Roster!$A$2:$A$40,0)),"?"))</f>
        <v/>
      </c>
      <c r="C331" s="28" t="inlineStr">
        <is>
          <t>FIRPTA_5</t>
        </is>
      </c>
      <c r="D331" s="16">
        <f>IF($C331="","",IFERROR(IF(INDEX(Deals!$C$2:$C$355,MATCH($C331,Deals!$A$2:$A$355,0))=0,"",INDEX(Deals!$C$2:$C$355,MATCH($C331,Deals!$A$2:$A$355,0))),"?"))</f>
        <v/>
      </c>
      <c r="E331" s="16">
        <f>IF($C331="","",IFERROR(INDEX(Deals!$F$2:$F$355,MATCH($C331,Deals!$A$2:$A$355,0)),"?"))</f>
        <v/>
      </c>
      <c r="F331" s="28" t="inlineStr">
        <is>
          <t>VP</t>
        </is>
      </c>
      <c r="G331" s="28" t="inlineStr">
        <is>
          <t>Active</t>
        </is>
      </c>
      <c r="H331" s="31" t="n"/>
      <c r="I331" s="32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1">
        <f>IF($C331="",0,IFERROR(INDEX(Deals!$H$2:$H$355,MATCH($C331,Deals!$A$2:$A$355,0)),0))</f>
        <v/>
      </c>
      <c r="K331" s="32">
        <f>IF(Settings!$B$4="Yes",$I331*$J331,$I331)</f>
        <v/>
      </c>
      <c r="L331" s="22">
        <f>IF($C331="","",IFERROR(IF(INDEX(Deals!$I$2:$I$355,MATCH($C331,Deals!$A$2:$A$355,0))=0,"",INDEX(Deals!$I$2:$I$355,MATCH($C331,Deals!$A$2:$A$355,0))),""))</f>
        <v/>
      </c>
      <c r="M331" s="22">
        <f>IF($C331="","",IFERROR(IF(INDEX(Deals!$J$2:$J$355,MATCH($C331,Deals!$A$2:$A$355,0))=0,"",INDEX(Deals!$J$2:$J$355,MATCH($C331,Deals!$A$2:$A$355,0))),""))</f>
        <v/>
      </c>
      <c r="N331" s="35">
        <f>IF($L331="",DATE(1900,1,1),$L331)</f>
        <v/>
      </c>
      <c r="O331" s="35">
        <f>IF($M331="",DATE(2100,12,31),$M331)</f>
        <v/>
      </c>
      <c r="P331" s="20" t="inlineStr">
        <is>
          <t>Ongoing</t>
        </is>
      </c>
      <c r="Q331" s="43" t="inlineStr"/>
      <c r="R331" s="16">
        <f>IF($C331="","",IFERROR(IF(INDEX(Deals!$U$2:$U$355,MATCH($C331,Deals!$A$2:$A$355,0))=0,"",INDEX(Deals!$U$2:$U$355,MATCH($C331,Deals!$A$2:$A$355,0))),""))</f>
        <v/>
      </c>
      <c r="S331" s="34">
        <f>IFERROR(IF($U331="",1,INDEX(Deals!$V$2:$V$355,MATCH($C331,Deals!$A$2:$A$355,0))),1)</f>
        <v/>
      </c>
      <c r="T331" s="34">
        <f>IFERROR(IF($U331="",1,INDEX(Deals!$W$2:$W$355,MATCH($C331,Deals!$A$2:$A$355,0))),1)</f>
        <v/>
      </c>
      <c r="U331" s="22">
        <f>IF($C331="","",IFERROR(IF(INDEX(Deals!$Y$2:$Y$355,MATCH($C331,Deals!$A$2:$A$355,0))=0,"",INDEX(Deals!$Y$2:$Y$355,MATCH($C331,Deals!$A$2:$A$355,0))),""))</f>
        <v/>
      </c>
      <c r="V331" s="35">
        <f>IF($U331="",DATE(1900,1,1),$N331)</f>
        <v/>
      </c>
      <c r="W331" s="35">
        <f>IF($U331="",DATE(2100,12,31),$U331)</f>
        <v/>
      </c>
      <c r="X331" s="32">
        <f>IF($U331="",$K331,$K331*$S331)</f>
        <v/>
      </c>
      <c r="Y331" s="35">
        <f>IF($U331="",DATE(2100,12,31),$U331+1)</f>
        <v/>
      </c>
      <c r="Z331" s="35">
        <f>IF($U331="",DATE(1900,1,1),$O331)</f>
        <v/>
      </c>
      <c r="AA331" s="32">
        <f>IF($U331="",0,$K331*$T331)</f>
        <v/>
      </c>
      <c r="AB331" s="21">
        <f>IF($C331="",0,IFERROR(INDEX(Deals!$AD$2:$AD$355,MATCH($C331,Deals!$A$2:$A$355,0)),0))</f>
        <v/>
      </c>
      <c r="AC331" s="32">
        <f>IF(Settings!$B$4="Yes",$I331*$AB331,$I331)</f>
        <v/>
      </c>
      <c r="AD331" s="22">
        <f>IF($C331="","",IFERROR(IF(INDEX(Deals!$AE$2:$AE$355,MATCH($C331,Deals!$A$2:$A$355,0))=0,"",INDEX(Deals!$AE$2:$AE$355,MATCH($C331,Deals!$A$2:$A$355,0))),""))</f>
        <v/>
      </c>
      <c r="AE331" s="22">
        <f>IF($C331="","",IFERROR(IF(INDEX(Deals!$AF$2:$AF$355,MATCH($C331,Deals!$A$2:$A$355,0))=0,"",INDEX(Deals!$AF$2:$AF$355,MATCH($C331,Deals!$A$2:$A$355,0))),""))</f>
        <v/>
      </c>
      <c r="AF331" s="35">
        <f>IF($AD331="",DATE(1900,1,1),$AD331)</f>
        <v/>
      </c>
      <c r="AG331" s="35">
        <f>IF($AE331="",DATE(2100,12,31),$AE331)</f>
        <v/>
      </c>
      <c r="AH331" s="22">
        <f>IF($C331="","",IFERROR(IF(INDEX(Deals!$AG$2:$AG$355,MATCH($C331,Deals!$A$2:$A$355,0))=0,"",INDEX(Deals!$AG$2:$AG$355,MATCH($C331,Deals!$A$2:$A$355,0))),""))</f>
        <v/>
      </c>
      <c r="AI331" s="35">
        <f>IF($AH331="",DATE(1900,1,1),$AF331)</f>
        <v/>
      </c>
      <c r="AJ331" s="35">
        <f>IF($AH331="",DATE(2100,12,31),$AH331)</f>
        <v/>
      </c>
      <c r="AK331" s="32">
        <f>IF($AH331="",$AC331,$AC331*$S331)</f>
        <v/>
      </c>
      <c r="AL331" s="35">
        <f>IF($AH331="",DATE(2100,12,31),$AH331+1)</f>
        <v/>
      </c>
      <c r="AM331" s="35">
        <f>IF($AH331="",DATE(1900,1,1),$AG331)</f>
        <v/>
      </c>
      <c r="AN331" s="32">
        <f>IF($AH331="",0,$AC331*$T331)</f>
        <v/>
      </c>
    </row>
    <row r="332">
      <c r="A332" s="28" t="inlineStr">
        <is>
          <t>George</t>
        </is>
      </c>
      <c r="B332" s="16">
        <f>IF($A332="","",IFERROR(INDEX(Roster!$B$2:$B$40,MATCH($A332,Roster!$A$2:$A$40,0)),"?"))</f>
        <v/>
      </c>
      <c r="C332" s="28" t="inlineStr">
        <is>
          <t>Fury_1</t>
        </is>
      </c>
      <c r="D332" s="16">
        <f>IF($C332="","",IFERROR(IF(INDEX(Deals!$C$2:$C$355,MATCH($C332,Deals!$A$2:$A$355,0))=0,"",INDEX(Deals!$C$2:$C$355,MATCH($C332,Deals!$A$2:$A$355,0))),"?"))</f>
        <v/>
      </c>
      <c r="E332" s="16">
        <f>IF($C332="","",IFERROR(INDEX(Deals!$F$2:$F$355,MATCH($C332,Deals!$A$2:$A$355,0)),"?"))</f>
        <v/>
      </c>
      <c r="F332" s="28" t="inlineStr">
        <is>
          <t>VP</t>
        </is>
      </c>
      <c r="G332" s="28" t="inlineStr">
        <is>
          <t>Inactive</t>
        </is>
      </c>
      <c r="H332" s="31" t="n"/>
      <c r="I332" s="32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1">
        <f>IF($C332="",0,IFERROR(INDEX(Deals!$H$2:$H$355,MATCH($C332,Deals!$A$2:$A$355,0)),0))</f>
        <v/>
      </c>
      <c r="K332" s="32">
        <f>IF(Settings!$B$4="Yes",$I332*$J332,$I332)</f>
        <v/>
      </c>
      <c r="L332" s="22">
        <f>IF($C332="","",IFERROR(IF(INDEX(Deals!$I$2:$I$355,MATCH($C332,Deals!$A$2:$A$355,0))=0,"",INDEX(Deals!$I$2:$I$355,MATCH($C332,Deals!$A$2:$A$355,0))),""))</f>
        <v/>
      </c>
      <c r="M332" s="22">
        <f>IF($C332="","",IFERROR(IF(INDEX(Deals!$J$2:$J$355,MATCH($C332,Deals!$A$2:$A$355,0))=0,"",INDEX(Deals!$J$2:$J$355,MATCH($C332,Deals!$A$2:$A$355,0))),""))</f>
        <v/>
      </c>
      <c r="N332" s="35">
        <f>IF($L332="",DATE(1900,1,1),$L332)</f>
        <v/>
      </c>
      <c r="O332" s="35">
        <f>IF($M332="",DATE(2100,12,31),$M332)</f>
        <v/>
      </c>
      <c r="P332" s="20" t="inlineStr">
        <is>
          <t>Closed</t>
        </is>
      </c>
      <c r="Q332" s="43" t="inlineStr"/>
      <c r="R332" s="16">
        <f>IF($C332="","",IFERROR(IF(INDEX(Deals!$U$2:$U$355,MATCH($C332,Deals!$A$2:$A$355,0))=0,"",INDEX(Deals!$U$2:$U$355,MATCH($C332,Deals!$A$2:$A$355,0))),""))</f>
        <v/>
      </c>
      <c r="S332" s="34">
        <f>IFERROR(IF($U332="",1,INDEX(Deals!$V$2:$V$355,MATCH($C332,Deals!$A$2:$A$355,0))),1)</f>
        <v/>
      </c>
      <c r="T332" s="34">
        <f>IFERROR(IF($U332="",1,INDEX(Deals!$W$2:$W$355,MATCH($C332,Deals!$A$2:$A$355,0))),1)</f>
        <v/>
      </c>
      <c r="U332" s="22">
        <f>IF($C332="","",IFERROR(IF(INDEX(Deals!$Y$2:$Y$355,MATCH($C332,Deals!$A$2:$A$355,0))=0,"",INDEX(Deals!$Y$2:$Y$355,MATCH($C332,Deals!$A$2:$A$355,0))),""))</f>
        <v/>
      </c>
      <c r="V332" s="35">
        <f>IF($U332="",DATE(1900,1,1),$N332)</f>
        <v/>
      </c>
      <c r="W332" s="35">
        <f>IF($U332="",DATE(2100,12,31),$U332)</f>
        <v/>
      </c>
      <c r="X332" s="32">
        <f>IF($U332="",$K332,$K332*$S332)</f>
        <v/>
      </c>
      <c r="Y332" s="35">
        <f>IF($U332="",DATE(2100,12,31),$U332+1)</f>
        <v/>
      </c>
      <c r="Z332" s="35">
        <f>IF($U332="",DATE(1900,1,1),$O332)</f>
        <v/>
      </c>
      <c r="AA332" s="32">
        <f>IF($U332="",0,$K332*$T332)</f>
        <v/>
      </c>
      <c r="AB332" s="21">
        <f>IF($C332="",0,IFERROR(INDEX(Deals!$AD$2:$AD$355,MATCH($C332,Deals!$A$2:$A$355,0)),0))</f>
        <v/>
      </c>
      <c r="AC332" s="32">
        <f>IF(Settings!$B$4="Yes",$I332*$AB332,$I332)</f>
        <v/>
      </c>
      <c r="AD332" s="22">
        <f>IF($C332="","",IFERROR(IF(INDEX(Deals!$AE$2:$AE$355,MATCH($C332,Deals!$A$2:$A$355,0))=0,"",INDEX(Deals!$AE$2:$AE$355,MATCH($C332,Deals!$A$2:$A$355,0))),""))</f>
        <v/>
      </c>
      <c r="AE332" s="22">
        <f>IF($C332="","",IFERROR(IF(INDEX(Deals!$AF$2:$AF$355,MATCH($C332,Deals!$A$2:$A$355,0))=0,"",INDEX(Deals!$AF$2:$AF$355,MATCH($C332,Deals!$A$2:$A$355,0))),""))</f>
        <v/>
      </c>
      <c r="AF332" s="35">
        <f>IF($AD332="",DATE(1900,1,1),$AD332)</f>
        <v/>
      </c>
      <c r="AG332" s="35">
        <f>IF($AE332="",DATE(2100,12,31),$AE332)</f>
        <v/>
      </c>
      <c r="AH332" s="22">
        <f>IF($C332="","",IFERROR(IF(INDEX(Deals!$AG$2:$AG$355,MATCH($C332,Deals!$A$2:$A$355,0))=0,"",INDEX(Deals!$AG$2:$AG$355,MATCH($C332,Deals!$A$2:$A$355,0))),""))</f>
        <v/>
      </c>
      <c r="AI332" s="35">
        <f>IF($AH332="",DATE(1900,1,1),$AF332)</f>
        <v/>
      </c>
      <c r="AJ332" s="35">
        <f>IF($AH332="",DATE(2100,12,31),$AH332)</f>
        <v/>
      </c>
      <c r="AK332" s="32">
        <f>IF($AH332="",$AC332,$AC332*$S332)</f>
        <v/>
      </c>
      <c r="AL332" s="35">
        <f>IF($AH332="",DATE(2100,12,31),$AH332+1)</f>
        <v/>
      </c>
      <c r="AM332" s="35">
        <f>IF($AH332="",DATE(1900,1,1),$AG332)</f>
        <v/>
      </c>
      <c r="AN332" s="32">
        <f>IF($AH332="",0,$AC332*$T332)</f>
        <v/>
      </c>
    </row>
    <row r="333">
      <c r="A333" s="28" t="inlineStr">
        <is>
          <t>George</t>
        </is>
      </c>
      <c r="B333" s="16">
        <f>IF($A333="","",IFERROR(INDEX(Roster!$B$2:$B$40,MATCH($A333,Roster!$A$2:$A$40,0)),"?"))</f>
        <v/>
      </c>
      <c r="C333" s="28" t="inlineStr">
        <is>
          <t>Geneseo_1</t>
        </is>
      </c>
      <c r="D333" s="16">
        <f>IF($C333="","",IFERROR(IF(INDEX(Deals!$C$2:$C$355,MATCH($C333,Deals!$A$2:$A$355,0))=0,"",INDEX(Deals!$C$2:$C$355,MATCH($C333,Deals!$A$2:$A$355,0))),"?"))</f>
        <v/>
      </c>
      <c r="E333" s="16">
        <f>IF($C333="","",IFERROR(INDEX(Deals!$F$2:$F$355,MATCH($C333,Deals!$A$2:$A$355,0)),"?"))</f>
        <v/>
      </c>
      <c r="F333" s="28" t="inlineStr">
        <is>
          <t>VP</t>
        </is>
      </c>
      <c r="G333" s="28" t="inlineStr">
        <is>
          <t>Active</t>
        </is>
      </c>
      <c r="H333" s="31" t="n"/>
      <c r="I333" s="32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1">
        <f>IF($C333="",0,IFERROR(INDEX(Deals!$H$2:$H$355,MATCH($C333,Deals!$A$2:$A$355,0)),0))</f>
        <v/>
      </c>
      <c r="K333" s="32">
        <f>IF(Settings!$B$4="Yes",$I333*$J333,$I333)</f>
        <v/>
      </c>
      <c r="L333" s="22">
        <f>IF($C333="","",IFERROR(IF(INDEX(Deals!$I$2:$I$355,MATCH($C333,Deals!$A$2:$A$355,0))=0,"",INDEX(Deals!$I$2:$I$355,MATCH($C333,Deals!$A$2:$A$355,0))),""))</f>
        <v/>
      </c>
      <c r="M333" s="22">
        <f>IF($C333="","",IFERROR(IF(INDEX(Deals!$J$2:$J$355,MATCH($C333,Deals!$A$2:$A$355,0))=0,"",INDEX(Deals!$J$2:$J$355,MATCH($C333,Deals!$A$2:$A$355,0))),""))</f>
        <v/>
      </c>
      <c r="N333" s="35">
        <f>IF($L333="",DATE(1900,1,1),$L333)</f>
        <v/>
      </c>
      <c r="O333" s="35">
        <f>IF($M333="",DATE(2100,12,31),$M333)</f>
        <v/>
      </c>
      <c r="P333" s="20" t="inlineStr">
        <is>
          <t>TDD done / Structuring Ongoing</t>
        </is>
      </c>
      <c r="Q333" s="43" t="inlineStr"/>
      <c r="R333" s="16">
        <f>IF($C333="","",IFERROR(IF(INDEX(Deals!$U$2:$U$355,MATCH($C333,Deals!$A$2:$A$355,0))=0,"",INDEX(Deals!$U$2:$U$355,MATCH($C333,Deals!$A$2:$A$355,0))),""))</f>
        <v/>
      </c>
      <c r="S333" s="34">
        <f>IFERROR(IF($U333="",1,INDEX(Deals!$V$2:$V$355,MATCH($C333,Deals!$A$2:$A$355,0))),1)</f>
        <v/>
      </c>
      <c r="T333" s="34">
        <f>IFERROR(IF($U333="",1,INDEX(Deals!$W$2:$W$355,MATCH($C333,Deals!$A$2:$A$355,0))),1)</f>
        <v/>
      </c>
      <c r="U333" s="22">
        <f>IF($C333="","",IFERROR(IF(INDEX(Deals!$Y$2:$Y$355,MATCH($C333,Deals!$A$2:$A$355,0))=0,"",INDEX(Deals!$Y$2:$Y$355,MATCH($C333,Deals!$A$2:$A$355,0))),""))</f>
        <v/>
      </c>
      <c r="V333" s="35">
        <f>IF($U333="",DATE(1900,1,1),$N333)</f>
        <v/>
      </c>
      <c r="W333" s="35">
        <f>IF($U333="",DATE(2100,12,31),$U333)</f>
        <v/>
      </c>
      <c r="X333" s="32">
        <f>IF($U333="",$K333,$K333*$S333)</f>
        <v/>
      </c>
      <c r="Y333" s="35">
        <f>IF($U333="",DATE(2100,12,31),$U333+1)</f>
        <v/>
      </c>
      <c r="Z333" s="35">
        <f>IF($U333="",DATE(1900,1,1),$O333)</f>
        <v/>
      </c>
      <c r="AA333" s="32">
        <f>IF($U333="",0,$K333*$T333)</f>
        <v/>
      </c>
      <c r="AB333" s="21">
        <f>IF($C333="",0,IFERROR(INDEX(Deals!$AD$2:$AD$355,MATCH($C333,Deals!$A$2:$A$355,0)),0))</f>
        <v/>
      </c>
      <c r="AC333" s="32">
        <f>IF(Settings!$B$4="Yes",$I333*$AB333,$I333)</f>
        <v/>
      </c>
      <c r="AD333" s="22">
        <f>IF($C333="","",IFERROR(IF(INDEX(Deals!$AE$2:$AE$355,MATCH($C333,Deals!$A$2:$A$355,0))=0,"",INDEX(Deals!$AE$2:$AE$355,MATCH($C333,Deals!$A$2:$A$355,0))),""))</f>
        <v/>
      </c>
      <c r="AE333" s="22">
        <f>IF($C333="","",IFERROR(IF(INDEX(Deals!$AF$2:$AF$355,MATCH($C333,Deals!$A$2:$A$355,0))=0,"",INDEX(Deals!$AF$2:$AF$355,MATCH($C333,Deals!$A$2:$A$355,0))),""))</f>
        <v/>
      </c>
      <c r="AF333" s="35">
        <f>IF($AD333="",DATE(1900,1,1),$AD333)</f>
        <v/>
      </c>
      <c r="AG333" s="35">
        <f>IF($AE333="",DATE(2100,12,31),$AE333)</f>
        <v/>
      </c>
      <c r="AH333" s="22">
        <f>IF($C333="","",IFERROR(IF(INDEX(Deals!$AG$2:$AG$355,MATCH($C333,Deals!$A$2:$A$355,0))=0,"",INDEX(Deals!$AG$2:$AG$355,MATCH($C333,Deals!$A$2:$A$355,0))),""))</f>
        <v/>
      </c>
      <c r="AI333" s="35">
        <f>IF($AH333="",DATE(1900,1,1),$AF333)</f>
        <v/>
      </c>
      <c r="AJ333" s="35">
        <f>IF($AH333="",DATE(2100,12,31),$AH333)</f>
        <v/>
      </c>
      <c r="AK333" s="32">
        <f>IF($AH333="",$AC333,$AC333*$S333)</f>
        <v/>
      </c>
      <c r="AL333" s="35">
        <f>IF($AH333="",DATE(2100,12,31),$AH333+1)</f>
        <v/>
      </c>
      <c r="AM333" s="35">
        <f>IF($AH333="",DATE(1900,1,1),$AG333)</f>
        <v/>
      </c>
      <c r="AN333" s="32">
        <f>IF($AH333="",0,$AC333*$T333)</f>
        <v/>
      </c>
    </row>
    <row r="334">
      <c r="A334" s="28" t="inlineStr">
        <is>
          <t>George</t>
        </is>
      </c>
      <c r="B334" s="16">
        <f>IF($A334="","",IFERROR(INDEX(Roster!$B$2:$B$40,MATCH($A334,Roster!$A$2:$A$40,0)),"?"))</f>
        <v/>
      </c>
      <c r="C334" s="28" t="inlineStr">
        <is>
          <t>Horizon_3</t>
        </is>
      </c>
      <c r="D334" s="16">
        <f>IF($C334="","",IFERROR(IF(INDEX(Deals!$C$2:$C$355,MATCH($C334,Deals!$A$2:$A$355,0))=0,"",INDEX(Deals!$C$2:$C$355,MATCH($C334,Deals!$A$2:$A$355,0))),"?"))</f>
        <v/>
      </c>
      <c r="E334" s="16">
        <f>IF($C334="","",IFERROR(INDEX(Deals!$F$2:$F$355,MATCH($C334,Deals!$A$2:$A$355,0)),"?"))</f>
        <v/>
      </c>
      <c r="F334" s="28" t="inlineStr">
        <is>
          <t>VP</t>
        </is>
      </c>
      <c r="G334" s="28" t="inlineStr">
        <is>
          <t>Inactive</t>
        </is>
      </c>
      <c r="H334" s="31" t="n"/>
      <c r="I334" s="32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1">
        <f>IF($C334="",0,IFERROR(INDEX(Deals!$H$2:$H$355,MATCH($C334,Deals!$A$2:$A$355,0)),0))</f>
        <v/>
      </c>
      <c r="K334" s="32">
        <f>IF(Settings!$B$4="Yes",$I334*$J334,$I334)</f>
        <v/>
      </c>
      <c r="L334" s="22">
        <f>IF($C334="","",IFERROR(IF(INDEX(Deals!$I$2:$I$355,MATCH($C334,Deals!$A$2:$A$355,0))=0,"",INDEX(Deals!$I$2:$I$355,MATCH($C334,Deals!$A$2:$A$355,0))),""))</f>
        <v/>
      </c>
      <c r="M334" s="22">
        <f>IF($C334="","",IFERROR(IF(INDEX(Deals!$J$2:$J$355,MATCH($C334,Deals!$A$2:$A$355,0))=0,"",INDEX(Deals!$J$2:$J$355,MATCH($C334,Deals!$A$2:$A$355,0))),""))</f>
        <v/>
      </c>
      <c r="N334" s="35">
        <f>IF($L334="",DATE(1900,1,1),$L334)</f>
        <v/>
      </c>
      <c r="O334" s="35">
        <f>IF($M334="",DATE(2100,12,31),$M334)</f>
        <v/>
      </c>
      <c r="P334" s="20" t="inlineStr">
        <is>
          <t>Dead</t>
        </is>
      </c>
      <c r="Q334" s="43" t="inlineStr"/>
      <c r="R334" s="16">
        <f>IF($C334="","",IFERROR(IF(INDEX(Deals!$U$2:$U$355,MATCH($C334,Deals!$A$2:$A$355,0))=0,"",INDEX(Deals!$U$2:$U$355,MATCH($C334,Deals!$A$2:$A$355,0))),""))</f>
        <v/>
      </c>
      <c r="S334" s="34">
        <f>IFERROR(IF($U334="",1,INDEX(Deals!$V$2:$V$355,MATCH($C334,Deals!$A$2:$A$355,0))),1)</f>
        <v/>
      </c>
      <c r="T334" s="34">
        <f>IFERROR(IF($U334="",1,INDEX(Deals!$W$2:$W$355,MATCH($C334,Deals!$A$2:$A$355,0))),1)</f>
        <v/>
      </c>
      <c r="U334" s="22">
        <f>IF($C334="","",IFERROR(IF(INDEX(Deals!$Y$2:$Y$355,MATCH($C334,Deals!$A$2:$A$355,0))=0,"",INDEX(Deals!$Y$2:$Y$355,MATCH($C334,Deals!$A$2:$A$355,0))),""))</f>
        <v/>
      </c>
      <c r="V334" s="35">
        <f>IF($U334="",DATE(1900,1,1),$N334)</f>
        <v/>
      </c>
      <c r="W334" s="35">
        <f>IF($U334="",DATE(2100,12,31),$U334)</f>
        <v/>
      </c>
      <c r="X334" s="32">
        <f>IF($U334="",$K334,$K334*$S334)</f>
        <v/>
      </c>
      <c r="Y334" s="35">
        <f>IF($U334="",DATE(2100,12,31),$U334+1)</f>
        <v/>
      </c>
      <c r="Z334" s="35">
        <f>IF($U334="",DATE(1900,1,1),$O334)</f>
        <v/>
      </c>
      <c r="AA334" s="32">
        <f>IF($U334="",0,$K334*$T334)</f>
        <v/>
      </c>
      <c r="AB334" s="21">
        <f>IF($C334="",0,IFERROR(INDEX(Deals!$AD$2:$AD$355,MATCH($C334,Deals!$A$2:$A$355,0)),0))</f>
        <v/>
      </c>
      <c r="AC334" s="32">
        <f>IF(Settings!$B$4="Yes",$I334*$AB334,$I334)</f>
        <v/>
      </c>
      <c r="AD334" s="22">
        <f>IF($C334="","",IFERROR(IF(INDEX(Deals!$AE$2:$AE$355,MATCH($C334,Deals!$A$2:$A$355,0))=0,"",INDEX(Deals!$AE$2:$AE$355,MATCH($C334,Deals!$A$2:$A$355,0))),""))</f>
        <v/>
      </c>
      <c r="AE334" s="22">
        <f>IF($C334="","",IFERROR(IF(INDEX(Deals!$AF$2:$AF$355,MATCH($C334,Deals!$A$2:$A$355,0))=0,"",INDEX(Deals!$AF$2:$AF$355,MATCH($C334,Deals!$A$2:$A$355,0))),""))</f>
        <v/>
      </c>
      <c r="AF334" s="35">
        <f>IF($AD334="",DATE(1900,1,1),$AD334)</f>
        <v/>
      </c>
      <c r="AG334" s="35">
        <f>IF($AE334="",DATE(2100,12,31),$AE334)</f>
        <v/>
      </c>
      <c r="AH334" s="22">
        <f>IF($C334="","",IFERROR(IF(INDEX(Deals!$AG$2:$AG$355,MATCH($C334,Deals!$A$2:$A$355,0))=0,"",INDEX(Deals!$AG$2:$AG$355,MATCH($C334,Deals!$A$2:$A$355,0))),""))</f>
        <v/>
      </c>
      <c r="AI334" s="35">
        <f>IF($AH334="",DATE(1900,1,1),$AF334)</f>
        <v/>
      </c>
      <c r="AJ334" s="35">
        <f>IF($AH334="",DATE(2100,12,31),$AH334)</f>
        <v/>
      </c>
      <c r="AK334" s="32">
        <f>IF($AH334="",$AC334,$AC334*$S334)</f>
        <v/>
      </c>
      <c r="AL334" s="35">
        <f>IF($AH334="",DATE(2100,12,31),$AH334+1)</f>
        <v/>
      </c>
      <c r="AM334" s="35">
        <f>IF($AH334="",DATE(1900,1,1),$AG334)</f>
        <v/>
      </c>
      <c r="AN334" s="32">
        <f>IF($AH334="",0,$AC334*$T334)</f>
        <v/>
      </c>
    </row>
    <row r="335">
      <c r="A335" s="28" t="inlineStr">
        <is>
          <t>George</t>
        </is>
      </c>
      <c r="B335" s="16">
        <f>IF($A335="","",IFERROR(INDEX(Roster!$B$2:$B$40,MATCH($A335,Roster!$A$2:$A$40,0)),"?"))</f>
        <v/>
      </c>
      <c r="C335" s="28" t="inlineStr">
        <is>
          <t>Instinct_1</t>
        </is>
      </c>
      <c r="D335" s="16">
        <f>IF($C335="","",IFERROR(IF(INDEX(Deals!$C$2:$C$355,MATCH($C335,Deals!$A$2:$A$355,0))=0,"",INDEX(Deals!$C$2:$C$355,MATCH($C335,Deals!$A$2:$A$355,0))),"?"))</f>
        <v/>
      </c>
      <c r="E335" s="16">
        <f>IF($C335="","",IFERROR(INDEX(Deals!$F$2:$F$355,MATCH($C335,Deals!$A$2:$A$355,0)),"?"))</f>
        <v/>
      </c>
      <c r="F335" s="28" t="inlineStr">
        <is>
          <t>VP</t>
        </is>
      </c>
      <c r="G335" s="28" t="inlineStr">
        <is>
          <t>Active</t>
        </is>
      </c>
      <c r="H335" s="31" t="n"/>
      <c r="I335" s="32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1">
        <f>IF($C335="",0,IFERROR(INDEX(Deals!$H$2:$H$355,MATCH($C335,Deals!$A$2:$A$355,0)),0))</f>
        <v/>
      </c>
      <c r="K335" s="32">
        <f>IF(Settings!$B$4="Yes",$I335*$J335,$I335)</f>
        <v/>
      </c>
      <c r="L335" s="22">
        <f>IF($C335="","",IFERROR(IF(INDEX(Deals!$I$2:$I$355,MATCH($C335,Deals!$A$2:$A$355,0))=0,"",INDEX(Deals!$I$2:$I$355,MATCH($C335,Deals!$A$2:$A$355,0))),""))</f>
        <v/>
      </c>
      <c r="M335" s="22">
        <f>IF($C335="","",IFERROR(IF(INDEX(Deals!$J$2:$J$355,MATCH($C335,Deals!$A$2:$A$355,0))=0,"",INDEX(Deals!$J$2:$J$355,MATCH($C335,Deals!$A$2:$A$355,0))),""))</f>
        <v/>
      </c>
      <c r="N335" s="35">
        <f>IF($L335="",DATE(1900,1,1),$L335)</f>
        <v/>
      </c>
      <c r="O335" s="35">
        <f>IF($M335="",DATE(2100,12,31),$M335)</f>
        <v/>
      </c>
      <c r="P335" s="20" t="inlineStr">
        <is>
          <t>Ongoing</t>
        </is>
      </c>
      <c r="Q335" s="43" t="inlineStr">
        <is>
          <t>Added from Summary tab</t>
        </is>
      </c>
      <c r="R335" s="16">
        <f>IF($C335="","",IFERROR(IF(INDEX(Deals!$U$2:$U$355,MATCH($C335,Deals!$A$2:$A$355,0))=0,"",INDEX(Deals!$U$2:$U$355,MATCH($C335,Deals!$A$2:$A$355,0))),""))</f>
        <v/>
      </c>
      <c r="S335" s="34">
        <f>IFERROR(IF($U335="",1,INDEX(Deals!$V$2:$V$355,MATCH($C335,Deals!$A$2:$A$355,0))),1)</f>
        <v/>
      </c>
      <c r="T335" s="34">
        <f>IFERROR(IF($U335="",1,INDEX(Deals!$W$2:$W$355,MATCH($C335,Deals!$A$2:$A$355,0))),1)</f>
        <v/>
      </c>
      <c r="U335" s="22">
        <f>IF($C335="","",IFERROR(IF(INDEX(Deals!$Y$2:$Y$355,MATCH($C335,Deals!$A$2:$A$355,0))=0,"",INDEX(Deals!$Y$2:$Y$355,MATCH($C335,Deals!$A$2:$A$355,0))),""))</f>
        <v/>
      </c>
      <c r="V335" s="35">
        <f>IF($U335="",DATE(1900,1,1),$N335)</f>
        <v/>
      </c>
      <c r="W335" s="35">
        <f>IF($U335="",DATE(2100,12,31),$U335)</f>
        <v/>
      </c>
      <c r="X335" s="32">
        <f>IF($U335="",$K335,$K335*$S335)</f>
        <v/>
      </c>
      <c r="Y335" s="35">
        <f>IF($U335="",DATE(2100,12,31),$U335+1)</f>
        <v/>
      </c>
      <c r="Z335" s="35">
        <f>IF($U335="",DATE(1900,1,1),$O335)</f>
        <v/>
      </c>
      <c r="AA335" s="32">
        <f>IF($U335="",0,$K335*$T335)</f>
        <v/>
      </c>
      <c r="AB335" s="21">
        <f>IF($C335="",0,IFERROR(INDEX(Deals!$AD$2:$AD$355,MATCH($C335,Deals!$A$2:$A$355,0)),0))</f>
        <v/>
      </c>
      <c r="AC335" s="32">
        <f>IF(Settings!$B$4="Yes",$I335*$AB335,$I335)</f>
        <v/>
      </c>
      <c r="AD335" s="22">
        <f>IF($C335="","",IFERROR(IF(INDEX(Deals!$AE$2:$AE$355,MATCH($C335,Deals!$A$2:$A$355,0))=0,"",INDEX(Deals!$AE$2:$AE$355,MATCH($C335,Deals!$A$2:$A$355,0))),""))</f>
        <v/>
      </c>
      <c r="AE335" s="22">
        <f>IF($C335="","",IFERROR(IF(INDEX(Deals!$AF$2:$AF$355,MATCH($C335,Deals!$A$2:$A$355,0))=0,"",INDEX(Deals!$AF$2:$AF$355,MATCH($C335,Deals!$A$2:$A$355,0))),""))</f>
        <v/>
      </c>
      <c r="AF335" s="35">
        <f>IF($AD335="",DATE(1900,1,1),$AD335)</f>
        <v/>
      </c>
      <c r="AG335" s="35">
        <f>IF($AE335="",DATE(2100,12,31),$AE335)</f>
        <v/>
      </c>
      <c r="AH335" s="22">
        <f>IF($C335="","",IFERROR(IF(INDEX(Deals!$AG$2:$AG$355,MATCH($C335,Deals!$A$2:$A$355,0))=0,"",INDEX(Deals!$AG$2:$AG$355,MATCH($C335,Deals!$A$2:$A$355,0))),""))</f>
        <v/>
      </c>
      <c r="AI335" s="35">
        <f>IF($AH335="",DATE(1900,1,1),$AF335)</f>
        <v/>
      </c>
      <c r="AJ335" s="35">
        <f>IF($AH335="",DATE(2100,12,31),$AH335)</f>
        <v/>
      </c>
      <c r="AK335" s="32">
        <f>IF($AH335="",$AC335,$AC335*$S335)</f>
        <v/>
      </c>
      <c r="AL335" s="35">
        <f>IF($AH335="",DATE(2100,12,31),$AH335+1)</f>
        <v/>
      </c>
      <c r="AM335" s="35">
        <f>IF($AH335="",DATE(1900,1,1),$AG335)</f>
        <v/>
      </c>
      <c r="AN335" s="32">
        <f>IF($AH335="",0,$AC335*$T335)</f>
        <v/>
      </c>
    </row>
    <row r="336">
      <c r="A336" s="28" t="inlineStr">
        <is>
          <t>George</t>
        </is>
      </c>
      <c r="B336" s="16">
        <f>IF($A336="","",IFERROR(INDEX(Roster!$B$2:$B$40,MATCH($A336,Roster!$A$2:$A$40,0)),"?"))</f>
        <v/>
      </c>
      <c r="C336" s="28" t="inlineStr">
        <is>
          <t>Manchester_1</t>
        </is>
      </c>
      <c r="D336" s="16">
        <f>IF($C336="","",IFERROR(IF(INDEX(Deals!$C$2:$C$355,MATCH($C336,Deals!$A$2:$A$355,0))=0,"",INDEX(Deals!$C$2:$C$355,MATCH($C336,Deals!$A$2:$A$355,0))),"?"))</f>
        <v/>
      </c>
      <c r="E336" s="16">
        <f>IF($C336="","",IFERROR(INDEX(Deals!$F$2:$F$355,MATCH($C336,Deals!$A$2:$A$355,0)),"?"))</f>
        <v/>
      </c>
      <c r="F336" s="28" t="inlineStr">
        <is>
          <t>VP</t>
        </is>
      </c>
      <c r="G336" s="28" t="inlineStr">
        <is>
          <t>Active</t>
        </is>
      </c>
      <c r="H336" s="31" t="n"/>
      <c r="I336" s="32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1">
        <f>IF($C336="",0,IFERROR(INDEX(Deals!$H$2:$H$355,MATCH($C336,Deals!$A$2:$A$355,0)),0))</f>
        <v/>
      </c>
      <c r="K336" s="32">
        <f>IF(Settings!$B$4="Yes",$I336*$J336,$I336)</f>
        <v/>
      </c>
      <c r="L336" s="22">
        <f>IF($C336="","",IFERROR(IF(INDEX(Deals!$I$2:$I$355,MATCH($C336,Deals!$A$2:$A$355,0))=0,"",INDEX(Deals!$I$2:$I$355,MATCH($C336,Deals!$A$2:$A$355,0))),""))</f>
        <v/>
      </c>
      <c r="M336" s="22">
        <f>IF($C336="","",IFERROR(IF(INDEX(Deals!$J$2:$J$355,MATCH($C336,Deals!$A$2:$A$355,0))=0,"",INDEX(Deals!$J$2:$J$355,MATCH($C336,Deals!$A$2:$A$355,0))),""))</f>
        <v/>
      </c>
      <c r="N336" s="35">
        <f>IF($L336="",DATE(1900,1,1),$L336)</f>
        <v/>
      </c>
      <c r="O336" s="35">
        <f>IF($M336="",DATE(2100,12,31),$M336)</f>
        <v/>
      </c>
      <c r="P336" s="20" t="inlineStr">
        <is>
          <t>Ongoing</t>
        </is>
      </c>
      <c r="Q336" s="43" t="inlineStr">
        <is>
          <t>Added from Summary tab</t>
        </is>
      </c>
      <c r="R336" s="16">
        <f>IF($C336="","",IFERROR(IF(INDEX(Deals!$U$2:$U$355,MATCH($C336,Deals!$A$2:$A$355,0))=0,"",INDEX(Deals!$U$2:$U$355,MATCH($C336,Deals!$A$2:$A$355,0))),""))</f>
        <v/>
      </c>
      <c r="S336" s="34">
        <f>IFERROR(IF($U336="",1,INDEX(Deals!$V$2:$V$355,MATCH($C336,Deals!$A$2:$A$355,0))),1)</f>
        <v/>
      </c>
      <c r="T336" s="34">
        <f>IFERROR(IF($U336="",1,INDEX(Deals!$W$2:$W$355,MATCH($C336,Deals!$A$2:$A$355,0))),1)</f>
        <v/>
      </c>
      <c r="U336" s="22">
        <f>IF($C336="","",IFERROR(IF(INDEX(Deals!$Y$2:$Y$355,MATCH($C336,Deals!$A$2:$A$355,0))=0,"",INDEX(Deals!$Y$2:$Y$355,MATCH($C336,Deals!$A$2:$A$355,0))),""))</f>
        <v/>
      </c>
      <c r="V336" s="35">
        <f>IF($U336="",DATE(1900,1,1),$N336)</f>
        <v/>
      </c>
      <c r="W336" s="35">
        <f>IF($U336="",DATE(2100,12,31),$U336)</f>
        <v/>
      </c>
      <c r="X336" s="32">
        <f>IF($U336="",$K336,$K336*$S336)</f>
        <v/>
      </c>
      <c r="Y336" s="35">
        <f>IF($U336="",DATE(2100,12,31),$U336+1)</f>
        <v/>
      </c>
      <c r="Z336" s="35">
        <f>IF($U336="",DATE(1900,1,1),$O336)</f>
        <v/>
      </c>
      <c r="AA336" s="32">
        <f>IF($U336="",0,$K336*$T336)</f>
        <v/>
      </c>
      <c r="AB336" s="21">
        <f>IF($C336="",0,IFERROR(INDEX(Deals!$AD$2:$AD$355,MATCH($C336,Deals!$A$2:$A$355,0)),0))</f>
        <v/>
      </c>
      <c r="AC336" s="32">
        <f>IF(Settings!$B$4="Yes",$I336*$AB336,$I336)</f>
        <v/>
      </c>
      <c r="AD336" s="22">
        <f>IF($C336="","",IFERROR(IF(INDEX(Deals!$AE$2:$AE$355,MATCH($C336,Deals!$A$2:$A$355,0))=0,"",INDEX(Deals!$AE$2:$AE$355,MATCH($C336,Deals!$A$2:$A$355,0))),""))</f>
        <v/>
      </c>
      <c r="AE336" s="22">
        <f>IF($C336="","",IFERROR(IF(INDEX(Deals!$AF$2:$AF$355,MATCH($C336,Deals!$A$2:$A$355,0))=0,"",INDEX(Deals!$AF$2:$AF$355,MATCH($C336,Deals!$A$2:$A$355,0))),""))</f>
        <v/>
      </c>
      <c r="AF336" s="35">
        <f>IF($AD336="",DATE(1900,1,1),$AD336)</f>
        <v/>
      </c>
      <c r="AG336" s="35">
        <f>IF($AE336="",DATE(2100,12,31),$AE336)</f>
        <v/>
      </c>
      <c r="AH336" s="22">
        <f>IF($C336="","",IFERROR(IF(INDEX(Deals!$AG$2:$AG$355,MATCH($C336,Deals!$A$2:$A$355,0))=0,"",INDEX(Deals!$AG$2:$AG$355,MATCH($C336,Deals!$A$2:$A$355,0))),""))</f>
        <v/>
      </c>
      <c r="AI336" s="35">
        <f>IF($AH336="",DATE(1900,1,1),$AF336)</f>
        <v/>
      </c>
      <c r="AJ336" s="35">
        <f>IF($AH336="",DATE(2100,12,31),$AH336)</f>
        <v/>
      </c>
      <c r="AK336" s="32">
        <f>IF($AH336="",$AC336,$AC336*$S336)</f>
        <v/>
      </c>
      <c r="AL336" s="35">
        <f>IF($AH336="",DATE(2100,12,31),$AH336+1)</f>
        <v/>
      </c>
      <c r="AM336" s="35">
        <f>IF($AH336="",DATE(1900,1,1),$AG336)</f>
        <v/>
      </c>
      <c r="AN336" s="32">
        <f>IF($AH336="",0,$AC336*$T336)</f>
        <v/>
      </c>
    </row>
    <row r="337">
      <c r="A337" s="28" t="inlineStr">
        <is>
          <t>George</t>
        </is>
      </c>
      <c r="B337" s="16">
        <f>IF($A337="","",IFERROR(INDEX(Roster!$B$2:$B$40,MATCH($A337,Roster!$A$2:$A$40,0)),"?"))</f>
        <v/>
      </c>
      <c r="C337" s="28" t="inlineStr">
        <is>
          <t>MIF_1</t>
        </is>
      </c>
      <c r="D337" s="16">
        <f>IF($C337="","",IFERROR(IF(INDEX(Deals!$C$2:$C$355,MATCH($C337,Deals!$A$2:$A$355,0))=0,"",INDEX(Deals!$C$2:$C$355,MATCH($C337,Deals!$A$2:$A$355,0))),"?"))</f>
        <v/>
      </c>
      <c r="E337" s="16">
        <f>IF($C337="","",IFERROR(INDEX(Deals!$F$2:$F$355,MATCH($C337,Deals!$A$2:$A$355,0)),"?"))</f>
        <v/>
      </c>
      <c r="F337" s="28" t="inlineStr">
        <is>
          <t>VP</t>
        </is>
      </c>
      <c r="G337" s="28" t="inlineStr">
        <is>
          <t>Active</t>
        </is>
      </c>
      <c r="H337" s="31" t="n"/>
      <c r="I337" s="32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1">
        <f>IF($C337="",0,IFERROR(INDEX(Deals!$H$2:$H$355,MATCH($C337,Deals!$A$2:$A$355,0)),0))</f>
        <v/>
      </c>
      <c r="K337" s="32">
        <f>IF(Settings!$B$4="Yes",$I337*$J337,$I337)</f>
        <v/>
      </c>
      <c r="L337" s="22">
        <f>IF($C337="","",IFERROR(IF(INDEX(Deals!$I$2:$I$355,MATCH($C337,Deals!$A$2:$A$355,0))=0,"",INDEX(Deals!$I$2:$I$355,MATCH($C337,Deals!$A$2:$A$355,0))),""))</f>
        <v/>
      </c>
      <c r="M337" s="22">
        <f>IF($C337="","",IFERROR(IF(INDEX(Deals!$J$2:$J$355,MATCH($C337,Deals!$A$2:$A$355,0))=0,"",INDEX(Deals!$J$2:$J$355,MATCH($C337,Deals!$A$2:$A$355,0))),""))</f>
        <v/>
      </c>
      <c r="N337" s="35">
        <f>IF($L337="",DATE(1900,1,1),$L337)</f>
        <v/>
      </c>
      <c r="O337" s="35">
        <f>IF($M337="",DATE(2100,12,31),$M337)</f>
        <v/>
      </c>
      <c r="P337" s="20" t="inlineStr">
        <is>
          <t>Closing</t>
        </is>
      </c>
      <c r="Q337" s="43" t="inlineStr"/>
      <c r="R337" s="16">
        <f>IF($C337="","",IFERROR(IF(INDEX(Deals!$U$2:$U$355,MATCH($C337,Deals!$A$2:$A$355,0))=0,"",INDEX(Deals!$U$2:$U$355,MATCH($C337,Deals!$A$2:$A$355,0))),""))</f>
        <v/>
      </c>
      <c r="S337" s="34">
        <f>IFERROR(IF($U337="",1,INDEX(Deals!$V$2:$V$355,MATCH($C337,Deals!$A$2:$A$355,0))),1)</f>
        <v/>
      </c>
      <c r="T337" s="34">
        <f>IFERROR(IF($U337="",1,INDEX(Deals!$W$2:$W$355,MATCH($C337,Deals!$A$2:$A$355,0))),1)</f>
        <v/>
      </c>
      <c r="U337" s="22">
        <f>IF($C337="","",IFERROR(IF(INDEX(Deals!$Y$2:$Y$355,MATCH($C337,Deals!$A$2:$A$355,0))=0,"",INDEX(Deals!$Y$2:$Y$355,MATCH($C337,Deals!$A$2:$A$355,0))),""))</f>
        <v/>
      </c>
      <c r="V337" s="35">
        <f>IF($U337="",DATE(1900,1,1),$N337)</f>
        <v/>
      </c>
      <c r="W337" s="35">
        <f>IF($U337="",DATE(2100,12,31),$U337)</f>
        <v/>
      </c>
      <c r="X337" s="32">
        <f>IF($U337="",$K337,$K337*$S337)</f>
        <v/>
      </c>
      <c r="Y337" s="35">
        <f>IF($U337="",DATE(2100,12,31),$U337+1)</f>
        <v/>
      </c>
      <c r="Z337" s="35">
        <f>IF($U337="",DATE(1900,1,1),$O337)</f>
        <v/>
      </c>
      <c r="AA337" s="32">
        <f>IF($U337="",0,$K337*$T337)</f>
        <v/>
      </c>
      <c r="AB337" s="21">
        <f>IF($C337="",0,IFERROR(INDEX(Deals!$AD$2:$AD$355,MATCH($C337,Deals!$A$2:$A$355,0)),0))</f>
        <v/>
      </c>
      <c r="AC337" s="32">
        <f>IF(Settings!$B$4="Yes",$I337*$AB337,$I337)</f>
        <v/>
      </c>
      <c r="AD337" s="22">
        <f>IF($C337="","",IFERROR(IF(INDEX(Deals!$AE$2:$AE$355,MATCH($C337,Deals!$A$2:$A$355,0))=0,"",INDEX(Deals!$AE$2:$AE$355,MATCH($C337,Deals!$A$2:$A$355,0))),""))</f>
        <v/>
      </c>
      <c r="AE337" s="22">
        <f>IF($C337="","",IFERROR(IF(INDEX(Deals!$AF$2:$AF$355,MATCH($C337,Deals!$A$2:$A$355,0))=0,"",INDEX(Deals!$AF$2:$AF$355,MATCH($C337,Deals!$A$2:$A$355,0))),""))</f>
        <v/>
      </c>
      <c r="AF337" s="35">
        <f>IF($AD337="",DATE(1900,1,1),$AD337)</f>
        <v/>
      </c>
      <c r="AG337" s="35">
        <f>IF($AE337="",DATE(2100,12,31),$AE337)</f>
        <v/>
      </c>
      <c r="AH337" s="22">
        <f>IF($C337="","",IFERROR(IF(INDEX(Deals!$AG$2:$AG$355,MATCH($C337,Deals!$A$2:$A$355,0))=0,"",INDEX(Deals!$AG$2:$AG$355,MATCH($C337,Deals!$A$2:$A$355,0))),""))</f>
        <v/>
      </c>
      <c r="AI337" s="35">
        <f>IF($AH337="",DATE(1900,1,1),$AF337)</f>
        <v/>
      </c>
      <c r="AJ337" s="35">
        <f>IF($AH337="",DATE(2100,12,31),$AH337)</f>
        <v/>
      </c>
      <c r="AK337" s="32">
        <f>IF($AH337="",$AC337,$AC337*$S337)</f>
        <v/>
      </c>
      <c r="AL337" s="35">
        <f>IF($AH337="",DATE(2100,12,31),$AH337+1)</f>
        <v/>
      </c>
      <c r="AM337" s="35">
        <f>IF($AH337="",DATE(1900,1,1),$AG337)</f>
        <v/>
      </c>
      <c r="AN337" s="32">
        <f>IF($AH337="",0,$AC337*$T337)</f>
        <v/>
      </c>
    </row>
    <row r="338">
      <c r="A338" s="28" t="inlineStr">
        <is>
          <t>George</t>
        </is>
      </c>
      <c r="B338" s="16">
        <f>IF($A338="","",IFERROR(INDEX(Roster!$B$2:$B$40,MATCH($A338,Roster!$A$2:$A$40,0)),"?"))</f>
        <v/>
      </c>
      <c r="C338" s="28" t="inlineStr">
        <is>
          <t>MIP_1</t>
        </is>
      </c>
      <c r="D338" s="16">
        <f>IF($C338="","",IFERROR(IF(INDEX(Deals!$C$2:$C$355,MATCH($C338,Deals!$A$2:$A$355,0))=0,"",INDEX(Deals!$C$2:$C$355,MATCH($C338,Deals!$A$2:$A$355,0))),"?"))</f>
        <v/>
      </c>
      <c r="E338" s="16">
        <f>IF($C338="","",IFERROR(INDEX(Deals!$F$2:$F$355,MATCH($C338,Deals!$A$2:$A$355,0)),"?"))</f>
        <v/>
      </c>
      <c r="F338" s="28" t="inlineStr">
        <is>
          <t>VP</t>
        </is>
      </c>
      <c r="G338" s="28" t="inlineStr">
        <is>
          <t>Active</t>
        </is>
      </c>
      <c r="H338" s="31" t="n"/>
      <c r="I338" s="32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1">
        <f>IF($C338="",0,IFERROR(INDEX(Deals!$H$2:$H$355,MATCH($C338,Deals!$A$2:$A$355,0)),0))</f>
        <v/>
      </c>
      <c r="K338" s="32">
        <f>IF(Settings!$B$4="Yes",$I338*$J338,$I338)</f>
        <v/>
      </c>
      <c r="L338" s="22">
        <f>IF($C338="","",IFERROR(IF(INDEX(Deals!$I$2:$I$355,MATCH($C338,Deals!$A$2:$A$355,0))=0,"",INDEX(Deals!$I$2:$I$355,MATCH($C338,Deals!$A$2:$A$355,0))),""))</f>
        <v/>
      </c>
      <c r="M338" s="22">
        <f>IF($C338="","",IFERROR(IF(INDEX(Deals!$J$2:$J$355,MATCH($C338,Deals!$A$2:$A$355,0))=0,"",INDEX(Deals!$J$2:$J$355,MATCH($C338,Deals!$A$2:$A$355,0))),""))</f>
        <v/>
      </c>
      <c r="N338" s="35">
        <f>IF($L338="",DATE(1900,1,1),$L338)</f>
        <v/>
      </c>
      <c r="O338" s="35">
        <f>IF($M338="",DATE(2100,12,31),$M338)</f>
        <v/>
      </c>
      <c r="P338" s="20" t="inlineStr">
        <is>
          <t>Ongoing</t>
        </is>
      </c>
      <c r="Q338" s="43" t="inlineStr"/>
      <c r="R338" s="16">
        <f>IF($C338="","",IFERROR(IF(INDEX(Deals!$U$2:$U$355,MATCH($C338,Deals!$A$2:$A$355,0))=0,"",INDEX(Deals!$U$2:$U$355,MATCH($C338,Deals!$A$2:$A$355,0))),""))</f>
        <v/>
      </c>
      <c r="S338" s="34">
        <f>IFERROR(IF($U338="",1,INDEX(Deals!$V$2:$V$355,MATCH($C338,Deals!$A$2:$A$355,0))),1)</f>
        <v/>
      </c>
      <c r="T338" s="34">
        <f>IFERROR(IF($U338="",1,INDEX(Deals!$W$2:$W$355,MATCH($C338,Deals!$A$2:$A$355,0))),1)</f>
        <v/>
      </c>
      <c r="U338" s="22">
        <f>IF($C338="","",IFERROR(IF(INDEX(Deals!$Y$2:$Y$355,MATCH($C338,Deals!$A$2:$A$355,0))=0,"",INDEX(Deals!$Y$2:$Y$355,MATCH($C338,Deals!$A$2:$A$355,0))),""))</f>
        <v/>
      </c>
      <c r="V338" s="35">
        <f>IF($U338="",DATE(1900,1,1),$N338)</f>
        <v/>
      </c>
      <c r="W338" s="35">
        <f>IF($U338="",DATE(2100,12,31),$U338)</f>
        <v/>
      </c>
      <c r="X338" s="32">
        <f>IF($U338="",$K338,$K338*$S338)</f>
        <v/>
      </c>
      <c r="Y338" s="35">
        <f>IF($U338="",DATE(2100,12,31),$U338+1)</f>
        <v/>
      </c>
      <c r="Z338" s="35">
        <f>IF($U338="",DATE(1900,1,1),$O338)</f>
        <v/>
      </c>
      <c r="AA338" s="32">
        <f>IF($U338="",0,$K338*$T338)</f>
        <v/>
      </c>
      <c r="AB338" s="21">
        <f>IF($C338="",0,IFERROR(INDEX(Deals!$AD$2:$AD$355,MATCH($C338,Deals!$A$2:$A$355,0)),0))</f>
        <v/>
      </c>
      <c r="AC338" s="32">
        <f>IF(Settings!$B$4="Yes",$I338*$AB338,$I338)</f>
        <v/>
      </c>
      <c r="AD338" s="22">
        <f>IF($C338="","",IFERROR(IF(INDEX(Deals!$AE$2:$AE$355,MATCH($C338,Deals!$A$2:$A$355,0))=0,"",INDEX(Deals!$AE$2:$AE$355,MATCH($C338,Deals!$A$2:$A$355,0))),""))</f>
        <v/>
      </c>
      <c r="AE338" s="22">
        <f>IF($C338="","",IFERROR(IF(INDEX(Deals!$AF$2:$AF$355,MATCH($C338,Deals!$A$2:$A$355,0))=0,"",INDEX(Deals!$AF$2:$AF$355,MATCH($C338,Deals!$A$2:$A$355,0))),""))</f>
        <v/>
      </c>
      <c r="AF338" s="35">
        <f>IF($AD338="",DATE(1900,1,1),$AD338)</f>
        <v/>
      </c>
      <c r="AG338" s="35">
        <f>IF($AE338="",DATE(2100,12,31),$AE338)</f>
        <v/>
      </c>
      <c r="AH338" s="22">
        <f>IF($C338="","",IFERROR(IF(INDEX(Deals!$AG$2:$AG$355,MATCH($C338,Deals!$A$2:$A$355,0))=0,"",INDEX(Deals!$AG$2:$AG$355,MATCH($C338,Deals!$A$2:$A$355,0))),""))</f>
        <v/>
      </c>
      <c r="AI338" s="35">
        <f>IF($AH338="",DATE(1900,1,1),$AF338)</f>
        <v/>
      </c>
      <c r="AJ338" s="35">
        <f>IF($AH338="",DATE(2100,12,31),$AH338)</f>
        <v/>
      </c>
      <c r="AK338" s="32">
        <f>IF($AH338="",$AC338,$AC338*$S338)</f>
        <v/>
      </c>
      <c r="AL338" s="35">
        <f>IF($AH338="",DATE(2100,12,31),$AH338+1)</f>
        <v/>
      </c>
      <c r="AM338" s="35">
        <f>IF($AH338="",DATE(1900,1,1),$AG338)</f>
        <v/>
      </c>
      <c r="AN338" s="32">
        <f>IF($AH338="",0,$AC338*$T338)</f>
        <v/>
      </c>
    </row>
    <row r="339">
      <c r="A339" s="28" t="inlineStr">
        <is>
          <t>George</t>
        </is>
      </c>
      <c r="B339" s="16">
        <f>IF($A339="","",IFERROR(INDEX(Roster!$B$2:$B$40,MATCH($A339,Roster!$A$2:$A$40,0)),"?"))</f>
        <v/>
      </c>
      <c r="C339" s="28" t="inlineStr">
        <is>
          <t>Orca_1</t>
        </is>
      </c>
      <c r="D339" s="16">
        <f>IF($C339="","",IFERROR(IF(INDEX(Deals!$C$2:$C$355,MATCH($C339,Deals!$A$2:$A$355,0))=0,"",INDEX(Deals!$C$2:$C$355,MATCH($C339,Deals!$A$2:$A$355,0))),"?"))</f>
        <v/>
      </c>
      <c r="E339" s="16">
        <f>IF($C339="","",IFERROR(INDEX(Deals!$F$2:$F$355,MATCH($C339,Deals!$A$2:$A$355,0)),"?"))</f>
        <v/>
      </c>
      <c r="F339" s="28" t="inlineStr">
        <is>
          <t>VP</t>
        </is>
      </c>
      <c r="G339" s="28" t="inlineStr">
        <is>
          <t>Inactive</t>
        </is>
      </c>
      <c r="H339" s="31" t="n"/>
      <c r="I339" s="32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1">
        <f>IF($C339="",0,IFERROR(INDEX(Deals!$H$2:$H$355,MATCH($C339,Deals!$A$2:$A$355,0)),0))</f>
        <v/>
      </c>
      <c r="K339" s="32">
        <f>IF(Settings!$B$4="Yes",$I339*$J339,$I339)</f>
        <v/>
      </c>
      <c r="L339" s="22">
        <f>IF($C339="","",IFERROR(IF(INDEX(Deals!$I$2:$I$355,MATCH($C339,Deals!$A$2:$A$355,0))=0,"",INDEX(Deals!$I$2:$I$355,MATCH($C339,Deals!$A$2:$A$355,0))),""))</f>
        <v/>
      </c>
      <c r="M339" s="22">
        <f>IF($C339="","",IFERROR(IF(INDEX(Deals!$J$2:$J$355,MATCH($C339,Deals!$A$2:$A$355,0))=0,"",INDEX(Deals!$J$2:$J$355,MATCH($C339,Deals!$A$2:$A$355,0))),""))</f>
        <v/>
      </c>
      <c r="N339" s="35">
        <f>IF($L339="",DATE(1900,1,1),$L339)</f>
        <v/>
      </c>
      <c r="O339" s="35">
        <f>IF($M339="",DATE(2100,12,31),$M339)</f>
        <v/>
      </c>
      <c r="P339" s="20" t="inlineStr">
        <is>
          <t>Dead</t>
        </is>
      </c>
      <c r="Q339" s="43" t="inlineStr"/>
      <c r="R339" s="16">
        <f>IF($C339="","",IFERROR(IF(INDEX(Deals!$U$2:$U$355,MATCH($C339,Deals!$A$2:$A$355,0))=0,"",INDEX(Deals!$U$2:$U$355,MATCH($C339,Deals!$A$2:$A$355,0))),""))</f>
        <v/>
      </c>
      <c r="S339" s="34">
        <f>IFERROR(IF($U339="",1,INDEX(Deals!$V$2:$V$355,MATCH($C339,Deals!$A$2:$A$355,0))),1)</f>
        <v/>
      </c>
      <c r="T339" s="34">
        <f>IFERROR(IF($U339="",1,INDEX(Deals!$W$2:$W$355,MATCH($C339,Deals!$A$2:$A$355,0))),1)</f>
        <v/>
      </c>
      <c r="U339" s="22">
        <f>IF($C339="","",IFERROR(IF(INDEX(Deals!$Y$2:$Y$355,MATCH($C339,Deals!$A$2:$A$355,0))=0,"",INDEX(Deals!$Y$2:$Y$355,MATCH($C339,Deals!$A$2:$A$355,0))),""))</f>
        <v/>
      </c>
      <c r="V339" s="35">
        <f>IF($U339="",DATE(1900,1,1),$N339)</f>
        <v/>
      </c>
      <c r="W339" s="35">
        <f>IF($U339="",DATE(2100,12,31),$U339)</f>
        <v/>
      </c>
      <c r="X339" s="32">
        <f>IF($U339="",$K339,$K339*$S339)</f>
        <v/>
      </c>
      <c r="Y339" s="35">
        <f>IF($U339="",DATE(2100,12,31),$U339+1)</f>
        <v/>
      </c>
      <c r="Z339" s="35">
        <f>IF($U339="",DATE(1900,1,1),$O339)</f>
        <v/>
      </c>
      <c r="AA339" s="32">
        <f>IF($U339="",0,$K339*$T339)</f>
        <v/>
      </c>
      <c r="AB339" s="21">
        <f>IF($C339="",0,IFERROR(INDEX(Deals!$AD$2:$AD$355,MATCH($C339,Deals!$A$2:$A$355,0)),0))</f>
        <v/>
      </c>
      <c r="AC339" s="32">
        <f>IF(Settings!$B$4="Yes",$I339*$AB339,$I339)</f>
        <v/>
      </c>
      <c r="AD339" s="22">
        <f>IF($C339="","",IFERROR(IF(INDEX(Deals!$AE$2:$AE$355,MATCH($C339,Deals!$A$2:$A$355,0))=0,"",INDEX(Deals!$AE$2:$AE$355,MATCH($C339,Deals!$A$2:$A$355,0))),""))</f>
        <v/>
      </c>
      <c r="AE339" s="22">
        <f>IF($C339="","",IFERROR(IF(INDEX(Deals!$AF$2:$AF$355,MATCH($C339,Deals!$A$2:$A$355,0))=0,"",INDEX(Deals!$AF$2:$AF$355,MATCH($C339,Deals!$A$2:$A$355,0))),""))</f>
        <v/>
      </c>
      <c r="AF339" s="35">
        <f>IF($AD339="",DATE(1900,1,1),$AD339)</f>
        <v/>
      </c>
      <c r="AG339" s="35">
        <f>IF($AE339="",DATE(2100,12,31),$AE339)</f>
        <v/>
      </c>
      <c r="AH339" s="22">
        <f>IF($C339="","",IFERROR(IF(INDEX(Deals!$AG$2:$AG$355,MATCH($C339,Deals!$A$2:$A$355,0))=0,"",INDEX(Deals!$AG$2:$AG$355,MATCH($C339,Deals!$A$2:$A$355,0))),""))</f>
        <v/>
      </c>
      <c r="AI339" s="35">
        <f>IF($AH339="",DATE(1900,1,1),$AF339)</f>
        <v/>
      </c>
      <c r="AJ339" s="35">
        <f>IF($AH339="",DATE(2100,12,31),$AH339)</f>
        <v/>
      </c>
      <c r="AK339" s="32">
        <f>IF($AH339="",$AC339,$AC339*$S339)</f>
        <v/>
      </c>
      <c r="AL339" s="35">
        <f>IF($AH339="",DATE(2100,12,31),$AH339+1)</f>
        <v/>
      </c>
      <c r="AM339" s="35">
        <f>IF($AH339="",DATE(1900,1,1),$AG339)</f>
        <v/>
      </c>
      <c r="AN339" s="32">
        <f>IF($AH339="",0,$AC339*$T339)</f>
        <v/>
      </c>
    </row>
    <row r="340">
      <c r="A340" s="28" t="inlineStr">
        <is>
          <t>George</t>
        </is>
      </c>
      <c r="B340" s="16">
        <f>IF($A340="","",IFERROR(INDEX(Roster!$B$2:$B$40,MATCH($A340,Roster!$A$2:$A$40,0)),"?"))</f>
        <v/>
      </c>
      <c r="C340" s="28" t="inlineStr">
        <is>
          <t>Papago_1</t>
        </is>
      </c>
      <c r="D340" s="16">
        <f>IF($C340="","",IFERROR(IF(INDEX(Deals!$C$2:$C$355,MATCH($C340,Deals!$A$2:$A$355,0))=0,"",INDEX(Deals!$C$2:$C$355,MATCH($C340,Deals!$A$2:$A$355,0))),"?"))</f>
        <v/>
      </c>
      <c r="E340" s="16">
        <f>IF($C340="","",IFERROR(INDEX(Deals!$F$2:$F$355,MATCH($C340,Deals!$A$2:$A$355,0)),"?"))</f>
        <v/>
      </c>
      <c r="F340" s="28" t="inlineStr">
        <is>
          <t>VP</t>
        </is>
      </c>
      <c r="G340" s="28" t="inlineStr">
        <is>
          <t>Inactive</t>
        </is>
      </c>
      <c r="H340" s="31" t="n"/>
      <c r="I340" s="32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1">
        <f>IF($C340="",0,IFERROR(INDEX(Deals!$H$2:$H$355,MATCH($C340,Deals!$A$2:$A$355,0)),0))</f>
        <v/>
      </c>
      <c r="K340" s="32">
        <f>IF(Settings!$B$4="Yes",$I340*$J340,$I340)</f>
        <v/>
      </c>
      <c r="L340" s="22">
        <f>IF($C340="","",IFERROR(IF(INDEX(Deals!$I$2:$I$355,MATCH($C340,Deals!$A$2:$A$355,0))=0,"",INDEX(Deals!$I$2:$I$355,MATCH($C340,Deals!$A$2:$A$355,0))),""))</f>
        <v/>
      </c>
      <c r="M340" s="22">
        <f>IF($C340="","",IFERROR(IF(INDEX(Deals!$J$2:$J$355,MATCH($C340,Deals!$A$2:$A$355,0))=0,"",INDEX(Deals!$J$2:$J$355,MATCH($C340,Deals!$A$2:$A$355,0))),""))</f>
        <v/>
      </c>
      <c r="N340" s="35">
        <f>IF($L340="",DATE(1900,1,1),$L340)</f>
        <v/>
      </c>
      <c r="O340" s="35">
        <f>IF($M340="",DATE(2100,12,31),$M340)</f>
        <v/>
      </c>
      <c r="P340" s="20" t="inlineStr">
        <is>
          <t>Closed</t>
        </is>
      </c>
      <c r="Q340" s="43" t="inlineStr"/>
      <c r="R340" s="16">
        <f>IF($C340="","",IFERROR(IF(INDEX(Deals!$U$2:$U$355,MATCH($C340,Deals!$A$2:$A$355,0))=0,"",INDEX(Deals!$U$2:$U$355,MATCH($C340,Deals!$A$2:$A$355,0))),""))</f>
        <v/>
      </c>
      <c r="S340" s="34">
        <f>IFERROR(IF($U340="",1,INDEX(Deals!$V$2:$V$355,MATCH($C340,Deals!$A$2:$A$355,0))),1)</f>
        <v/>
      </c>
      <c r="T340" s="34">
        <f>IFERROR(IF($U340="",1,INDEX(Deals!$W$2:$W$355,MATCH($C340,Deals!$A$2:$A$355,0))),1)</f>
        <v/>
      </c>
      <c r="U340" s="22">
        <f>IF($C340="","",IFERROR(IF(INDEX(Deals!$Y$2:$Y$355,MATCH($C340,Deals!$A$2:$A$355,0))=0,"",INDEX(Deals!$Y$2:$Y$355,MATCH($C340,Deals!$A$2:$A$355,0))),""))</f>
        <v/>
      </c>
      <c r="V340" s="35">
        <f>IF($U340="",DATE(1900,1,1),$N340)</f>
        <v/>
      </c>
      <c r="W340" s="35">
        <f>IF($U340="",DATE(2100,12,31),$U340)</f>
        <v/>
      </c>
      <c r="X340" s="32">
        <f>IF($U340="",$K340,$K340*$S340)</f>
        <v/>
      </c>
      <c r="Y340" s="35">
        <f>IF($U340="",DATE(2100,12,31),$U340+1)</f>
        <v/>
      </c>
      <c r="Z340" s="35">
        <f>IF($U340="",DATE(1900,1,1),$O340)</f>
        <v/>
      </c>
      <c r="AA340" s="32">
        <f>IF($U340="",0,$K340*$T340)</f>
        <v/>
      </c>
      <c r="AB340" s="21">
        <f>IF($C340="",0,IFERROR(INDEX(Deals!$AD$2:$AD$355,MATCH($C340,Deals!$A$2:$A$355,0)),0))</f>
        <v/>
      </c>
      <c r="AC340" s="32">
        <f>IF(Settings!$B$4="Yes",$I340*$AB340,$I340)</f>
        <v/>
      </c>
      <c r="AD340" s="22">
        <f>IF($C340="","",IFERROR(IF(INDEX(Deals!$AE$2:$AE$355,MATCH($C340,Deals!$A$2:$A$355,0))=0,"",INDEX(Deals!$AE$2:$AE$355,MATCH($C340,Deals!$A$2:$A$355,0))),""))</f>
        <v/>
      </c>
      <c r="AE340" s="22">
        <f>IF($C340="","",IFERROR(IF(INDEX(Deals!$AF$2:$AF$355,MATCH($C340,Deals!$A$2:$A$355,0))=0,"",INDEX(Deals!$AF$2:$AF$355,MATCH($C340,Deals!$A$2:$A$355,0))),""))</f>
        <v/>
      </c>
      <c r="AF340" s="35">
        <f>IF($AD340="",DATE(1900,1,1),$AD340)</f>
        <v/>
      </c>
      <c r="AG340" s="35">
        <f>IF($AE340="",DATE(2100,12,31),$AE340)</f>
        <v/>
      </c>
      <c r="AH340" s="22">
        <f>IF($C340="","",IFERROR(IF(INDEX(Deals!$AG$2:$AG$355,MATCH($C340,Deals!$A$2:$A$355,0))=0,"",INDEX(Deals!$AG$2:$AG$355,MATCH($C340,Deals!$A$2:$A$355,0))),""))</f>
        <v/>
      </c>
      <c r="AI340" s="35">
        <f>IF($AH340="",DATE(1900,1,1),$AF340)</f>
        <v/>
      </c>
      <c r="AJ340" s="35">
        <f>IF($AH340="",DATE(2100,12,31),$AH340)</f>
        <v/>
      </c>
      <c r="AK340" s="32">
        <f>IF($AH340="",$AC340,$AC340*$S340)</f>
        <v/>
      </c>
      <c r="AL340" s="35">
        <f>IF($AH340="",DATE(2100,12,31),$AH340+1)</f>
        <v/>
      </c>
      <c r="AM340" s="35">
        <f>IF($AH340="",DATE(1900,1,1),$AG340)</f>
        <v/>
      </c>
      <c r="AN340" s="32">
        <f>IF($AH340="",0,$AC340*$T340)</f>
        <v/>
      </c>
    </row>
    <row r="341">
      <c r="A341" s="28" t="inlineStr">
        <is>
          <t>George</t>
        </is>
      </c>
      <c r="B341" s="16">
        <f>IF($A341="","",IFERROR(INDEX(Roster!$B$2:$B$40,MATCH($A341,Roster!$A$2:$A$40,0)),"?"))</f>
        <v/>
      </c>
      <c r="C341" s="28" t="inlineStr">
        <is>
          <t>Pisces 2_1</t>
        </is>
      </c>
      <c r="D341" s="16">
        <f>IF($C341="","",IFERROR(IF(INDEX(Deals!$C$2:$C$355,MATCH($C341,Deals!$A$2:$A$355,0))=0,"",INDEX(Deals!$C$2:$C$355,MATCH($C341,Deals!$A$2:$A$355,0))),"?"))</f>
        <v/>
      </c>
      <c r="E341" s="16">
        <f>IF($C341="","",IFERROR(INDEX(Deals!$F$2:$F$355,MATCH($C341,Deals!$A$2:$A$355,0)),"?"))</f>
        <v/>
      </c>
      <c r="F341" s="28" t="inlineStr">
        <is>
          <t>VP</t>
        </is>
      </c>
      <c r="G341" s="28" t="inlineStr">
        <is>
          <t>Inactive</t>
        </is>
      </c>
      <c r="H341" s="31" t="n"/>
      <c r="I341" s="32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1">
        <f>IF($C341="",0,IFERROR(INDEX(Deals!$H$2:$H$355,MATCH($C341,Deals!$A$2:$A$355,0)),0))</f>
        <v/>
      </c>
      <c r="K341" s="32">
        <f>IF(Settings!$B$4="Yes",$I341*$J341,$I341)</f>
        <v/>
      </c>
      <c r="L341" s="22">
        <f>IF($C341="","",IFERROR(IF(INDEX(Deals!$I$2:$I$355,MATCH($C341,Deals!$A$2:$A$355,0))=0,"",INDEX(Deals!$I$2:$I$355,MATCH($C341,Deals!$A$2:$A$355,0))),""))</f>
        <v/>
      </c>
      <c r="M341" s="22">
        <f>IF($C341="","",IFERROR(IF(INDEX(Deals!$J$2:$J$355,MATCH($C341,Deals!$A$2:$A$355,0))=0,"",INDEX(Deals!$J$2:$J$355,MATCH($C341,Deals!$A$2:$A$355,0))),""))</f>
        <v/>
      </c>
      <c r="N341" s="35">
        <f>IF($L341="",DATE(1900,1,1),$L341)</f>
        <v/>
      </c>
      <c r="O341" s="35">
        <f>IF($M341="",DATE(2100,12,31),$M341)</f>
        <v/>
      </c>
      <c r="P341" s="20" t="inlineStr">
        <is>
          <t>Closed</t>
        </is>
      </c>
      <c r="Q341" s="43" t="inlineStr"/>
      <c r="R341" s="16">
        <f>IF($C341="","",IFERROR(IF(INDEX(Deals!$U$2:$U$355,MATCH($C341,Deals!$A$2:$A$355,0))=0,"",INDEX(Deals!$U$2:$U$355,MATCH($C341,Deals!$A$2:$A$355,0))),""))</f>
        <v/>
      </c>
      <c r="S341" s="34">
        <f>IFERROR(IF($U341="",1,INDEX(Deals!$V$2:$V$355,MATCH($C341,Deals!$A$2:$A$355,0))),1)</f>
        <v/>
      </c>
      <c r="T341" s="34">
        <f>IFERROR(IF($U341="",1,INDEX(Deals!$W$2:$W$355,MATCH($C341,Deals!$A$2:$A$355,0))),1)</f>
        <v/>
      </c>
      <c r="U341" s="22">
        <f>IF($C341="","",IFERROR(IF(INDEX(Deals!$Y$2:$Y$355,MATCH($C341,Deals!$A$2:$A$355,0))=0,"",INDEX(Deals!$Y$2:$Y$355,MATCH($C341,Deals!$A$2:$A$355,0))),""))</f>
        <v/>
      </c>
      <c r="V341" s="35">
        <f>IF($U341="",DATE(1900,1,1),$N341)</f>
        <v/>
      </c>
      <c r="W341" s="35">
        <f>IF($U341="",DATE(2100,12,31),$U341)</f>
        <v/>
      </c>
      <c r="X341" s="32">
        <f>IF($U341="",$K341,$K341*$S341)</f>
        <v/>
      </c>
      <c r="Y341" s="35">
        <f>IF($U341="",DATE(2100,12,31),$U341+1)</f>
        <v/>
      </c>
      <c r="Z341" s="35">
        <f>IF($U341="",DATE(1900,1,1),$O341)</f>
        <v/>
      </c>
      <c r="AA341" s="32">
        <f>IF($U341="",0,$K341*$T341)</f>
        <v/>
      </c>
      <c r="AB341" s="21">
        <f>IF($C341="",0,IFERROR(INDEX(Deals!$AD$2:$AD$355,MATCH($C341,Deals!$A$2:$A$355,0)),0))</f>
        <v/>
      </c>
      <c r="AC341" s="32">
        <f>IF(Settings!$B$4="Yes",$I341*$AB341,$I341)</f>
        <v/>
      </c>
      <c r="AD341" s="22">
        <f>IF($C341="","",IFERROR(IF(INDEX(Deals!$AE$2:$AE$355,MATCH($C341,Deals!$A$2:$A$355,0))=0,"",INDEX(Deals!$AE$2:$AE$355,MATCH($C341,Deals!$A$2:$A$355,0))),""))</f>
        <v/>
      </c>
      <c r="AE341" s="22">
        <f>IF($C341="","",IFERROR(IF(INDEX(Deals!$AF$2:$AF$355,MATCH($C341,Deals!$A$2:$A$355,0))=0,"",INDEX(Deals!$AF$2:$AF$355,MATCH($C341,Deals!$A$2:$A$355,0))),""))</f>
        <v/>
      </c>
      <c r="AF341" s="35">
        <f>IF($AD341="",DATE(1900,1,1),$AD341)</f>
        <v/>
      </c>
      <c r="AG341" s="35">
        <f>IF($AE341="",DATE(2100,12,31),$AE341)</f>
        <v/>
      </c>
      <c r="AH341" s="22">
        <f>IF($C341="","",IFERROR(IF(INDEX(Deals!$AG$2:$AG$355,MATCH($C341,Deals!$A$2:$A$355,0))=0,"",INDEX(Deals!$AG$2:$AG$355,MATCH($C341,Deals!$A$2:$A$355,0))),""))</f>
        <v/>
      </c>
      <c r="AI341" s="35">
        <f>IF($AH341="",DATE(1900,1,1),$AF341)</f>
        <v/>
      </c>
      <c r="AJ341" s="35">
        <f>IF($AH341="",DATE(2100,12,31),$AH341)</f>
        <v/>
      </c>
      <c r="AK341" s="32">
        <f>IF($AH341="",$AC341,$AC341*$S341)</f>
        <v/>
      </c>
      <c r="AL341" s="35">
        <f>IF($AH341="",DATE(2100,12,31),$AH341+1)</f>
        <v/>
      </c>
      <c r="AM341" s="35">
        <f>IF($AH341="",DATE(1900,1,1),$AG341)</f>
        <v/>
      </c>
      <c r="AN341" s="32">
        <f>IF($AH341="",0,$AC341*$T341)</f>
        <v/>
      </c>
    </row>
    <row r="342">
      <c r="A342" s="28" t="inlineStr">
        <is>
          <t>George</t>
        </is>
      </c>
      <c r="B342" s="16">
        <f>IF($A342="","",IFERROR(INDEX(Roster!$B$2:$B$40,MATCH($A342,Roster!$A$2:$A$40,0)),"?"))</f>
        <v/>
      </c>
      <c r="C342" s="28" t="inlineStr">
        <is>
          <t>Pythagoras_1</t>
        </is>
      </c>
      <c r="D342" s="16">
        <f>IF($C342="","",IFERROR(IF(INDEX(Deals!$C$2:$C$355,MATCH($C342,Deals!$A$2:$A$355,0))=0,"",INDEX(Deals!$C$2:$C$355,MATCH($C342,Deals!$A$2:$A$355,0))),"?"))</f>
        <v/>
      </c>
      <c r="E342" s="16">
        <f>IF($C342="","",IFERROR(INDEX(Deals!$F$2:$F$355,MATCH($C342,Deals!$A$2:$A$355,0)),"?"))</f>
        <v/>
      </c>
      <c r="F342" s="28" t="inlineStr">
        <is>
          <t>VP</t>
        </is>
      </c>
      <c r="G342" s="28" t="inlineStr">
        <is>
          <t>Inactive</t>
        </is>
      </c>
      <c r="H342" s="31" t="n"/>
      <c r="I342" s="32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1">
        <f>IF($C342="",0,IFERROR(INDEX(Deals!$H$2:$H$355,MATCH($C342,Deals!$A$2:$A$355,0)),0))</f>
        <v/>
      </c>
      <c r="K342" s="32">
        <f>IF(Settings!$B$4="Yes",$I342*$J342,$I342)</f>
        <v/>
      </c>
      <c r="L342" s="22">
        <f>IF($C342="","",IFERROR(IF(INDEX(Deals!$I$2:$I$355,MATCH($C342,Deals!$A$2:$A$355,0))=0,"",INDEX(Deals!$I$2:$I$355,MATCH($C342,Deals!$A$2:$A$355,0))),""))</f>
        <v/>
      </c>
      <c r="M342" s="22">
        <f>IF($C342="","",IFERROR(IF(INDEX(Deals!$J$2:$J$355,MATCH($C342,Deals!$A$2:$A$355,0))=0,"",INDEX(Deals!$J$2:$J$355,MATCH($C342,Deals!$A$2:$A$355,0))),""))</f>
        <v/>
      </c>
      <c r="N342" s="35">
        <f>IF($L342="",DATE(1900,1,1),$L342)</f>
        <v/>
      </c>
      <c r="O342" s="35">
        <f>IF($M342="",DATE(2100,12,31),$M342)</f>
        <v/>
      </c>
      <c r="P342" s="20" t="inlineStr">
        <is>
          <t>Closed</t>
        </is>
      </c>
      <c r="Q342" s="43" t="inlineStr"/>
      <c r="R342" s="16">
        <f>IF($C342="","",IFERROR(IF(INDEX(Deals!$U$2:$U$355,MATCH($C342,Deals!$A$2:$A$355,0))=0,"",INDEX(Deals!$U$2:$U$355,MATCH($C342,Deals!$A$2:$A$355,0))),""))</f>
        <v/>
      </c>
      <c r="S342" s="34">
        <f>IFERROR(IF($U342="",1,INDEX(Deals!$V$2:$V$355,MATCH($C342,Deals!$A$2:$A$355,0))),1)</f>
        <v/>
      </c>
      <c r="T342" s="34">
        <f>IFERROR(IF($U342="",1,INDEX(Deals!$W$2:$W$355,MATCH($C342,Deals!$A$2:$A$355,0))),1)</f>
        <v/>
      </c>
      <c r="U342" s="22">
        <f>IF($C342="","",IFERROR(IF(INDEX(Deals!$Y$2:$Y$355,MATCH($C342,Deals!$A$2:$A$355,0))=0,"",INDEX(Deals!$Y$2:$Y$355,MATCH($C342,Deals!$A$2:$A$355,0))),""))</f>
        <v/>
      </c>
      <c r="V342" s="35">
        <f>IF($U342="",DATE(1900,1,1),$N342)</f>
        <v/>
      </c>
      <c r="W342" s="35">
        <f>IF($U342="",DATE(2100,12,31),$U342)</f>
        <v/>
      </c>
      <c r="X342" s="32">
        <f>IF($U342="",$K342,$K342*$S342)</f>
        <v/>
      </c>
      <c r="Y342" s="35">
        <f>IF($U342="",DATE(2100,12,31),$U342+1)</f>
        <v/>
      </c>
      <c r="Z342" s="35">
        <f>IF($U342="",DATE(1900,1,1),$O342)</f>
        <v/>
      </c>
      <c r="AA342" s="32">
        <f>IF($U342="",0,$K342*$T342)</f>
        <v/>
      </c>
      <c r="AB342" s="21">
        <f>IF($C342="",0,IFERROR(INDEX(Deals!$AD$2:$AD$355,MATCH($C342,Deals!$A$2:$A$355,0)),0))</f>
        <v/>
      </c>
      <c r="AC342" s="32">
        <f>IF(Settings!$B$4="Yes",$I342*$AB342,$I342)</f>
        <v/>
      </c>
      <c r="AD342" s="22">
        <f>IF($C342="","",IFERROR(IF(INDEX(Deals!$AE$2:$AE$355,MATCH($C342,Deals!$A$2:$A$355,0))=0,"",INDEX(Deals!$AE$2:$AE$355,MATCH($C342,Deals!$A$2:$A$355,0))),""))</f>
        <v/>
      </c>
      <c r="AE342" s="22">
        <f>IF($C342="","",IFERROR(IF(INDEX(Deals!$AF$2:$AF$355,MATCH($C342,Deals!$A$2:$A$355,0))=0,"",INDEX(Deals!$AF$2:$AF$355,MATCH($C342,Deals!$A$2:$A$355,0))),""))</f>
        <v/>
      </c>
      <c r="AF342" s="35">
        <f>IF($AD342="",DATE(1900,1,1),$AD342)</f>
        <v/>
      </c>
      <c r="AG342" s="35">
        <f>IF($AE342="",DATE(2100,12,31),$AE342)</f>
        <v/>
      </c>
      <c r="AH342" s="22">
        <f>IF($C342="","",IFERROR(IF(INDEX(Deals!$AG$2:$AG$355,MATCH($C342,Deals!$A$2:$A$355,0))=0,"",INDEX(Deals!$AG$2:$AG$355,MATCH($C342,Deals!$A$2:$A$355,0))),""))</f>
        <v/>
      </c>
      <c r="AI342" s="35">
        <f>IF($AH342="",DATE(1900,1,1),$AF342)</f>
        <v/>
      </c>
      <c r="AJ342" s="35">
        <f>IF($AH342="",DATE(2100,12,31),$AH342)</f>
        <v/>
      </c>
      <c r="AK342" s="32">
        <f>IF($AH342="",$AC342,$AC342*$S342)</f>
        <v/>
      </c>
      <c r="AL342" s="35">
        <f>IF($AH342="",DATE(2100,12,31),$AH342+1)</f>
        <v/>
      </c>
      <c r="AM342" s="35">
        <f>IF($AH342="",DATE(1900,1,1),$AG342)</f>
        <v/>
      </c>
      <c r="AN342" s="32">
        <f>IF($AH342="",0,$AC342*$T342)</f>
        <v/>
      </c>
    </row>
    <row r="343">
      <c r="A343" s="28" t="inlineStr">
        <is>
          <t>George</t>
        </is>
      </c>
      <c r="B343" s="16">
        <f>IF($A343="","",IFERROR(INDEX(Roster!$B$2:$B$40,MATCH($A343,Roster!$A$2:$A$40,0)),"?"))</f>
        <v/>
      </c>
      <c r="C343" s="28" t="inlineStr">
        <is>
          <t>Sunshine_4</t>
        </is>
      </c>
      <c r="D343" s="16">
        <f>IF($C343="","",IFERROR(IF(INDEX(Deals!$C$2:$C$355,MATCH($C343,Deals!$A$2:$A$355,0))=0,"",INDEX(Deals!$C$2:$C$355,MATCH($C343,Deals!$A$2:$A$355,0))),"?"))</f>
        <v/>
      </c>
      <c r="E343" s="16">
        <f>IF($C343="","",IFERROR(INDEX(Deals!$F$2:$F$355,MATCH($C343,Deals!$A$2:$A$355,0)),"?"))</f>
        <v/>
      </c>
      <c r="F343" s="28" t="inlineStr">
        <is>
          <t>VP</t>
        </is>
      </c>
      <c r="G343" s="28" t="inlineStr">
        <is>
          <t>Active</t>
        </is>
      </c>
      <c r="H343" s="31" t="n"/>
      <c r="I343" s="32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1">
        <f>IF($C343="",0,IFERROR(INDEX(Deals!$H$2:$H$355,MATCH($C343,Deals!$A$2:$A$355,0)),0))</f>
        <v/>
      </c>
      <c r="K343" s="32">
        <f>IF(Settings!$B$4="Yes",$I343*$J343,$I343)</f>
        <v/>
      </c>
      <c r="L343" s="22">
        <f>IF($C343="","",IFERROR(IF(INDEX(Deals!$I$2:$I$355,MATCH($C343,Deals!$A$2:$A$355,0))=0,"",INDEX(Deals!$I$2:$I$355,MATCH($C343,Deals!$A$2:$A$355,0))),""))</f>
        <v/>
      </c>
      <c r="M343" s="22">
        <f>IF($C343="","",IFERROR(IF(INDEX(Deals!$J$2:$J$355,MATCH($C343,Deals!$A$2:$A$355,0))=0,"",INDEX(Deals!$J$2:$J$355,MATCH($C343,Deals!$A$2:$A$355,0))),""))</f>
        <v/>
      </c>
      <c r="N343" s="35">
        <f>IF($L343="",DATE(1900,1,1),$L343)</f>
        <v/>
      </c>
      <c r="O343" s="35">
        <f>IF($M343="",DATE(2100,12,31),$M343)</f>
        <v/>
      </c>
      <c r="P343" s="20" t="inlineStr">
        <is>
          <t>Ongoing</t>
        </is>
      </c>
      <c r="Q343" s="43" t="inlineStr"/>
      <c r="R343" s="16">
        <f>IF($C343="","",IFERROR(IF(INDEX(Deals!$U$2:$U$355,MATCH($C343,Deals!$A$2:$A$355,0))=0,"",INDEX(Deals!$U$2:$U$355,MATCH($C343,Deals!$A$2:$A$355,0))),""))</f>
        <v/>
      </c>
      <c r="S343" s="34">
        <f>IFERROR(IF($U343="",1,INDEX(Deals!$V$2:$V$355,MATCH($C343,Deals!$A$2:$A$355,0))),1)</f>
        <v/>
      </c>
      <c r="T343" s="34">
        <f>IFERROR(IF($U343="",1,INDEX(Deals!$W$2:$W$355,MATCH($C343,Deals!$A$2:$A$355,0))),1)</f>
        <v/>
      </c>
      <c r="U343" s="22">
        <f>IF($C343="","",IFERROR(IF(INDEX(Deals!$Y$2:$Y$355,MATCH($C343,Deals!$A$2:$A$355,0))=0,"",INDEX(Deals!$Y$2:$Y$355,MATCH($C343,Deals!$A$2:$A$355,0))),""))</f>
        <v/>
      </c>
      <c r="V343" s="35">
        <f>IF($U343="",DATE(1900,1,1),$N343)</f>
        <v/>
      </c>
      <c r="W343" s="35">
        <f>IF($U343="",DATE(2100,12,31),$U343)</f>
        <v/>
      </c>
      <c r="X343" s="32">
        <f>IF($U343="",$K343,$K343*$S343)</f>
        <v/>
      </c>
      <c r="Y343" s="35">
        <f>IF($U343="",DATE(2100,12,31),$U343+1)</f>
        <v/>
      </c>
      <c r="Z343" s="35">
        <f>IF($U343="",DATE(1900,1,1),$O343)</f>
        <v/>
      </c>
      <c r="AA343" s="32">
        <f>IF($U343="",0,$K343*$T343)</f>
        <v/>
      </c>
      <c r="AB343" s="21">
        <f>IF($C343="",0,IFERROR(INDEX(Deals!$AD$2:$AD$355,MATCH($C343,Deals!$A$2:$A$355,0)),0))</f>
        <v/>
      </c>
      <c r="AC343" s="32">
        <f>IF(Settings!$B$4="Yes",$I343*$AB343,$I343)</f>
        <v/>
      </c>
      <c r="AD343" s="22">
        <f>IF($C343="","",IFERROR(IF(INDEX(Deals!$AE$2:$AE$355,MATCH($C343,Deals!$A$2:$A$355,0))=0,"",INDEX(Deals!$AE$2:$AE$355,MATCH($C343,Deals!$A$2:$A$355,0))),""))</f>
        <v/>
      </c>
      <c r="AE343" s="22">
        <f>IF($C343="","",IFERROR(IF(INDEX(Deals!$AF$2:$AF$355,MATCH($C343,Deals!$A$2:$A$355,0))=0,"",INDEX(Deals!$AF$2:$AF$355,MATCH($C343,Deals!$A$2:$A$355,0))),""))</f>
        <v/>
      </c>
      <c r="AF343" s="35">
        <f>IF($AD343="",DATE(1900,1,1),$AD343)</f>
        <v/>
      </c>
      <c r="AG343" s="35">
        <f>IF($AE343="",DATE(2100,12,31),$AE343)</f>
        <v/>
      </c>
      <c r="AH343" s="22">
        <f>IF($C343="","",IFERROR(IF(INDEX(Deals!$AG$2:$AG$355,MATCH($C343,Deals!$A$2:$A$355,0))=0,"",INDEX(Deals!$AG$2:$AG$355,MATCH($C343,Deals!$A$2:$A$355,0))),""))</f>
        <v/>
      </c>
      <c r="AI343" s="35">
        <f>IF($AH343="",DATE(1900,1,1),$AF343)</f>
        <v/>
      </c>
      <c r="AJ343" s="35">
        <f>IF($AH343="",DATE(2100,12,31),$AH343)</f>
        <v/>
      </c>
      <c r="AK343" s="32">
        <f>IF($AH343="",$AC343,$AC343*$S343)</f>
        <v/>
      </c>
      <c r="AL343" s="35">
        <f>IF($AH343="",DATE(2100,12,31),$AH343+1)</f>
        <v/>
      </c>
      <c r="AM343" s="35">
        <f>IF($AH343="",DATE(1900,1,1),$AG343)</f>
        <v/>
      </c>
      <c r="AN343" s="32">
        <f>IF($AH343="",0,$AC343*$T343)</f>
        <v/>
      </c>
    </row>
    <row r="344">
      <c r="A344" s="28" t="inlineStr">
        <is>
          <t>George</t>
        </is>
      </c>
      <c r="B344" s="16">
        <f>IF($A344="","",IFERROR(INDEX(Roster!$B$2:$B$40,MATCH($A344,Roster!$A$2:$A$40,0)),"?"))</f>
        <v/>
      </c>
      <c r="C344" s="28" t="inlineStr">
        <is>
          <t>UPS_1</t>
        </is>
      </c>
      <c r="D344" s="16">
        <f>IF($C344="","",IFERROR(IF(INDEX(Deals!$C$2:$C$355,MATCH($C344,Deals!$A$2:$A$355,0))=0,"",INDEX(Deals!$C$2:$C$355,MATCH($C344,Deals!$A$2:$A$355,0))),"?"))</f>
        <v/>
      </c>
      <c r="E344" s="16">
        <f>IF($C344="","",IFERROR(INDEX(Deals!$F$2:$F$355,MATCH($C344,Deals!$A$2:$A$355,0)),"?"))</f>
        <v/>
      </c>
      <c r="F344" s="28" t="inlineStr">
        <is>
          <t>VP</t>
        </is>
      </c>
      <c r="G344" s="28" t="inlineStr">
        <is>
          <t>Inactive</t>
        </is>
      </c>
      <c r="H344" s="31" t="n"/>
      <c r="I344" s="32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1">
        <f>IF($C344="",0,IFERROR(INDEX(Deals!$H$2:$H$355,MATCH($C344,Deals!$A$2:$A$355,0)),0))</f>
        <v/>
      </c>
      <c r="K344" s="32">
        <f>IF(Settings!$B$4="Yes",$I344*$J344,$I344)</f>
        <v/>
      </c>
      <c r="L344" s="22">
        <f>IF($C344="","",IFERROR(IF(INDEX(Deals!$I$2:$I$355,MATCH($C344,Deals!$A$2:$A$355,0))=0,"",INDEX(Deals!$I$2:$I$355,MATCH($C344,Deals!$A$2:$A$355,0))),""))</f>
        <v/>
      </c>
      <c r="M344" s="22">
        <f>IF($C344="","",IFERROR(IF(INDEX(Deals!$J$2:$J$355,MATCH($C344,Deals!$A$2:$A$355,0))=0,"",INDEX(Deals!$J$2:$J$355,MATCH($C344,Deals!$A$2:$A$355,0))),""))</f>
        <v/>
      </c>
      <c r="N344" s="35">
        <f>IF($L344="",DATE(1900,1,1),$L344)</f>
        <v/>
      </c>
      <c r="O344" s="35">
        <f>IF($M344="",DATE(2100,12,31),$M344)</f>
        <v/>
      </c>
      <c r="P344" s="20" t="inlineStr">
        <is>
          <t>Dead</t>
        </is>
      </c>
      <c r="Q344" s="43" t="inlineStr"/>
      <c r="R344" s="16">
        <f>IF($C344="","",IFERROR(IF(INDEX(Deals!$U$2:$U$355,MATCH($C344,Deals!$A$2:$A$355,0))=0,"",INDEX(Deals!$U$2:$U$355,MATCH($C344,Deals!$A$2:$A$355,0))),""))</f>
        <v/>
      </c>
      <c r="S344" s="34">
        <f>IFERROR(IF($U344="",1,INDEX(Deals!$V$2:$V$355,MATCH($C344,Deals!$A$2:$A$355,0))),1)</f>
        <v/>
      </c>
      <c r="T344" s="34">
        <f>IFERROR(IF($U344="",1,INDEX(Deals!$W$2:$W$355,MATCH($C344,Deals!$A$2:$A$355,0))),1)</f>
        <v/>
      </c>
      <c r="U344" s="22">
        <f>IF($C344="","",IFERROR(IF(INDEX(Deals!$Y$2:$Y$355,MATCH($C344,Deals!$A$2:$A$355,0))=0,"",INDEX(Deals!$Y$2:$Y$355,MATCH($C344,Deals!$A$2:$A$355,0))),""))</f>
        <v/>
      </c>
      <c r="V344" s="35">
        <f>IF($U344="",DATE(1900,1,1),$N344)</f>
        <v/>
      </c>
      <c r="W344" s="35">
        <f>IF($U344="",DATE(2100,12,31),$U344)</f>
        <v/>
      </c>
      <c r="X344" s="32">
        <f>IF($U344="",$K344,$K344*$S344)</f>
        <v/>
      </c>
      <c r="Y344" s="35">
        <f>IF($U344="",DATE(2100,12,31),$U344+1)</f>
        <v/>
      </c>
      <c r="Z344" s="35">
        <f>IF($U344="",DATE(1900,1,1),$O344)</f>
        <v/>
      </c>
      <c r="AA344" s="32">
        <f>IF($U344="",0,$K344*$T344)</f>
        <v/>
      </c>
      <c r="AB344" s="21">
        <f>IF($C344="",0,IFERROR(INDEX(Deals!$AD$2:$AD$355,MATCH($C344,Deals!$A$2:$A$355,0)),0))</f>
        <v/>
      </c>
      <c r="AC344" s="32">
        <f>IF(Settings!$B$4="Yes",$I344*$AB344,$I344)</f>
        <v/>
      </c>
      <c r="AD344" s="22">
        <f>IF($C344="","",IFERROR(IF(INDEX(Deals!$AE$2:$AE$355,MATCH($C344,Deals!$A$2:$A$355,0))=0,"",INDEX(Deals!$AE$2:$AE$355,MATCH($C344,Deals!$A$2:$A$355,0))),""))</f>
        <v/>
      </c>
      <c r="AE344" s="22">
        <f>IF($C344="","",IFERROR(IF(INDEX(Deals!$AF$2:$AF$355,MATCH($C344,Deals!$A$2:$A$355,0))=0,"",INDEX(Deals!$AF$2:$AF$355,MATCH($C344,Deals!$A$2:$A$355,0))),""))</f>
        <v/>
      </c>
      <c r="AF344" s="35">
        <f>IF($AD344="",DATE(1900,1,1),$AD344)</f>
        <v/>
      </c>
      <c r="AG344" s="35">
        <f>IF($AE344="",DATE(2100,12,31),$AE344)</f>
        <v/>
      </c>
      <c r="AH344" s="22">
        <f>IF($C344="","",IFERROR(IF(INDEX(Deals!$AG$2:$AG$355,MATCH($C344,Deals!$A$2:$A$355,0))=0,"",INDEX(Deals!$AG$2:$AG$355,MATCH($C344,Deals!$A$2:$A$355,0))),""))</f>
        <v/>
      </c>
      <c r="AI344" s="35">
        <f>IF($AH344="",DATE(1900,1,1),$AF344)</f>
        <v/>
      </c>
      <c r="AJ344" s="35">
        <f>IF($AH344="",DATE(2100,12,31),$AH344)</f>
        <v/>
      </c>
      <c r="AK344" s="32">
        <f>IF($AH344="",$AC344,$AC344*$S344)</f>
        <v/>
      </c>
      <c r="AL344" s="35">
        <f>IF($AH344="",DATE(2100,12,31),$AH344+1)</f>
        <v/>
      </c>
      <c r="AM344" s="35">
        <f>IF($AH344="",DATE(1900,1,1),$AG344)</f>
        <v/>
      </c>
      <c r="AN344" s="32">
        <f>IF($AH344="",0,$AC344*$T344)</f>
        <v/>
      </c>
    </row>
    <row r="345">
      <c r="A345" s="28" t="inlineStr">
        <is>
          <t>George</t>
        </is>
      </c>
      <c r="B345" s="16">
        <f>IF($A345="","",IFERROR(INDEX(Roster!$B$2:$B$40,MATCH($A345,Roster!$A$2:$A$40,0)),"?"))</f>
        <v/>
      </c>
      <c r="C345" s="28" t="inlineStr">
        <is>
          <t>Voltaire_1</t>
        </is>
      </c>
      <c r="D345" s="16">
        <f>IF($C345="","",IFERROR(IF(INDEX(Deals!$C$2:$C$355,MATCH($C345,Deals!$A$2:$A$355,0))=0,"",INDEX(Deals!$C$2:$C$355,MATCH($C345,Deals!$A$2:$A$355,0))),"?"))</f>
        <v/>
      </c>
      <c r="E345" s="16">
        <f>IF($C345="","",IFERROR(INDEX(Deals!$F$2:$F$355,MATCH($C345,Deals!$A$2:$A$355,0)),"?"))</f>
        <v/>
      </c>
      <c r="F345" s="28" t="inlineStr">
        <is>
          <t>VP</t>
        </is>
      </c>
      <c r="G345" s="28" t="inlineStr">
        <is>
          <t>Active</t>
        </is>
      </c>
      <c r="H345" s="31" t="n"/>
      <c r="I345" s="32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1">
        <f>IF($C345="",0,IFERROR(INDEX(Deals!$H$2:$H$355,MATCH($C345,Deals!$A$2:$A$355,0)),0))</f>
        <v/>
      </c>
      <c r="K345" s="32">
        <f>IF(Settings!$B$4="Yes",$I345*$J345,$I345)</f>
        <v/>
      </c>
      <c r="L345" s="22">
        <f>IF($C345="","",IFERROR(IF(INDEX(Deals!$I$2:$I$355,MATCH($C345,Deals!$A$2:$A$355,0))=0,"",INDEX(Deals!$I$2:$I$355,MATCH($C345,Deals!$A$2:$A$355,0))),""))</f>
        <v/>
      </c>
      <c r="M345" s="22">
        <f>IF($C345="","",IFERROR(IF(INDEX(Deals!$J$2:$J$355,MATCH($C345,Deals!$A$2:$A$355,0))=0,"",INDEX(Deals!$J$2:$J$355,MATCH($C345,Deals!$A$2:$A$355,0))),""))</f>
        <v/>
      </c>
      <c r="N345" s="35">
        <f>IF($L345="",DATE(1900,1,1),$L345)</f>
        <v/>
      </c>
      <c r="O345" s="35">
        <f>IF($M345="",DATE(2100,12,31),$M345)</f>
        <v/>
      </c>
      <c r="P345" s="20" t="inlineStr">
        <is>
          <t>Ongoing</t>
        </is>
      </c>
      <c r="Q345" s="43" t="inlineStr"/>
      <c r="R345" s="16">
        <f>IF($C345="","",IFERROR(IF(INDEX(Deals!$U$2:$U$355,MATCH($C345,Deals!$A$2:$A$355,0))=0,"",INDEX(Deals!$U$2:$U$355,MATCH($C345,Deals!$A$2:$A$355,0))),""))</f>
        <v/>
      </c>
      <c r="S345" s="34">
        <f>IFERROR(IF($U345="",1,INDEX(Deals!$V$2:$V$355,MATCH($C345,Deals!$A$2:$A$355,0))),1)</f>
        <v/>
      </c>
      <c r="T345" s="34">
        <f>IFERROR(IF($U345="",1,INDEX(Deals!$W$2:$W$355,MATCH($C345,Deals!$A$2:$A$355,0))),1)</f>
        <v/>
      </c>
      <c r="U345" s="22">
        <f>IF($C345="","",IFERROR(IF(INDEX(Deals!$Y$2:$Y$355,MATCH($C345,Deals!$A$2:$A$355,0))=0,"",INDEX(Deals!$Y$2:$Y$355,MATCH($C345,Deals!$A$2:$A$355,0))),""))</f>
        <v/>
      </c>
      <c r="V345" s="35">
        <f>IF($U345="",DATE(1900,1,1),$N345)</f>
        <v/>
      </c>
      <c r="W345" s="35">
        <f>IF($U345="",DATE(2100,12,31),$U345)</f>
        <v/>
      </c>
      <c r="X345" s="32">
        <f>IF($U345="",$K345,$K345*$S345)</f>
        <v/>
      </c>
      <c r="Y345" s="35">
        <f>IF($U345="",DATE(2100,12,31),$U345+1)</f>
        <v/>
      </c>
      <c r="Z345" s="35">
        <f>IF($U345="",DATE(1900,1,1),$O345)</f>
        <v/>
      </c>
      <c r="AA345" s="32">
        <f>IF($U345="",0,$K345*$T345)</f>
        <v/>
      </c>
      <c r="AB345" s="21">
        <f>IF($C345="",0,IFERROR(INDEX(Deals!$AD$2:$AD$355,MATCH($C345,Deals!$A$2:$A$355,0)),0))</f>
        <v/>
      </c>
      <c r="AC345" s="32">
        <f>IF(Settings!$B$4="Yes",$I345*$AB345,$I345)</f>
        <v/>
      </c>
      <c r="AD345" s="22">
        <f>IF($C345="","",IFERROR(IF(INDEX(Deals!$AE$2:$AE$355,MATCH($C345,Deals!$A$2:$A$355,0))=0,"",INDEX(Deals!$AE$2:$AE$355,MATCH($C345,Deals!$A$2:$A$355,0))),""))</f>
        <v/>
      </c>
      <c r="AE345" s="22">
        <f>IF($C345="","",IFERROR(IF(INDEX(Deals!$AF$2:$AF$355,MATCH($C345,Deals!$A$2:$A$355,0))=0,"",INDEX(Deals!$AF$2:$AF$355,MATCH($C345,Deals!$A$2:$A$355,0))),""))</f>
        <v/>
      </c>
      <c r="AF345" s="35">
        <f>IF($AD345="",DATE(1900,1,1),$AD345)</f>
        <v/>
      </c>
      <c r="AG345" s="35">
        <f>IF($AE345="",DATE(2100,12,31),$AE345)</f>
        <v/>
      </c>
      <c r="AH345" s="22">
        <f>IF($C345="","",IFERROR(IF(INDEX(Deals!$AG$2:$AG$355,MATCH($C345,Deals!$A$2:$A$355,0))=0,"",INDEX(Deals!$AG$2:$AG$355,MATCH($C345,Deals!$A$2:$A$355,0))),""))</f>
        <v/>
      </c>
      <c r="AI345" s="35">
        <f>IF($AH345="",DATE(1900,1,1),$AF345)</f>
        <v/>
      </c>
      <c r="AJ345" s="35">
        <f>IF($AH345="",DATE(2100,12,31),$AH345)</f>
        <v/>
      </c>
      <c r="AK345" s="32">
        <f>IF($AH345="",$AC345,$AC345*$S345)</f>
        <v/>
      </c>
      <c r="AL345" s="35">
        <f>IF($AH345="",DATE(2100,12,31),$AH345+1)</f>
        <v/>
      </c>
      <c r="AM345" s="35">
        <f>IF($AH345="",DATE(1900,1,1),$AG345)</f>
        <v/>
      </c>
      <c r="AN345" s="32">
        <f>IF($AH345="",0,$AC345*$T345)</f>
        <v/>
      </c>
    </row>
    <row r="346">
      <c r="A346" s="28" t="inlineStr">
        <is>
          <t>George</t>
        </is>
      </c>
      <c r="B346" s="16">
        <f>IF($A346="","",IFERROR(INDEX(Roster!$B$2:$B$40,MATCH($A346,Roster!$A$2:$A$40,0)),"?"))</f>
        <v/>
      </c>
      <c r="C346" s="28" t="inlineStr">
        <is>
          <t>Zora_1</t>
        </is>
      </c>
      <c r="D346" s="16">
        <f>IF($C346="","",IFERROR(IF(INDEX(Deals!$C$2:$C$355,MATCH($C346,Deals!$A$2:$A$355,0))=0,"",INDEX(Deals!$C$2:$C$355,MATCH($C346,Deals!$A$2:$A$355,0))),"?"))</f>
        <v/>
      </c>
      <c r="E346" s="16">
        <f>IF($C346="","",IFERROR(INDEX(Deals!$F$2:$F$355,MATCH($C346,Deals!$A$2:$A$355,0)),"?"))</f>
        <v/>
      </c>
      <c r="F346" s="28" t="inlineStr">
        <is>
          <t>VP</t>
        </is>
      </c>
      <c r="G346" s="28" t="inlineStr">
        <is>
          <t>Inactive</t>
        </is>
      </c>
      <c r="H346" s="31" t="n"/>
      <c r="I346" s="32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1">
        <f>IF($C346="",0,IFERROR(INDEX(Deals!$H$2:$H$355,MATCH($C346,Deals!$A$2:$A$355,0)),0))</f>
        <v/>
      </c>
      <c r="K346" s="32">
        <f>IF(Settings!$B$4="Yes",$I346*$J346,$I346)</f>
        <v/>
      </c>
      <c r="L346" s="22">
        <f>IF($C346="","",IFERROR(IF(INDEX(Deals!$I$2:$I$355,MATCH($C346,Deals!$A$2:$A$355,0))=0,"",INDEX(Deals!$I$2:$I$355,MATCH($C346,Deals!$A$2:$A$355,0))),""))</f>
        <v/>
      </c>
      <c r="M346" s="22">
        <f>IF($C346="","",IFERROR(IF(INDEX(Deals!$J$2:$J$355,MATCH($C346,Deals!$A$2:$A$355,0))=0,"",INDEX(Deals!$J$2:$J$355,MATCH($C346,Deals!$A$2:$A$355,0))),""))</f>
        <v/>
      </c>
      <c r="N346" s="35">
        <f>IF($L346="",DATE(1900,1,1),$L346)</f>
        <v/>
      </c>
      <c r="O346" s="35">
        <f>IF($M346="",DATE(2100,12,31),$M346)</f>
        <v/>
      </c>
      <c r="P346" s="20" t="inlineStr">
        <is>
          <t>Pens Down</t>
        </is>
      </c>
      <c r="Q346" s="43" t="inlineStr"/>
      <c r="R346" s="16">
        <f>IF($C346="","",IFERROR(IF(INDEX(Deals!$U$2:$U$355,MATCH($C346,Deals!$A$2:$A$355,0))=0,"",INDEX(Deals!$U$2:$U$355,MATCH($C346,Deals!$A$2:$A$355,0))),""))</f>
        <v/>
      </c>
      <c r="S346" s="34">
        <f>IFERROR(IF($U346="",1,INDEX(Deals!$V$2:$V$355,MATCH($C346,Deals!$A$2:$A$355,0))),1)</f>
        <v/>
      </c>
      <c r="T346" s="34">
        <f>IFERROR(IF($U346="",1,INDEX(Deals!$W$2:$W$355,MATCH($C346,Deals!$A$2:$A$355,0))),1)</f>
        <v/>
      </c>
      <c r="U346" s="22">
        <f>IF($C346="","",IFERROR(IF(INDEX(Deals!$Y$2:$Y$355,MATCH($C346,Deals!$A$2:$A$355,0))=0,"",INDEX(Deals!$Y$2:$Y$355,MATCH($C346,Deals!$A$2:$A$355,0))),""))</f>
        <v/>
      </c>
      <c r="V346" s="35">
        <f>IF($U346="",DATE(1900,1,1),$N346)</f>
        <v/>
      </c>
      <c r="W346" s="35">
        <f>IF($U346="",DATE(2100,12,31),$U346)</f>
        <v/>
      </c>
      <c r="X346" s="32">
        <f>IF($U346="",$K346,$K346*$S346)</f>
        <v/>
      </c>
      <c r="Y346" s="35">
        <f>IF($U346="",DATE(2100,12,31),$U346+1)</f>
        <v/>
      </c>
      <c r="Z346" s="35">
        <f>IF($U346="",DATE(1900,1,1),$O346)</f>
        <v/>
      </c>
      <c r="AA346" s="32">
        <f>IF($U346="",0,$K346*$T346)</f>
        <v/>
      </c>
      <c r="AB346" s="21">
        <f>IF($C346="",0,IFERROR(INDEX(Deals!$AD$2:$AD$355,MATCH($C346,Deals!$A$2:$A$355,0)),0))</f>
        <v/>
      </c>
      <c r="AC346" s="32">
        <f>IF(Settings!$B$4="Yes",$I346*$AB346,$I346)</f>
        <v/>
      </c>
      <c r="AD346" s="22">
        <f>IF($C346="","",IFERROR(IF(INDEX(Deals!$AE$2:$AE$355,MATCH($C346,Deals!$A$2:$A$355,0))=0,"",INDEX(Deals!$AE$2:$AE$355,MATCH($C346,Deals!$A$2:$A$355,0))),""))</f>
        <v/>
      </c>
      <c r="AE346" s="22">
        <f>IF($C346="","",IFERROR(IF(INDEX(Deals!$AF$2:$AF$355,MATCH($C346,Deals!$A$2:$A$355,0))=0,"",INDEX(Deals!$AF$2:$AF$355,MATCH($C346,Deals!$A$2:$A$355,0))),""))</f>
        <v/>
      </c>
      <c r="AF346" s="35">
        <f>IF($AD346="",DATE(1900,1,1),$AD346)</f>
        <v/>
      </c>
      <c r="AG346" s="35">
        <f>IF($AE346="",DATE(2100,12,31),$AE346)</f>
        <v/>
      </c>
      <c r="AH346" s="22">
        <f>IF($C346="","",IFERROR(IF(INDEX(Deals!$AG$2:$AG$355,MATCH($C346,Deals!$A$2:$A$355,0))=0,"",INDEX(Deals!$AG$2:$AG$355,MATCH($C346,Deals!$A$2:$A$355,0))),""))</f>
        <v/>
      </c>
      <c r="AI346" s="35">
        <f>IF($AH346="",DATE(1900,1,1),$AF346)</f>
        <v/>
      </c>
      <c r="AJ346" s="35">
        <f>IF($AH346="",DATE(2100,12,31),$AH346)</f>
        <v/>
      </c>
      <c r="AK346" s="32">
        <f>IF($AH346="",$AC346,$AC346*$S346)</f>
        <v/>
      </c>
      <c r="AL346" s="35">
        <f>IF($AH346="",DATE(2100,12,31),$AH346+1)</f>
        <v/>
      </c>
      <c r="AM346" s="35">
        <f>IF($AH346="",DATE(1900,1,1),$AG346)</f>
        <v/>
      </c>
      <c r="AN346" s="32">
        <f>IF($AH346="",0,$AC346*$T346)</f>
        <v/>
      </c>
    </row>
    <row r="347">
      <c r="A347" s="28" t="inlineStr">
        <is>
          <t>Spencer</t>
        </is>
      </c>
      <c r="B347" s="16">
        <f>IF($A347="","",IFERROR(INDEX(Roster!$B$2:$B$40,MATCH($A347,Roster!$A$2:$A$40,0)),"?"))</f>
        <v/>
      </c>
      <c r="C347" s="28" t="inlineStr">
        <is>
          <t>Ace_2</t>
        </is>
      </c>
      <c r="D347" s="16">
        <f>IF($C347="","",IFERROR(IF(INDEX(Deals!$C$2:$C$355,MATCH($C347,Deals!$A$2:$A$355,0))=0,"",INDEX(Deals!$C$2:$C$355,MATCH($C347,Deals!$A$2:$A$355,0))),"?"))</f>
        <v/>
      </c>
      <c r="E347" s="16">
        <f>IF($C347="","",IFERROR(INDEX(Deals!$F$2:$F$355,MATCH($C347,Deals!$A$2:$A$355,0)),"?"))</f>
        <v/>
      </c>
      <c r="F347" s="28" t="inlineStr">
        <is>
          <t>VP</t>
        </is>
      </c>
      <c r="G347" s="28" t="inlineStr">
        <is>
          <t>Active</t>
        </is>
      </c>
      <c r="H347" s="31" t="n"/>
      <c r="I347" s="32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1">
        <f>IF($C347="",0,IFERROR(INDEX(Deals!$H$2:$H$355,MATCH($C347,Deals!$A$2:$A$355,0)),0))</f>
        <v/>
      </c>
      <c r="K347" s="32">
        <f>IF(Settings!$B$4="Yes",$I347*$J347,$I347)</f>
        <v/>
      </c>
      <c r="L347" s="22">
        <f>IF($C347="","",IFERROR(IF(INDEX(Deals!$I$2:$I$355,MATCH($C347,Deals!$A$2:$A$355,0))=0,"",INDEX(Deals!$I$2:$I$355,MATCH($C347,Deals!$A$2:$A$355,0))),""))</f>
        <v/>
      </c>
      <c r="M347" s="22">
        <f>IF($C347="","",IFERROR(IF(INDEX(Deals!$J$2:$J$355,MATCH($C347,Deals!$A$2:$A$355,0))=0,"",INDEX(Deals!$J$2:$J$355,MATCH($C347,Deals!$A$2:$A$355,0))),""))</f>
        <v/>
      </c>
      <c r="N347" s="35">
        <f>IF($L347="",DATE(1900,1,1),$L347)</f>
        <v/>
      </c>
      <c r="O347" s="35">
        <f>IF($M347="",DATE(2100,12,31),$M347)</f>
        <v/>
      </c>
      <c r="P347" s="20" t="inlineStr">
        <is>
          <t>Ongoing</t>
        </is>
      </c>
      <c r="Q347" s="43" t="inlineStr"/>
      <c r="R347" s="16">
        <f>IF($C347="","",IFERROR(IF(INDEX(Deals!$U$2:$U$355,MATCH($C347,Deals!$A$2:$A$355,0))=0,"",INDEX(Deals!$U$2:$U$355,MATCH($C347,Deals!$A$2:$A$355,0))),""))</f>
        <v/>
      </c>
      <c r="S347" s="34">
        <f>IFERROR(IF($U347="",1,INDEX(Deals!$V$2:$V$355,MATCH($C347,Deals!$A$2:$A$355,0))),1)</f>
        <v/>
      </c>
      <c r="T347" s="34">
        <f>IFERROR(IF($U347="",1,INDEX(Deals!$W$2:$W$355,MATCH($C347,Deals!$A$2:$A$355,0))),1)</f>
        <v/>
      </c>
      <c r="U347" s="22">
        <f>IF($C347="","",IFERROR(IF(INDEX(Deals!$Y$2:$Y$355,MATCH($C347,Deals!$A$2:$A$355,0))=0,"",INDEX(Deals!$Y$2:$Y$355,MATCH($C347,Deals!$A$2:$A$355,0))),""))</f>
        <v/>
      </c>
      <c r="V347" s="35">
        <f>IF($U347="",DATE(1900,1,1),$N347)</f>
        <v/>
      </c>
      <c r="W347" s="35">
        <f>IF($U347="",DATE(2100,12,31),$U347)</f>
        <v/>
      </c>
      <c r="X347" s="32">
        <f>IF($U347="",$K347,$K347*$S347)</f>
        <v/>
      </c>
      <c r="Y347" s="35">
        <f>IF($U347="",DATE(2100,12,31),$U347+1)</f>
        <v/>
      </c>
      <c r="Z347" s="35">
        <f>IF($U347="",DATE(1900,1,1),$O347)</f>
        <v/>
      </c>
      <c r="AA347" s="32">
        <f>IF($U347="",0,$K347*$T347)</f>
        <v/>
      </c>
      <c r="AB347" s="21">
        <f>IF($C347="",0,IFERROR(INDEX(Deals!$AD$2:$AD$355,MATCH($C347,Deals!$A$2:$A$355,0)),0))</f>
        <v/>
      </c>
      <c r="AC347" s="32">
        <f>IF(Settings!$B$4="Yes",$I347*$AB347,$I347)</f>
        <v/>
      </c>
      <c r="AD347" s="22">
        <f>IF($C347="","",IFERROR(IF(INDEX(Deals!$AE$2:$AE$355,MATCH($C347,Deals!$A$2:$A$355,0))=0,"",INDEX(Deals!$AE$2:$AE$355,MATCH($C347,Deals!$A$2:$A$355,0))),""))</f>
        <v/>
      </c>
      <c r="AE347" s="22">
        <f>IF($C347="","",IFERROR(IF(INDEX(Deals!$AF$2:$AF$355,MATCH($C347,Deals!$A$2:$A$355,0))=0,"",INDEX(Deals!$AF$2:$AF$355,MATCH($C347,Deals!$A$2:$A$355,0))),""))</f>
        <v/>
      </c>
      <c r="AF347" s="35">
        <f>IF($AD347="",DATE(1900,1,1),$AD347)</f>
        <v/>
      </c>
      <c r="AG347" s="35">
        <f>IF($AE347="",DATE(2100,12,31),$AE347)</f>
        <v/>
      </c>
      <c r="AH347" s="22">
        <f>IF($C347="","",IFERROR(IF(INDEX(Deals!$AG$2:$AG$355,MATCH($C347,Deals!$A$2:$A$355,0))=0,"",INDEX(Deals!$AG$2:$AG$355,MATCH($C347,Deals!$A$2:$A$355,0))),""))</f>
        <v/>
      </c>
      <c r="AI347" s="35">
        <f>IF($AH347="",DATE(1900,1,1),$AF347)</f>
        <v/>
      </c>
      <c r="AJ347" s="35">
        <f>IF($AH347="",DATE(2100,12,31),$AH347)</f>
        <v/>
      </c>
      <c r="AK347" s="32">
        <f>IF($AH347="",$AC347,$AC347*$S347)</f>
        <v/>
      </c>
      <c r="AL347" s="35">
        <f>IF($AH347="",DATE(2100,12,31),$AH347+1)</f>
        <v/>
      </c>
      <c r="AM347" s="35">
        <f>IF($AH347="",DATE(1900,1,1),$AG347)</f>
        <v/>
      </c>
      <c r="AN347" s="32">
        <f>IF($AH347="",0,$AC347*$T347)</f>
        <v/>
      </c>
    </row>
    <row r="348">
      <c r="A348" s="28" t="inlineStr">
        <is>
          <t>Spencer</t>
        </is>
      </c>
      <c r="B348" s="16">
        <f>IF($A348="","",IFERROR(INDEX(Roster!$B$2:$B$40,MATCH($A348,Roster!$A$2:$A$40,0)),"?"))</f>
        <v/>
      </c>
      <c r="C348" s="28" t="inlineStr">
        <is>
          <t>Blue_6</t>
        </is>
      </c>
      <c r="D348" s="16">
        <f>IF($C348="","",IFERROR(IF(INDEX(Deals!$C$2:$C$355,MATCH($C348,Deals!$A$2:$A$355,0))=0,"",INDEX(Deals!$C$2:$C$355,MATCH($C348,Deals!$A$2:$A$355,0))),"?"))</f>
        <v/>
      </c>
      <c r="E348" s="16">
        <f>IF($C348="","",IFERROR(INDEX(Deals!$F$2:$F$355,MATCH($C348,Deals!$A$2:$A$355,0)),"?"))</f>
        <v/>
      </c>
      <c r="F348" s="28" t="inlineStr">
        <is>
          <t>VP</t>
        </is>
      </c>
      <c r="G348" s="28" t="inlineStr">
        <is>
          <t>Active</t>
        </is>
      </c>
      <c r="H348" s="31" t="n"/>
      <c r="I348" s="32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1">
        <f>IF($C348="",0,IFERROR(INDEX(Deals!$H$2:$H$355,MATCH($C348,Deals!$A$2:$A$355,0)),0))</f>
        <v/>
      </c>
      <c r="K348" s="32">
        <f>IF(Settings!$B$4="Yes",$I348*$J348,$I348)</f>
        <v/>
      </c>
      <c r="L348" s="22">
        <f>IF($C348="","",IFERROR(IF(INDEX(Deals!$I$2:$I$355,MATCH($C348,Deals!$A$2:$A$355,0))=0,"",INDEX(Deals!$I$2:$I$355,MATCH($C348,Deals!$A$2:$A$355,0))),""))</f>
        <v/>
      </c>
      <c r="M348" s="22">
        <f>IF($C348="","",IFERROR(IF(INDEX(Deals!$J$2:$J$355,MATCH($C348,Deals!$A$2:$A$355,0))=0,"",INDEX(Deals!$J$2:$J$355,MATCH($C348,Deals!$A$2:$A$355,0))),""))</f>
        <v/>
      </c>
      <c r="N348" s="35">
        <f>IF($L348="",DATE(1900,1,1),$L348)</f>
        <v/>
      </c>
      <c r="O348" s="35">
        <f>IF($M348="",DATE(2100,12,31),$M348)</f>
        <v/>
      </c>
      <c r="P348" s="20" t="inlineStr">
        <is>
          <t>Ongoing</t>
        </is>
      </c>
      <c r="Q348" s="43" t="inlineStr"/>
      <c r="R348" s="16">
        <f>IF($C348="","",IFERROR(IF(INDEX(Deals!$U$2:$U$355,MATCH($C348,Deals!$A$2:$A$355,0))=0,"",INDEX(Deals!$U$2:$U$355,MATCH($C348,Deals!$A$2:$A$355,0))),""))</f>
        <v/>
      </c>
      <c r="S348" s="34">
        <f>IFERROR(IF($U348="",1,INDEX(Deals!$V$2:$V$355,MATCH($C348,Deals!$A$2:$A$355,0))),1)</f>
        <v/>
      </c>
      <c r="T348" s="34">
        <f>IFERROR(IF($U348="",1,INDEX(Deals!$W$2:$W$355,MATCH($C348,Deals!$A$2:$A$355,0))),1)</f>
        <v/>
      </c>
      <c r="U348" s="22">
        <f>IF($C348="","",IFERROR(IF(INDEX(Deals!$Y$2:$Y$355,MATCH($C348,Deals!$A$2:$A$355,0))=0,"",INDEX(Deals!$Y$2:$Y$355,MATCH($C348,Deals!$A$2:$A$355,0))),""))</f>
        <v/>
      </c>
      <c r="V348" s="35">
        <f>IF($U348="",DATE(1900,1,1),$N348)</f>
        <v/>
      </c>
      <c r="W348" s="35">
        <f>IF($U348="",DATE(2100,12,31),$U348)</f>
        <v/>
      </c>
      <c r="X348" s="32">
        <f>IF($U348="",$K348,$K348*$S348)</f>
        <v/>
      </c>
      <c r="Y348" s="35">
        <f>IF($U348="",DATE(2100,12,31),$U348+1)</f>
        <v/>
      </c>
      <c r="Z348" s="35">
        <f>IF($U348="",DATE(1900,1,1),$O348)</f>
        <v/>
      </c>
      <c r="AA348" s="32">
        <f>IF($U348="",0,$K348*$T348)</f>
        <v/>
      </c>
      <c r="AB348" s="21">
        <f>IF($C348="",0,IFERROR(INDEX(Deals!$AD$2:$AD$355,MATCH($C348,Deals!$A$2:$A$355,0)),0))</f>
        <v/>
      </c>
      <c r="AC348" s="32">
        <f>IF(Settings!$B$4="Yes",$I348*$AB348,$I348)</f>
        <v/>
      </c>
      <c r="AD348" s="22">
        <f>IF($C348="","",IFERROR(IF(INDEX(Deals!$AE$2:$AE$355,MATCH($C348,Deals!$A$2:$A$355,0))=0,"",INDEX(Deals!$AE$2:$AE$355,MATCH($C348,Deals!$A$2:$A$355,0))),""))</f>
        <v/>
      </c>
      <c r="AE348" s="22">
        <f>IF($C348="","",IFERROR(IF(INDEX(Deals!$AF$2:$AF$355,MATCH($C348,Deals!$A$2:$A$355,0))=0,"",INDEX(Deals!$AF$2:$AF$355,MATCH($C348,Deals!$A$2:$A$355,0))),""))</f>
        <v/>
      </c>
      <c r="AF348" s="35">
        <f>IF($AD348="",DATE(1900,1,1),$AD348)</f>
        <v/>
      </c>
      <c r="AG348" s="35">
        <f>IF($AE348="",DATE(2100,12,31),$AE348)</f>
        <v/>
      </c>
      <c r="AH348" s="22">
        <f>IF($C348="","",IFERROR(IF(INDEX(Deals!$AG$2:$AG$355,MATCH($C348,Deals!$A$2:$A$355,0))=0,"",INDEX(Deals!$AG$2:$AG$355,MATCH($C348,Deals!$A$2:$A$355,0))),""))</f>
        <v/>
      </c>
      <c r="AI348" s="35">
        <f>IF($AH348="",DATE(1900,1,1),$AF348)</f>
        <v/>
      </c>
      <c r="AJ348" s="35">
        <f>IF($AH348="",DATE(2100,12,31),$AH348)</f>
        <v/>
      </c>
      <c r="AK348" s="32">
        <f>IF($AH348="",$AC348,$AC348*$S348)</f>
        <v/>
      </c>
      <c r="AL348" s="35">
        <f>IF($AH348="",DATE(2100,12,31),$AH348+1)</f>
        <v/>
      </c>
      <c r="AM348" s="35">
        <f>IF($AH348="",DATE(1900,1,1),$AG348)</f>
        <v/>
      </c>
      <c r="AN348" s="32">
        <f>IF($AH348="",0,$AC348*$T348)</f>
        <v/>
      </c>
    </row>
    <row r="349">
      <c r="A349" s="28" t="inlineStr">
        <is>
          <t>Spencer</t>
        </is>
      </c>
      <c r="B349" s="16">
        <f>IF($A349="","",IFERROR(INDEX(Roster!$B$2:$B$40,MATCH($A349,Roster!$A$2:$A$40,0)),"?"))</f>
        <v/>
      </c>
      <c r="C349" s="28" t="inlineStr">
        <is>
          <t>Care_1</t>
        </is>
      </c>
      <c r="D349" s="16">
        <f>IF($C349="","",IFERROR(IF(INDEX(Deals!$C$2:$C$355,MATCH($C349,Deals!$A$2:$A$355,0))=0,"",INDEX(Deals!$C$2:$C$355,MATCH($C349,Deals!$A$2:$A$355,0))),"?"))</f>
        <v/>
      </c>
      <c r="E349" s="16">
        <f>IF($C349="","",IFERROR(INDEX(Deals!$F$2:$F$355,MATCH($C349,Deals!$A$2:$A$355,0)),"?"))</f>
        <v/>
      </c>
      <c r="F349" s="28" t="inlineStr">
        <is>
          <t>VP</t>
        </is>
      </c>
      <c r="G349" s="28" t="inlineStr">
        <is>
          <t>Inactive</t>
        </is>
      </c>
      <c r="H349" s="31" t="n"/>
      <c r="I349" s="32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1">
        <f>IF($C349="",0,IFERROR(INDEX(Deals!$H$2:$H$355,MATCH($C349,Deals!$A$2:$A$355,0)),0))</f>
        <v/>
      </c>
      <c r="K349" s="32">
        <f>IF(Settings!$B$4="Yes",$I349*$J349,$I349)</f>
        <v/>
      </c>
      <c r="L349" s="22">
        <f>IF($C349="","",IFERROR(IF(INDEX(Deals!$I$2:$I$355,MATCH($C349,Deals!$A$2:$A$355,0))=0,"",INDEX(Deals!$I$2:$I$355,MATCH($C349,Deals!$A$2:$A$355,0))),""))</f>
        <v/>
      </c>
      <c r="M349" s="22">
        <f>IF($C349="","",IFERROR(IF(INDEX(Deals!$J$2:$J$355,MATCH($C349,Deals!$A$2:$A$355,0))=0,"",INDEX(Deals!$J$2:$J$355,MATCH($C349,Deals!$A$2:$A$355,0))),""))</f>
        <v/>
      </c>
      <c r="N349" s="35">
        <f>IF($L349="",DATE(1900,1,1),$L349)</f>
        <v/>
      </c>
      <c r="O349" s="35">
        <f>IF($M349="",DATE(2100,12,31),$M349)</f>
        <v/>
      </c>
      <c r="P349" s="20" t="inlineStr">
        <is>
          <t>On pause</t>
        </is>
      </c>
      <c r="Q349" s="43" t="inlineStr"/>
      <c r="R349" s="16">
        <f>IF($C349="","",IFERROR(IF(INDEX(Deals!$U$2:$U$355,MATCH($C349,Deals!$A$2:$A$355,0))=0,"",INDEX(Deals!$U$2:$U$355,MATCH($C349,Deals!$A$2:$A$355,0))),""))</f>
        <v/>
      </c>
      <c r="S349" s="34">
        <f>IFERROR(IF($U349="",1,INDEX(Deals!$V$2:$V$355,MATCH($C349,Deals!$A$2:$A$355,0))),1)</f>
        <v/>
      </c>
      <c r="T349" s="34">
        <f>IFERROR(IF($U349="",1,INDEX(Deals!$W$2:$W$355,MATCH($C349,Deals!$A$2:$A$355,0))),1)</f>
        <v/>
      </c>
      <c r="U349" s="22">
        <f>IF($C349="","",IFERROR(IF(INDEX(Deals!$Y$2:$Y$355,MATCH($C349,Deals!$A$2:$A$355,0))=0,"",INDEX(Deals!$Y$2:$Y$355,MATCH($C349,Deals!$A$2:$A$355,0))),""))</f>
        <v/>
      </c>
      <c r="V349" s="35">
        <f>IF($U349="",DATE(1900,1,1),$N349)</f>
        <v/>
      </c>
      <c r="W349" s="35">
        <f>IF($U349="",DATE(2100,12,31),$U349)</f>
        <v/>
      </c>
      <c r="X349" s="32">
        <f>IF($U349="",$K349,$K349*$S349)</f>
        <v/>
      </c>
      <c r="Y349" s="35">
        <f>IF($U349="",DATE(2100,12,31),$U349+1)</f>
        <v/>
      </c>
      <c r="Z349" s="35">
        <f>IF($U349="",DATE(1900,1,1),$O349)</f>
        <v/>
      </c>
      <c r="AA349" s="32">
        <f>IF($U349="",0,$K349*$T349)</f>
        <v/>
      </c>
      <c r="AB349" s="21">
        <f>IF($C349="",0,IFERROR(INDEX(Deals!$AD$2:$AD$355,MATCH($C349,Deals!$A$2:$A$355,0)),0))</f>
        <v/>
      </c>
      <c r="AC349" s="32">
        <f>IF(Settings!$B$4="Yes",$I349*$AB349,$I349)</f>
        <v/>
      </c>
      <c r="AD349" s="22">
        <f>IF($C349="","",IFERROR(IF(INDEX(Deals!$AE$2:$AE$355,MATCH($C349,Deals!$A$2:$A$355,0))=0,"",INDEX(Deals!$AE$2:$AE$355,MATCH($C349,Deals!$A$2:$A$355,0))),""))</f>
        <v/>
      </c>
      <c r="AE349" s="22">
        <f>IF($C349="","",IFERROR(IF(INDEX(Deals!$AF$2:$AF$355,MATCH($C349,Deals!$A$2:$A$355,0))=0,"",INDEX(Deals!$AF$2:$AF$355,MATCH($C349,Deals!$A$2:$A$355,0))),""))</f>
        <v/>
      </c>
      <c r="AF349" s="35">
        <f>IF($AD349="",DATE(1900,1,1),$AD349)</f>
        <v/>
      </c>
      <c r="AG349" s="35">
        <f>IF($AE349="",DATE(2100,12,31),$AE349)</f>
        <v/>
      </c>
      <c r="AH349" s="22">
        <f>IF($C349="","",IFERROR(IF(INDEX(Deals!$AG$2:$AG$355,MATCH($C349,Deals!$A$2:$A$355,0))=0,"",INDEX(Deals!$AG$2:$AG$355,MATCH($C349,Deals!$A$2:$A$355,0))),""))</f>
        <v/>
      </c>
      <c r="AI349" s="35">
        <f>IF($AH349="",DATE(1900,1,1),$AF349)</f>
        <v/>
      </c>
      <c r="AJ349" s="35">
        <f>IF($AH349="",DATE(2100,12,31),$AH349)</f>
        <v/>
      </c>
      <c r="AK349" s="32">
        <f>IF($AH349="",$AC349,$AC349*$S349)</f>
        <v/>
      </c>
      <c r="AL349" s="35">
        <f>IF($AH349="",DATE(2100,12,31),$AH349+1)</f>
        <v/>
      </c>
      <c r="AM349" s="35">
        <f>IF($AH349="",DATE(1900,1,1),$AG349)</f>
        <v/>
      </c>
      <c r="AN349" s="32">
        <f>IF($AH349="",0,$AC349*$T349)</f>
        <v/>
      </c>
    </row>
    <row r="350">
      <c r="A350" s="28" t="inlineStr">
        <is>
          <t>Spencer</t>
        </is>
      </c>
      <c r="B350" s="16">
        <f>IF($A350="","",IFERROR(INDEX(Roster!$B$2:$B$40,MATCH($A350,Roster!$A$2:$A$40,0)),"?"))</f>
        <v/>
      </c>
      <c r="C350" s="28" t="inlineStr">
        <is>
          <t>Craft_1</t>
        </is>
      </c>
      <c r="D350" s="16">
        <f>IF($C350="","",IFERROR(IF(INDEX(Deals!$C$2:$C$355,MATCH($C350,Deals!$A$2:$A$355,0))=0,"",INDEX(Deals!$C$2:$C$355,MATCH($C350,Deals!$A$2:$A$355,0))),"?"))</f>
        <v/>
      </c>
      <c r="E350" s="16">
        <f>IF($C350="","",IFERROR(INDEX(Deals!$F$2:$F$355,MATCH($C350,Deals!$A$2:$A$355,0)),"?"))</f>
        <v/>
      </c>
      <c r="F350" s="28" t="inlineStr">
        <is>
          <t>VP</t>
        </is>
      </c>
      <c r="G350" s="28" t="inlineStr">
        <is>
          <t>Active</t>
        </is>
      </c>
      <c r="H350" s="31" t="n"/>
      <c r="I350" s="32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1">
        <f>IF($C350="",0,IFERROR(INDEX(Deals!$H$2:$H$355,MATCH($C350,Deals!$A$2:$A$355,0)),0))</f>
        <v/>
      </c>
      <c r="K350" s="32">
        <f>IF(Settings!$B$4="Yes",$I350*$J350,$I350)</f>
        <v/>
      </c>
      <c r="L350" s="22">
        <f>IF($C350="","",IFERROR(IF(INDEX(Deals!$I$2:$I$355,MATCH($C350,Deals!$A$2:$A$355,0))=0,"",INDEX(Deals!$I$2:$I$355,MATCH($C350,Deals!$A$2:$A$355,0))),""))</f>
        <v/>
      </c>
      <c r="M350" s="22">
        <f>IF($C350="","",IFERROR(IF(INDEX(Deals!$J$2:$J$355,MATCH($C350,Deals!$A$2:$A$355,0))=0,"",INDEX(Deals!$J$2:$J$355,MATCH($C350,Deals!$A$2:$A$355,0))),""))</f>
        <v/>
      </c>
      <c r="N350" s="35">
        <f>IF($L350="",DATE(1900,1,1),$L350)</f>
        <v/>
      </c>
      <c r="O350" s="35">
        <f>IF($M350="",DATE(2100,12,31),$M350)</f>
        <v/>
      </c>
      <c r="P350" s="20" t="inlineStr">
        <is>
          <t>Proposal</t>
        </is>
      </c>
      <c r="Q350" s="43" t="inlineStr"/>
      <c r="R350" s="16">
        <f>IF($C350="","",IFERROR(IF(INDEX(Deals!$U$2:$U$355,MATCH($C350,Deals!$A$2:$A$355,0))=0,"",INDEX(Deals!$U$2:$U$355,MATCH($C350,Deals!$A$2:$A$355,0))),""))</f>
        <v/>
      </c>
      <c r="S350" s="34">
        <f>IFERROR(IF($U350="",1,INDEX(Deals!$V$2:$V$355,MATCH($C350,Deals!$A$2:$A$355,0))),1)</f>
        <v/>
      </c>
      <c r="T350" s="34">
        <f>IFERROR(IF($U350="",1,INDEX(Deals!$W$2:$W$355,MATCH($C350,Deals!$A$2:$A$355,0))),1)</f>
        <v/>
      </c>
      <c r="U350" s="22">
        <f>IF($C350="","",IFERROR(IF(INDEX(Deals!$Y$2:$Y$355,MATCH($C350,Deals!$A$2:$A$355,0))=0,"",INDEX(Deals!$Y$2:$Y$355,MATCH($C350,Deals!$A$2:$A$355,0))),""))</f>
        <v/>
      </c>
      <c r="V350" s="35">
        <f>IF($U350="",DATE(1900,1,1),$N350)</f>
        <v/>
      </c>
      <c r="W350" s="35">
        <f>IF($U350="",DATE(2100,12,31),$U350)</f>
        <v/>
      </c>
      <c r="X350" s="32">
        <f>IF($U350="",$K350,$K350*$S350)</f>
        <v/>
      </c>
      <c r="Y350" s="35">
        <f>IF($U350="",DATE(2100,12,31),$U350+1)</f>
        <v/>
      </c>
      <c r="Z350" s="35">
        <f>IF($U350="",DATE(1900,1,1),$O350)</f>
        <v/>
      </c>
      <c r="AA350" s="32">
        <f>IF($U350="",0,$K350*$T350)</f>
        <v/>
      </c>
      <c r="AB350" s="21">
        <f>IF($C350="",0,IFERROR(INDEX(Deals!$AD$2:$AD$355,MATCH($C350,Deals!$A$2:$A$355,0)),0))</f>
        <v/>
      </c>
      <c r="AC350" s="32">
        <f>IF(Settings!$B$4="Yes",$I350*$AB350,$I350)</f>
        <v/>
      </c>
      <c r="AD350" s="22">
        <f>IF($C350="","",IFERROR(IF(INDEX(Deals!$AE$2:$AE$355,MATCH($C350,Deals!$A$2:$A$355,0))=0,"",INDEX(Deals!$AE$2:$AE$355,MATCH($C350,Deals!$A$2:$A$355,0))),""))</f>
        <v/>
      </c>
      <c r="AE350" s="22">
        <f>IF($C350="","",IFERROR(IF(INDEX(Deals!$AF$2:$AF$355,MATCH($C350,Deals!$A$2:$A$355,0))=0,"",INDEX(Deals!$AF$2:$AF$355,MATCH($C350,Deals!$A$2:$A$355,0))),""))</f>
        <v/>
      </c>
      <c r="AF350" s="35">
        <f>IF($AD350="",DATE(1900,1,1),$AD350)</f>
        <v/>
      </c>
      <c r="AG350" s="35">
        <f>IF($AE350="",DATE(2100,12,31),$AE350)</f>
        <v/>
      </c>
      <c r="AH350" s="22">
        <f>IF($C350="","",IFERROR(IF(INDEX(Deals!$AG$2:$AG$355,MATCH($C350,Deals!$A$2:$A$355,0))=0,"",INDEX(Deals!$AG$2:$AG$355,MATCH($C350,Deals!$A$2:$A$355,0))),""))</f>
        <v/>
      </c>
      <c r="AI350" s="35">
        <f>IF($AH350="",DATE(1900,1,1),$AF350)</f>
        <v/>
      </c>
      <c r="AJ350" s="35">
        <f>IF($AH350="",DATE(2100,12,31),$AH350)</f>
        <v/>
      </c>
      <c r="AK350" s="32">
        <f>IF($AH350="",$AC350,$AC350*$S350)</f>
        <v/>
      </c>
      <c r="AL350" s="35">
        <f>IF($AH350="",DATE(2100,12,31),$AH350+1)</f>
        <v/>
      </c>
      <c r="AM350" s="35">
        <f>IF($AH350="",DATE(1900,1,1),$AG350)</f>
        <v/>
      </c>
      <c r="AN350" s="32">
        <f>IF($AH350="",0,$AC350*$T350)</f>
        <v/>
      </c>
    </row>
    <row r="351">
      <c r="A351" s="28" t="inlineStr">
        <is>
          <t>Spencer</t>
        </is>
      </c>
      <c r="B351" s="16">
        <f>IF($A351="","",IFERROR(INDEX(Roster!$B$2:$B$40,MATCH($A351,Roster!$A$2:$A$40,0)),"?"))</f>
        <v/>
      </c>
      <c r="C351" s="28" t="inlineStr">
        <is>
          <t>Diploma_1</t>
        </is>
      </c>
      <c r="D351" s="16">
        <f>IF($C351="","",IFERROR(IF(INDEX(Deals!$C$2:$C$355,MATCH($C351,Deals!$A$2:$A$355,0))=0,"",INDEX(Deals!$C$2:$C$355,MATCH($C351,Deals!$A$2:$A$355,0))),"?"))</f>
        <v/>
      </c>
      <c r="E351" s="16">
        <f>IF($C351="","",IFERROR(INDEX(Deals!$F$2:$F$355,MATCH($C351,Deals!$A$2:$A$355,0)),"?"))</f>
        <v/>
      </c>
      <c r="F351" s="28" t="inlineStr">
        <is>
          <t>VP</t>
        </is>
      </c>
      <c r="G351" s="28" t="inlineStr">
        <is>
          <t>Inactive</t>
        </is>
      </c>
      <c r="H351" s="31" t="n"/>
      <c r="I351" s="32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1">
        <f>IF($C351="",0,IFERROR(INDEX(Deals!$H$2:$H$355,MATCH($C351,Deals!$A$2:$A$355,0)),0))</f>
        <v/>
      </c>
      <c r="K351" s="32">
        <f>IF(Settings!$B$4="Yes",$I351*$J351,$I351)</f>
        <v/>
      </c>
      <c r="L351" s="22">
        <f>IF($C351="","",IFERROR(IF(INDEX(Deals!$I$2:$I$355,MATCH($C351,Deals!$A$2:$A$355,0))=0,"",INDEX(Deals!$I$2:$I$355,MATCH($C351,Deals!$A$2:$A$355,0))),""))</f>
        <v/>
      </c>
      <c r="M351" s="22">
        <f>IF($C351="","",IFERROR(IF(INDEX(Deals!$J$2:$J$355,MATCH($C351,Deals!$A$2:$A$355,0))=0,"",INDEX(Deals!$J$2:$J$355,MATCH($C351,Deals!$A$2:$A$355,0))),""))</f>
        <v/>
      </c>
      <c r="N351" s="35">
        <f>IF($L351="",DATE(1900,1,1),$L351)</f>
        <v/>
      </c>
      <c r="O351" s="35">
        <f>IF($M351="",DATE(2100,12,31),$M351)</f>
        <v/>
      </c>
      <c r="P351" s="20" t="inlineStr">
        <is>
          <t>On pause</t>
        </is>
      </c>
      <c r="Q351" s="43" t="inlineStr"/>
      <c r="R351" s="16">
        <f>IF($C351="","",IFERROR(IF(INDEX(Deals!$U$2:$U$355,MATCH($C351,Deals!$A$2:$A$355,0))=0,"",INDEX(Deals!$U$2:$U$355,MATCH($C351,Deals!$A$2:$A$355,0))),""))</f>
        <v/>
      </c>
      <c r="S351" s="34">
        <f>IFERROR(IF($U351="",1,INDEX(Deals!$V$2:$V$355,MATCH($C351,Deals!$A$2:$A$355,0))),1)</f>
        <v/>
      </c>
      <c r="T351" s="34">
        <f>IFERROR(IF($U351="",1,INDEX(Deals!$W$2:$W$355,MATCH($C351,Deals!$A$2:$A$355,0))),1)</f>
        <v/>
      </c>
      <c r="U351" s="22">
        <f>IF($C351="","",IFERROR(IF(INDEX(Deals!$Y$2:$Y$355,MATCH($C351,Deals!$A$2:$A$355,0))=0,"",INDEX(Deals!$Y$2:$Y$355,MATCH($C351,Deals!$A$2:$A$355,0))),""))</f>
        <v/>
      </c>
      <c r="V351" s="35">
        <f>IF($U351="",DATE(1900,1,1),$N351)</f>
        <v/>
      </c>
      <c r="W351" s="35">
        <f>IF($U351="",DATE(2100,12,31),$U351)</f>
        <v/>
      </c>
      <c r="X351" s="32">
        <f>IF($U351="",$K351,$K351*$S351)</f>
        <v/>
      </c>
      <c r="Y351" s="35">
        <f>IF($U351="",DATE(2100,12,31),$U351+1)</f>
        <v/>
      </c>
      <c r="Z351" s="35">
        <f>IF($U351="",DATE(1900,1,1),$O351)</f>
        <v/>
      </c>
      <c r="AA351" s="32">
        <f>IF($U351="",0,$K351*$T351)</f>
        <v/>
      </c>
      <c r="AB351" s="21">
        <f>IF($C351="",0,IFERROR(INDEX(Deals!$AD$2:$AD$355,MATCH($C351,Deals!$A$2:$A$355,0)),0))</f>
        <v/>
      </c>
      <c r="AC351" s="32">
        <f>IF(Settings!$B$4="Yes",$I351*$AB351,$I351)</f>
        <v/>
      </c>
      <c r="AD351" s="22">
        <f>IF($C351="","",IFERROR(IF(INDEX(Deals!$AE$2:$AE$355,MATCH($C351,Deals!$A$2:$A$355,0))=0,"",INDEX(Deals!$AE$2:$AE$355,MATCH($C351,Deals!$A$2:$A$355,0))),""))</f>
        <v/>
      </c>
      <c r="AE351" s="22">
        <f>IF($C351="","",IFERROR(IF(INDEX(Deals!$AF$2:$AF$355,MATCH($C351,Deals!$A$2:$A$355,0))=0,"",INDEX(Deals!$AF$2:$AF$355,MATCH($C351,Deals!$A$2:$A$355,0))),""))</f>
        <v/>
      </c>
      <c r="AF351" s="35">
        <f>IF($AD351="",DATE(1900,1,1),$AD351)</f>
        <v/>
      </c>
      <c r="AG351" s="35">
        <f>IF($AE351="",DATE(2100,12,31),$AE351)</f>
        <v/>
      </c>
      <c r="AH351" s="22">
        <f>IF($C351="","",IFERROR(IF(INDEX(Deals!$AG$2:$AG$355,MATCH($C351,Deals!$A$2:$A$355,0))=0,"",INDEX(Deals!$AG$2:$AG$355,MATCH($C351,Deals!$A$2:$A$355,0))),""))</f>
        <v/>
      </c>
      <c r="AI351" s="35">
        <f>IF($AH351="",DATE(1900,1,1),$AF351)</f>
        <v/>
      </c>
      <c r="AJ351" s="35">
        <f>IF($AH351="",DATE(2100,12,31),$AH351)</f>
        <v/>
      </c>
      <c r="AK351" s="32">
        <f>IF($AH351="",$AC351,$AC351*$S351)</f>
        <v/>
      </c>
      <c r="AL351" s="35">
        <f>IF($AH351="",DATE(2100,12,31),$AH351+1)</f>
        <v/>
      </c>
      <c r="AM351" s="35">
        <f>IF($AH351="",DATE(1900,1,1),$AG351)</f>
        <v/>
      </c>
      <c r="AN351" s="32">
        <f>IF($AH351="",0,$AC351*$T351)</f>
        <v/>
      </c>
    </row>
    <row r="352">
      <c r="A352" s="28" t="inlineStr">
        <is>
          <t>Spencer</t>
        </is>
      </c>
      <c r="B352" s="16">
        <f>IF($A352="","",IFERROR(INDEX(Roster!$B$2:$B$40,MATCH($A352,Roster!$A$2:$A$40,0)),"?"))</f>
        <v/>
      </c>
      <c r="C352" s="28" t="inlineStr">
        <is>
          <t>Emerald_6</t>
        </is>
      </c>
      <c r="D352" s="16">
        <f>IF($C352="","",IFERROR(IF(INDEX(Deals!$C$2:$C$355,MATCH($C352,Deals!$A$2:$A$355,0))=0,"",INDEX(Deals!$C$2:$C$355,MATCH($C352,Deals!$A$2:$A$355,0))),"?"))</f>
        <v/>
      </c>
      <c r="E352" s="16">
        <f>IF($C352="","",IFERROR(INDEX(Deals!$F$2:$F$355,MATCH($C352,Deals!$A$2:$A$355,0)),"?"))</f>
        <v/>
      </c>
      <c r="F352" s="28" t="inlineStr">
        <is>
          <t>VP</t>
        </is>
      </c>
      <c r="G352" s="28" t="inlineStr">
        <is>
          <t>Active</t>
        </is>
      </c>
      <c r="H352" s="31" t="n"/>
      <c r="I352" s="32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1">
        <f>IF($C352="",0,IFERROR(INDEX(Deals!$H$2:$H$355,MATCH($C352,Deals!$A$2:$A$355,0)),0))</f>
        <v/>
      </c>
      <c r="K352" s="32">
        <f>IF(Settings!$B$4="Yes",$I352*$J352,$I352)</f>
        <v/>
      </c>
      <c r="L352" s="22">
        <f>IF($C352="","",IFERROR(IF(INDEX(Deals!$I$2:$I$355,MATCH($C352,Deals!$A$2:$A$355,0))=0,"",INDEX(Deals!$I$2:$I$355,MATCH($C352,Deals!$A$2:$A$355,0))),""))</f>
        <v/>
      </c>
      <c r="M352" s="22">
        <f>IF($C352="","",IFERROR(IF(INDEX(Deals!$J$2:$J$355,MATCH($C352,Deals!$A$2:$A$355,0))=0,"",INDEX(Deals!$J$2:$J$355,MATCH($C352,Deals!$A$2:$A$355,0))),""))</f>
        <v/>
      </c>
      <c r="N352" s="35">
        <f>IF($L352="",DATE(1900,1,1),$L352)</f>
        <v/>
      </c>
      <c r="O352" s="35">
        <f>IF($M352="",DATE(2100,12,31),$M352)</f>
        <v/>
      </c>
      <c r="P352" s="20" t="inlineStr">
        <is>
          <t>Ongoing</t>
        </is>
      </c>
      <c r="Q352" s="43" t="inlineStr"/>
      <c r="R352" s="16">
        <f>IF($C352="","",IFERROR(IF(INDEX(Deals!$U$2:$U$355,MATCH($C352,Deals!$A$2:$A$355,0))=0,"",INDEX(Deals!$U$2:$U$355,MATCH($C352,Deals!$A$2:$A$355,0))),""))</f>
        <v/>
      </c>
      <c r="S352" s="34">
        <f>IFERROR(IF($U352="",1,INDEX(Deals!$V$2:$V$355,MATCH($C352,Deals!$A$2:$A$355,0))),1)</f>
        <v/>
      </c>
      <c r="T352" s="34">
        <f>IFERROR(IF($U352="",1,INDEX(Deals!$W$2:$W$355,MATCH($C352,Deals!$A$2:$A$355,0))),1)</f>
        <v/>
      </c>
      <c r="U352" s="22">
        <f>IF($C352="","",IFERROR(IF(INDEX(Deals!$Y$2:$Y$355,MATCH($C352,Deals!$A$2:$A$355,0))=0,"",INDEX(Deals!$Y$2:$Y$355,MATCH($C352,Deals!$A$2:$A$355,0))),""))</f>
        <v/>
      </c>
      <c r="V352" s="35">
        <f>IF($U352="",DATE(1900,1,1),$N352)</f>
        <v/>
      </c>
      <c r="W352" s="35">
        <f>IF($U352="",DATE(2100,12,31),$U352)</f>
        <v/>
      </c>
      <c r="X352" s="32">
        <f>IF($U352="",$K352,$K352*$S352)</f>
        <v/>
      </c>
      <c r="Y352" s="35">
        <f>IF($U352="",DATE(2100,12,31),$U352+1)</f>
        <v/>
      </c>
      <c r="Z352" s="35">
        <f>IF($U352="",DATE(1900,1,1),$O352)</f>
        <v/>
      </c>
      <c r="AA352" s="32">
        <f>IF($U352="",0,$K352*$T352)</f>
        <v/>
      </c>
      <c r="AB352" s="21">
        <f>IF($C352="",0,IFERROR(INDEX(Deals!$AD$2:$AD$355,MATCH($C352,Deals!$A$2:$A$355,0)),0))</f>
        <v/>
      </c>
      <c r="AC352" s="32">
        <f>IF(Settings!$B$4="Yes",$I352*$AB352,$I352)</f>
        <v/>
      </c>
      <c r="AD352" s="22">
        <f>IF($C352="","",IFERROR(IF(INDEX(Deals!$AE$2:$AE$355,MATCH($C352,Deals!$A$2:$A$355,0))=0,"",INDEX(Deals!$AE$2:$AE$355,MATCH($C352,Deals!$A$2:$A$355,0))),""))</f>
        <v/>
      </c>
      <c r="AE352" s="22">
        <f>IF($C352="","",IFERROR(IF(INDEX(Deals!$AF$2:$AF$355,MATCH($C352,Deals!$A$2:$A$355,0))=0,"",INDEX(Deals!$AF$2:$AF$355,MATCH($C352,Deals!$A$2:$A$355,0))),""))</f>
        <v/>
      </c>
      <c r="AF352" s="35">
        <f>IF($AD352="",DATE(1900,1,1),$AD352)</f>
        <v/>
      </c>
      <c r="AG352" s="35">
        <f>IF($AE352="",DATE(2100,12,31),$AE352)</f>
        <v/>
      </c>
      <c r="AH352" s="22">
        <f>IF($C352="","",IFERROR(IF(INDEX(Deals!$AG$2:$AG$355,MATCH($C352,Deals!$A$2:$A$355,0))=0,"",INDEX(Deals!$AG$2:$AG$355,MATCH($C352,Deals!$A$2:$A$355,0))),""))</f>
        <v/>
      </c>
      <c r="AI352" s="35">
        <f>IF($AH352="",DATE(1900,1,1),$AF352)</f>
        <v/>
      </c>
      <c r="AJ352" s="35">
        <f>IF($AH352="",DATE(2100,12,31),$AH352)</f>
        <v/>
      </c>
      <c r="AK352" s="32">
        <f>IF($AH352="",$AC352,$AC352*$S352)</f>
        <v/>
      </c>
      <c r="AL352" s="35">
        <f>IF($AH352="",DATE(2100,12,31),$AH352+1)</f>
        <v/>
      </c>
      <c r="AM352" s="35">
        <f>IF($AH352="",DATE(1900,1,1),$AG352)</f>
        <v/>
      </c>
      <c r="AN352" s="32">
        <f>IF($AH352="",0,$AC352*$T352)</f>
        <v/>
      </c>
    </row>
    <row r="353">
      <c r="A353" s="28" t="inlineStr">
        <is>
          <t>Spencer</t>
        </is>
      </c>
      <c r="B353" s="16">
        <f>IF($A353="","",IFERROR(INDEX(Roster!$B$2:$B$40,MATCH($A353,Roster!$A$2:$A$40,0)),"?"))</f>
        <v/>
      </c>
      <c r="C353" s="28" t="inlineStr">
        <is>
          <t>Galaxy_1</t>
        </is>
      </c>
      <c r="D353" s="16">
        <f>IF($C353="","",IFERROR(IF(INDEX(Deals!$C$2:$C$355,MATCH($C353,Deals!$A$2:$A$355,0))=0,"",INDEX(Deals!$C$2:$C$355,MATCH($C353,Deals!$A$2:$A$355,0))),"?"))</f>
        <v/>
      </c>
      <c r="E353" s="16">
        <f>IF($C353="","",IFERROR(INDEX(Deals!$F$2:$F$355,MATCH($C353,Deals!$A$2:$A$355,0)),"?"))</f>
        <v/>
      </c>
      <c r="F353" s="28" t="inlineStr">
        <is>
          <t>VP</t>
        </is>
      </c>
      <c r="G353" s="28" t="inlineStr">
        <is>
          <t>Inactive</t>
        </is>
      </c>
      <c r="H353" s="31" t="n"/>
      <c r="I353" s="32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1">
        <f>IF($C353="",0,IFERROR(INDEX(Deals!$H$2:$H$355,MATCH($C353,Deals!$A$2:$A$355,0)),0))</f>
        <v/>
      </c>
      <c r="K353" s="32">
        <f>IF(Settings!$B$4="Yes",$I353*$J353,$I353)</f>
        <v/>
      </c>
      <c r="L353" s="22">
        <f>IF($C353="","",IFERROR(IF(INDEX(Deals!$I$2:$I$355,MATCH($C353,Deals!$A$2:$A$355,0))=0,"",INDEX(Deals!$I$2:$I$355,MATCH($C353,Deals!$A$2:$A$355,0))),""))</f>
        <v/>
      </c>
      <c r="M353" s="22">
        <f>IF($C353="","",IFERROR(IF(INDEX(Deals!$J$2:$J$355,MATCH($C353,Deals!$A$2:$A$355,0))=0,"",INDEX(Deals!$J$2:$J$355,MATCH($C353,Deals!$A$2:$A$355,0))),""))</f>
        <v/>
      </c>
      <c r="N353" s="35">
        <f>IF($L353="",DATE(1900,1,1),$L353)</f>
        <v/>
      </c>
      <c r="O353" s="35">
        <f>IF($M353="",DATE(2100,12,31),$M353)</f>
        <v/>
      </c>
      <c r="P353" s="20" t="inlineStr">
        <is>
          <t>On pause</t>
        </is>
      </c>
      <c r="Q353" s="43" t="inlineStr"/>
      <c r="R353" s="16">
        <f>IF($C353="","",IFERROR(IF(INDEX(Deals!$U$2:$U$355,MATCH($C353,Deals!$A$2:$A$355,0))=0,"",INDEX(Deals!$U$2:$U$355,MATCH($C353,Deals!$A$2:$A$355,0))),""))</f>
        <v/>
      </c>
      <c r="S353" s="34">
        <f>IFERROR(IF($U353="",1,INDEX(Deals!$V$2:$V$355,MATCH($C353,Deals!$A$2:$A$355,0))),1)</f>
        <v/>
      </c>
      <c r="T353" s="34">
        <f>IFERROR(IF($U353="",1,INDEX(Deals!$W$2:$W$355,MATCH($C353,Deals!$A$2:$A$355,0))),1)</f>
        <v/>
      </c>
      <c r="U353" s="22">
        <f>IF($C353="","",IFERROR(IF(INDEX(Deals!$Y$2:$Y$355,MATCH($C353,Deals!$A$2:$A$355,0))=0,"",INDEX(Deals!$Y$2:$Y$355,MATCH($C353,Deals!$A$2:$A$355,0))),""))</f>
        <v/>
      </c>
      <c r="V353" s="35">
        <f>IF($U353="",DATE(1900,1,1),$N353)</f>
        <v/>
      </c>
      <c r="W353" s="35">
        <f>IF($U353="",DATE(2100,12,31),$U353)</f>
        <v/>
      </c>
      <c r="X353" s="32">
        <f>IF($U353="",$K353,$K353*$S353)</f>
        <v/>
      </c>
      <c r="Y353" s="35">
        <f>IF($U353="",DATE(2100,12,31),$U353+1)</f>
        <v/>
      </c>
      <c r="Z353" s="35">
        <f>IF($U353="",DATE(1900,1,1),$O353)</f>
        <v/>
      </c>
      <c r="AA353" s="32">
        <f>IF($U353="",0,$K353*$T353)</f>
        <v/>
      </c>
      <c r="AB353" s="21">
        <f>IF($C353="",0,IFERROR(INDEX(Deals!$AD$2:$AD$355,MATCH($C353,Deals!$A$2:$A$355,0)),0))</f>
        <v/>
      </c>
      <c r="AC353" s="32">
        <f>IF(Settings!$B$4="Yes",$I353*$AB353,$I353)</f>
        <v/>
      </c>
      <c r="AD353" s="22">
        <f>IF($C353="","",IFERROR(IF(INDEX(Deals!$AE$2:$AE$355,MATCH($C353,Deals!$A$2:$A$355,0))=0,"",INDEX(Deals!$AE$2:$AE$355,MATCH($C353,Deals!$A$2:$A$355,0))),""))</f>
        <v/>
      </c>
      <c r="AE353" s="22">
        <f>IF($C353="","",IFERROR(IF(INDEX(Deals!$AF$2:$AF$355,MATCH($C353,Deals!$A$2:$A$355,0))=0,"",INDEX(Deals!$AF$2:$AF$355,MATCH($C353,Deals!$A$2:$A$355,0))),""))</f>
        <v/>
      </c>
      <c r="AF353" s="35">
        <f>IF($AD353="",DATE(1900,1,1),$AD353)</f>
        <v/>
      </c>
      <c r="AG353" s="35">
        <f>IF($AE353="",DATE(2100,12,31),$AE353)</f>
        <v/>
      </c>
      <c r="AH353" s="22">
        <f>IF($C353="","",IFERROR(IF(INDEX(Deals!$AG$2:$AG$355,MATCH($C353,Deals!$A$2:$A$355,0))=0,"",INDEX(Deals!$AG$2:$AG$355,MATCH($C353,Deals!$A$2:$A$355,0))),""))</f>
        <v/>
      </c>
      <c r="AI353" s="35">
        <f>IF($AH353="",DATE(1900,1,1),$AF353)</f>
        <v/>
      </c>
      <c r="AJ353" s="35">
        <f>IF($AH353="",DATE(2100,12,31),$AH353)</f>
        <v/>
      </c>
      <c r="AK353" s="32">
        <f>IF($AH353="",$AC353,$AC353*$S353)</f>
        <v/>
      </c>
      <c r="AL353" s="35">
        <f>IF($AH353="",DATE(2100,12,31),$AH353+1)</f>
        <v/>
      </c>
      <c r="AM353" s="35">
        <f>IF($AH353="",DATE(1900,1,1),$AG353)</f>
        <v/>
      </c>
      <c r="AN353" s="32">
        <f>IF($AH353="",0,$AC353*$T353)</f>
        <v/>
      </c>
    </row>
    <row r="354">
      <c r="A354" s="28" t="inlineStr">
        <is>
          <t>Spencer</t>
        </is>
      </c>
      <c r="B354" s="16">
        <f>IF($A354="","",IFERROR(INDEX(Roster!$B$2:$B$40,MATCH($A354,Roster!$A$2:$A$40,0)),"?"))</f>
        <v/>
      </c>
      <c r="C354" s="28" t="inlineStr">
        <is>
          <t>Geneseo_1</t>
        </is>
      </c>
      <c r="D354" s="16">
        <f>IF($C354="","",IFERROR(IF(INDEX(Deals!$C$2:$C$355,MATCH($C354,Deals!$A$2:$A$355,0))=0,"",INDEX(Deals!$C$2:$C$355,MATCH($C354,Deals!$A$2:$A$355,0))),"?"))</f>
        <v/>
      </c>
      <c r="E354" s="16">
        <f>IF($C354="","",IFERROR(INDEX(Deals!$F$2:$F$355,MATCH($C354,Deals!$A$2:$A$355,0)),"?"))</f>
        <v/>
      </c>
      <c r="F354" s="28" t="inlineStr">
        <is>
          <t>VP</t>
        </is>
      </c>
      <c r="G354" s="28" t="inlineStr">
        <is>
          <t>Active</t>
        </is>
      </c>
      <c r="H354" s="31" t="n"/>
      <c r="I354" s="32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1">
        <f>IF($C354="",0,IFERROR(INDEX(Deals!$H$2:$H$355,MATCH($C354,Deals!$A$2:$A$355,0)),0))</f>
        <v/>
      </c>
      <c r="K354" s="32">
        <f>IF(Settings!$B$4="Yes",$I354*$J354,$I354)</f>
        <v/>
      </c>
      <c r="L354" s="22">
        <f>IF($C354="","",IFERROR(IF(INDEX(Deals!$I$2:$I$355,MATCH($C354,Deals!$A$2:$A$355,0))=0,"",INDEX(Deals!$I$2:$I$355,MATCH($C354,Deals!$A$2:$A$355,0))),""))</f>
        <v/>
      </c>
      <c r="M354" s="22">
        <f>IF($C354="","",IFERROR(IF(INDEX(Deals!$J$2:$J$355,MATCH($C354,Deals!$A$2:$A$355,0))=0,"",INDEX(Deals!$J$2:$J$355,MATCH($C354,Deals!$A$2:$A$355,0))),""))</f>
        <v/>
      </c>
      <c r="N354" s="35">
        <f>IF($L354="",DATE(1900,1,1),$L354)</f>
        <v/>
      </c>
      <c r="O354" s="35">
        <f>IF($M354="",DATE(2100,12,31),$M354)</f>
        <v/>
      </c>
      <c r="P354" s="20" t="inlineStr">
        <is>
          <t>Ongoing</t>
        </is>
      </c>
      <c r="Q354" s="43" t="inlineStr"/>
      <c r="R354" s="16">
        <f>IF($C354="","",IFERROR(IF(INDEX(Deals!$U$2:$U$355,MATCH($C354,Deals!$A$2:$A$355,0))=0,"",INDEX(Deals!$U$2:$U$355,MATCH($C354,Deals!$A$2:$A$355,0))),""))</f>
        <v/>
      </c>
      <c r="S354" s="34">
        <f>IFERROR(IF($U354="",1,INDEX(Deals!$V$2:$V$355,MATCH($C354,Deals!$A$2:$A$355,0))),1)</f>
        <v/>
      </c>
      <c r="T354" s="34">
        <f>IFERROR(IF($U354="",1,INDEX(Deals!$W$2:$W$355,MATCH($C354,Deals!$A$2:$A$355,0))),1)</f>
        <v/>
      </c>
      <c r="U354" s="22">
        <f>IF($C354="","",IFERROR(IF(INDEX(Deals!$Y$2:$Y$355,MATCH($C354,Deals!$A$2:$A$355,0))=0,"",INDEX(Deals!$Y$2:$Y$355,MATCH($C354,Deals!$A$2:$A$355,0))),""))</f>
        <v/>
      </c>
      <c r="V354" s="35">
        <f>IF($U354="",DATE(1900,1,1),$N354)</f>
        <v/>
      </c>
      <c r="W354" s="35">
        <f>IF($U354="",DATE(2100,12,31),$U354)</f>
        <v/>
      </c>
      <c r="X354" s="32">
        <f>IF($U354="",$K354,$K354*$S354)</f>
        <v/>
      </c>
      <c r="Y354" s="35">
        <f>IF($U354="",DATE(2100,12,31),$U354+1)</f>
        <v/>
      </c>
      <c r="Z354" s="35">
        <f>IF($U354="",DATE(1900,1,1),$O354)</f>
        <v/>
      </c>
      <c r="AA354" s="32">
        <f>IF($U354="",0,$K354*$T354)</f>
        <v/>
      </c>
      <c r="AB354" s="21">
        <f>IF($C354="",0,IFERROR(INDEX(Deals!$AD$2:$AD$355,MATCH($C354,Deals!$A$2:$A$355,0)),0))</f>
        <v/>
      </c>
      <c r="AC354" s="32">
        <f>IF(Settings!$B$4="Yes",$I354*$AB354,$I354)</f>
        <v/>
      </c>
      <c r="AD354" s="22">
        <f>IF($C354="","",IFERROR(IF(INDEX(Deals!$AE$2:$AE$355,MATCH($C354,Deals!$A$2:$A$355,0))=0,"",INDEX(Deals!$AE$2:$AE$355,MATCH($C354,Deals!$A$2:$A$355,0))),""))</f>
        <v/>
      </c>
      <c r="AE354" s="22">
        <f>IF($C354="","",IFERROR(IF(INDEX(Deals!$AF$2:$AF$355,MATCH($C354,Deals!$A$2:$A$355,0))=0,"",INDEX(Deals!$AF$2:$AF$355,MATCH($C354,Deals!$A$2:$A$355,0))),""))</f>
        <v/>
      </c>
      <c r="AF354" s="35">
        <f>IF($AD354="",DATE(1900,1,1),$AD354)</f>
        <v/>
      </c>
      <c r="AG354" s="35">
        <f>IF($AE354="",DATE(2100,12,31),$AE354)</f>
        <v/>
      </c>
      <c r="AH354" s="22">
        <f>IF($C354="","",IFERROR(IF(INDEX(Deals!$AG$2:$AG$355,MATCH($C354,Deals!$A$2:$A$355,0))=0,"",INDEX(Deals!$AG$2:$AG$355,MATCH($C354,Deals!$A$2:$A$355,0))),""))</f>
        <v/>
      </c>
      <c r="AI354" s="35">
        <f>IF($AH354="",DATE(1900,1,1),$AF354)</f>
        <v/>
      </c>
      <c r="AJ354" s="35">
        <f>IF($AH354="",DATE(2100,12,31),$AH354)</f>
        <v/>
      </c>
      <c r="AK354" s="32">
        <f>IF($AH354="",$AC354,$AC354*$S354)</f>
        <v/>
      </c>
      <c r="AL354" s="35">
        <f>IF($AH354="",DATE(2100,12,31),$AH354+1)</f>
        <v/>
      </c>
      <c r="AM354" s="35">
        <f>IF($AH354="",DATE(1900,1,1),$AG354)</f>
        <v/>
      </c>
      <c r="AN354" s="32">
        <f>IF($AH354="",0,$AC354*$T354)</f>
        <v/>
      </c>
    </row>
    <row r="355">
      <c r="A355" s="28" t="inlineStr">
        <is>
          <t>Spencer</t>
        </is>
      </c>
      <c r="B355" s="16">
        <f>IF($A355="","",IFERROR(INDEX(Roster!$B$2:$B$40,MATCH($A355,Roster!$A$2:$A$40,0)),"?"))</f>
        <v/>
      </c>
      <c r="C355" s="28" t="inlineStr">
        <is>
          <t>Helios_2</t>
        </is>
      </c>
      <c r="D355" s="16">
        <f>IF($C355="","",IFERROR(IF(INDEX(Deals!$C$2:$C$355,MATCH($C355,Deals!$A$2:$A$355,0))=0,"",INDEX(Deals!$C$2:$C$355,MATCH($C355,Deals!$A$2:$A$355,0))),"?"))</f>
        <v/>
      </c>
      <c r="E355" s="16">
        <f>IF($C355="","",IFERROR(INDEX(Deals!$F$2:$F$355,MATCH($C355,Deals!$A$2:$A$355,0)),"?"))</f>
        <v/>
      </c>
      <c r="F355" s="28" t="inlineStr">
        <is>
          <t>VP</t>
        </is>
      </c>
      <c r="G355" s="28" t="inlineStr">
        <is>
          <t>Inactive</t>
        </is>
      </c>
      <c r="H355" s="31" t="n"/>
      <c r="I355" s="32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1">
        <f>IF($C355="",0,IFERROR(INDEX(Deals!$H$2:$H$355,MATCH($C355,Deals!$A$2:$A$355,0)),0))</f>
        <v/>
      </c>
      <c r="K355" s="32">
        <f>IF(Settings!$B$4="Yes",$I355*$J355,$I355)</f>
        <v/>
      </c>
      <c r="L355" s="22">
        <f>IF($C355="","",IFERROR(IF(INDEX(Deals!$I$2:$I$355,MATCH($C355,Deals!$A$2:$A$355,0))=0,"",INDEX(Deals!$I$2:$I$355,MATCH($C355,Deals!$A$2:$A$355,0))),""))</f>
        <v/>
      </c>
      <c r="M355" s="22">
        <f>IF($C355="","",IFERROR(IF(INDEX(Deals!$J$2:$J$355,MATCH($C355,Deals!$A$2:$A$355,0))=0,"",INDEX(Deals!$J$2:$J$355,MATCH($C355,Deals!$A$2:$A$355,0))),""))</f>
        <v/>
      </c>
      <c r="N355" s="35">
        <f>IF($L355="",DATE(1900,1,1),$L355)</f>
        <v/>
      </c>
      <c r="O355" s="35">
        <f>IF($M355="",DATE(2100,12,31),$M355)</f>
        <v/>
      </c>
      <c r="P355" s="20" t="inlineStr">
        <is>
          <t>Ongoing but not involved with</t>
        </is>
      </c>
      <c r="Q355" s="43" t="inlineStr"/>
      <c r="R355" s="16">
        <f>IF($C355="","",IFERROR(IF(INDEX(Deals!$U$2:$U$355,MATCH($C355,Deals!$A$2:$A$355,0))=0,"",INDEX(Deals!$U$2:$U$355,MATCH($C355,Deals!$A$2:$A$355,0))),""))</f>
        <v/>
      </c>
      <c r="S355" s="34">
        <f>IFERROR(IF($U355="",1,INDEX(Deals!$V$2:$V$355,MATCH($C355,Deals!$A$2:$A$355,0))),1)</f>
        <v/>
      </c>
      <c r="T355" s="34">
        <f>IFERROR(IF($U355="",1,INDEX(Deals!$W$2:$W$355,MATCH($C355,Deals!$A$2:$A$355,0))),1)</f>
        <v/>
      </c>
      <c r="U355" s="22">
        <f>IF($C355="","",IFERROR(IF(INDEX(Deals!$Y$2:$Y$355,MATCH($C355,Deals!$A$2:$A$355,0))=0,"",INDEX(Deals!$Y$2:$Y$355,MATCH($C355,Deals!$A$2:$A$355,0))),""))</f>
        <v/>
      </c>
      <c r="V355" s="35">
        <f>IF($U355="",DATE(1900,1,1),$N355)</f>
        <v/>
      </c>
      <c r="W355" s="35">
        <f>IF($U355="",DATE(2100,12,31),$U355)</f>
        <v/>
      </c>
      <c r="X355" s="32">
        <f>IF($U355="",$K355,$K355*$S355)</f>
        <v/>
      </c>
      <c r="Y355" s="35">
        <f>IF($U355="",DATE(2100,12,31),$U355+1)</f>
        <v/>
      </c>
      <c r="Z355" s="35">
        <f>IF($U355="",DATE(1900,1,1),$O355)</f>
        <v/>
      </c>
      <c r="AA355" s="32">
        <f>IF($U355="",0,$K355*$T355)</f>
        <v/>
      </c>
      <c r="AB355" s="21">
        <f>IF($C355="",0,IFERROR(INDEX(Deals!$AD$2:$AD$355,MATCH($C355,Deals!$A$2:$A$355,0)),0))</f>
        <v/>
      </c>
      <c r="AC355" s="32">
        <f>IF(Settings!$B$4="Yes",$I355*$AB355,$I355)</f>
        <v/>
      </c>
      <c r="AD355" s="22">
        <f>IF($C355="","",IFERROR(IF(INDEX(Deals!$AE$2:$AE$355,MATCH($C355,Deals!$A$2:$A$355,0))=0,"",INDEX(Deals!$AE$2:$AE$355,MATCH($C355,Deals!$A$2:$A$355,0))),""))</f>
        <v/>
      </c>
      <c r="AE355" s="22">
        <f>IF($C355="","",IFERROR(IF(INDEX(Deals!$AF$2:$AF$355,MATCH($C355,Deals!$A$2:$A$355,0))=0,"",INDEX(Deals!$AF$2:$AF$355,MATCH($C355,Deals!$A$2:$A$355,0))),""))</f>
        <v/>
      </c>
      <c r="AF355" s="35">
        <f>IF($AD355="",DATE(1900,1,1),$AD355)</f>
        <v/>
      </c>
      <c r="AG355" s="35">
        <f>IF($AE355="",DATE(2100,12,31),$AE355)</f>
        <v/>
      </c>
      <c r="AH355" s="22">
        <f>IF($C355="","",IFERROR(IF(INDEX(Deals!$AG$2:$AG$355,MATCH($C355,Deals!$A$2:$A$355,0))=0,"",INDEX(Deals!$AG$2:$AG$355,MATCH($C355,Deals!$A$2:$A$355,0))),""))</f>
        <v/>
      </c>
      <c r="AI355" s="35">
        <f>IF($AH355="",DATE(1900,1,1),$AF355)</f>
        <v/>
      </c>
      <c r="AJ355" s="35">
        <f>IF($AH355="",DATE(2100,12,31),$AH355)</f>
        <v/>
      </c>
      <c r="AK355" s="32">
        <f>IF($AH355="",$AC355,$AC355*$S355)</f>
        <v/>
      </c>
      <c r="AL355" s="35">
        <f>IF($AH355="",DATE(2100,12,31),$AH355+1)</f>
        <v/>
      </c>
      <c r="AM355" s="35">
        <f>IF($AH355="",DATE(1900,1,1),$AG355)</f>
        <v/>
      </c>
      <c r="AN355" s="32">
        <f>IF($AH355="",0,$AC355*$T355)</f>
        <v/>
      </c>
    </row>
    <row r="356">
      <c r="A356" s="28" t="inlineStr">
        <is>
          <t>Spencer</t>
        </is>
      </c>
      <c r="B356" s="16">
        <f>IF($A356="","",IFERROR(INDEX(Roster!$B$2:$B$40,MATCH($A356,Roster!$A$2:$A$40,0)),"?"))</f>
        <v/>
      </c>
      <c r="C356" s="28" t="inlineStr">
        <is>
          <t>Human_1</t>
        </is>
      </c>
      <c r="D356" s="16">
        <f>IF($C356="","",IFERROR(IF(INDEX(Deals!$C$2:$C$355,MATCH($C356,Deals!$A$2:$A$355,0))=0,"",INDEX(Deals!$C$2:$C$355,MATCH($C356,Deals!$A$2:$A$355,0))),"?"))</f>
        <v/>
      </c>
      <c r="E356" s="16">
        <f>IF($C356="","",IFERROR(INDEX(Deals!$F$2:$F$355,MATCH($C356,Deals!$A$2:$A$355,0)),"?"))</f>
        <v/>
      </c>
      <c r="F356" s="28" t="inlineStr">
        <is>
          <t>VP</t>
        </is>
      </c>
      <c r="G356" s="28" t="inlineStr">
        <is>
          <t>Active</t>
        </is>
      </c>
      <c r="H356" s="31" t="n"/>
      <c r="I356" s="32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1">
        <f>IF($C356="",0,IFERROR(INDEX(Deals!$H$2:$H$355,MATCH($C356,Deals!$A$2:$A$355,0)),0))</f>
        <v/>
      </c>
      <c r="K356" s="32">
        <f>IF(Settings!$B$4="Yes",$I356*$J356,$I356)</f>
        <v/>
      </c>
      <c r="L356" s="22">
        <f>IF($C356="","",IFERROR(IF(INDEX(Deals!$I$2:$I$355,MATCH($C356,Deals!$A$2:$A$355,0))=0,"",INDEX(Deals!$I$2:$I$355,MATCH($C356,Deals!$A$2:$A$355,0))),""))</f>
        <v/>
      </c>
      <c r="M356" s="22">
        <f>IF($C356="","",IFERROR(IF(INDEX(Deals!$J$2:$J$355,MATCH($C356,Deals!$A$2:$A$355,0))=0,"",INDEX(Deals!$J$2:$J$355,MATCH($C356,Deals!$A$2:$A$355,0))),""))</f>
        <v/>
      </c>
      <c r="N356" s="35">
        <f>IF($L356="",DATE(1900,1,1),$L356)</f>
        <v/>
      </c>
      <c r="O356" s="35">
        <f>IF($M356="",DATE(2100,12,31),$M356)</f>
        <v/>
      </c>
      <c r="P356" s="20" t="inlineStr">
        <is>
          <t>Ongoing</t>
        </is>
      </c>
      <c r="Q356" s="43" t="inlineStr"/>
      <c r="R356" s="16">
        <f>IF($C356="","",IFERROR(IF(INDEX(Deals!$U$2:$U$355,MATCH($C356,Deals!$A$2:$A$355,0))=0,"",INDEX(Deals!$U$2:$U$355,MATCH($C356,Deals!$A$2:$A$355,0))),""))</f>
        <v/>
      </c>
      <c r="S356" s="34">
        <f>IFERROR(IF($U356="",1,INDEX(Deals!$V$2:$V$355,MATCH($C356,Deals!$A$2:$A$355,0))),1)</f>
        <v/>
      </c>
      <c r="T356" s="34">
        <f>IFERROR(IF($U356="",1,INDEX(Deals!$W$2:$W$355,MATCH($C356,Deals!$A$2:$A$355,0))),1)</f>
        <v/>
      </c>
      <c r="U356" s="22">
        <f>IF($C356="","",IFERROR(IF(INDEX(Deals!$Y$2:$Y$355,MATCH($C356,Deals!$A$2:$A$355,0))=0,"",INDEX(Deals!$Y$2:$Y$355,MATCH($C356,Deals!$A$2:$A$355,0))),""))</f>
        <v/>
      </c>
      <c r="V356" s="35">
        <f>IF($U356="",DATE(1900,1,1),$N356)</f>
        <v/>
      </c>
      <c r="W356" s="35">
        <f>IF($U356="",DATE(2100,12,31),$U356)</f>
        <v/>
      </c>
      <c r="X356" s="32">
        <f>IF($U356="",$K356,$K356*$S356)</f>
        <v/>
      </c>
      <c r="Y356" s="35">
        <f>IF($U356="",DATE(2100,12,31),$U356+1)</f>
        <v/>
      </c>
      <c r="Z356" s="35">
        <f>IF($U356="",DATE(1900,1,1),$O356)</f>
        <v/>
      </c>
      <c r="AA356" s="32">
        <f>IF($U356="",0,$K356*$T356)</f>
        <v/>
      </c>
      <c r="AB356" s="21">
        <f>IF($C356="",0,IFERROR(INDEX(Deals!$AD$2:$AD$355,MATCH($C356,Deals!$A$2:$A$355,0)),0))</f>
        <v/>
      </c>
      <c r="AC356" s="32">
        <f>IF(Settings!$B$4="Yes",$I356*$AB356,$I356)</f>
        <v/>
      </c>
      <c r="AD356" s="22">
        <f>IF($C356="","",IFERROR(IF(INDEX(Deals!$AE$2:$AE$355,MATCH($C356,Deals!$A$2:$A$355,0))=0,"",INDEX(Deals!$AE$2:$AE$355,MATCH($C356,Deals!$A$2:$A$355,0))),""))</f>
        <v/>
      </c>
      <c r="AE356" s="22">
        <f>IF($C356="","",IFERROR(IF(INDEX(Deals!$AF$2:$AF$355,MATCH($C356,Deals!$A$2:$A$355,0))=0,"",INDEX(Deals!$AF$2:$AF$355,MATCH($C356,Deals!$A$2:$A$355,0))),""))</f>
        <v/>
      </c>
      <c r="AF356" s="35">
        <f>IF($AD356="",DATE(1900,1,1),$AD356)</f>
        <v/>
      </c>
      <c r="AG356" s="35">
        <f>IF($AE356="",DATE(2100,12,31),$AE356)</f>
        <v/>
      </c>
      <c r="AH356" s="22">
        <f>IF($C356="","",IFERROR(IF(INDEX(Deals!$AG$2:$AG$355,MATCH($C356,Deals!$A$2:$A$355,0))=0,"",INDEX(Deals!$AG$2:$AG$355,MATCH($C356,Deals!$A$2:$A$355,0))),""))</f>
        <v/>
      </c>
      <c r="AI356" s="35">
        <f>IF($AH356="",DATE(1900,1,1),$AF356)</f>
        <v/>
      </c>
      <c r="AJ356" s="35">
        <f>IF($AH356="",DATE(2100,12,31),$AH356)</f>
        <v/>
      </c>
      <c r="AK356" s="32">
        <f>IF($AH356="",$AC356,$AC356*$S356)</f>
        <v/>
      </c>
      <c r="AL356" s="35">
        <f>IF($AH356="",DATE(2100,12,31),$AH356+1)</f>
        <v/>
      </c>
      <c r="AM356" s="35">
        <f>IF($AH356="",DATE(1900,1,1),$AG356)</f>
        <v/>
      </c>
      <c r="AN356" s="32">
        <f>IF($AH356="",0,$AC356*$T356)</f>
        <v/>
      </c>
    </row>
    <row r="357">
      <c r="A357" s="28" t="inlineStr">
        <is>
          <t>Spencer</t>
        </is>
      </c>
      <c r="B357" s="16">
        <f>IF($A357="","",IFERROR(INDEX(Roster!$B$2:$B$40,MATCH($A357,Roster!$A$2:$A$40,0)),"?"))</f>
        <v/>
      </c>
      <c r="C357" s="28" t="inlineStr">
        <is>
          <t>Lockup</t>
        </is>
      </c>
      <c r="D357" s="16">
        <f>IF($C357="","",IFERROR(IF(INDEX(Deals!$C$2:$C$355,MATCH($C357,Deals!$A$2:$A$355,0))=0,"",INDEX(Deals!$C$2:$C$355,MATCH($C357,Deals!$A$2:$A$355,0))),"?"))</f>
        <v/>
      </c>
      <c r="E357" s="16">
        <f>IF($C357="","",IFERROR(INDEX(Deals!$F$2:$F$355,MATCH($C357,Deals!$A$2:$A$355,0)),"?"))</f>
        <v/>
      </c>
      <c r="F357" s="28" t="inlineStr">
        <is>
          <t>VP</t>
        </is>
      </c>
      <c r="G357" s="28" t="inlineStr">
        <is>
          <t>Active</t>
        </is>
      </c>
      <c r="H357" s="31" t="n"/>
      <c r="I357" s="32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1">
        <f>IF($C357="",0,IFERROR(INDEX(Deals!$H$2:$H$355,MATCH($C357,Deals!$A$2:$A$355,0)),0))</f>
        <v/>
      </c>
      <c r="K357" s="32">
        <f>IF(Settings!$B$4="Yes",$I357*$J357,$I357)</f>
        <v/>
      </c>
      <c r="L357" s="22">
        <f>IF($C357="","",IFERROR(IF(INDEX(Deals!$I$2:$I$355,MATCH($C357,Deals!$A$2:$A$355,0))=0,"",INDEX(Deals!$I$2:$I$355,MATCH($C357,Deals!$A$2:$A$355,0))),""))</f>
        <v/>
      </c>
      <c r="M357" s="22">
        <f>IF($C357="","",IFERROR(IF(INDEX(Deals!$J$2:$J$355,MATCH($C357,Deals!$A$2:$A$355,0))=0,"",INDEX(Deals!$J$2:$J$355,MATCH($C357,Deals!$A$2:$A$355,0))),""))</f>
        <v/>
      </c>
      <c r="N357" s="35">
        <f>IF($L357="",DATE(1900,1,1),$L357)</f>
        <v/>
      </c>
      <c r="O357" s="35">
        <f>IF($M357="",DATE(2100,12,31),$M357)</f>
        <v/>
      </c>
      <c r="P357" s="20" t="inlineStr">
        <is>
          <t>Proposal</t>
        </is>
      </c>
      <c r="Q357" s="43" t="inlineStr">
        <is>
          <t>Added from Summary tab</t>
        </is>
      </c>
      <c r="R357" s="16">
        <f>IF($C357="","",IFERROR(IF(INDEX(Deals!$U$2:$U$355,MATCH($C357,Deals!$A$2:$A$355,0))=0,"",INDEX(Deals!$U$2:$U$355,MATCH($C357,Deals!$A$2:$A$355,0))),""))</f>
        <v/>
      </c>
      <c r="S357" s="34">
        <f>IFERROR(IF($U357="",1,INDEX(Deals!$V$2:$V$355,MATCH($C357,Deals!$A$2:$A$355,0))),1)</f>
        <v/>
      </c>
      <c r="T357" s="34">
        <f>IFERROR(IF($U357="",1,INDEX(Deals!$W$2:$W$355,MATCH($C357,Deals!$A$2:$A$355,0))),1)</f>
        <v/>
      </c>
      <c r="U357" s="22">
        <f>IF($C357="","",IFERROR(IF(INDEX(Deals!$Y$2:$Y$355,MATCH($C357,Deals!$A$2:$A$355,0))=0,"",INDEX(Deals!$Y$2:$Y$355,MATCH($C357,Deals!$A$2:$A$355,0))),""))</f>
        <v/>
      </c>
      <c r="V357" s="35">
        <f>IF($U357="",DATE(1900,1,1),$N357)</f>
        <v/>
      </c>
      <c r="W357" s="35">
        <f>IF($U357="",DATE(2100,12,31),$U357)</f>
        <v/>
      </c>
      <c r="X357" s="32">
        <f>IF($U357="",$K357,$K357*$S357)</f>
        <v/>
      </c>
      <c r="Y357" s="35">
        <f>IF($U357="",DATE(2100,12,31),$U357+1)</f>
        <v/>
      </c>
      <c r="Z357" s="35">
        <f>IF($U357="",DATE(1900,1,1),$O357)</f>
        <v/>
      </c>
      <c r="AA357" s="32">
        <f>IF($U357="",0,$K357*$T357)</f>
        <v/>
      </c>
      <c r="AB357" s="21">
        <f>IF($C357="",0,IFERROR(INDEX(Deals!$AD$2:$AD$355,MATCH($C357,Deals!$A$2:$A$355,0)),0))</f>
        <v/>
      </c>
      <c r="AC357" s="32">
        <f>IF(Settings!$B$4="Yes",$I357*$AB357,$I357)</f>
        <v/>
      </c>
      <c r="AD357" s="22">
        <f>IF($C357="","",IFERROR(IF(INDEX(Deals!$AE$2:$AE$355,MATCH($C357,Deals!$A$2:$A$355,0))=0,"",INDEX(Deals!$AE$2:$AE$355,MATCH($C357,Deals!$A$2:$A$355,0))),""))</f>
        <v/>
      </c>
      <c r="AE357" s="22">
        <f>IF($C357="","",IFERROR(IF(INDEX(Deals!$AF$2:$AF$355,MATCH($C357,Deals!$A$2:$A$355,0))=0,"",INDEX(Deals!$AF$2:$AF$355,MATCH($C357,Deals!$A$2:$A$355,0))),""))</f>
        <v/>
      </c>
      <c r="AF357" s="35">
        <f>IF($AD357="",DATE(1900,1,1),$AD357)</f>
        <v/>
      </c>
      <c r="AG357" s="35">
        <f>IF($AE357="",DATE(2100,12,31),$AE357)</f>
        <v/>
      </c>
      <c r="AH357" s="22">
        <f>IF($C357="","",IFERROR(IF(INDEX(Deals!$AG$2:$AG$355,MATCH($C357,Deals!$A$2:$A$355,0))=0,"",INDEX(Deals!$AG$2:$AG$355,MATCH($C357,Deals!$A$2:$A$355,0))),""))</f>
        <v/>
      </c>
      <c r="AI357" s="35">
        <f>IF($AH357="",DATE(1900,1,1),$AF357)</f>
        <v/>
      </c>
      <c r="AJ357" s="35">
        <f>IF($AH357="",DATE(2100,12,31),$AH357)</f>
        <v/>
      </c>
      <c r="AK357" s="32">
        <f>IF($AH357="",$AC357,$AC357*$S357)</f>
        <v/>
      </c>
      <c r="AL357" s="35">
        <f>IF($AH357="",DATE(2100,12,31),$AH357+1)</f>
        <v/>
      </c>
      <c r="AM357" s="35">
        <f>IF($AH357="",DATE(1900,1,1),$AG357)</f>
        <v/>
      </c>
      <c r="AN357" s="32">
        <f>IF($AH357="",0,$AC357*$T357)</f>
        <v/>
      </c>
    </row>
    <row r="358">
      <c r="A358" s="28" t="inlineStr">
        <is>
          <t>Spencer</t>
        </is>
      </c>
      <c r="B358" s="16">
        <f>IF($A358="","",IFERROR(INDEX(Roster!$B$2:$B$40,MATCH($A358,Roster!$A$2:$A$40,0)),"?"))</f>
        <v/>
      </c>
      <c r="C358" s="28" t="inlineStr">
        <is>
          <t>Lumenad_1</t>
        </is>
      </c>
      <c r="D358" s="16">
        <f>IF($C358="","",IFERROR(IF(INDEX(Deals!$C$2:$C$355,MATCH($C358,Deals!$A$2:$A$355,0))=0,"",INDEX(Deals!$C$2:$C$355,MATCH($C358,Deals!$A$2:$A$355,0))),"?"))</f>
        <v/>
      </c>
      <c r="E358" s="16">
        <f>IF($C358="","",IFERROR(INDEX(Deals!$F$2:$F$355,MATCH($C358,Deals!$A$2:$A$355,0)),"?"))</f>
        <v/>
      </c>
      <c r="F358" s="28" t="inlineStr">
        <is>
          <t>VP</t>
        </is>
      </c>
      <c r="G358" s="28" t="inlineStr">
        <is>
          <t>Active</t>
        </is>
      </c>
      <c r="H358" s="31" t="n"/>
      <c r="I358" s="32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1">
        <f>IF($C358="",0,IFERROR(INDEX(Deals!$H$2:$H$355,MATCH($C358,Deals!$A$2:$A$355,0)),0))</f>
        <v/>
      </c>
      <c r="K358" s="32">
        <f>IF(Settings!$B$4="Yes",$I358*$J358,$I358)</f>
        <v/>
      </c>
      <c r="L358" s="22">
        <f>IF($C358="","",IFERROR(IF(INDEX(Deals!$I$2:$I$355,MATCH($C358,Deals!$A$2:$A$355,0))=0,"",INDEX(Deals!$I$2:$I$355,MATCH($C358,Deals!$A$2:$A$355,0))),""))</f>
        <v/>
      </c>
      <c r="M358" s="22">
        <f>IF($C358="","",IFERROR(IF(INDEX(Deals!$J$2:$J$355,MATCH($C358,Deals!$A$2:$A$355,0))=0,"",INDEX(Deals!$J$2:$J$355,MATCH($C358,Deals!$A$2:$A$355,0))),""))</f>
        <v/>
      </c>
      <c r="N358" s="35">
        <f>IF($L358="",DATE(1900,1,1),$L358)</f>
        <v/>
      </c>
      <c r="O358" s="35">
        <f>IF($M358="",DATE(2100,12,31),$M358)</f>
        <v/>
      </c>
      <c r="P358" s="20" t="inlineStr">
        <is>
          <t>Ongoing</t>
        </is>
      </c>
      <c r="Q358" s="43" t="inlineStr"/>
      <c r="R358" s="16">
        <f>IF($C358="","",IFERROR(IF(INDEX(Deals!$U$2:$U$355,MATCH($C358,Deals!$A$2:$A$355,0))=0,"",INDEX(Deals!$U$2:$U$355,MATCH($C358,Deals!$A$2:$A$355,0))),""))</f>
        <v/>
      </c>
      <c r="S358" s="34">
        <f>IFERROR(IF($U358="",1,INDEX(Deals!$V$2:$V$355,MATCH($C358,Deals!$A$2:$A$355,0))),1)</f>
        <v/>
      </c>
      <c r="T358" s="34">
        <f>IFERROR(IF($U358="",1,INDEX(Deals!$W$2:$W$355,MATCH($C358,Deals!$A$2:$A$355,0))),1)</f>
        <v/>
      </c>
      <c r="U358" s="22">
        <f>IF($C358="","",IFERROR(IF(INDEX(Deals!$Y$2:$Y$355,MATCH($C358,Deals!$A$2:$A$355,0))=0,"",INDEX(Deals!$Y$2:$Y$355,MATCH($C358,Deals!$A$2:$A$355,0))),""))</f>
        <v/>
      </c>
      <c r="V358" s="35">
        <f>IF($U358="",DATE(1900,1,1),$N358)</f>
        <v/>
      </c>
      <c r="W358" s="35">
        <f>IF($U358="",DATE(2100,12,31),$U358)</f>
        <v/>
      </c>
      <c r="X358" s="32">
        <f>IF($U358="",$K358,$K358*$S358)</f>
        <v/>
      </c>
      <c r="Y358" s="35">
        <f>IF($U358="",DATE(2100,12,31),$U358+1)</f>
        <v/>
      </c>
      <c r="Z358" s="35">
        <f>IF($U358="",DATE(1900,1,1),$O358)</f>
        <v/>
      </c>
      <c r="AA358" s="32">
        <f>IF($U358="",0,$K358*$T358)</f>
        <v/>
      </c>
      <c r="AB358" s="21">
        <f>IF($C358="",0,IFERROR(INDEX(Deals!$AD$2:$AD$355,MATCH($C358,Deals!$A$2:$A$355,0)),0))</f>
        <v/>
      </c>
      <c r="AC358" s="32">
        <f>IF(Settings!$B$4="Yes",$I358*$AB358,$I358)</f>
        <v/>
      </c>
      <c r="AD358" s="22">
        <f>IF($C358="","",IFERROR(IF(INDEX(Deals!$AE$2:$AE$355,MATCH($C358,Deals!$A$2:$A$355,0))=0,"",INDEX(Deals!$AE$2:$AE$355,MATCH($C358,Deals!$A$2:$A$355,0))),""))</f>
        <v/>
      </c>
      <c r="AE358" s="22">
        <f>IF($C358="","",IFERROR(IF(INDEX(Deals!$AF$2:$AF$355,MATCH($C358,Deals!$A$2:$A$355,0))=0,"",INDEX(Deals!$AF$2:$AF$355,MATCH($C358,Deals!$A$2:$A$355,0))),""))</f>
        <v/>
      </c>
      <c r="AF358" s="35">
        <f>IF($AD358="",DATE(1900,1,1),$AD358)</f>
        <v/>
      </c>
      <c r="AG358" s="35">
        <f>IF($AE358="",DATE(2100,12,31),$AE358)</f>
        <v/>
      </c>
      <c r="AH358" s="22">
        <f>IF($C358="","",IFERROR(IF(INDEX(Deals!$AG$2:$AG$355,MATCH($C358,Deals!$A$2:$A$355,0))=0,"",INDEX(Deals!$AG$2:$AG$355,MATCH($C358,Deals!$A$2:$A$355,0))),""))</f>
        <v/>
      </c>
      <c r="AI358" s="35">
        <f>IF($AH358="",DATE(1900,1,1),$AF358)</f>
        <v/>
      </c>
      <c r="AJ358" s="35">
        <f>IF($AH358="",DATE(2100,12,31),$AH358)</f>
        <v/>
      </c>
      <c r="AK358" s="32">
        <f>IF($AH358="",$AC358,$AC358*$S358)</f>
        <v/>
      </c>
      <c r="AL358" s="35">
        <f>IF($AH358="",DATE(2100,12,31),$AH358+1)</f>
        <v/>
      </c>
      <c r="AM358" s="35">
        <f>IF($AH358="",DATE(1900,1,1),$AG358)</f>
        <v/>
      </c>
      <c r="AN358" s="32">
        <f>IF($AH358="",0,$AC358*$T358)</f>
        <v/>
      </c>
    </row>
    <row r="359">
      <c r="A359" s="28" t="inlineStr">
        <is>
          <t>Spencer</t>
        </is>
      </c>
      <c r="B359" s="16">
        <f>IF($A359="","",IFERROR(INDEX(Roster!$B$2:$B$40,MATCH($A359,Roster!$A$2:$A$40,0)),"?"))</f>
        <v/>
      </c>
      <c r="C359" s="28" t="inlineStr">
        <is>
          <t>Mont_1</t>
        </is>
      </c>
      <c r="D359" s="16">
        <f>IF($C359="","",IFERROR(IF(INDEX(Deals!$C$2:$C$355,MATCH($C359,Deals!$A$2:$A$355,0))=0,"",INDEX(Deals!$C$2:$C$355,MATCH($C359,Deals!$A$2:$A$355,0))),"?"))</f>
        <v/>
      </c>
      <c r="E359" s="16">
        <f>IF($C359="","",IFERROR(INDEX(Deals!$F$2:$F$355,MATCH($C359,Deals!$A$2:$A$355,0)),"?"))</f>
        <v/>
      </c>
      <c r="F359" s="28" t="inlineStr">
        <is>
          <t>VP</t>
        </is>
      </c>
      <c r="G359" s="28" t="inlineStr">
        <is>
          <t>Inactive</t>
        </is>
      </c>
      <c r="H359" s="31" t="n"/>
      <c r="I359" s="32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1">
        <f>IF($C359="",0,IFERROR(INDEX(Deals!$H$2:$H$355,MATCH($C359,Deals!$A$2:$A$355,0)),0))</f>
        <v/>
      </c>
      <c r="K359" s="32">
        <f>IF(Settings!$B$4="Yes",$I359*$J359,$I359)</f>
        <v/>
      </c>
      <c r="L359" s="22">
        <f>IF($C359="","",IFERROR(IF(INDEX(Deals!$I$2:$I$355,MATCH($C359,Deals!$A$2:$A$355,0))=0,"",INDEX(Deals!$I$2:$I$355,MATCH($C359,Deals!$A$2:$A$355,0))),""))</f>
        <v/>
      </c>
      <c r="M359" s="22">
        <f>IF($C359="","",IFERROR(IF(INDEX(Deals!$J$2:$J$355,MATCH($C359,Deals!$A$2:$A$355,0))=0,"",INDEX(Deals!$J$2:$J$355,MATCH($C359,Deals!$A$2:$A$355,0))),""))</f>
        <v/>
      </c>
      <c r="N359" s="35">
        <f>IF($L359="",DATE(1900,1,1),$L359)</f>
        <v/>
      </c>
      <c r="O359" s="35">
        <f>IF($M359="",DATE(2100,12,31),$M359)</f>
        <v/>
      </c>
      <c r="P359" s="20" t="inlineStr">
        <is>
          <t>Closed</t>
        </is>
      </c>
      <c r="Q359" s="43" t="inlineStr"/>
      <c r="R359" s="16">
        <f>IF($C359="","",IFERROR(IF(INDEX(Deals!$U$2:$U$355,MATCH($C359,Deals!$A$2:$A$355,0))=0,"",INDEX(Deals!$U$2:$U$355,MATCH($C359,Deals!$A$2:$A$355,0))),""))</f>
        <v/>
      </c>
      <c r="S359" s="34">
        <f>IFERROR(IF($U359="",1,INDEX(Deals!$V$2:$V$355,MATCH($C359,Deals!$A$2:$A$355,0))),1)</f>
        <v/>
      </c>
      <c r="T359" s="34">
        <f>IFERROR(IF($U359="",1,INDEX(Deals!$W$2:$W$355,MATCH($C359,Deals!$A$2:$A$355,0))),1)</f>
        <v/>
      </c>
      <c r="U359" s="22">
        <f>IF($C359="","",IFERROR(IF(INDEX(Deals!$Y$2:$Y$355,MATCH($C359,Deals!$A$2:$A$355,0))=0,"",INDEX(Deals!$Y$2:$Y$355,MATCH($C359,Deals!$A$2:$A$355,0))),""))</f>
        <v/>
      </c>
      <c r="V359" s="35">
        <f>IF($U359="",DATE(1900,1,1),$N359)</f>
        <v/>
      </c>
      <c r="W359" s="35">
        <f>IF($U359="",DATE(2100,12,31),$U359)</f>
        <v/>
      </c>
      <c r="X359" s="32">
        <f>IF($U359="",$K359,$K359*$S359)</f>
        <v/>
      </c>
      <c r="Y359" s="35">
        <f>IF($U359="",DATE(2100,12,31),$U359+1)</f>
        <v/>
      </c>
      <c r="Z359" s="35">
        <f>IF($U359="",DATE(1900,1,1),$O359)</f>
        <v/>
      </c>
      <c r="AA359" s="32">
        <f>IF($U359="",0,$K359*$T359)</f>
        <v/>
      </c>
      <c r="AB359" s="21">
        <f>IF($C359="",0,IFERROR(INDEX(Deals!$AD$2:$AD$355,MATCH($C359,Deals!$A$2:$A$355,0)),0))</f>
        <v/>
      </c>
      <c r="AC359" s="32">
        <f>IF(Settings!$B$4="Yes",$I359*$AB359,$I359)</f>
        <v/>
      </c>
      <c r="AD359" s="22">
        <f>IF($C359="","",IFERROR(IF(INDEX(Deals!$AE$2:$AE$355,MATCH($C359,Deals!$A$2:$A$355,0))=0,"",INDEX(Deals!$AE$2:$AE$355,MATCH($C359,Deals!$A$2:$A$355,0))),""))</f>
        <v/>
      </c>
      <c r="AE359" s="22">
        <f>IF($C359="","",IFERROR(IF(INDEX(Deals!$AF$2:$AF$355,MATCH($C359,Deals!$A$2:$A$355,0))=0,"",INDEX(Deals!$AF$2:$AF$355,MATCH($C359,Deals!$A$2:$A$355,0))),""))</f>
        <v/>
      </c>
      <c r="AF359" s="35">
        <f>IF($AD359="",DATE(1900,1,1),$AD359)</f>
        <v/>
      </c>
      <c r="AG359" s="35">
        <f>IF($AE359="",DATE(2100,12,31),$AE359)</f>
        <v/>
      </c>
      <c r="AH359" s="22">
        <f>IF($C359="","",IFERROR(IF(INDEX(Deals!$AG$2:$AG$355,MATCH($C359,Deals!$A$2:$A$355,0))=0,"",INDEX(Deals!$AG$2:$AG$355,MATCH($C359,Deals!$A$2:$A$355,0))),""))</f>
        <v/>
      </c>
      <c r="AI359" s="35">
        <f>IF($AH359="",DATE(1900,1,1),$AF359)</f>
        <v/>
      </c>
      <c r="AJ359" s="35">
        <f>IF($AH359="",DATE(2100,12,31),$AH359)</f>
        <v/>
      </c>
      <c r="AK359" s="32">
        <f>IF($AH359="",$AC359,$AC359*$S359)</f>
        <v/>
      </c>
      <c r="AL359" s="35">
        <f>IF($AH359="",DATE(2100,12,31),$AH359+1)</f>
        <v/>
      </c>
      <c r="AM359" s="35">
        <f>IF($AH359="",DATE(1900,1,1),$AG359)</f>
        <v/>
      </c>
      <c r="AN359" s="32">
        <f>IF($AH359="",0,$AC359*$T359)</f>
        <v/>
      </c>
    </row>
    <row r="360">
      <c r="A360" s="28" t="inlineStr">
        <is>
          <t>Spencer</t>
        </is>
      </c>
      <c r="B360" s="16">
        <f>IF($A360="","",IFERROR(INDEX(Roster!$B$2:$B$40,MATCH($A360,Roster!$A$2:$A$40,0)),"?"))</f>
        <v/>
      </c>
      <c r="C360" s="28" t="inlineStr">
        <is>
          <t>Naples_2</t>
        </is>
      </c>
      <c r="D360" s="16">
        <f>IF($C360="","",IFERROR(IF(INDEX(Deals!$C$2:$C$355,MATCH($C360,Deals!$A$2:$A$355,0))=0,"",INDEX(Deals!$C$2:$C$355,MATCH($C360,Deals!$A$2:$A$355,0))),"?"))</f>
        <v/>
      </c>
      <c r="E360" s="16">
        <f>IF($C360="","",IFERROR(INDEX(Deals!$F$2:$F$355,MATCH($C360,Deals!$A$2:$A$355,0)),"?"))</f>
        <v/>
      </c>
      <c r="F360" s="28" t="inlineStr">
        <is>
          <t>VP</t>
        </is>
      </c>
      <c r="G360" s="28" t="inlineStr">
        <is>
          <t>Inactive</t>
        </is>
      </c>
      <c r="H360" s="31" t="n"/>
      <c r="I360" s="32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1">
        <f>IF($C360="",0,IFERROR(INDEX(Deals!$H$2:$H$355,MATCH($C360,Deals!$A$2:$A$355,0)),0))</f>
        <v/>
      </c>
      <c r="K360" s="32">
        <f>IF(Settings!$B$4="Yes",$I360*$J360,$I360)</f>
        <v/>
      </c>
      <c r="L360" s="22">
        <f>IF($C360="","",IFERROR(IF(INDEX(Deals!$I$2:$I$355,MATCH($C360,Deals!$A$2:$A$355,0))=0,"",INDEX(Deals!$I$2:$I$355,MATCH($C360,Deals!$A$2:$A$355,0))),""))</f>
        <v/>
      </c>
      <c r="M360" s="22">
        <f>IF($C360="","",IFERROR(IF(INDEX(Deals!$J$2:$J$355,MATCH($C360,Deals!$A$2:$A$355,0))=0,"",INDEX(Deals!$J$2:$J$355,MATCH($C360,Deals!$A$2:$A$355,0))),""))</f>
        <v/>
      </c>
      <c r="N360" s="35">
        <f>IF($L360="",DATE(1900,1,1),$L360)</f>
        <v/>
      </c>
      <c r="O360" s="35">
        <f>IF($M360="",DATE(2100,12,31),$M360)</f>
        <v/>
      </c>
      <c r="P360" s="20" t="inlineStr">
        <is>
          <t>Closed</t>
        </is>
      </c>
      <c r="Q360" s="43" t="inlineStr"/>
      <c r="R360" s="16">
        <f>IF($C360="","",IFERROR(IF(INDEX(Deals!$U$2:$U$355,MATCH($C360,Deals!$A$2:$A$355,0))=0,"",INDEX(Deals!$U$2:$U$355,MATCH($C360,Deals!$A$2:$A$355,0))),""))</f>
        <v/>
      </c>
      <c r="S360" s="34">
        <f>IFERROR(IF($U360="",1,INDEX(Deals!$V$2:$V$355,MATCH($C360,Deals!$A$2:$A$355,0))),1)</f>
        <v/>
      </c>
      <c r="T360" s="34">
        <f>IFERROR(IF($U360="",1,INDEX(Deals!$W$2:$W$355,MATCH($C360,Deals!$A$2:$A$355,0))),1)</f>
        <v/>
      </c>
      <c r="U360" s="22">
        <f>IF($C360="","",IFERROR(IF(INDEX(Deals!$Y$2:$Y$355,MATCH($C360,Deals!$A$2:$A$355,0))=0,"",INDEX(Deals!$Y$2:$Y$355,MATCH($C360,Deals!$A$2:$A$355,0))),""))</f>
        <v/>
      </c>
      <c r="V360" s="35">
        <f>IF($U360="",DATE(1900,1,1),$N360)</f>
        <v/>
      </c>
      <c r="W360" s="35">
        <f>IF($U360="",DATE(2100,12,31),$U360)</f>
        <v/>
      </c>
      <c r="X360" s="32">
        <f>IF($U360="",$K360,$K360*$S360)</f>
        <v/>
      </c>
      <c r="Y360" s="35">
        <f>IF($U360="",DATE(2100,12,31),$U360+1)</f>
        <v/>
      </c>
      <c r="Z360" s="35">
        <f>IF($U360="",DATE(1900,1,1),$O360)</f>
        <v/>
      </c>
      <c r="AA360" s="32">
        <f>IF($U360="",0,$K360*$T360)</f>
        <v/>
      </c>
      <c r="AB360" s="21">
        <f>IF($C360="",0,IFERROR(INDEX(Deals!$AD$2:$AD$355,MATCH($C360,Deals!$A$2:$A$355,0)),0))</f>
        <v/>
      </c>
      <c r="AC360" s="32">
        <f>IF(Settings!$B$4="Yes",$I360*$AB360,$I360)</f>
        <v/>
      </c>
      <c r="AD360" s="22">
        <f>IF($C360="","",IFERROR(IF(INDEX(Deals!$AE$2:$AE$355,MATCH($C360,Deals!$A$2:$A$355,0))=0,"",INDEX(Deals!$AE$2:$AE$355,MATCH($C360,Deals!$A$2:$A$355,0))),""))</f>
        <v/>
      </c>
      <c r="AE360" s="22">
        <f>IF($C360="","",IFERROR(IF(INDEX(Deals!$AF$2:$AF$355,MATCH($C360,Deals!$A$2:$A$355,0))=0,"",INDEX(Deals!$AF$2:$AF$355,MATCH($C360,Deals!$A$2:$A$355,0))),""))</f>
        <v/>
      </c>
      <c r="AF360" s="35">
        <f>IF($AD360="",DATE(1900,1,1),$AD360)</f>
        <v/>
      </c>
      <c r="AG360" s="35">
        <f>IF($AE360="",DATE(2100,12,31),$AE360)</f>
        <v/>
      </c>
      <c r="AH360" s="22">
        <f>IF($C360="","",IFERROR(IF(INDEX(Deals!$AG$2:$AG$355,MATCH($C360,Deals!$A$2:$A$355,0))=0,"",INDEX(Deals!$AG$2:$AG$355,MATCH($C360,Deals!$A$2:$A$355,0))),""))</f>
        <v/>
      </c>
      <c r="AI360" s="35">
        <f>IF($AH360="",DATE(1900,1,1),$AF360)</f>
        <v/>
      </c>
      <c r="AJ360" s="35">
        <f>IF($AH360="",DATE(2100,12,31),$AH360)</f>
        <v/>
      </c>
      <c r="AK360" s="32">
        <f>IF($AH360="",$AC360,$AC360*$S360)</f>
        <v/>
      </c>
      <c r="AL360" s="35">
        <f>IF($AH360="",DATE(2100,12,31),$AH360+1)</f>
        <v/>
      </c>
      <c r="AM360" s="35">
        <f>IF($AH360="",DATE(1900,1,1),$AG360)</f>
        <v/>
      </c>
      <c r="AN360" s="32">
        <f>IF($AH360="",0,$AC360*$T360)</f>
        <v/>
      </c>
    </row>
    <row r="361">
      <c r="A361" s="28" t="inlineStr">
        <is>
          <t>Spencer</t>
        </is>
      </c>
      <c r="B361" s="16">
        <f>IF($A361="","",IFERROR(INDEX(Roster!$B$2:$B$40,MATCH($A361,Roster!$A$2:$A$40,0)),"?"))</f>
        <v/>
      </c>
      <c r="C361" s="28" t="inlineStr">
        <is>
          <t>Pet_1</t>
        </is>
      </c>
      <c r="D361" s="16">
        <f>IF($C361="","",IFERROR(IF(INDEX(Deals!$C$2:$C$355,MATCH($C361,Deals!$A$2:$A$355,0))=0,"",INDEX(Deals!$C$2:$C$355,MATCH($C361,Deals!$A$2:$A$355,0))),"?"))</f>
        <v/>
      </c>
      <c r="E361" s="16">
        <f>IF($C361="","",IFERROR(INDEX(Deals!$F$2:$F$355,MATCH($C361,Deals!$A$2:$A$355,0)),"?"))</f>
        <v/>
      </c>
      <c r="F361" s="28" t="inlineStr">
        <is>
          <t>VP</t>
        </is>
      </c>
      <c r="G361" s="28" t="inlineStr">
        <is>
          <t>Active</t>
        </is>
      </c>
      <c r="H361" s="31" t="n"/>
      <c r="I361" s="32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1">
        <f>IF($C361="",0,IFERROR(INDEX(Deals!$H$2:$H$355,MATCH($C361,Deals!$A$2:$A$355,0)),0))</f>
        <v/>
      </c>
      <c r="K361" s="32">
        <f>IF(Settings!$B$4="Yes",$I361*$J361,$I361)</f>
        <v/>
      </c>
      <c r="L361" s="22">
        <f>IF($C361="","",IFERROR(IF(INDEX(Deals!$I$2:$I$355,MATCH($C361,Deals!$A$2:$A$355,0))=0,"",INDEX(Deals!$I$2:$I$355,MATCH($C361,Deals!$A$2:$A$355,0))),""))</f>
        <v/>
      </c>
      <c r="M361" s="22">
        <f>IF($C361="","",IFERROR(IF(INDEX(Deals!$J$2:$J$355,MATCH($C361,Deals!$A$2:$A$355,0))=0,"",INDEX(Deals!$J$2:$J$355,MATCH($C361,Deals!$A$2:$A$355,0))),""))</f>
        <v/>
      </c>
      <c r="N361" s="35">
        <f>IF($L361="",DATE(1900,1,1),$L361)</f>
        <v/>
      </c>
      <c r="O361" s="35">
        <f>IF($M361="",DATE(2100,12,31),$M361)</f>
        <v/>
      </c>
      <c r="P361" s="20" t="inlineStr">
        <is>
          <t>Ongoing</t>
        </is>
      </c>
      <c r="Q361" s="43" t="inlineStr"/>
      <c r="R361" s="16">
        <f>IF($C361="","",IFERROR(IF(INDEX(Deals!$U$2:$U$355,MATCH($C361,Deals!$A$2:$A$355,0))=0,"",INDEX(Deals!$U$2:$U$355,MATCH($C361,Deals!$A$2:$A$355,0))),""))</f>
        <v/>
      </c>
      <c r="S361" s="34">
        <f>IFERROR(IF($U361="",1,INDEX(Deals!$V$2:$V$355,MATCH($C361,Deals!$A$2:$A$355,0))),1)</f>
        <v/>
      </c>
      <c r="T361" s="34">
        <f>IFERROR(IF($U361="",1,INDEX(Deals!$W$2:$W$355,MATCH($C361,Deals!$A$2:$A$355,0))),1)</f>
        <v/>
      </c>
      <c r="U361" s="22">
        <f>IF($C361="","",IFERROR(IF(INDEX(Deals!$Y$2:$Y$355,MATCH($C361,Deals!$A$2:$A$355,0))=0,"",INDEX(Deals!$Y$2:$Y$355,MATCH($C361,Deals!$A$2:$A$355,0))),""))</f>
        <v/>
      </c>
      <c r="V361" s="35">
        <f>IF($U361="",DATE(1900,1,1),$N361)</f>
        <v/>
      </c>
      <c r="W361" s="35">
        <f>IF($U361="",DATE(2100,12,31),$U361)</f>
        <v/>
      </c>
      <c r="X361" s="32">
        <f>IF($U361="",$K361,$K361*$S361)</f>
        <v/>
      </c>
      <c r="Y361" s="35">
        <f>IF($U361="",DATE(2100,12,31),$U361+1)</f>
        <v/>
      </c>
      <c r="Z361" s="35">
        <f>IF($U361="",DATE(1900,1,1),$O361)</f>
        <v/>
      </c>
      <c r="AA361" s="32">
        <f>IF($U361="",0,$K361*$T361)</f>
        <v/>
      </c>
      <c r="AB361" s="21">
        <f>IF($C361="",0,IFERROR(INDEX(Deals!$AD$2:$AD$355,MATCH($C361,Deals!$A$2:$A$355,0)),0))</f>
        <v/>
      </c>
      <c r="AC361" s="32">
        <f>IF(Settings!$B$4="Yes",$I361*$AB361,$I361)</f>
        <v/>
      </c>
      <c r="AD361" s="22">
        <f>IF($C361="","",IFERROR(IF(INDEX(Deals!$AE$2:$AE$355,MATCH($C361,Deals!$A$2:$A$355,0))=0,"",INDEX(Deals!$AE$2:$AE$355,MATCH($C361,Deals!$A$2:$A$355,0))),""))</f>
        <v/>
      </c>
      <c r="AE361" s="22">
        <f>IF($C361="","",IFERROR(IF(INDEX(Deals!$AF$2:$AF$355,MATCH($C361,Deals!$A$2:$A$355,0))=0,"",INDEX(Deals!$AF$2:$AF$355,MATCH($C361,Deals!$A$2:$A$355,0))),""))</f>
        <v/>
      </c>
      <c r="AF361" s="35">
        <f>IF($AD361="",DATE(1900,1,1),$AD361)</f>
        <v/>
      </c>
      <c r="AG361" s="35">
        <f>IF($AE361="",DATE(2100,12,31),$AE361)</f>
        <v/>
      </c>
      <c r="AH361" s="22">
        <f>IF($C361="","",IFERROR(IF(INDEX(Deals!$AG$2:$AG$355,MATCH($C361,Deals!$A$2:$A$355,0))=0,"",INDEX(Deals!$AG$2:$AG$355,MATCH($C361,Deals!$A$2:$A$355,0))),""))</f>
        <v/>
      </c>
      <c r="AI361" s="35">
        <f>IF($AH361="",DATE(1900,1,1),$AF361)</f>
        <v/>
      </c>
      <c r="AJ361" s="35">
        <f>IF($AH361="",DATE(2100,12,31),$AH361)</f>
        <v/>
      </c>
      <c r="AK361" s="32">
        <f>IF($AH361="",$AC361,$AC361*$S361)</f>
        <v/>
      </c>
      <c r="AL361" s="35">
        <f>IF($AH361="",DATE(2100,12,31),$AH361+1)</f>
        <v/>
      </c>
      <c r="AM361" s="35">
        <f>IF($AH361="",DATE(1900,1,1),$AG361)</f>
        <v/>
      </c>
      <c r="AN361" s="32">
        <f>IF($AH361="",0,$AC361*$T361)</f>
        <v/>
      </c>
    </row>
    <row r="362">
      <c r="A362" s="28" t="inlineStr">
        <is>
          <t>Spencer</t>
        </is>
      </c>
      <c r="B362" s="16">
        <f>IF($A362="","",IFERROR(INDEX(Roster!$B$2:$B$40,MATCH($A362,Roster!$A$2:$A$40,0)),"?"))</f>
        <v/>
      </c>
      <c r="C362" s="28" t="inlineStr">
        <is>
          <t>Prince_3</t>
        </is>
      </c>
      <c r="D362" s="16">
        <f>IF($C362="","",IFERROR(IF(INDEX(Deals!$C$2:$C$355,MATCH($C362,Deals!$A$2:$A$355,0))=0,"",INDEX(Deals!$C$2:$C$355,MATCH($C362,Deals!$A$2:$A$355,0))),"?"))</f>
        <v/>
      </c>
      <c r="E362" s="16">
        <f>IF($C362="","",IFERROR(INDEX(Deals!$F$2:$F$355,MATCH($C362,Deals!$A$2:$A$355,0)),"?"))</f>
        <v/>
      </c>
      <c r="F362" s="28" t="inlineStr">
        <is>
          <t>VP</t>
        </is>
      </c>
      <c r="G362" s="28" t="inlineStr">
        <is>
          <t>Active</t>
        </is>
      </c>
      <c r="H362" s="31" t="n"/>
      <c r="I362" s="32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1">
        <f>IF($C362="",0,IFERROR(INDEX(Deals!$H$2:$H$355,MATCH($C362,Deals!$A$2:$A$355,0)),0))</f>
        <v/>
      </c>
      <c r="K362" s="32">
        <f>IF(Settings!$B$4="Yes",$I362*$J362,$I362)</f>
        <v/>
      </c>
      <c r="L362" s="22">
        <f>IF($C362="","",IFERROR(IF(INDEX(Deals!$I$2:$I$355,MATCH($C362,Deals!$A$2:$A$355,0))=0,"",INDEX(Deals!$I$2:$I$355,MATCH($C362,Deals!$A$2:$A$355,0))),""))</f>
        <v/>
      </c>
      <c r="M362" s="22">
        <f>IF($C362="","",IFERROR(IF(INDEX(Deals!$J$2:$J$355,MATCH($C362,Deals!$A$2:$A$355,0))=0,"",INDEX(Deals!$J$2:$J$355,MATCH($C362,Deals!$A$2:$A$355,0))),""))</f>
        <v/>
      </c>
      <c r="N362" s="35">
        <f>IF($L362="",DATE(1900,1,1),$L362)</f>
        <v/>
      </c>
      <c r="O362" s="35">
        <f>IF($M362="",DATE(2100,12,31),$M362)</f>
        <v/>
      </c>
      <c r="P362" s="20" t="inlineStr">
        <is>
          <t>Ongoing</t>
        </is>
      </c>
      <c r="Q362" s="43" t="inlineStr"/>
      <c r="R362" s="16">
        <f>IF($C362="","",IFERROR(IF(INDEX(Deals!$U$2:$U$355,MATCH($C362,Deals!$A$2:$A$355,0))=0,"",INDEX(Deals!$U$2:$U$355,MATCH($C362,Deals!$A$2:$A$355,0))),""))</f>
        <v/>
      </c>
      <c r="S362" s="34">
        <f>IFERROR(IF($U362="",1,INDEX(Deals!$V$2:$V$355,MATCH($C362,Deals!$A$2:$A$355,0))),1)</f>
        <v/>
      </c>
      <c r="T362" s="34">
        <f>IFERROR(IF($U362="",1,INDEX(Deals!$W$2:$W$355,MATCH($C362,Deals!$A$2:$A$355,0))),1)</f>
        <v/>
      </c>
      <c r="U362" s="22">
        <f>IF($C362="","",IFERROR(IF(INDEX(Deals!$Y$2:$Y$355,MATCH($C362,Deals!$A$2:$A$355,0))=0,"",INDEX(Deals!$Y$2:$Y$355,MATCH($C362,Deals!$A$2:$A$355,0))),""))</f>
        <v/>
      </c>
      <c r="V362" s="35">
        <f>IF($U362="",DATE(1900,1,1),$N362)</f>
        <v/>
      </c>
      <c r="W362" s="35">
        <f>IF($U362="",DATE(2100,12,31),$U362)</f>
        <v/>
      </c>
      <c r="X362" s="32">
        <f>IF($U362="",$K362,$K362*$S362)</f>
        <v/>
      </c>
      <c r="Y362" s="35">
        <f>IF($U362="",DATE(2100,12,31),$U362+1)</f>
        <v/>
      </c>
      <c r="Z362" s="35">
        <f>IF($U362="",DATE(1900,1,1),$O362)</f>
        <v/>
      </c>
      <c r="AA362" s="32">
        <f>IF($U362="",0,$K362*$T362)</f>
        <v/>
      </c>
      <c r="AB362" s="21">
        <f>IF($C362="",0,IFERROR(INDEX(Deals!$AD$2:$AD$355,MATCH($C362,Deals!$A$2:$A$355,0)),0))</f>
        <v/>
      </c>
      <c r="AC362" s="32">
        <f>IF(Settings!$B$4="Yes",$I362*$AB362,$I362)</f>
        <v/>
      </c>
      <c r="AD362" s="22">
        <f>IF($C362="","",IFERROR(IF(INDEX(Deals!$AE$2:$AE$355,MATCH($C362,Deals!$A$2:$A$355,0))=0,"",INDEX(Deals!$AE$2:$AE$355,MATCH($C362,Deals!$A$2:$A$355,0))),""))</f>
        <v/>
      </c>
      <c r="AE362" s="22">
        <f>IF($C362="","",IFERROR(IF(INDEX(Deals!$AF$2:$AF$355,MATCH($C362,Deals!$A$2:$A$355,0))=0,"",INDEX(Deals!$AF$2:$AF$355,MATCH($C362,Deals!$A$2:$A$355,0))),""))</f>
        <v/>
      </c>
      <c r="AF362" s="35">
        <f>IF($AD362="",DATE(1900,1,1),$AD362)</f>
        <v/>
      </c>
      <c r="AG362" s="35">
        <f>IF($AE362="",DATE(2100,12,31),$AE362)</f>
        <v/>
      </c>
      <c r="AH362" s="22">
        <f>IF($C362="","",IFERROR(IF(INDEX(Deals!$AG$2:$AG$355,MATCH($C362,Deals!$A$2:$A$355,0))=0,"",INDEX(Deals!$AG$2:$AG$355,MATCH($C362,Deals!$A$2:$A$355,0))),""))</f>
        <v/>
      </c>
      <c r="AI362" s="35">
        <f>IF($AH362="",DATE(1900,1,1),$AF362)</f>
        <v/>
      </c>
      <c r="AJ362" s="35">
        <f>IF($AH362="",DATE(2100,12,31),$AH362)</f>
        <v/>
      </c>
      <c r="AK362" s="32">
        <f>IF($AH362="",$AC362,$AC362*$S362)</f>
        <v/>
      </c>
      <c r="AL362" s="35">
        <f>IF($AH362="",DATE(2100,12,31),$AH362+1)</f>
        <v/>
      </c>
      <c r="AM362" s="35">
        <f>IF($AH362="",DATE(1900,1,1),$AG362)</f>
        <v/>
      </c>
      <c r="AN362" s="32">
        <f>IF($AH362="",0,$AC362*$T362)</f>
        <v/>
      </c>
    </row>
    <row r="363">
      <c r="A363" s="28" t="inlineStr">
        <is>
          <t>Spencer</t>
        </is>
      </c>
      <c r="B363" s="16">
        <f>IF($A363="","",IFERROR(INDEX(Roster!$B$2:$B$40,MATCH($A363,Roster!$A$2:$A$40,0)),"?"))</f>
        <v/>
      </c>
      <c r="C363" s="28" t="inlineStr">
        <is>
          <t>Rover_3</t>
        </is>
      </c>
      <c r="D363" s="16">
        <f>IF($C363="","",IFERROR(IF(INDEX(Deals!$C$2:$C$355,MATCH($C363,Deals!$A$2:$A$355,0))=0,"",INDEX(Deals!$C$2:$C$355,MATCH($C363,Deals!$A$2:$A$355,0))),"?"))</f>
        <v/>
      </c>
      <c r="E363" s="16">
        <f>IF($C363="","",IFERROR(INDEX(Deals!$F$2:$F$355,MATCH($C363,Deals!$A$2:$A$355,0)),"?"))</f>
        <v/>
      </c>
      <c r="F363" s="28" t="inlineStr">
        <is>
          <t>VP</t>
        </is>
      </c>
      <c r="G363" s="28" t="inlineStr">
        <is>
          <t>Inactive</t>
        </is>
      </c>
      <c r="H363" s="31" t="n"/>
      <c r="I363" s="32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1">
        <f>IF($C363="",0,IFERROR(INDEX(Deals!$H$2:$H$355,MATCH($C363,Deals!$A$2:$A$355,0)),0))</f>
        <v/>
      </c>
      <c r="K363" s="32">
        <f>IF(Settings!$B$4="Yes",$I363*$J363,$I363)</f>
        <v/>
      </c>
      <c r="L363" s="22">
        <f>IF($C363="","",IFERROR(IF(INDEX(Deals!$I$2:$I$355,MATCH($C363,Deals!$A$2:$A$355,0))=0,"",INDEX(Deals!$I$2:$I$355,MATCH($C363,Deals!$A$2:$A$355,0))),""))</f>
        <v/>
      </c>
      <c r="M363" s="22">
        <f>IF($C363="","",IFERROR(IF(INDEX(Deals!$J$2:$J$355,MATCH($C363,Deals!$A$2:$A$355,0))=0,"",INDEX(Deals!$J$2:$J$355,MATCH($C363,Deals!$A$2:$A$355,0))),""))</f>
        <v/>
      </c>
      <c r="N363" s="35">
        <f>IF($L363="",DATE(1900,1,1),$L363)</f>
        <v/>
      </c>
      <c r="O363" s="35">
        <f>IF($M363="",DATE(2100,12,31),$M363)</f>
        <v/>
      </c>
      <c r="P363" s="20" t="inlineStr">
        <is>
          <t>Closed--wire for payment should have been already sent</t>
        </is>
      </c>
      <c r="Q363" s="43" t="inlineStr"/>
      <c r="R363" s="16">
        <f>IF($C363="","",IFERROR(IF(INDEX(Deals!$U$2:$U$355,MATCH($C363,Deals!$A$2:$A$355,0))=0,"",INDEX(Deals!$U$2:$U$355,MATCH($C363,Deals!$A$2:$A$355,0))),""))</f>
        <v/>
      </c>
      <c r="S363" s="34">
        <f>IFERROR(IF($U363="",1,INDEX(Deals!$V$2:$V$355,MATCH($C363,Deals!$A$2:$A$355,0))),1)</f>
        <v/>
      </c>
      <c r="T363" s="34">
        <f>IFERROR(IF($U363="",1,INDEX(Deals!$W$2:$W$355,MATCH($C363,Deals!$A$2:$A$355,0))),1)</f>
        <v/>
      </c>
      <c r="U363" s="22">
        <f>IF($C363="","",IFERROR(IF(INDEX(Deals!$Y$2:$Y$355,MATCH($C363,Deals!$A$2:$A$355,0))=0,"",INDEX(Deals!$Y$2:$Y$355,MATCH($C363,Deals!$A$2:$A$355,0))),""))</f>
        <v/>
      </c>
      <c r="V363" s="35">
        <f>IF($U363="",DATE(1900,1,1),$N363)</f>
        <v/>
      </c>
      <c r="W363" s="35">
        <f>IF($U363="",DATE(2100,12,31),$U363)</f>
        <v/>
      </c>
      <c r="X363" s="32">
        <f>IF($U363="",$K363,$K363*$S363)</f>
        <v/>
      </c>
      <c r="Y363" s="35">
        <f>IF($U363="",DATE(2100,12,31),$U363+1)</f>
        <v/>
      </c>
      <c r="Z363" s="35">
        <f>IF($U363="",DATE(1900,1,1),$O363)</f>
        <v/>
      </c>
      <c r="AA363" s="32">
        <f>IF($U363="",0,$K363*$T363)</f>
        <v/>
      </c>
      <c r="AB363" s="21">
        <f>IF($C363="",0,IFERROR(INDEX(Deals!$AD$2:$AD$355,MATCH($C363,Deals!$A$2:$A$355,0)),0))</f>
        <v/>
      </c>
      <c r="AC363" s="32">
        <f>IF(Settings!$B$4="Yes",$I363*$AB363,$I363)</f>
        <v/>
      </c>
      <c r="AD363" s="22">
        <f>IF($C363="","",IFERROR(IF(INDEX(Deals!$AE$2:$AE$355,MATCH($C363,Deals!$A$2:$A$355,0))=0,"",INDEX(Deals!$AE$2:$AE$355,MATCH($C363,Deals!$A$2:$A$355,0))),""))</f>
        <v/>
      </c>
      <c r="AE363" s="22">
        <f>IF($C363="","",IFERROR(IF(INDEX(Deals!$AF$2:$AF$355,MATCH($C363,Deals!$A$2:$A$355,0))=0,"",INDEX(Deals!$AF$2:$AF$355,MATCH($C363,Deals!$A$2:$A$355,0))),""))</f>
        <v/>
      </c>
      <c r="AF363" s="35">
        <f>IF($AD363="",DATE(1900,1,1),$AD363)</f>
        <v/>
      </c>
      <c r="AG363" s="35">
        <f>IF($AE363="",DATE(2100,12,31),$AE363)</f>
        <v/>
      </c>
      <c r="AH363" s="22">
        <f>IF($C363="","",IFERROR(IF(INDEX(Deals!$AG$2:$AG$355,MATCH($C363,Deals!$A$2:$A$355,0))=0,"",INDEX(Deals!$AG$2:$AG$355,MATCH($C363,Deals!$A$2:$A$355,0))),""))</f>
        <v/>
      </c>
      <c r="AI363" s="35">
        <f>IF($AH363="",DATE(1900,1,1),$AF363)</f>
        <v/>
      </c>
      <c r="AJ363" s="35">
        <f>IF($AH363="",DATE(2100,12,31),$AH363)</f>
        <v/>
      </c>
      <c r="AK363" s="32">
        <f>IF($AH363="",$AC363,$AC363*$S363)</f>
        <v/>
      </c>
      <c r="AL363" s="35">
        <f>IF($AH363="",DATE(2100,12,31),$AH363+1)</f>
        <v/>
      </c>
      <c r="AM363" s="35">
        <f>IF($AH363="",DATE(1900,1,1),$AG363)</f>
        <v/>
      </c>
      <c r="AN363" s="32">
        <f>IF($AH363="",0,$AC363*$T363)</f>
        <v/>
      </c>
    </row>
    <row r="364">
      <c r="A364" s="28" t="inlineStr">
        <is>
          <t>Spencer</t>
        </is>
      </c>
      <c r="B364" s="16">
        <f>IF($A364="","",IFERROR(INDEX(Roster!$B$2:$B$40,MATCH($A364,Roster!$A$2:$A$40,0)),"?"))</f>
        <v/>
      </c>
      <c r="C364" s="28" t="inlineStr">
        <is>
          <t>Shika_1</t>
        </is>
      </c>
      <c r="D364" s="16">
        <f>IF($C364="","",IFERROR(IF(INDEX(Deals!$C$2:$C$355,MATCH($C364,Deals!$A$2:$A$355,0))=0,"",INDEX(Deals!$C$2:$C$355,MATCH($C364,Deals!$A$2:$A$355,0))),"?"))</f>
        <v/>
      </c>
      <c r="E364" s="16">
        <f>IF($C364="","",IFERROR(INDEX(Deals!$F$2:$F$355,MATCH($C364,Deals!$A$2:$A$355,0)),"?"))</f>
        <v/>
      </c>
      <c r="F364" s="28" t="inlineStr">
        <is>
          <t>VP</t>
        </is>
      </c>
      <c r="G364" s="28" t="inlineStr">
        <is>
          <t>Active</t>
        </is>
      </c>
      <c r="H364" s="31" t="n"/>
      <c r="I364" s="32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1">
        <f>IF($C364="",0,IFERROR(INDEX(Deals!$H$2:$H$355,MATCH($C364,Deals!$A$2:$A$355,0)),0))</f>
        <v/>
      </c>
      <c r="K364" s="32">
        <f>IF(Settings!$B$4="Yes",$I364*$J364,$I364)</f>
        <v/>
      </c>
      <c r="L364" s="22">
        <f>IF($C364="","",IFERROR(IF(INDEX(Deals!$I$2:$I$355,MATCH($C364,Deals!$A$2:$A$355,0))=0,"",INDEX(Deals!$I$2:$I$355,MATCH($C364,Deals!$A$2:$A$355,0))),""))</f>
        <v/>
      </c>
      <c r="M364" s="22">
        <f>IF($C364="","",IFERROR(IF(INDEX(Deals!$J$2:$J$355,MATCH($C364,Deals!$A$2:$A$355,0))=0,"",INDEX(Deals!$J$2:$J$355,MATCH($C364,Deals!$A$2:$A$355,0))),""))</f>
        <v/>
      </c>
      <c r="N364" s="35">
        <f>IF($L364="",DATE(1900,1,1),$L364)</f>
        <v/>
      </c>
      <c r="O364" s="35">
        <f>IF($M364="",DATE(2100,12,31),$M364)</f>
        <v/>
      </c>
      <c r="P364" s="20" t="inlineStr">
        <is>
          <t>Ongoing--close to invoicing</t>
        </is>
      </c>
      <c r="Q364" s="43" t="inlineStr"/>
      <c r="R364" s="16">
        <f>IF($C364="","",IFERROR(IF(INDEX(Deals!$U$2:$U$355,MATCH($C364,Deals!$A$2:$A$355,0))=0,"",INDEX(Deals!$U$2:$U$355,MATCH($C364,Deals!$A$2:$A$355,0))),""))</f>
        <v/>
      </c>
      <c r="S364" s="34">
        <f>IFERROR(IF($U364="",1,INDEX(Deals!$V$2:$V$355,MATCH($C364,Deals!$A$2:$A$355,0))),1)</f>
        <v/>
      </c>
      <c r="T364" s="34">
        <f>IFERROR(IF($U364="",1,INDEX(Deals!$W$2:$W$355,MATCH($C364,Deals!$A$2:$A$355,0))),1)</f>
        <v/>
      </c>
      <c r="U364" s="22">
        <f>IF($C364="","",IFERROR(IF(INDEX(Deals!$Y$2:$Y$355,MATCH($C364,Deals!$A$2:$A$355,0))=0,"",INDEX(Deals!$Y$2:$Y$355,MATCH($C364,Deals!$A$2:$A$355,0))),""))</f>
        <v/>
      </c>
      <c r="V364" s="35">
        <f>IF($U364="",DATE(1900,1,1),$N364)</f>
        <v/>
      </c>
      <c r="W364" s="35">
        <f>IF($U364="",DATE(2100,12,31),$U364)</f>
        <v/>
      </c>
      <c r="X364" s="32">
        <f>IF($U364="",$K364,$K364*$S364)</f>
        <v/>
      </c>
      <c r="Y364" s="35">
        <f>IF($U364="",DATE(2100,12,31),$U364+1)</f>
        <v/>
      </c>
      <c r="Z364" s="35">
        <f>IF($U364="",DATE(1900,1,1),$O364)</f>
        <v/>
      </c>
      <c r="AA364" s="32">
        <f>IF($U364="",0,$K364*$T364)</f>
        <v/>
      </c>
      <c r="AB364" s="21">
        <f>IF($C364="",0,IFERROR(INDEX(Deals!$AD$2:$AD$355,MATCH($C364,Deals!$A$2:$A$355,0)),0))</f>
        <v/>
      </c>
      <c r="AC364" s="32">
        <f>IF(Settings!$B$4="Yes",$I364*$AB364,$I364)</f>
        <v/>
      </c>
      <c r="AD364" s="22">
        <f>IF($C364="","",IFERROR(IF(INDEX(Deals!$AE$2:$AE$355,MATCH($C364,Deals!$A$2:$A$355,0))=0,"",INDEX(Deals!$AE$2:$AE$355,MATCH($C364,Deals!$A$2:$A$355,0))),""))</f>
        <v/>
      </c>
      <c r="AE364" s="22">
        <f>IF($C364="","",IFERROR(IF(INDEX(Deals!$AF$2:$AF$355,MATCH($C364,Deals!$A$2:$A$355,0))=0,"",INDEX(Deals!$AF$2:$AF$355,MATCH($C364,Deals!$A$2:$A$355,0))),""))</f>
        <v/>
      </c>
      <c r="AF364" s="35">
        <f>IF($AD364="",DATE(1900,1,1),$AD364)</f>
        <v/>
      </c>
      <c r="AG364" s="35">
        <f>IF($AE364="",DATE(2100,12,31),$AE364)</f>
        <v/>
      </c>
      <c r="AH364" s="22">
        <f>IF($C364="","",IFERROR(IF(INDEX(Deals!$AG$2:$AG$355,MATCH($C364,Deals!$A$2:$A$355,0))=0,"",INDEX(Deals!$AG$2:$AG$355,MATCH($C364,Deals!$A$2:$A$355,0))),""))</f>
        <v/>
      </c>
      <c r="AI364" s="35">
        <f>IF($AH364="",DATE(1900,1,1),$AF364)</f>
        <v/>
      </c>
      <c r="AJ364" s="35">
        <f>IF($AH364="",DATE(2100,12,31),$AH364)</f>
        <v/>
      </c>
      <c r="AK364" s="32">
        <f>IF($AH364="",$AC364,$AC364*$S364)</f>
        <v/>
      </c>
      <c r="AL364" s="35">
        <f>IF($AH364="",DATE(2100,12,31),$AH364+1)</f>
        <v/>
      </c>
      <c r="AM364" s="35">
        <f>IF($AH364="",DATE(1900,1,1),$AG364)</f>
        <v/>
      </c>
      <c r="AN364" s="32">
        <f>IF($AH364="",0,$AC364*$T364)</f>
        <v/>
      </c>
    </row>
    <row r="365">
      <c r="A365" s="28" t="inlineStr">
        <is>
          <t>Spencer</t>
        </is>
      </c>
      <c r="B365" s="16">
        <f>IF($A365="","",IFERROR(INDEX(Roster!$B$2:$B$40,MATCH($A365,Roster!$A$2:$A$40,0)),"?"))</f>
        <v/>
      </c>
      <c r="C365" s="28" t="inlineStr">
        <is>
          <t>Story_1</t>
        </is>
      </c>
      <c r="D365" s="16">
        <f>IF($C365="","",IFERROR(IF(INDEX(Deals!$C$2:$C$355,MATCH($C365,Deals!$A$2:$A$355,0))=0,"",INDEX(Deals!$C$2:$C$355,MATCH($C365,Deals!$A$2:$A$355,0))),"?"))</f>
        <v/>
      </c>
      <c r="E365" s="16">
        <f>IF($C365="","",IFERROR(INDEX(Deals!$F$2:$F$355,MATCH($C365,Deals!$A$2:$A$355,0)),"?"))</f>
        <v/>
      </c>
      <c r="F365" s="28" t="inlineStr">
        <is>
          <t>VP</t>
        </is>
      </c>
      <c r="G365" s="28" t="inlineStr">
        <is>
          <t>Inactive</t>
        </is>
      </c>
      <c r="H365" s="31" t="n"/>
      <c r="I365" s="32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1">
        <f>IF($C365="",0,IFERROR(INDEX(Deals!$H$2:$H$355,MATCH($C365,Deals!$A$2:$A$355,0)),0))</f>
        <v/>
      </c>
      <c r="K365" s="32">
        <f>IF(Settings!$B$4="Yes",$I365*$J365,$I365)</f>
        <v/>
      </c>
      <c r="L365" s="22">
        <f>IF($C365="","",IFERROR(IF(INDEX(Deals!$I$2:$I$355,MATCH($C365,Deals!$A$2:$A$355,0))=0,"",INDEX(Deals!$I$2:$I$355,MATCH($C365,Deals!$A$2:$A$355,0))),""))</f>
        <v/>
      </c>
      <c r="M365" s="22">
        <f>IF($C365="","",IFERROR(IF(INDEX(Deals!$J$2:$J$355,MATCH($C365,Deals!$A$2:$A$355,0))=0,"",INDEX(Deals!$J$2:$J$355,MATCH($C365,Deals!$A$2:$A$355,0))),""))</f>
        <v/>
      </c>
      <c r="N365" s="35">
        <f>IF($L365="",DATE(1900,1,1),$L365)</f>
        <v/>
      </c>
      <c r="O365" s="35">
        <f>IF($M365="",DATE(2100,12,31),$M365)</f>
        <v/>
      </c>
      <c r="P365" s="20" t="inlineStr">
        <is>
          <t>Died</t>
        </is>
      </c>
      <c r="Q365" s="43" t="inlineStr"/>
      <c r="R365" s="16">
        <f>IF($C365="","",IFERROR(IF(INDEX(Deals!$U$2:$U$355,MATCH($C365,Deals!$A$2:$A$355,0))=0,"",INDEX(Deals!$U$2:$U$355,MATCH($C365,Deals!$A$2:$A$355,0))),""))</f>
        <v/>
      </c>
      <c r="S365" s="34">
        <f>IFERROR(IF($U365="",1,INDEX(Deals!$V$2:$V$355,MATCH($C365,Deals!$A$2:$A$355,0))),1)</f>
        <v/>
      </c>
      <c r="T365" s="34">
        <f>IFERROR(IF($U365="",1,INDEX(Deals!$W$2:$W$355,MATCH($C365,Deals!$A$2:$A$355,0))),1)</f>
        <v/>
      </c>
      <c r="U365" s="22">
        <f>IF($C365="","",IFERROR(IF(INDEX(Deals!$Y$2:$Y$355,MATCH($C365,Deals!$A$2:$A$355,0))=0,"",INDEX(Deals!$Y$2:$Y$355,MATCH($C365,Deals!$A$2:$A$355,0))),""))</f>
        <v/>
      </c>
      <c r="V365" s="35">
        <f>IF($U365="",DATE(1900,1,1),$N365)</f>
        <v/>
      </c>
      <c r="W365" s="35">
        <f>IF($U365="",DATE(2100,12,31),$U365)</f>
        <v/>
      </c>
      <c r="X365" s="32">
        <f>IF($U365="",$K365,$K365*$S365)</f>
        <v/>
      </c>
      <c r="Y365" s="35">
        <f>IF($U365="",DATE(2100,12,31),$U365+1)</f>
        <v/>
      </c>
      <c r="Z365" s="35">
        <f>IF($U365="",DATE(1900,1,1),$O365)</f>
        <v/>
      </c>
      <c r="AA365" s="32">
        <f>IF($U365="",0,$K365*$T365)</f>
        <v/>
      </c>
      <c r="AB365" s="21">
        <f>IF($C365="",0,IFERROR(INDEX(Deals!$AD$2:$AD$355,MATCH($C365,Deals!$A$2:$A$355,0)),0))</f>
        <v/>
      </c>
      <c r="AC365" s="32">
        <f>IF(Settings!$B$4="Yes",$I365*$AB365,$I365)</f>
        <v/>
      </c>
      <c r="AD365" s="22">
        <f>IF($C365="","",IFERROR(IF(INDEX(Deals!$AE$2:$AE$355,MATCH($C365,Deals!$A$2:$A$355,0))=0,"",INDEX(Deals!$AE$2:$AE$355,MATCH($C365,Deals!$A$2:$A$355,0))),""))</f>
        <v/>
      </c>
      <c r="AE365" s="22">
        <f>IF($C365="","",IFERROR(IF(INDEX(Deals!$AF$2:$AF$355,MATCH($C365,Deals!$A$2:$A$355,0))=0,"",INDEX(Deals!$AF$2:$AF$355,MATCH($C365,Deals!$A$2:$A$355,0))),""))</f>
        <v/>
      </c>
      <c r="AF365" s="35">
        <f>IF($AD365="",DATE(1900,1,1),$AD365)</f>
        <v/>
      </c>
      <c r="AG365" s="35">
        <f>IF($AE365="",DATE(2100,12,31),$AE365)</f>
        <v/>
      </c>
      <c r="AH365" s="22">
        <f>IF($C365="","",IFERROR(IF(INDEX(Deals!$AG$2:$AG$355,MATCH($C365,Deals!$A$2:$A$355,0))=0,"",INDEX(Deals!$AG$2:$AG$355,MATCH($C365,Deals!$A$2:$A$355,0))),""))</f>
        <v/>
      </c>
      <c r="AI365" s="35">
        <f>IF($AH365="",DATE(1900,1,1),$AF365)</f>
        <v/>
      </c>
      <c r="AJ365" s="35">
        <f>IF($AH365="",DATE(2100,12,31),$AH365)</f>
        <v/>
      </c>
      <c r="AK365" s="32">
        <f>IF($AH365="",$AC365,$AC365*$S365)</f>
        <v/>
      </c>
      <c r="AL365" s="35">
        <f>IF($AH365="",DATE(2100,12,31),$AH365+1)</f>
        <v/>
      </c>
      <c r="AM365" s="35">
        <f>IF($AH365="",DATE(1900,1,1),$AG365)</f>
        <v/>
      </c>
      <c r="AN365" s="32">
        <f>IF($AH365="",0,$AC365*$T365)</f>
        <v/>
      </c>
    </row>
    <row r="366">
      <c r="A366" s="28" t="inlineStr">
        <is>
          <t>Spencer</t>
        </is>
      </c>
      <c r="B366" s="16">
        <f>IF($A366="","",IFERROR(INDEX(Roster!$B$2:$B$40,MATCH($A366,Roster!$A$2:$A$40,0)),"?"))</f>
        <v/>
      </c>
      <c r="C366" s="28" t="inlineStr">
        <is>
          <t>Truman_1</t>
        </is>
      </c>
      <c r="D366" s="16">
        <f>IF($C366="","",IFERROR(IF(INDEX(Deals!$C$2:$C$355,MATCH($C366,Deals!$A$2:$A$355,0))=0,"",INDEX(Deals!$C$2:$C$355,MATCH($C366,Deals!$A$2:$A$355,0))),"?"))</f>
        <v/>
      </c>
      <c r="E366" s="16">
        <f>IF($C366="","",IFERROR(INDEX(Deals!$F$2:$F$355,MATCH($C366,Deals!$A$2:$A$355,0)),"?"))</f>
        <v/>
      </c>
      <c r="F366" s="28" t="inlineStr">
        <is>
          <t>VP</t>
        </is>
      </c>
      <c r="G366" s="28" t="inlineStr">
        <is>
          <t>Inactive</t>
        </is>
      </c>
      <c r="H366" s="31" t="n"/>
      <c r="I366" s="32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1">
        <f>IF($C366="",0,IFERROR(INDEX(Deals!$H$2:$H$355,MATCH($C366,Deals!$A$2:$A$355,0)),0))</f>
        <v/>
      </c>
      <c r="K366" s="32">
        <f>IF(Settings!$B$4="Yes",$I366*$J366,$I366)</f>
        <v/>
      </c>
      <c r="L366" s="22">
        <f>IF($C366="","",IFERROR(IF(INDEX(Deals!$I$2:$I$355,MATCH($C366,Deals!$A$2:$A$355,0))=0,"",INDEX(Deals!$I$2:$I$355,MATCH($C366,Deals!$A$2:$A$355,0))),""))</f>
        <v/>
      </c>
      <c r="M366" s="22">
        <f>IF($C366="","",IFERROR(IF(INDEX(Deals!$J$2:$J$355,MATCH($C366,Deals!$A$2:$A$355,0))=0,"",INDEX(Deals!$J$2:$J$355,MATCH($C366,Deals!$A$2:$A$355,0))),""))</f>
        <v/>
      </c>
      <c r="N366" s="35">
        <f>IF($L366="",DATE(1900,1,1),$L366)</f>
        <v/>
      </c>
      <c r="O366" s="35">
        <f>IF($M366="",DATE(2100,12,31),$M366)</f>
        <v/>
      </c>
      <c r="P366" s="20" t="inlineStr">
        <is>
          <t>Closed</t>
        </is>
      </c>
      <c r="Q366" s="43" t="inlineStr"/>
      <c r="R366" s="16">
        <f>IF($C366="","",IFERROR(IF(INDEX(Deals!$U$2:$U$355,MATCH($C366,Deals!$A$2:$A$355,0))=0,"",INDEX(Deals!$U$2:$U$355,MATCH($C366,Deals!$A$2:$A$355,0))),""))</f>
        <v/>
      </c>
      <c r="S366" s="34">
        <f>IFERROR(IF($U366="",1,INDEX(Deals!$V$2:$V$355,MATCH($C366,Deals!$A$2:$A$355,0))),1)</f>
        <v/>
      </c>
      <c r="T366" s="34">
        <f>IFERROR(IF($U366="",1,INDEX(Deals!$W$2:$W$355,MATCH($C366,Deals!$A$2:$A$355,0))),1)</f>
        <v/>
      </c>
      <c r="U366" s="22">
        <f>IF($C366="","",IFERROR(IF(INDEX(Deals!$Y$2:$Y$355,MATCH($C366,Deals!$A$2:$A$355,0))=0,"",INDEX(Deals!$Y$2:$Y$355,MATCH($C366,Deals!$A$2:$A$355,0))),""))</f>
        <v/>
      </c>
      <c r="V366" s="35">
        <f>IF($U366="",DATE(1900,1,1),$N366)</f>
        <v/>
      </c>
      <c r="W366" s="35">
        <f>IF($U366="",DATE(2100,12,31),$U366)</f>
        <v/>
      </c>
      <c r="X366" s="32">
        <f>IF($U366="",$K366,$K366*$S366)</f>
        <v/>
      </c>
      <c r="Y366" s="35">
        <f>IF($U366="",DATE(2100,12,31),$U366+1)</f>
        <v/>
      </c>
      <c r="Z366" s="35">
        <f>IF($U366="",DATE(1900,1,1),$O366)</f>
        <v/>
      </c>
      <c r="AA366" s="32">
        <f>IF($U366="",0,$K366*$T366)</f>
        <v/>
      </c>
      <c r="AB366" s="21">
        <f>IF($C366="",0,IFERROR(INDEX(Deals!$AD$2:$AD$355,MATCH($C366,Deals!$A$2:$A$355,0)),0))</f>
        <v/>
      </c>
      <c r="AC366" s="32">
        <f>IF(Settings!$B$4="Yes",$I366*$AB366,$I366)</f>
        <v/>
      </c>
      <c r="AD366" s="22">
        <f>IF($C366="","",IFERROR(IF(INDEX(Deals!$AE$2:$AE$355,MATCH($C366,Deals!$A$2:$A$355,0))=0,"",INDEX(Deals!$AE$2:$AE$355,MATCH($C366,Deals!$A$2:$A$355,0))),""))</f>
        <v/>
      </c>
      <c r="AE366" s="22">
        <f>IF($C366="","",IFERROR(IF(INDEX(Deals!$AF$2:$AF$355,MATCH($C366,Deals!$A$2:$A$355,0))=0,"",INDEX(Deals!$AF$2:$AF$355,MATCH($C366,Deals!$A$2:$A$355,0))),""))</f>
        <v/>
      </c>
      <c r="AF366" s="35">
        <f>IF($AD366="",DATE(1900,1,1),$AD366)</f>
        <v/>
      </c>
      <c r="AG366" s="35">
        <f>IF($AE366="",DATE(2100,12,31),$AE366)</f>
        <v/>
      </c>
      <c r="AH366" s="22">
        <f>IF($C366="","",IFERROR(IF(INDEX(Deals!$AG$2:$AG$355,MATCH($C366,Deals!$A$2:$A$355,0))=0,"",INDEX(Deals!$AG$2:$AG$355,MATCH($C366,Deals!$A$2:$A$355,0))),""))</f>
        <v/>
      </c>
      <c r="AI366" s="35">
        <f>IF($AH366="",DATE(1900,1,1),$AF366)</f>
        <v/>
      </c>
      <c r="AJ366" s="35">
        <f>IF($AH366="",DATE(2100,12,31),$AH366)</f>
        <v/>
      </c>
      <c r="AK366" s="32">
        <f>IF($AH366="",$AC366,$AC366*$S366)</f>
        <v/>
      </c>
      <c r="AL366" s="35">
        <f>IF($AH366="",DATE(2100,12,31),$AH366+1)</f>
        <v/>
      </c>
      <c r="AM366" s="35">
        <f>IF($AH366="",DATE(1900,1,1),$AG366)</f>
        <v/>
      </c>
      <c r="AN366" s="32">
        <f>IF($AH366="",0,$AC366*$T366)</f>
        <v/>
      </c>
    </row>
    <row r="367">
      <c r="A367" s="28" t="inlineStr">
        <is>
          <t>Spencer</t>
        </is>
      </c>
      <c r="B367" s="16">
        <f>IF($A367="","",IFERROR(INDEX(Roster!$B$2:$B$40,MATCH($A367,Roster!$A$2:$A$40,0)),"?"))</f>
        <v/>
      </c>
      <c r="C367" s="28" t="inlineStr">
        <is>
          <t>Voltaire_1</t>
        </is>
      </c>
      <c r="D367" s="16">
        <f>IF($C367="","",IFERROR(IF(INDEX(Deals!$C$2:$C$355,MATCH($C367,Deals!$A$2:$A$355,0))=0,"",INDEX(Deals!$C$2:$C$355,MATCH($C367,Deals!$A$2:$A$355,0))),"?"))</f>
        <v/>
      </c>
      <c r="E367" s="16">
        <f>IF($C367="","",IFERROR(INDEX(Deals!$F$2:$F$355,MATCH($C367,Deals!$A$2:$A$355,0)),"?"))</f>
        <v/>
      </c>
      <c r="F367" s="28" t="inlineStr">
        <is>
          <t>VP</t>
        </is>
      </c>
      <c r="G367" s="28" t="inlineStr">
        <is>
          <t>Active</t>
        </is>
      </c>
      <c r="H367" s="31" t="n"/>
      <c r="I367" s="32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1">
        <f>IF($C367="",0,IFERROR(INDEX(Deals!$H$2:$H$355,MATCH($C367,Deals!$A$2:$A$355,0)),0))</f>
        <v/>
      </c>
      <c r="K367" s="32">
        <f>IF(Settings!$B$4="Yes",$I367*$J367,$I367)</f>
        <v/>
      </c>
      <c r="L367" s="22">
        <f>IF($C367="","",IFERROR(IF(INDEX(Deals!$I$2:$I$355,MATCH($C367,Deals!$A$2:$A$355,0))=0,"",INDEX(Deals!$I$2:$I$355,MATCH($C367,Deals!$A$2:$A$355,0))),""))</f>
        <v/>
      </c>
      <c r="M367" s="22">
        <f>IF($C367="","",IFERROR(IF(INDEX(Deals!$J$2:$J$355,MATCH($C367,Deals!$A$2:$A$355,0))=0,"",INDEX(Deals!$J$2:$J$355,MATCH($C367,Deals!$A$2:$A$355,0))),""))</f>
        <v/>
      </c>
      <c r="N367" s="35">
        <f>IF($L367="",DATE(1900,1,1),$L367)</f>
        <v/>
      </c>
      <c r="O367" s="35">
        <f>IF($M367="",DATE(2100,12,31),$M367)</f>
        <v/>
      </c>
      <c r="P367" s="20" t="inlineStr">
        <is>
          <t>Proposal</t>
        </is>
      </c>
      <c r="Q367" s="43" t="inlineStr"/>
      <c r="R367" s="16">
        <f>IF($C367="","",IFERROR(IF(INDEX(Deals!$U$2:$U$355,MATCH($C367,Deals!$A$2:$A$355,0))=0,"",INDEX(Deals!$U$2:$U$355,MATCH($C367,Deals!$A$2:$A$355,0))),""))</f>
        <v/>
      </c>
      <c r="S367" s="34">
        <f>IFERROR(IF($U367="",1,INDEX(Deals!$V$2:$V$355,MATCH($C367,Deals!$A$2:$A$355,0))),1)</f>
        <v/>
      </c>
      <c r="T367" s="34">
        <f>IFERROR(IF($U367="",1,INDEX(Deals!$W$2:$W$355,MATCH($C367,Deals!$A$2:$A$355,0))),1)</f>
        <v/>
      </c>
      <c r="U367" s="22">
        <f>IF($C367="","",IFERROR(IF(INDEX(Deals!$Y$2:$Y$355,MATCH($C367,Deals!$A$2:$A$355,0))=0,"",INDEX(Deals!$Y$2:$Y$355,MATCH($C367,Deals!$A$2:$A$355,0))),""))</f>
        <v/>
      </c>
      <c r="V367" s="35">
        <f>IF($U367="",DATE(1900,1,1),$N367)</f>
        <v/>
      </c>
      <c r="W367" s="35">
        <f>IF($U367="",DATE(2100,12,31),$U367)</f>
        <v/>
      </c>
      <c r="X367" s="32">
        <f>IF($U367="",$K367,$K367*$S367)</f>
        <v/>
      </c>
      <c r="Y367" s="35">
        <f>IF($U367="",DATE(2100,12,31),$U367+1)</f>
        <v/>
      </c>
      <c r="Z367" s="35">
        <f>IF($U367="",DATE(1900,1,1),$O367)</f>
        <v/>
      </c>
      <c r="AA367" s="32">
        <f>IF($U367="",0,$K367*$T367)</f>
        <v/>
      </c>
      <c r="AB367" s="21">
        <f>IF($C367="",0,IFERROR(INDEX(Deals!$AD$2:$AD$355,MATCH($C367,Deals!$A$2:$A$355,0)),0))</f>
        <v/>
      </c>
      <c r="AC367" s="32">
        <f>IF(Settings!$B$4="Yes",$I367*$AB367,$I367)</f>
        <v/>
      </c>
      <c r="AD367" s="22">
        <f>IF($C367="","",IFERROR(IF(INDEX(Deals!$AE$2:$AE$355,MATCH($C367,Deals!$A$2:$A$355,0))=0,"",INDEX(Deals!$AE$2:$AE$355,MATCH($C367,Deals!$A$2:$A$355,0))),""))</f>
        <v/>
      </c>
      <c r="AE367" s="22">
        <f>IF($C367="","",IFERROR(IF(INDEX(Deals!$AF$2:$AF$355,MATCH($C367,Deals!$A$2:$A$355,0))=0,"",INDEX(Deals!$AF$2:$AF$355,MATCH($C367,Deals!$A$2:$A$355,0))),""))</f>
        <v/>
      </c>
      <c r="AF367" s="35">
        <f>IF($AD367="",DATE(1900,1,1),$AD367)</f>
        <v/>
      </c>
      <c r="AG367" s="35">
        <f>IF($AE367="",DATE(2100,12,31),$AE367)</f>
        <v/>
      </c>
      <c r="AH367" s="22">
        <f>IF($C367="","",IFERROR(IF(INDEX(Deals!$AG$2:$AG$355,MATCH($C367,Deals!$A$2:$A$355,0))=0,"",INDEX(Deals!$AG$2:$AG$355,MATCH($C367,Deals!$A$2:$A$355,0))),""))</f>
        <v/>
      </c>
      <c r="AI367" s="35">
        <f>IF($AH367="",DATE(1900,1,1),$AF367)</f>
        <v/>
      </c>
      <c r="AJ367" s="35">
        <f>IF($AH367="",DATE(2100,12,31),$AH367)</f>
        <v/>
      </c>
      <c r="AK367" s="32">
        <f>IF($AH367="",$AC367,$AC367*$S367)</f>
        <v/>
      </c>
      <c r="AL367" s="35">
        <f>IF($AH367="",DATE(2100,12,31),$AH367+1)</f>
        <v/>
      </c>
      <c r="AM367" s="35">
        <f>IF($AH367="",DATE(1900,1,1),$AG367)</f>
        <v/>
      </c>
      <c r="AN367" s="32">
        <f>IF($AH367="",0,$AC367*$T367)</f>
        <v/>
      </c>
    </row>
    <row r="368">
      <c r="A368" s="28" t="inlineStr">
        <is>
          <t>Patch</t>
        </is>
      </c>
      <c r="B368" s="16">
        <f>IF($A368="","",IFERROR(INDEX(Roster!$B$2:$B$40,MATCH($A368,Roster!$A$2:$A$40,0)),"?"))</f>
        <v/>
      </c>
      <c r="C368" s="28" t="inlineStr">
        <is>
          <t>Adanac_1</t>
        </is>
      </c>
      <c r="D368" s="16">
        <f>IF($C368="","",IFERROR(IF(INDEX(Deals!$C$2:$C$355,MATCH($C368,Deals!$A$2:$A$355,0))=0,"",INDEX(Deals!$C$2:$C$355,MATCH($C368,Deals!$A$2:$A$355,0))),"?"))</f>
        <v/>
      </c>
      <c r="E368" s="16">
        <f>IF($C368="","",IFERROR(INDEX(Deals!$F$2:$F$355,MATCH($C368,Deals!$A$2:$A$355,0)),"?"))</f>
        <v/>
      </c>
      <c r="F368" s="28" t="inlineStr">
        <is>
          <t>VP</t>
        </is>
      </c>
      <c r="G368" s="28" t="inlineStr">
        <is>
          <t>Inactive</t>
        </is>
      </c>
      <c r="H368" s="31" t="n"/>
      <c r="I368" s="32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1">
        <f>IF($C368="",0,IFERROR(INDEX(Deals!$H$2:$H$355,MATCH($C368,Deals!$A$2:$A$355,0)),0))</f>
        <v/>
      </c>
      <c r="K368" s="32">
        <f>IF(Settings!$B$4="Yes",$I368*$J368,$I368)</f>
        <v/>
      </c>
      <c r="L368" s="22">
        <f>IF($C368="","",IFERROR(IF(INDEX(Deals!$I$2:$I$355,MATCH($C368,Deals!$A$2:$A$355,0))=0,"",INDEX(Deals!$I$2:$I$355,MATCH($C368,Deals!$A$2:$A$355,0))),""))</f>
        <v/>
      </c>
      <c r="M368" s="22">
        <f>IF($C368="","",IFERROR(IF(INDEX(Deals!$J$2:$J$355,MATCH($C368,Deals!$A$2:$A$355,0))=0,"",INDEX(Deals!$J$2:$J$355,MATCH($C368,Deals!$A$2:$A$355,0))),""))</f>
        <v/>
      </c>
      <c r="N368" s="35">
        <f>IF($L368="",DATE(1900,1,1),$L368)</f>
        <v/>
      </c>
      <c r="O368" s="35">
        <f>IF($M368="",DATE(2100,12,31),$M368)</f>
        <v/>
      </c>
      <c r="P368" s="20" t="inlineStr">
        <is>
          <t>Invoiced</t>
        </is>
      </c>
      <c r="Q368" s="43" t="inlineStr"/>
      <c r="R368" s="16">
        <f>IF($C368="","",IFERROR(IF(INDEX(Deals!$U$2:$U$355,MATCH($C368,Deals!$A$2:$A$355,0))=0,"",INDEX(Deals!$U$2:$U$355,MATCH($C368,Deals!$A$2:$A$355,0))),""))</f>
        <v/>
      </c>
      <c r="S368" s="34">
        <f>IFERROR(IF($U368="",1,INDEX(Deals!$V$2:$V$355,MATCH($C368,Deals!$A$2:$A$355,0))),1)</f>
        <v/>
      </c>
      <c r="T368" s="34">
        <f>IFERROR(IF($U368="",1,INDEX(Deals!$W$2:$W$355,MATCH($C368,Deals!$A$2:$A$355,0))),1)</f>
        <v/>
      </c>
      <c r="U368" s="22">
        <f>IF($C368="","",IFERROR(IF(INDEX(Deals!$Y$2:$Y$355,MATCH($C368,Deals!$A$2:$A$355,0))=0,"",INDEX(Deals!$Y$2:$Y$355,MATCH($C368,Deals!$A$2:$A$355,0))),""))</f>
        <v/>
      </c>
      <c r="V368" s="35">
        <f>IF($U368="",DATE(1900,1,1),$N368)</f>
        <v/>
      </c>
      <c r="W368" s="35">
        <f>IF($U368="",DATE(2100,12,31),$U368)</f>
        <v/>
      </c>
      <c r="X368" s="32">
        <f>IF($U368="",$K368,$K368*$S368)</f>
        <v/>
      </c>
      <c r="Y368" s="35">
        <f>IF($U368="",DATE(2100,12,31),$U368+1)</f>
        <v/>
      </c>
      <c r="Z368" s="35">
        <f>IF($U368="",DATE(1900,1,1),$O368)</f>
        <v/>
      </c>
      <c r="AA368" s="32">
        <f>IF($U368="",0,$K368*$T368)</f>
        <v/>
      </c>
      <c r="AB368" s="21">
        <f>IF($C368="",0,IFERROR(INDEX(Deals!$AD$2:$AD$355,MATCH($C368,Deals!$A$2:$A$355,0)),0))</f>
        <v/>
      </c>
      <c r="AC368" s="32">
        <f>IF(Settings!$B$4="Yes",$I368*$AB368,$I368)</f>
        <v/>
      </c>
      <c r="AD368" s="22">
        <f>IF($C368="","",IFERROR(IF(INDEX(Deals!$AE$2:$AE$355,MATCH($C368,Deals!$A$2:$A$355,0))=0,"",INDEX(Deals!$AE$2:$AE$355,MATCH($C368,Deals!$A$2:$A$355,0))),""))</f>
        <v/>
      </c>
      <c r="AE368" s="22">
        <f>IF($C368="","",IFERROR(IF(INDEX(Deals!$AF$2:$AF$355,MATCH($C368,Deals!$A$2:$A$355,0))=0,"",INDEX(Deals!$AF$2:$AF$355,MATCH($C368,Deals!$A$2:$A$355,0))),""))</f>
        <v/>
      </c>
      <c r="AF368" s="35">
        <f>IF($AD368="",DATE(1900,1,1),$AD368)</f>
        <v/>
      </c>
      <c r="AG368" s="35">
        <f>IF($AE368="",DATE(2100,12,31),$AE368)</f>
        <v/>
      </c>
      <c r="AH368" s="22">
        <f>IF($C368="","",IFERROR(IF(INDEX(Deals!$AG$2:$AG$355,MATCH($C368,Deals!$A$2:$A$355,0))=0,"",INDEX(Deals!$AG$2:$AG$355,MATCH($C368,Deals!$A$2:$A$355,0))),""))</f>
        <v/>
      </c>
      <c r="AI368" s="35">
        <f>IF($AH368="",DATE(1900,1,1),$AF368)</f>
        <v/>
      </c>
      <c r="AJ368" s="35">
        <f>IF($AH368="",DATE(2100,12,31),$AH368)</f>
        <v/>
      </c>
      <c r="AK368" s="32">
        <f>IF($AH368="",$AC368,$AC368*$S368)</f>
        <v/>
      </c>
      <c r="AL368" s="35">
        <f>IF($AH368="",DATE(2100,12,31),$AH368+1)</f>
        <v/>
      </c>
      <c r="AM368" s="35">
        <f>IF($AH368="",DATE(1900,1,1),$AG368)</f>
        <v/>
      </c>
      <c r="AN368" s="32">
        <f>IF($AH368="",0,$AC368*$T368)</f>
        <v/>
      </c>
    </row>
    <row r="369">
      <c r="A369" s="28" t="inlineStr">
        <is>
          <t>Patch</t>
        </is>
      </c>
      <c r="B369" s="16">
        <f>IF($A369="","",IFERROR(INDEX(Roster!$B$2:$B$40,MATCH($A369,Roster!$A$2:$A$40,0)),"?"))</f>
        <v/>
      </c>
      <c r="C369" s="28" t="inlineStr">
        <is>
          <t>AIM_5</t>
        </is>
      </c>
      <c r="D369" s="16">
        <f>IF($C369="","",IFERROR(IF(INDEX(Deals!$C$2:$C$355,MATCH($C369,Deals!$A$2:$A$355,0))=0,"",INDEX(Deals!$C$2:$C$355,MATCH($C369,Deals!$A$2:$A$355,0))),"?"))</f>
        <v/>
      </c>
      <c r="E369" s="16">
        <f>IF($C369="","",IFERROR(INDEX(Deals!$F$2:$F$355,MATCH($C369,Deals!$A$2:$A$355,0)),"?"))</f>
        <v/>
      </c>
      <c r="F369" s="28" t="inlineStr">
        <is>
          <t>VP</t>
        </is>
      </c>
      <c r="G369" s="28" t="inlineStr">
        <is>
          <t>Inactive</t>
        </is>
      </c>
      <c r="H369" s="31" t="n"/>
      <c r="I369" s="32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1">
        <f>IF($C369="",0,IFERROR(INDEX(Deals!$H$2:$H$355,MATCH($C369,Deals!$A$2:$A$355,0)),0))</f>
        <v/>
      </c>
      <c r="K369" s="32">
        <f>IF(Settings!$B$4="Yes",$I369*$J369,$I369)</f>
        <v/>
      </c>
      <c r="L369" s="22">
        <f>IF($C369="","",IFERROR(IF(INDEX(Deals!$I$2:$I$355,MATCH($C369,Deals!$A$2:$A$355,0))=0,"",INDEX(Deals!$I$2:$I$355,MATCH($C369,Deals!$A$2:$A$355,0))),""))</f>
        <v/>
      </c>
      <c r="M369" s="22">
        <f>IF($C369="","",IFERROR(IF(INDEX(Deals!$J$2:$J$355,MATCH($C369,Deals!$A$2:$A$355,0))=0,"",INDEX(Deals!$J$2:$J$355,MATCH($C369,Deals!$A$2:$A$355,0))),""))</f>
        <v/>
      </c>
      <c r="N369" s="35">
        <f>IF($L369="",DATE(1900,1,1),$L369)</f>
        <v/>
      </c>
      <c r="O369" s="35">
        <f>IF($M369="",DATE(2100,12,31),$M369)</f>
        <v/>
      </c>
      <c r="P369" s="20" t="inlineStr">
        <is>
          <t>Client stopped responding to us re: invoicing.</t>
        </is>
      </c>
      <c r="Q369" s="43" t="inlineStr"/>
      <c r="R369" s="16">
        <f>IF($C369="","",IFERROR(IF(INDEX(Deals!$U$2:$U$355,MATCH($C369,Deals!$A$2:$A$355,0))=0,"",INDEX(Deals!$U$2:$U$355,MATCH($C369,Deals!$A$2:$A$355,0))),""))</f>
        <v/>
      </c>
      <c r="S369" s="34">
        <f>IFERROR(IF($U369="",1,INDEX(Deals!$V$2:$V$355,MATCH($C369,Deals!$A$2:$A$355,0))),1)</f>
        <v/>
      </c>
      <c r="T369" s="34">
        <f>IFERROR(IF($U369="",1,INDEX(Deals!$W$2:$W$355,MATCH($C369,Deals!$A$2:$A$355,0))),1)</f>
        <v/>
      </c>
      <c r="U369" s="22">
        <f>IF($C369="","",IFERROR(IF(INDEX(Deals!$Y$2:$Y$355,MATCH($C369,Deals!$A$2:$A$355,0))=0,"",INDEX(Deals!$Y$2:$Y$355,MATCH($C369,Deals!$A$2:$A$355,0))),""))</f>
        <v/>
      </c>
      <c r="V369" s="35">
        <f>IF($U369="",DATE(1900,1,1),$N369)</f>
        <v/>
      </c>
      <c r="W369" s="35">
        <f>IF($U369="",DATE(2100,12,31),$U369)</f>
        <v/>
      </c>
      <c r="X369" s="32">
        <f>IF($U369="",$K369,$K369*$S369)</f>
        <v/>
      </c>
      <c r="Y369" s="35">
        <f>IF($U369="",DATE(2100,12,31),$U369+1)</f>
        <v/>
      </c>
      <c r="Z369" s="35">
        <f>IF($U369="",DATE(1900,1,1),$O369)</f>
        <v/>
      </c>
      <c r="AA369" s="32">
        <f>IF($U369="",0,$K369*$T369)</f>
        <v/>
      </c>
      <c r="AB369" s="21">
        <f>IF($C369="",0,IFERROR(INDEX(Deals!$AD$2:$AD$355,MATCH($C369,Deals!$A$2:$A$355,0)),0))</f>
        <v/>
      </c>
      <c r="AC369" s="32">
        <f>IF(Settings!$B$4="Yes",$I369*$AB369,$I369)</f>
        <v/>
      </c>
      <c r="AD369" s="22">
        <f>IF($C369="","",IFERROR(IF(INDEX(Deals!$AE$2:$AE$355,MATCH($C369,Deals!$A$2:$A$355,0))=0,"",INDEX(Deals!$AE$2:$AE$355,MATCH($C369,Deals!$A$2:$A$355,0))),""))</f>
        <v/>
      </c>
      <c r="AE369" s="22">
        <f>IF($C369="","",IFERROR(IF(INDEX(Deals!$AF$2:$AF$355,MATCH($C369,Deals!$A$2:$A$355,0))=0,"",INDEX(Deals!$AF$2:$AF$355,MATCH($C369,Deals!$A$2:$A$355,0))),""))</f>
        <v/>
      </c>
      <c r="AF369" s="35">
        <f>IF($AD369="",DATE(1900,1,1),$AD369)</f>
        <v/>
      </c>
      <c r="AG369" s="35">
        <f>IF($AE369="",DATE(2100,12,31),$AE369)</f>
        <v/>
      </c>
      <c r="AH369" s="22">
        <f>IF($C369="","",IFERROR(IF(INDEX(Deals!$AG$2:$AG$355,MATCH($C369,Deals!$A$2:$A$355,0))=0,"",INDEX(Deals!$AG$2:$AG$355,MATCH($C369,Deals!$A$2:$A$355,0))),""))</f>
        <v/>
      </c>
      <c r="AI369" s="35">
        <f>IF($AH369="",DATE(1900,1,1),$AF369)</f>
        <v/>
      </c>
      <c r="AJ369" s="35">
        <f>IF($AH369="",DATE(2100,12,31),$AH369)</f>
        <v/>
      </c>
      <c r="AK369" s="32">
        <f>IF($AH369="",$AC369,$AC369*$S369)</f>
        <v/>
      </c>
      <c r="AL369" s="35">
        <f>IF($AH369="",DATE(2100,12,31),$AH369+1)</f>
        <v/>
      </c>
      <c r="AM369" s="35">
        <f>IF($AH369="",DATE(1900,1,1),$AG369)</f>
        <v/>
      </c>
      <c r="AN369" s="32">
        <f>IF($AH369="",0,$AC369*$T369)</f>
        <v/>
      </c>
    </row>
    <row r="370">
      <c r="A370" s="28" t="inlineStr">
        <is>
          <t>Patch</t>
        </is>
      </c>
      <c r="B370" s="16">
        <f>IF($A370="","",IFERROR(INDEX(Roster!$B$2:$B$40,MATCH($A370,Roster!$A$2:$A$40,0)),"?"))</f>
        <v/>
      </c>
      <c r="C370" s="28" t="inlineStr">
        <is>
          <t>Arctic_2</t>
        </is>
      </c>
      <c r="D370" s="16">
        <f>IF($C370="","",IFERROR(IF(INDEX(Deals!$C$2:$C$355,MATCH($C370,Deals!$A$2:$A$355,0))=0,"",INDEX(Deals!$C$2:$C$355,MATCH($C370,Deals!$A$2:$A$355,0))),"?"))</f>
        <v/>
      </c>
      <c r="E370" s="16">
        <f>IF($C370="","",IFERROR(INDEX(Deals!$F$2:$F$355,MATCH($C370,Deals!$A$2:$A$355,0)),"?"))</f>
        <v/>
      </c>
      <c r="F370" s="28" t="inlineStr">
        <is>
          <t>VP</t>
        </is>
      </c>
      <c r="G370" s="28" t="inlineStr">
        <is>
          <t>Inactive</t>
        </is>
      </c>
      <c r="H370" s="31" t="n"/>
      <c r="I370" s="32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1">
        <f>IF($C370="",0,IFERROR(INDEX(Deals!$H$2:$H$355,MATCH($C370,Deals!$A$2:$A$355,0)),0))</f>
        <v/>
      </c>
      <c r="K370" s="32">
        <f>IF(Settings!$B$4="Yes",$I370*$J370,$I370)</f>
        <v/>
      </c>
      <c r="L370" s="22">
        <f>IF($C370="","",IFERROR(IF(INDEX(Deals!$I$2:$I$355,MATCH($C370,Deals!$A$2:$A$355,0))=0,"",INDEX(Deals!$I$2:$I$355,MATCH($C370,Deals!$A$2:$A$355,0))),""))</f>
        <v/>
      </c>
      <c r="M370" s="22">
        <f>IF($C370="","",IFERROR(IF(INDEX(Deals!$J$2:$J$355,MATCH($C370,Deals!$A$2:$A$355,0))=0,"",INDEX(Deals!$J$2:$J$355,MATCH($C370,Deals!$A$2:$A$355,0))),""))</f>
        <v/>
      </c>
      <c r="N370" s="35">
        <f>IF($L370="",DATE(1900,1,1),$L370)</f>
        <v/>
      </c>
      <c r="O370" s="35">
        <f>IF($M370="",DATE(2100,12,31),$M370)</f>
        <v/>
      </c>
      <c r="P370" s="20" t="inlineStr">
        <is>
          <t>Pencils Down</t>
        </is>
      </c>
      <c r="Q370" s="43" t="inlineStr"/>
      <c r="R370" s="16">
        <f>IF($C370="","",IFERROR(IF(INDEX(Deals!$U$2:$U$355,MATCH($C370,Deals!$A$2:$A$355,0))=0,"",INDEX(Deals!$U$2:$U$355,MATCH($C370,Deals!$A$2:$A$355,0))),""))</f>
        <v/>
      </c>
      <c r="S370" s="34">
        <f>IFERROR(IF($U370="",1,INDEX(Deals!$V$2:$V$355,MATCH($C370,Deals!$A$2:$A$355,0))),1)</f>
        <v/>
      </c>
      <c r="T370" s="34">
        <f>IFERROR(IF($U370="",1,INDEX(Deals!$W$2:$W$355,MATCH($C370,Deals!$A$2:$A$355,0))),1)</f>
        <v/>
      </c>
      <c r="U370" s="22">
        <f>IF($C370="","",IFERROR(IF(INDEX(Deals!$Y$2:$Y$355,MATCH($C370,Deals!$A$2:$A$355,0))=0,"",INDEX(Deals!$Y$2:$Y$355,MATCH($C370,Deals!$A$2:$A$355,0))),""))</f>
        <v/>
      </c>
      <c r="V370" s="35">
        <f>IF($U370="",DATE(1900,1,1),$N370)</f>
        <v/>
      </c>
      <c r="W370" s="35">
        <f>IF($U370="",DATE(2100,12,31),$U370)</f>
        <v/>
      </c>
      <c r="X370" s="32">
        <f>IF($U370="",$K370,$K370*$S370)</f>
        <v/>
      </c>
      <c r="Y370" s="35">
        <f>IF($U370="",DATE(2100,12,31),$U370+1)</f>
        <v/>
      </c>
      <c r="Z370" s="35">
        <f>IF($U370="",DATE(1900,1,1),$O370)</f>
        <v/>
      </c>
      <c r="AA370" s="32">
        <f>IF($U370="",0,$K370*$T370)</f>
        <v/>
      </c>
      <c r="AB370" s="21">
        <f>IF($C370="",0,IFERROR(INDEX(Deals!$AD$2:$AD$355,MATCH($C370,Deals!$A$2:$A$355,0)),0))</f>
        <v/>
      </c>
      <c r="AC370" s="32">
        <f>IF(Settings!$B$4="Yes",$I370*$AB370,$I370)</f>
        <v/>
      </c>
      <c r="AD370" s="22">
        <f>IF($C370="","",IFERROR(IF(INDEX(Deals!$AE$2:$AE$355,MATCH($C370,Deals!$A$2:$A$355,0))=0,"",INDEX(Deals!$AE$2:$AE$355,MATCH($C370,Deals!$A$2:$A$355,0))),""))</f>
        <v/>
      </c>
      <c r="AE370" s="22">
        <f>IF($C370="","",IFERROR(IF(INDEX(Deals!$AF$2:$AF$355,MATCH($C370,Deals!$A$2:$A$355,0))=0,"",INDEX(Deals!$AF$2:$AF$355,MATCH($C370,Deals!$A$2:$A$355,0))),""))</f>
        <v/>
      </c>
      <c r="AF370" s="35">
        <f>IF($AD370="",DATE(1900,1,1),$AD370)</f>
        <v/>
      </c>
      <c r="AG370" s="35">
        <f>IF($AE370="",DATE(2100,12,31),$AE370)</f>
        <v/>
      </c>
      <c r="AH370" s="22">
        <f>IF($C370="","",IFERROR(IF(INDEX(Deals!$AG$2:$AG$355,MATCH($C370,Deals!$A$2:$A$355,0))=0,"",INDEX(Deals!$AG$2:$AG$355,MATCH($C370,Deals!$A$2:$A$355,0))),""))</f>
        <v/>
      </c>
      <c r="AI370" s="35">
        <f>IF($AH370="",DATE(1900,1,1),$AF370)</f>
        <v/>
      </c>
      <c r="AJ370" s="35">
        <f>IF($AH370="",DATE(2100,12,31),$AH370)</f>
        <v/>
      </c>
      <c r="AK370" s="32">
        <f>IF($AH370="",$AC370,$AC370*$S370)</f>
        <v/>
      </c>
      <c r="AL370" s="35">
        <f>IF($AH370="",DATE(2100,12,31),$AH370+1)</f>
        <v/>
      </c>
      <c r="AM370" s="35">
        <f>IF($AH370="",DATE(1900,1,1),$AG370)</f>
        <v/>
      </c>
      <c r="AN370" s="32">
        <f>IF($AH370="",0,$AC370*$T370)</f>
        <v/>
      </c>
    </row>
    <row r="371">
      <c r="A371" s="28" t="inlineStr">
        <is>
          <t>Patch</t>
        </is>
      </c>
      <c r="B371" s="16">
        <f>IF($A371="","",IFERROR(INDEX(Roster!$B$2:$B$40,MATCH($A371,Roster!$A$2:$A$40,0)),"?"))</f>
        <v/>
      </c>
      <c r="C371" s="28" t="inlineStr">
        <is>
          <t>Brass_2</t>
        </is>
      </c>
      <c r="D371" s="16">
        <f>IF($C371="","",IFERROR(IF(INDEX(Deals!$C$2:$C$355,MATCH($C371,Deals!$A$2:$A$355,0))=0,"",INDEX(Deals!$C$2:$C$355,MATCH($C371,Deals!$A$2:$A$355,0))),"?"))</f>
        <v/>
      </c>
      <c r="E371" s="16">
        <f>IF($C371="","",IFERROR(INDEX(Deals!$F$2:$F$355,MATCH($C371,Deals!$A$2:$A$355,0)),"?"))</f>
        <v/>
      </c>
      <c r="F371" s="28" t="inlineStr">
        <is>
          <t>VP</t>
        </is>
      </c>
      <c r="G371" s="28" t="inlineStr">
        <is>
          <t>Inactive</t>
        </is>
      </c>
      <c r="H371" s="31" t="n"/>
      <c r="I371" s="32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1">
        <f>IF($C371="",0,IFERROR(INDEX(Deals!$H$2:$H$355,MATCH($C371,Deals!$A$2:$A$355,0)),0))</f>
        <v/>
      </c>
      <c r="K371" s="32">
        <f>IF(Settings!$B$4="Yes",$I371*$J371,$I371)</f>
        <v/>
      </c>
      <c r="L371" s="22">
        <f>IF($C371="","",IFERROR(IF(INDEX(Deals!$I$2:$I$355,MATCH($C371,Deals!$A$2:$A$355,0))=0,"",INDEX(Deals!$I$2:$I$355,MATCH($C371,Deals!$A$2:$A$355,0))),""))</f>
        <v/>
      </c>
      <c r="M371" s="22">
        <f>IF($C371="","",IFERROR(IF(INDEX(Deals!$J$2:$J$355,MATCH($C371,Deals!$A$2:$A$355,0))=0,"",INDEX(Deals!$J$2:$J$355,MATCH($C371,Deals!$A$2:$A$355,0))),""))</f>
        <v/>
      </c>
      <c r="N371" s="35">
        <f>IF($L371="",DATE(1900,1,1),$L371)</f>
        <v/>
      </c>
      <c r="O371" s="35">
        <f>IF($M371="",DATE(2100,12,31),$M371)</f>
        <v/>
      </c>
      <c r="P371" s="20" t="inlineStr">
        <is>
          <t>This was probably when I was helping check tax insurance datarooms.</t>
        </is>
      </c>
      <c r="Q371" s="43" t="inlineStr"/>
      <c r="R371" s="16">
        <f>IF($C371="","",IFERROR(IF(INDEX(Deals!$U$2:$U$355,MATCH($C371,Deals!$A$2:$A$355,0))=0,"",INDEX(Deals!$U$2:$U$355,MATCH($C371,Deals!$A$2:$A$355,0))),""))</f>
        <v/>
      </c>
      <c r="S371" s="34">
        <f>IFERROR(IF($U371="",1,INDEX(Deals!$V$2:$V$355,MATCH($C371,Deals!$A$2:$A$355,0))),1)</f>
        <v/>
      </c>
      <c r="T371" s="34">
        <f>IFERROR(IF($U371="",1,INDEX(Deals!$W$2:$W$355,MATCH($C371,Deals!$A$2:$A$355,0))),1)</f>
        <v/>
      </c>
      <c r="U371" s="22">
        <f>IF($C371="","",IFERROR(IF(INDEX(Deals!$Y$2:$Y$355,MATCH($C371,Deals!$A$2:$A$355,0))=0,"",INDEX(Deals!$Y$2:$Y$355,MATCH($C371,Deals!$A$2:$A$355,0))),""))</f>
        <v/>
      </c>
      <c r="V371" s="35">
        <f>IF($U371="",DATE(1900,1,1),$N371)</f>
        <v/>
      </c>
      <c r="W371" s="35">
        <f>IF($U371="",DATE(2100,12,31),$U371)</f>
        <v/>
      </c>
      <c r="X371" s="32">
        <f>IF($U371="",$K371,$K371*$S371)</f>
        <v/>
      </c>
      <c r="Y371" s="35">
        <f>IF($U371="",DATE(2100,12,31),$U371+1)</f>
        <v/>
      </c>
      <c r="Z371" s="35">
        <f>IF($U371="",DATE(1900,1,1),$O371)</f>
        <v/>
      </c>
      <c r="AA371" s="32">
        <f>IF($U371="",0,$K371*$T371)</f>
        <v/>
      </c>
      <c r="AB371" s="21">
        <f>IF($C371="",0,IFERROR(INDEX(Deals!$AD$2:$AD$355,MATCH($C371,Deals!$A$2:$A$355,0)),0))</f>
        <v/>
      </c>
      <c r="AC371" s="32">
        <f>IF(Settings!$B$4="Yes",$I371*$AB371,$I371)</f>
        <v/>
      </c>
      <c r="AD371" s="22">
        <f>IF($C371="","",IFERROR(IF(INDEX(Deals!$AE$2:$AE$355,MATCH($C371,Deals!$A$2:$A$355,0))=0,"",INDEX(Deals!$AE$2:$AE$355,MATCH($C371,Deals!$A$2:$A$355,0))),""))</f>
        <v/>
      </c>
      <c r="AE371" s="22">
        <f>IF($C371="","",IFERROR(IF(INDEX(Deals!$AF$2:$AF$355,MATCH($C371,Deals!$A$2:$A$355,0))=0,"",INDEX(Deals!$AF$2:$AF$355,MATCH($C371,Deals!$A$2:$A$355,0))),""))</f>
        <v/>
      </c>
      <c r="AF371" s="35">
        <f>IF($AD371="",DATE(1900,1,1),$AD371)</f>
        <v/>
      </c>
      <c r="AG371" s="35">
        <f>IF($AE371="",DATE(2100,12,31),$AE371)</f>
        <v/>
      </c>
      <c r="AH371" s="22">
        <f>IF($C371="","",IFERROR(IF(INDEX(Deals!$AG$2:$AG$355,MATCH($C371,Deals!$A$2:$A$355,0))=0,"",INDEX(Deals!$AG$2:$AG$355,MATCH($C371,Deals!$A$2:$A$355,0))),""))</f>
        <v/>
      </c>
      <c r="AI371" s="35">
        <f>IF($AH371="",DATE(1900,1,1),$AF371)</f>
        <v/>
      </c>
      <c r="AJ371" s="35">
        <f>IF($AH371="",DATE(2100,12,31),$AH371)</f>
        <v/>
      </c>
      <c r="AK371" s="32">
        <f>IF($AH371="",$AC371,$AC371*$S371)</f>
        <v/>
      </c>
      <c r="AL371" s="35">
        <f>IF($AH371="",DATE(2100,12,31),$AH371+1)</f>
        <v/>
      </c>
      <c r="AM371" s="35">
        <f>IF($AH371="",DATE(1900,1,1),$AG371)</f>
        <v/>
      </c>
      <c r="AN371" s="32">
        <f>IF($AH371="",0,$AC371*$T371)</f>
        <v/>
      </c>
    </row>
    <row r="372">
      <c r="A372" s="28" t="inlineStr">
        <is>
          <t>Patch</t>
        </is>
      </c>
      <c r="B372" s="16">
        <f>IF($A372="","",IFERROR(INDEX(Roster!$B$2:$B$40,MATCH($A372,Roster!$A$2:$A$40,0)),"?"))</f>
        <v/>
      </c>
      <c r="C372" s="28" t="inlineStr">
        <is>
          <t>Camaro_1</t>
        </is>
      </c>
      <c r="D372" s="16">
        <f>IF($C372="","",IFERROR(IF(INDEX(Deals!$C$2:$C$355,MATCH($C372,Deals!$A$2:$A$355,0))=0,"",INDEX(Deals!$C$2:$C$355,MATCH($C372,Deals!$A$2:$A$355,0))),"?"))</f>
        <v/>
      </c>
      <c r="E372" s="16">
        <f>IF($C372="","",IFERROR(INDEX(Deals!$F$2:$F$355,MATCH($C372,Deals!$A$2:$A$355,0)),"?"))</f>
        <v/>
      </c>
      <c r="F372" s="28" t="inlineStr">
        <is>
          <t>VP</t>
        </is>
      </c>
      <c r="G372" s="28" t="inlineStr">
        <is>
          <t>Inactive</t>
        </is>
      </c>
      <c r="H372" s="31" t="n"/>
      <c r="I372" s="32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1">
        <f>IF($C372="",0,IFERROR(INDEX(Deals!$H$2:$H$355,MATCH($C372,Deals!$A$2:$A$355,0)),0))</f>
        <v/>
      </c>
      <c r="K372" s="32">
        <f>IF(Settings!$B$4="Yes",$I372*$J372,$I372)</f>
        <v/>
      </c>
      <c r="L372" s="22">
        <f>IF($C372="","",IFERROR(IF(INDEX(Deals!$I$2:$I$355,MATCH($C372,Deals!$A$2:$A$355,0))=0,"",INDEX(Deals!$I$2:$I$355,MATCH($C372,Deals!$A$2:$A$355,0))),""))</f>
        <v/>
      </c>
      <c r="M372" s="22">
        <f>IF($C372="","",IFERROR(IF(INDEX(Deals!$J$2:$J$355,MATCH($C372,Deals!$A$2:$A$355,0))=0,"",INDEX(Deals!$J$2:$J$355,MATCH($C372,Deals!$A$2:$A$355,0))),""))</f>
        <v/>
      </c>
      <c r="N372" s="35">
        <f>IF($L372="",DATE(1900,1,1),$L372)</f>
        <v/>
      </c>
      <c r="O372" s="35">
        <f>IF($M372="",DATE(2100,12,31),$M372)</f>
        <v/>
      </c>
      <c r="P372" s="20" t="inlineStr">
        <is>
          <t>Pencils down</t>
        </is>
      </c>
      <c r="Q372" s="43" t="inlineStr"/>
      <c r="R372" s="16">
        <f>IF($C372="","",IFERROR(IF(INDEX(Deals!$U$2:$U$355,MATCH($C372,Deals!$A$2:$A$355,0))=0,"",INDEX(Deals!$U$2:$U$355,MATCH($C372,Deals!$A$2:$A$355,0))),""))</f>
        <v/>
      </c>
      <c r="S372" s="34">
        <f>IFERROR(IF($U372="",1,INDEX(Deals!$V$2:$V$355,MATCH($C372,Deals!$A$2:$A$355,0))),1)</f>
        <v/>
      </c>
      <c r="T372" s="34">
        <f>IFERROR(IF($U372="",1,INDEX(Deals!$W$2:$W$355,MATCH($C372,Deals!$A$2:$A$355,0))),1)</f>
        <v/>
      </c>
      <c r="U372" s="22">
        <f>IF($C372="","",IFERROR(IF(INDEX(Deals!$Y$2:$Y$355,MATCH($C372,Deals!$A$2:$A$355,0))=0,"",INDEX(Deals!$Y$2:$Y$355,MATCH($C372,Deals!$A$2:$A$355,0))),""))</f>
        <v/>
      </c>
      <c r="V372" s="35">
        <f>IF($U372="",DATE(1900,1,1),$N372)</f>
        <v/>
      </c>
      <c r="W372" s="35">
        <f>IF($U372="",DATE(2100,12,31),$U372)</f>
        <v/>
      </c>
      <c r="X372" s="32">
        <f>IF($U372="",$K372,$K372*$S372)</f>
        <v/>
      </c>
      <c r="Y372" s="35">
        <f>IF($U372="",DATE(2100,12,31),$U372+1)</f>
        <v/>
      </c>
      <c r="Z372" s="35">
        <f>IF($U372="",DATE(1900,1,1),$O372)</f>
        <v/>
      </c>
      <c r="AA372" s="32">
        <f>IF($U372="",0,$K372*$T372)</f>
        <v/>
      </c>
      <c r="AB372" s="21">
        <f>IF($C372="",0,IFERROR(INDEX(Deals!$AD$2:$AD$355,MATCH($C372,Deals!$A$2:$A$355,0)),0))</f>
        <v/>
      </c>
      <c r="AC372" s="32">
        <f>IF(Settings!$B$4="Yes",$I372*$AB372,$I372)</f>
        <v/>
      </c>
      <c r="AD372" s="22">
        <f>IF($C372="","",IFERROR(IF(INDEX(Deals!$AE$2:$AE$355,MATCH($C372,Deals!$A$2:$A$355,0))=0,"",INDEX(Deals!$AE$2:$AE$355,MATCH($C372,Deals!$A$2:$A$355,0))),""))</f>
        <v/>
      </c>
      <c r="AE372" s="22">
        <f>IF($C372="","",IFERROR(IF(INDEX(Deals!$AF$2:$AF$355,MATCH($C372,Deals!$A$2:$A$355,0))=0,"",INDEX(Deals!$AF$2:$AF$355,MATCH($C372,Deals!$A$2:$A$355,0))),""))</f>
        <v/>
      </c>
      <c r="AF372" s="35">
        <f>IF($AD372="",DATE(1900,1,1),$AD372)</f>
        <v/>
      </c>
      <c r="AG372" s="35">
        <f>IF($AE372="",DATE(2100,12,31),$AE372)</f>
        <v/>
      </c>
      <c r="AH372" s="22">
        <f>IF($C372="","",IFERROR(IF(INDEX(Deals!$AG$2:$AG$355,MATCH($C372,Deals!$A$2:$A$355,0))=0,"",INDEX(Deals!$AG$2:$AG$355,MATCH($C372,Deals!$A$2:$A$355,0))),""))</f>
        <v/>
      </c>
      <c r="AI372" s="35">
        <f>IF($AH372="",DATE(1900,1,1),$AF372)</f>
        <v/>
      </c>
      <c r="AJ372" s="35">
        <f>IF($AH372="",DATE(2100,12,31),$AH372)</f>
        <v/>
      </c>
      <c r="AK372" s="32">
        <f>IF($AH372="",$AC372,$AC372*$S372)</f>
        <v/>
      </c>
      <c r="AL372" s="35">
        <f>IF($AH372="",DATE(2100,12,31),$AH372+1)</f>
        <v/>
      </c>
      <c r="AM372" s="35">
        <f>IF($AH372="",DATE(1900,1,1),$AG372)</f>
        <v/>
      </c>
      <c r="AN372" s="32">
        <f>IF($AH372="",0,$AC372*$T372)</f>
        <v/>
      </c>
    </row>
    <row r="373">
      <c r="A373" s="28" t="inlineStr">
        <is>
          <t>Patch</t>
        </is>
      </c>
      <c r="B373" s="16">
        <f>IF($A373="","",IFERROR(INDEX(Roster!$B$2:$B$40,MATCH($A373,Roster!$A$2:$A$40,0)),"?"))</f>
        <v/>
      </c>
      <c r="C373" s="28" t="inlineStr">
        <is>
          <t>Celestial_1</t>
        </is>
      </c>
      <c r="D373" s="16">
        <f>IF($C373="","",IFERROR(IF(INDEX(Deals!$C$2:$C$355,MATCH($C373,Deals!$A$2:$A$355,0))=0,"",INDEX(Deals!$C$2:$C$355,MATCH($C373,Deals!$A$2:$A$355,0))),"?"))</f>
        <v/>
      </c>
      <c r="E373" s="16">
        <f>IF($C373="","",IFERROR(INDEX(Deals!$F$2:$F$355,MATCH($C373,Deals!$A$2:$A$355,0)),"?"))</f>
        <v/>
      </c>
      <c r="F373" s="28" t="inlineStr">
        <is>
          <t>VP</t>
        </is>
      </c>
      <c r="G373" s="28" t="inlineStr">
        <is>
          <t>Active</t>
        </is>
      </c>
      <c r="H373" s="31" t="n"/>
      <c r="I373" s="32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1">
        <f>IF($C373="",0,IFERROR(INDEX(Deals!$H$2:$H$355,MATCH($C373,Deals!$A$2:$A$355,0)),0))</f>
        <v/>
      </c>
      <c r="K373" s="32">
        <f>IF(Settings!$B$4="Yes",$I373*$J373,$I373)</f>
        <v/>
      </c>
      <c r="L373" s="22">
        <f>IF($C373="","",IFERROR(IF(INDEX(Deals!$I$2:$I$355,MATCH($C373,Deals!$A$2:$A$355,0))=0,"",INDEX(Deals!$I$2:$I$355,MATCH($C373,Deals!$A$2:$A$355,0))),""))</f>
        <v/>
      </c>
      <c r="M373" s="22">
        <f>IF($C373="","",IFERROR(IF(INDEX(Deals!$J$2:$J$355,MATCH($C373,Deals!$A$2:$A$355,0))=0,"",INDEX(Deals!$J$2:$J$355,MATCH($C373,Deals!$A$2:$A$355,0))),""))</f>
        <v/>
      </c>
      <c r="N373" s="35">
        <f>IF($L373="",DATE(1900,1,1),$L373)</f>
        <v/>
      </c>
      <c r="O373" s="35">
        <f>IF($M373="",DATE(2100,12,31),$M373)</f>
        <v/>
      </c>
      <c r="P373" s="20" t="inlineStr">
        <is>
          <t>Ongoing</t>
        </is>
      </c>
      <c r="Q373" s="43" t="inlineStr"/>
      <c r="R373" s="16">
        <f>IF($C373="","",IFERROR(IF(INDEX(Deals!$U$2:$U$355,MATCH($C373,Deals!$A$2:$A$355,0))=0,"",INDEX(Deals!$U$2:$U$355,MATCH($C373,Deals!$A$2:$A$355,0))),""))</f>
        <v/>
      </c>
      <c r="S373" s="34">
        <f>IFERROR(IF($U373="",1,INDEX(Deals!$V$2:$V$355,MATCH($C373,Deals!$A$2:$A$355,0))),1)</f>
        <v/>
      </c>
      <c r="T373" s="34">
        <f>IFERROR(IF($U373="",1,INDEX(Deals!$W$2:$W$355,MATCH($C373,Deals!$A$2:$A$355,0))),1)</f>
        <v/>
      </c>
      <c r="U373" s="22">
        <f>IF($C373="","",IFERROR(IF(INDEX(Deals!$Y$2:$Y$355,MATCH($C373,Deals!$A$2:$A$355,0))=0,"",INDEX(Deals!$Y$2:$Y$355,MATCH($C373,Deals!$A$2:$A$355,0))),""))</f>
        <v/>
      </c>
      <c r="V373" s="35">
        <f>IF($U373="",DATE(1900,1,1),$N373)</f>
        <v/>
      </c>
      <c r="W373" s="35">
        <f>IF($U373="",DATE(2100,12,31),$U373)</f>
        <v/>
      </c>
      <c r="X373" s="32">
        <f>IF($U373="",$K373,$K373*$S373)</f>
        <v/>
      </c>
      <c r="Y373" s="35">
        <f>IF($U373="",DATE(2100,12,31),$U373+1)</f>
        <v/>
      </c>
      <c r="Z373" s="35">
        <f>IF($U373="",DATE(1900,1,1),$O373)</f>
        <v/>
      </c>
      <c r="AA373" s="32">
        <f>IF($U373="",0,$K373*$T373)</f>
        <v/>
      </c>
      <c r="AB373" s="21">
        <f>IF($C373="",0,IFERROR(INDEX(Deals!$AD$2:$AD$355,MATCH($C373,Deals!$A$2:$A$355,0)),0))</f>
        <v/>
      </c>
      <c r="AC373" s="32">
        <f>IF(Settings!$B$4="Yes",$I373*$AB373,$I373)</f>
        <v/>
      </c>
      <c r="AD373" s="22">
        <f>IF($C373="","",IFERROR(IF(INDEX(Deals!$AE$2:$AE$355,MATCH($C373,Deals!$A$2:$A$355,0))=0,"",INDEX(Deals!$AE$2:$AE$355,MATCH($C373,Deals!$A$2:$A$355,0))),""))</f>
        <v/>
      </c>
      <c r="AE373" s="22">
        <f>IF($C373="","",IFERROR(IF(INDEX(Deals!$AF$2:$AF$355,MATCH($C373,Deals!$A$2:$A$355,0))=0,"",INDEX(Deals!$AF$2:$AF$355,MATCH($C373,Deals!$A$2:$A$355,0))),""))</f>
        <v/>
      </c>
      <c r="AF373" s="35">
        <f>IF($AD373="",DATE(1900,1,1),$AD373)</f>
        <v/>
      </c>
      <c r="AG373" s="35">
        <f>IF($AE373="",DATE(2100,12,31),$AE373)</f>
        <v/>
      </c>
      <c r="AH373" s="22">
        <f>IF($C373="","",IFERROR(IF(INDEX(Deals!$AG$2:$AG$355,MATCH($C373,Deals!$A$2:$A$355,0))=0,"",INDEX(Deals!$AG$2:$AG$355,MATCH($C373,Deals!$A$2:$A$355,0))),""))</f>
        <v/>
      </c>
      <c r="AI373" s="35">
        <f>IF($AH373="",DATE(1900,1,1),$AF373)</f>
        <v/>
      </c>
      <c r="AJ373" s="35">
        <f>IF($AH373="",DATE(2100,12,31),$AH373)</f>
        <v/>
      </c>
      <c r="AK373" s="32">
        <f>IF($AH373="",$AC373,$AC373*$S373)</f>
        <v/>
      </c>
      <c r="AL373" s="35">
        <f>IF($AH373="",DATE(2100,12,31),$AH373+1)</f>
        <v/>
      </c>
      <c r="AM373" s="35">
        <f>IF($AH373="",DATE(1900,1,1),$AG373)</f>
        <v/>
      </c>
      <c r="AN373" s="32">
        <f>IF($AH373="",0,$AC373*$T373)</f>
        <v/>
      </c>
    </row>
    <row r="374">
      <c r="A374" s="28" t="inlineStr">
        <is>
          <t>Patch</t>
        </is>
      </c>
      <c r="B374" s="16">
        <f>IF($A374="","",IFERROR(INDEX(Roster!$B$2:$B$40,MATCH($A374,Roster!$A$2:$A$40,0)),"?"))</f>
        <v/>
      </c>
      <c r="C374" s="28" t="inlineStr">
        <is>
          <t>Challenger_1</t>
        </is>
      </c>
      <c r="D374" s="16">
        <f>IF($C374="","",IFERROR(IF(INDEX(Deals!$C$2:$C$355,MATCH($C374,Deals!$A$2:$A$355,0))=0,"",INDEX(Deals!$C$2:$C$355,MATCH($C374,Deals!$A$2:$A$355,0))),"?"))</f>
        <v/>
      </c>
      <c r="E374" s="16">
        <f>IF($C374="","",IFERROR(INDEX(Deals!$F$2:$F$355,MATCH($C374,Deals!$A$2:$A$355,0)),"?"))</f>
        <v/>
      </c>
      <c r="F374" s="28" t="inlineStr">
        <is>
          <t>VP</t>
        </is>
      </c>
      <c r="G374" s="28" t="inlineStr">
        <is>
          <t>Active</t>
        </is>
      </c>
      <c r="H374" s="31" t="n"/>
      <c r="I374" s="32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1">
        <f>IF($C374="",0,IFERROR(INDEX(Deals!$H$2:$H$355,MATCH($C374,Deals!$A$2:$A$355,0)),0))</f>
        <v/>
      </c>
      <c r="K374" s="32">
        <f>IF(Settings!$B$4="Yes",$I374*$J374,$I374)</f>
        <v/>
      </c>
      <c r="L374" s="22">
        <f>IF($C374="","",IFERROR(IF(INDEX(Deals!$I$2:$I$355,MATCH($C374,Deals!$A$2:$A$355,0))=0,"",INDEX(Deals!$I$2:$I$355,MATCH($C374,Deals!$A$2:$A$355,0))),""))</f>
        <v/>
      </c>
      <c r="M374" s="22">
        <f>IF($C374="","",IFERROR(IF(INDEX(Deals!$J$2:$J$355,MATCH($C374,Deals!$A$2:$A$355,0))=0,"",INDEX(Deals!$J$2:$J$355,MATCH($C374,Deals!$A$2:$A$355,0))),""))</f>
        <v/>
      </c>
      <c r="N374" s="35">
        <f>IF($L374="",DATE(1900,1,1),$L374)</f>
        <v/>
      </c>
      <c r="O374" s="35">
        <f>IF($M374="",DATE(2100,12,31),$M374)</f>
        <v/>
      </c>
      <c r="P374" s="20" t="inlineStr">
        <is>
          <t>Ongoing</t>
        </is>
      </c>
      <c r="Q374" s="43" t="inlineStr"/>
      <c r="R374" s="16">
        <f>IF($C374="","",IFERROR(IF(INDEX(Deals!$U$2:$U$355,MATCH($C374,Deals!$A$2:$A$355,0))=0,"",INDEX(Deals!$U$2:$U$355,MATCH($C374,Deals!$A$2:$A$355,0))),""))</f>
        <v/>
      </c>
      <c r="S374" s="34">
        <f>IFERROR(IF($U374="",1,INDEX(Deals!$V$2:$V$355,MATCH($C374,Deals!$A$2:$A$355,0))),1)</f>
        <v/>
      </c>
      <c r="T374" s="34">
        <f>IFERROR(IF($U374="",1,INDEX(Deals!$W$2:$W$355,MATCH($C374,Deals!$A$2:$A$355,0))),1)</f>
        <v/>
      </c>
      <c r="U374" s="22">
        <f>IF($C374="","",IFERROR(IF(INDEX(Deals!$Y$2:$Y$355,MATCH($C374,Deals!$A$2:$A$355,0))=0,"",INDEX(Deals!$Y$2:$Y$355,MATCH($C374,Deals!$A$2:$A$355,0))),""))</f>
        <v/>
      </c>
      <c r="V374" s="35">
        <f>IF($U374="",DATE(1900,1,1),$N374)</f>
        <v/>
      </c>
      <c r="W374" s="35">
        <f>IF($U374="",DATE(2100,12,31),$U374)</f>
        <v/>
      </c>
      <c r="X374" s="32">
        <f>IF($U374="",$K374,$K374*$S374)</f>
        <v/>
      </c>
      <c r="Y374" s="35">
        <f>IF($U374="",DATE(2100,12,31),$U374+1)</f>
        <v/>
      </c>
      <c r="Z374" s="35">
        <f>IF($U374="",DATE(1900,1,1),$O374)</f>
        <v/>
      </c>
      <c r="AA374" s="32">
        <f>IF($U374="",0,$K374*$T374)</f>
        <v/>
      </c>
      <c r="AB374" s="21">
        <f>IF($C374="",0,IFERROR(INDEX(Deals!$AD$2:$AD$355,MATCH($C374,Deals!$A$2:$A$355,0)),0))</f>
        <v/>
      </c>
      <c r="AC374" s="32">
        <f>IF(Settings!$B$4="Yes",$I374*$AB374,$I374)</f>
        <v/>
      </c>
      <c r="AD374" s="22">
        <f>IF($C374="","",IFERROR(IF(INDEX(Deals!$AE$2:$AE$355,MATCH($C374,Deals!$A$2:$A$355,0))=0,"",INDEX(Deals!$AE$2:$AE$355,MATCH($C374,Deals!$A$2:$A$355,0))),""))</f>
        <v/>
      </c>
      <c r="AE374" s="22">
        <f>IF($C374="","",IFERROR(IF(INDEX(Deals!$AF$2:$AF$355,MATCH($C374,Deals!$A$2:$A$355,0))=0,"",INDEX(Deals!$AF$2:$AF$355,MATCH($C374,Deals!$A$2:$A$355,0))),""))</f>
        <v/>
      </c>
      <c r="AF374" s="35">
        <f>IF($AD374="",DATE(1900,1,1),$AD374)</f>
        <v/>
      </c>
      <c r="AG374" s="35">
        <f>IF($AE374="",DATE(2100,12,31),$AE374)</f>
        <v/>
      </c>
      <c r="AH374" s="22">
        <f>IF($C374="","",IFERROR(IF(INDEX(Deals!$AG$2:$AG$355,MATCH($C374,Deals!$A$2:$A$355,0))=0,"",INDEX(Deals!$AG$2:$AG$355,MATCH($C374,Deals!$A$2:$A$355,0))),""))</f>
        <v/>
      </c>
      <c r="AI374" s="35">
        <f>IF($AH374="",DATE(1900,1,1),$AF374)</f>
        <v/>
      </c>
      <c r="AJ374" s="35">
        <f>IF($AH374="",DATE(2100,12,31),$AH374)</f>
        <v/>
      </c>
      <c r="AK374" s="32">
        <f>IF($AH374="",$AC374,$AC374*$S374)</f>
        <v/>
      </c>
      <c r="AL374" s="35">
        <f>IF($AH374="",DATE(2100,12,31),$AH374+1)</f>
        <v/>
      </c>
      <c r="AM374" s="35">
        <f>IF($AH374="",DATE(1900,1,1),$AG374)</f>
        <v/>
      </c>
      <c r="AN374" s="32">
        <f>IF($AH374="",0,$AC374*$T374)</f>
        <v/>
      </c>
    </row>
    <row r="375">
      <c r="A375" s="28" t="inlineStr">
        <is>
          <t>Patch</t>
        </is>
      </c>
      <c r="B375" s="16">
        <f>IF($A375="","",IFERROR(INDEX(Roster!$B$2:$B$40,MATCH($A375,Roster!$A$2:$A$40,0)),"?"))</f>
        <v/>
      </c>
      <c r="C375" s="28" t="inlineStr">
        <is>
          <t>CLS_1</t>
        </is>
      </c>
      <c r="D375" s="16">
        <f>IF($C375="","",IFERROR(IF(INDEX(Deals!$C$2:$C$355,MATCH($C375,Deals!$A$2:$A$355,0))=0,"",INDEX(Deals!$C$2:$C$355,MATCH($C375,Deals!$A$2:$A$355,0))),"?"))</f>
        <v/>
      </c>
      <c r="E375" s="16">
        <f>IF($C375="","",IFERROR(INDEX(Deals!$F$2:$F$355,MATCH($C375,Deals!$A$2:$A$355,0)),"?"))</f>
        <v/>
      </c>
      <c r="F375" s="28" t="inlineStr">
        <is>
          <t>VP</t>
        </is>
      </c>
      <c r="G375" s="28" t="inlineStr">
        <is>
          <t>Inactive</t>
        </is>
      </c>
      <c r="H375" s="31" t="n"/>
      <c r="I375" s="32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1">
        <f>IF($C375="",0,IFERROR(INDEX(Deals!$H$2:$H$355,MATCH($C375,Deals!$A$2:$A$355,0)),0))</f>
        <v/>
      </c>
      <c r="K375" s="32">
        <f>IF(Settings!$B$4="Yes",$I375*$J375,$I375)</f>
        <v/>
      </c>
      <c r="L375" s="22">
        <f>IF($C375="","",IFERROR(IF(INDEX(Deals!$I$2:$I$355,MATCH($C375,Deals!$A$2:$A$355,0))=0,"",INDEX(Deals!$I$2:$I$355,MATCH($C375,Deals!$A$2:$A$355,0))),""))</f>
        <v/>
      </c>
      <c r="M375" s="22">
        <f>IF($C375="","",IFERROR(IF(INDEX(Deals!$J$2:$J$355,MATCH($C375,Deals!$A$2:$A$355,0))=0,"",INDEX(Deals!$J$2:$J$355,MATCH($C375,Deals!$A$2:$A$355,0))),""))</f>
        <v/>
      </c>
      <c r="N375" s="35">
        <f>IF($L375="",DATE(1900,1,1),$L375)</f>
        <v/>
      </c>
      <c r="O375" s="35">
        <f>IF($M375="",DATE(2100,12,31),$M375)</f>
        <v/>
      </c>
      <c r="P375" s="20" t="inlineStr">
        <is>
          <t>Not sure what's going on with this one. This is an old project.</t>
        </is>
      </c>
      <c r="Q375" s="43" t="inlineStr">
        <is>
          <t>Inactive - confirmed by review 2026-07-19 (user: no)</t>
        </is>
      </c>
      <c r="R375" s="16">
        <f>IF($C375="","",IFERROR(IF(INDEX(Deals!$U$2:$U$355,MATCH($C375,Deals!$A$2:$A$355,0))=0,"",INDEX(Deals!$U$2:$U$355,MATCH($C375,Deals!$A$2:$A$355,0))),""))</f>
        <v/>
      </c>
      <c r="S375" s="34">
        <f>IFERROR(IF($U375="",1,INDEX(Deals!$V$2:$V$355,MATCH($C375,Deals!$A$2:$A$355,0))),1)</f>
        <v/>
      </c>
      <c r="T375" s="34">
        <f>IFERROR(IF($U375="",1,INDEX(Deals!$W$2:$W$355,MATCH($C375,Deals!$A$2:$A$355,0))),1)</f>
        <v/>
      </c>
      <c r="U375" s="22">
        <f>IF($C375="","",IFERROR(IF(INDEX(Deals!$Y$2:$Y$355,MATCH($C375,Deals!$A$2:$A$355,0))=0,"",INDEX(Deals!$Y$2:$Y$355,MATCH($C375,Deals!$A$2:$A$355,0))),""))</f>
        <v/>
      </c>
      <c r="V375" s="35">
        <f>IF($U375="",DATE(1900,1,1),$N375)</f>
        <v/>
      </c>
      <c r="W375" s="35">
        <f>IF($U375="",DATE(2100,12,31),$U375)</f>
        <v/>
      </c>
      <c r="X375" s="32">
        <f>IF($U375="",$K375,$K375*$S375)</f>
        <v/>
      </c>
      <c r="Y375" s="35">
        <f>IF($U375="",DATE(2100,12,31),$U375+1)</f>
        <v/>
      </c>
      <c r="Z375" s="35">
        <f>IF($U375="",DATE(1900,1,1),$O375)</f>
        <v/>
      </c>
      <c r="AA375" s="32">
        <f>IF($U375="",0,$K375*$T375)</f>
        <v/>
      </c>
      <c r="AB375" s="21">
        <f>IF($C375="",0,IFERROR(INDEX(Deals!$AD$2:$AD$355,MATCH($C375,Deals!$A$2:$A$355,0)),0))</f>
        <v/>
      </c>
      <c r="AC375" s="32">
        <f>IF(Settings!$B$4="Yes",$I375*$AB375,$I375)</f>
        <v/>
      </c>
      <c r="AD375" s="22">
        <f>IF($C375="","",IFERROR(IF(INDEX(Deals!$AE$2:$AE$355,MATCH($C375,Deals!$A$2:$A$355,0))=0,"",INDEX(Deals!$AE$2:$AE$355,MATCH($C375,Deals!$A$2:$A$355,0))),""))</f>
        <v/>
      </c>
      <c r="AE375" s="22">
        <f>IF($C375="","",IFERROR(IF(INDEX(Deals!$AF$2:$AF$355,MATCH($C375,Deals!$A$2:$A$355,0))=0,"",INDEX(Deals!$AF$2:$AF$355,MATCH($C375,Deals!$A$2:$A$355,0))),""))</f>
        <v/>
      </c>
      <c r="AF375" s="35">
        <f>IF($AD375="",DATE(1900,1,1),$AD375)</f>
        <v/>
      </c>
      <c r="AG375" s="35">
        <f>IF($AE375="",DATE(2100,12,31),$AE375)</f>
        <v/>
      </c>
      <c r="AH375" s="22">
        <f>IF($C375="","",IFERROR(IF(INDEX(Deals!$AG$2:$AG$355,MATCH($C375,Deals!$A$2:$A$355,0))=0,"",INDEX(Deals!$AG$2:$AG$355,MATCH($C375,Deals!$A$2:$A$355,0))),""))</f>
        <v/>
      </c>
      <c r="AI375" s="35">
        <f>IF($AH375="",DATE(1900,1,1),$AF375)</f>
        <v/>
      </c>
      <c r="AJ375" s="35">
        <f>IF($AH375="",DATE(2100,12,31),$AH375)</f>
        <v/>
      </c>
      <c r="AK375" s="32">
        <f>IF($AH375="",$AC375,$AC375*$S375)</f>
        <v/>
      </c>
      <c r="AL375" s="35">
        <f>IF($AH375="",DATE(2100,12,31),$AH375+1)</f>
        <v/>
      </c>
      <c r="AM375" s="35">
        <f>IF($AH375="",DATE(1900,1,1),$AG375)</f>
        <v/>
      </c>
      <c r="AN375" s="32">
        <f>IF($AH375="",0,$AC375*$T375)</f>
        <v/>
      </c>
    </row>
    <row r="376">
      <c r="A376" s="28" t="inlineStr">
        <is>
          <t>Patch</t>
        </is>
      </c>
      <c r="B376" s="16">
        <f>IF($A376="","",IFERROR(INDEX(Roster!$B$2:$B$40,MATCH($A376,Roster!$A$2:$A$40,0)),"?"))</f>
        <v/>
      </c>
      <c r="C376" s="28" t="inlineStr">
        <is>
          <t>Dawn_1</t>
        </is>
      </c>
      <c r="D376" s="16">
        <f>IF($C376="","",IFERROR(IF(INDEX(Deals!$C$2:$C$355,MATCH($C376,Deals!$A$2:$A$355,0))=0,"",INDEX(Deals!$C$2:$C$355,MATCH($C376,Deals!$A$2:$A$355,0))),"?"))</f>
        <v/>
      </c>
      <c r="E376" s="16">
        <f>IF($C376="","",IFERROR(INDEX(Deals!$F$2:$F$355,MATCH($C376,Deals!$A$2:$A$355,0)),"?"))</f>
        <v/>
      </c>
      <c r="F376" s="28" t="inlineStr">
        <is>
          <t>VP</t>
        </is>
      </c>
      <c r="G376" s="28" t="inlineStr">
        <is>
          <t>Inactive</t>
        </is>
      </c>
      <c r="H376" s="31" t="n"/>
      <c r="I376" s="32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1">
        <f>IF($C376="",0,IFERROR(INDEX(Deals!$H$2:$H$355,MATCH($C376,Deals!$A$2:$A$355,0)),0))</f>
        <v/>
      </c>
      <c r="K376" s="32">
        <f>IF(Settings!$B$4="Yes",$I376*$J376,$I376)</f>
        <v/>
      </c>
      <c r="L376" s="22">
        <f>IF($C376="","",IFERROR(IF(INDEX(Deals!$I$2:$I$355,MATCH($C376,Deals!$A$2:$A$355,0))=0,"",INDEX(Deals!$I$2:$I$355,MATCH($C376,Deals!$A$2:$A$355,0))),""))</f>
        <v/>
      </c>
      <c r="M376" s="22">
        <f>IF($C376="","",IFERROR(IF(INDEX(Deals!$J$2:$J$355,MATCH($C376,Deals!$A$2:$A$355,0))=0,"",INDEX(Deals!$J$2:$J$355,MATCH($C376,Deals!$A$2:$A$355,0))),""))</f>
        <v/>
      </c>
      <c r="N376" s="35">
        <f>IF($L376="",DATE(1900,1,1),$L376)</f>
        <v/>
      </c>
      <c r="O376" s="35">
        <f>IF($M376="",DATE(2100,12,31),$M376)</f>
        <v/>
      </c>
      <c r="P376" s="20" t="inlineStr">
        <is>
          <t>This was probably when I was helping check tax insurance datarooms.</t>
        </is>
      </c>
      <c r="Q376" s="43" t="inlineStr"/>
      <c r="R376" s="16">
        <f>IF($C376="","",IFERROR(IF(INDEX(Deals!$U$2:$U$355,MATCH($C376,Deals!$A$2:$A$355,0))=0,"",INDEX(Deals!$U$2:$U$355,MATCH($C376,Deals!$A$2:$A$355,0))),""))</f>
        <v/>
      </c>
      <c r="S376" s="34">
        <f>IFERROR(IF($U376="",1,INDEX(Deals!$V$2:$V$355,MATCH($C376,Deals!$A$2:$A$355,0))),1)</f>
        <v/>
      </c>
      <c r="T376" s="34">
        <f>IFERROR(IF($U376="",1,INDEX(Deals!$W$2:$W$355,MATCH($C376,Deals!$A$2:$A$355,0))),1)</f>
        <v/>
      </c>
      <c r="U376" s="22">
        <f>IF($C376="","",IFERROR(IF(INDEX(Deals!$Y$2:$Y$355,MATCH($C376,Deals!$A$2:$A$355,0))=0,"",INDEX(Deals!$Y$2:$Y$355,MATCH($C376,Deals!$A$2:$A$355,0))),""))</f>
        <v/>
      </c>
      <c r="V376" s="35">
        <f>IF($U376="",DATE(1900,1,1),$N376)</f>
        <v/>
      </c>
      <c r="W376" s="35">
        <f>IF($U376="",DATE(2100,12,31),$U376)</f>
        <v/>
      </c>
      <c r="X376" s="32">
        <f>IF($U376="",$K376,$K376*$S376)</f>
        <v/>
      </c>
      <c r="Y376" s="35">
        <f>IF($U376="",DATE(2100,12,31),$U376+1)</f>
        <v/>
      </c>
      <c r="Z376" s="35">
        <f>IF($U376="",DATE(1900,1,1),$O376)</f>
        <v/>
      </c>
      <c r="AA376" s="32">
        <f>IF($U376="",0,$K376*$T376)</f>
        <v/>
      </c>
      <c r="AB376" s="21">
        <f>IF($C376="",0,IFERROR(INDEX(Deals!$AD$2:$AD$355,MATCH($C376,Deals!$A$2:$A$355,0)),0))</f>
        <v/>
      </c>
      <c r="AC376" s="32">
        <f>IF(Settings!$B$4="Yes",$I376*$AB376,$I376)</f>
        <v/>
      </c>
      <c r="AD376" s="22">
        <f>IF($C376="","",IFERROR(IF(INDEX(Deals!$AE$2:$AE$355,MATCH($C376,Deals!$A$2:$A$355,0))=0,"",INDEX(Deals!$AE$2:$AE$355,MATCH($C376,Deals!$A$2:$A$355,0))),""))</f>
        <v/>
      </c>
      <c r="AE376" s="22">
        <f>IF($C376="","",IFERROR(IF(INDEX(Deals!$AF$2:$AF$355,MATCH($C376,Deals!$A$2:$A$355,0))=0,"",INDEX(Deals!$AF$2:$AF$355,MATCH($C376,Deals!$A$2:$A$355,0))),""))</f>
        <v/>
      </c>
      <c r="AF376" s="35">
        <f>IF($AD376="",DATE(1900,1,1),$AD376)</f>
        <v/>
      </c>
      <c r="AG376" s="35">
        <f>IF($AE376="",DATE(2100,12,31),$AE376)</f>
        <v/>
      </c>
      <c r="AH376" s="22">
        <f>IF($C376="","",IFERROR(IF(INDEX(Deals!$AG$2:$AG$355,MATCH($C376,Deals!$A$2:$A$355,0))=0,"",INDEX(Deals!$AG$2:$AG$355,MATCH($C376,Deals!$A$2:$A$355,0))),""))</f>
        <v/>
      </c>
      <c r="AI376" s="35">
        <f>IF($AH376="",DATE(1900,1,1),$AF376)</f>
        <v/>
      </c>
      <c r="AJ376" s="35">
        <f>IF($AH376="",DATE(2100,12,31),$AH376)</f>
        <v/>
      </c>
      <c r="AK376" s="32">
        <f>IF($AH376="",$AC376,$AC376*$S376)</f>
        <v/>
      </c>
      <c r="AL376" s="35">
        <f>IF($AH376="",DATE(2100,12,31),$AH376+1)</f>
        <v/>
      </c>
      <c r="AM376" s="35">
        <f>IF($AH376="",DATE(1900,1,1),$AG376)</f>
        <v/>
      </c>
      <c r="AN376" s="32">
        <f>IF($AH376="",0,$AC376*$T376)</f>
        <v/>
      </c>
    </row>
    <row r="377">
      <c r="A377" s="28" t="inlineStr">
        <is>
          <t>Patch</t>
        </is>
      </c>
      <c r="B377" s="16">
        <f>IF($A377="","",IFERROR(INDEX(Roster!$B$2:$B$40,MATCH($A377,Roster!$A$2:$A$40,0)),"?"))</f>
        <v/>
      </c>
      <c r="C377" s="28" t="inlineStr">
        <is>
          <t>Destiny_1</t>
        </is>
      </c>
      <c r="D377" s="16">
        <f>IF($C377="","",IFERROR(IF(INDEX(Deals!$C$2:$C$355,MATCH($C377,Deals!$A$2:$A$355,0))=0,"",INDEX(Deals!$C$2:$C$355,MATCH($C377,Deals!$A$2:$A$355,0))),"?"))</f>
        <v/>
      </c>
      <c r="E377" s="16">
        <f>IF($C377="","",IFERROR(INDEX(Deals!$F$2:$F$355,MATCH($C377,Deals!$A$2:$A$355,0)),"?"))</f>
        <v/>
      </c>
      <c r="F377" s="28" t="inlineStr">
        <is>
          <t>VP</t>
        </is>
      </c>
      <c r="G377" s="28" t="inlineStr">
        <is>
          <t>Inactive</t>
        </is>
      </c>
      <c r="H377" s="31" t="n"/>
      <c r="I377" s="32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1">
        <f>IF($C377="",0,IFERROR(INDEX(Deals!$H$2:$H$355,MATCH($C377,Deals!$A$2:$A$355,0)),0))</f>
        <v/>
      </c>
      <c r="K377" s="32">
        <f>IF(Settings!$B$4="Yes",$I377*$J377,$I377)</f>
        <v/>
      </c>
      <c r="L377" s="22">
        <f>IF($C377="","",IFERROR(IF(INDEX(Deals!$I$2:$I$355,MATCH($C377,Deals!$A$2:$A$355,0))=0,"",INDEX(Deals!$I$2:$I$355,MATCH($C377,Deals!$A$2:$A$355,0))),""))</f>
        <v/>
      </c>
      <c r="M377" s="22">
        <f>IF($C377="","",IFERROR(IF(INDEX(Deals!$J$2:$J$355,MATCH($C377,Deals!$A$2:$A$355,0))=0,"",INDEX(Deals!$J$2:$J$355,MATCH($C377,Deals!$A$2:$A$355,0))),""))</f>
        <v/>
      </c>
      <c r="N377" s="35">
        <f>IF($L377="",DATE(1900,1,1),$L377)</f>
        <v/>
      </c>
      <c r="O377" s="35">
        <f>IF($M377="",DATE(2100,12,31),$M377)</f>
        <v/>
      </c>
      <c r="P377" s="20" t="inlineStr">
        <is>
          <t>This was probably when I was helping check tax insurance datarooms.</t>
        </is>
      </c>
      <c r="Q377" s="43" t="inlineStr"/>
      <c r="R377" s="16">
        <f>IF($C377="","",IFERROR(IF(INDEX(Deals!$U$2:$U$355,MATCH($C377,Deals!$A$2:$A$355,0))=0,"",INDEX(Deals!$U$2:$U$355,MATCH($C377,Deals!$A$2:$A$355,0))),""))</f>
        <v/>
      </c>
      <c r="S377" s="34">
        <f>IFERROR(IF($U377="",1,INDEX(Deals!$V$2:$V$355,MATCH($C377,Deals!$A$2:$A$355,0))),1)</f>
        <v/>
      </c>
      <c r="T377" s="34">
        <f>IFERROR(IF($U377="",1,INDEX(Deals!$W$2:$W$355,MATCH($C377,Deals!$A$2:$A$355,0))),1)</f>
        <v/>
      </c>
      <c r="U377" s="22">
        <f>IF($C377="","",IFERROR(IF(INDEX(Deals!$Y$2:$Y$355,MATCH($C377,Deals!$A$2:$A$355,0))=0,"",INDEX(Deals!$Y$2:$Y$355,MATCH($C377,Deals!$A$2:$A$355,0))),""))</f>
        <v/>
      </c>
      <c r="V377" s="35">
        <f>IF($U377="",DATE(1900,1,1),$N377)</f>
        <v/>
      </c>
      <c r="W377" s="35">
        <f>IF($U377="",DATE(2100,12,31),$U377)</f>
        <v/>
      </c>
      <c r="X377" s="32">
        <f>IF($U377="",$K377,$K377*$S377)</f>
        <v/>
      </c>
      <c r="Y377" s="35">
        <f>IF($U377="",DATE(2100,12,31),$U377+1)</f>
        <v/>
      </c>
      <c r="Z377" s="35">
        <f>IF($U377="",DATE(1900,1,1),$O377)</f>
        <v/>
      </c>
      <c r="AA377" s="32">
        <f>IF($U377="",0,$K377*$T377)</f>
        <v/>
      </c>
      <c r="AB377" s="21">
        <f>IF($C377="",0,IFERROR(INDEX(Deals!$AD$2:$AD$355,MATCH($C377,Deals!$A$2:$A$355,0)),0))</f>
        <v/>
      </c>
      <c r="AC377" s="32">
        <f>IF(Settings!$B$4="Yes",$I377*$AB377,$I377)</f>
        <v/>
      </c>
      <c r="AD377" s="22">
        <f>IF($C377="","",IFERROR(IF(INDEX(Deals!$AE$2:$AE$355,MATCH($C377,Deals!$A$2:$A$355,0))=0,"",INDEX(Deals!$AE$2:$AE$355,MATCH($C377,Deals!$A$2:$A$355,0))),""))</f>
        <v/>
      </c>
      <c r="AE377" s="22">
        <f>IF($C377="","",IFERROR(IF(INDEX(Deals!$AF$2:$AF$355,MATCH($C377,Deals!$A$2:$A$355,0))=0,"",INDEX(Deals!$AF$2:$AF$355,MATCH($C377,Deals!$A$2:$A$355,0))),""))</f>
        <v/>
      </c>
      <c r="AF377" s="35">
        <f>IF($AD377="",DATE(1900,1,1),$AD377)</f>
        <v/>
      </c>
      <c r="AG377" s="35">
        <f>IF($AE377="",DATE(2100,12,31),$AE377)</f>
        <v/>
      </c>
      <c r="AH377" s="22">
        <f>IF($C377="","",IFERROR(IF(INDEX(Deals!$AG$2:$AG$355,MATCH($C377,Deals!$A$2:$A$355,0))=0,"",INDEX(Deals!$AG$2:$AG$355,MATCH($C377,Deals!$A$2:$A$355,0))),""))</f>
        <v/>
      </c>
      <c r="AI377" s="35">
        <f>IF($AH377="",DATE(1900,1,1),$AF377)</f>
        <v/>
      </c>
      <c r="AJ377" s="35">
        <f>IF($AH377="",DATE(2100,12,31),$AH377)</f>
        <v/>
      </c>
      <c r="AK377" s="32">
        <f>IF($AH377="",$AC377,$AC377*$S377)</f>
        <v/>
      </c>
      <c r="AL377" s="35">
        <f>IF($AH377="",DATE(2100,12,31),$AH377+1)</f>
        <v/>
      </c>
      <c r="AM377" s="35">
        <f>IF($AH377="",DATE(1900,1,1),$AG377)</f>
        <v/>
      </c>
      <c r="AN377" s="32">
        <f>IF($AH377="",0,$AC377*$T377)</f>
        <v/>
      </c>
    </row>
    <row r="378">
      <c r="A378" s="28" t="inlineStr">
        <is>
          <t>Patch</t>
        </is>
      </c>
      <c r="B378" s="16">
        <f>IF($A378="","",IFERROR(INDEX(Roster!$B$2:$B$40,MATCH($A378,Roster!$A$2:$A$40,0)),"?"))</f>
        <v/>
      </c>
      <c r="C378" s="28" t="inlineStr">
        <is>
          <t>DIF Twister_2</t>
        </is>
      </c>
      <c r="D378" s="16">
        <f>IF($C378="","",IFERROR(IF(INDEX(Deals!$C$2:$C$355,MATCH($C378,Deals!$A$2:$A$355,0))=0,"",INDEX(Deals!$C$2:$C$355,MATCH($C378,Deals!$A$2:$A$355,0))),"?"))</f>
        <v/>
      </c>
      <c r="E378" s="16">
        <f>IF($C378="","",IFERROR(INDEX(Deals!$F$2:$F$355,MATCH($C378,Deals!$A$2:$A$355,0)),"?"))</f>
        <v/>
      </c>
      <c r="F378" s="28" t="inlineStr">
        <is>
          <t>VP</t>
        </is>
      </c>
      <c r="G378" s="28" t="inlineStr">
        <is>
          <t>Active</t>
        </is>
      </c>
      <c r="H378" s="31" t="n"/>
      <c r="I378" s="32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1">
        <f>IF($C378="",0,IFERROR(INDEX(Deals!$H$2:$H$355,MATCH($C378,Deals!$A$2:$A$355,0)),0))</f>
        <v/>
      </c>
      <c r="K378" s="32">
        <f>IF(Settings!$B$4="Yes",$I378*$J378,$I378)</f>
        <v/>
      </c>
      <c r="L378" s="22">
        <f>IF($C378="","",IFERROR(IF(INDEX(Deals!$I$2:$I$355,MATCH($C378,Deals!$A$2:$A$355,0))=0,"",INDEX(Deals!$I$2:$I$355,MATCH($C378,Deals!$A$2:$A$355,0))),""))</f>
        <v/>
      </c>
      <c r="M378" s="22">
        <f>IF($C378="","",IFERROR(IF(INDEX(Deals!$J$2:$J$355,MATCH($C378,Deals!$A$2:$A$355,0))=0,"",INDEX(Deals!$J$2:$J$355,MATCH($C378,Deals!$A$2:$A$355,0))),""))</f>
        <v/>
      </c>
      <c r="N378" s="35">
        <f>IF($L378="",DATE(1900,1,1),$L378)</f>
        <v/>
      </c>
      <c r="O378" s="35">
        <f>IF($M378="",DATE(2100,12,31),$M378)</f>
        <v/>
      </c>
      <c r="P378" s="20" t="inlineStr">
        <is>
          <t>Ongoing</t>
        </is>
      </c>
      <c r="Q378" s="43" t="inlineStr"/>
      <c r="R378" s="16">
        <f>IF($C378="","",IFERROR(IF(INDEX(Deals!$U$2:$U$355,MATCH($C378,Deals!$A$2:$A$355,0))=0,"",INDEX(Deals!$U$2:$U$355,MATCH($C378,Deals!$A$2:$A$355,0))),""))</f>
        <v/>
      </c>
      <c r="S378" s="34">
        <f>IFERROR(IF($U378="",1,INDEX(Deals!$V$2:$V$355,MATCH($C378,Deals!$A$2:$A$355,0))),1)</f>
        <v/>
      </c>
      <c r="T378" s="34">
        <f>IFERROR(IF($U378="",1,INDEX(Deals!$W$2:$W$355,MATCH($C378,Deals!$A$2:$A$355,0))),1)</f>
        <v/>
      </c>
      <c r="U378" s="22">
        <f>IF($C378="","",IFERROR(IF(INDEX(Deals!$Y$2:$Y$355,MATCH($C378,Deals!$A$2:$A$355,0))=0,"",INDEX(Deals!$Y$2:$Y$355,MATCH($C378,Deals!$A$2:$A$355,0))),""))</f>
        <v/>
      </c>
      <c r="V378" s="35">
        <f>IF($U378="",DATE(1900,1,1),$N378)</f>
        <v/>
      </c>
      <c r="W378" s="35">
        <f>IF($U378="",DATE(2100,12,31),$U378)</f>
        <v/>
      </c>
      <c r="X378" s="32">
        <f>IF($U378="",$K378,$K378*$S378)</f>
        <v/>
      </c>
      <c r="Y378" s="35">
        <f>IF($U378="",DATE(2100,12,31),$U378+1)</f>
        <v/>
      </c>
      <c r="Z378" s="35">
        <f>IF($U378="",DATE(1900,1,1),$O378)</f>
        <v/>
      </c>
      <c r="AA378" s="32">
        <f>IF($U378="",0,$K378*$T378)</f>
        <v/>
      </c>
      <c r="AB378" s="21">
        <f>IF($C378="",0,IFERROR(INDEX(Deals!$AD$2:$AD$355,MATCH($C378,Deals!$A$2:$A$355,0)),0))</f>
        <v/>
      </c>
      <c r="AC378" s="32">
        <f>IF(Settings!$B$4="Yes",$I378*$AB378,$I378)</f>
        <v/>
      </c>
      <c r="AD378" s="22">
        <f>IF($C378="","",IFERROR(IF(INDEX(Deals!$AE$2:$AE$355,MATCH($C378,Deals!$A$2:$A$355,0))=0,"",INDEX(Deals!$AE$2:$AE$355,MATCH($C378,Deals!$A$2:$A$355,0))),""))</f>
        <v/>
      </c>
      <c r="AE378" s="22">
        <f>IF($C378="","",IFERROR(IF(INDEX(Deals!$AF$2:$AF$355,MATCH($C378,Deals!$A$2:$A$355,0))=0,"",INDEX(Deals!$AF$2:$AF$355,MATCH($C378,Deals!$A$2:$A$355,0))),""))</f>
        <v/>
      </c>
      <c r="AF378" s="35">
        <f>IF($AD378="",DATE(1900,1,1),$AD378)</f>
        <v/>
      </c>
      <c r="AG378" s="35">
        <f>IF($AE378="",DATE(2100,12,31),$AE378)</f>
        <v/>
      </c>
      <c r="AH378" s="22">
        <f>IF($C378="","",IFERROR(IF(INDEX(Deals!$AG$2:$AG$355,MATCH($C378,Deals!$A$2:$A$355,0))=0,"",INDEX(Deals!$AG$2:$AG$355,MATCH($C378,Deals!$A$2:$A$355,0))),""))</f>
        <v/>
      </c>
      <c r="AI378" s="35">
        <f>IF($AH378="",DATE(1900,1,1),$AF378)</f>
        <v/>
      </c>
      <c r="AJ378" s="35">
        <f>IF($AH378="",DATE(2100,12,31),$AH378)</f>
        <v/>
      </c>
      <c r="AK378" s="32">
        <f>IF($AH378="",$AC378,$AC378*$S378)</f>
        <v/>
      </c>
      <c r="AL378" s="35">
        <f>IF($AH378="",DATE(2100,12,31),$AH378+1)</f>
        <v/>
      </c>
      <c r="AM378" s="35">
        <f>IF($AH378="",DATE(1900,1,1),$AG378)</f>
        <v/>
      </c>
      <c r="AN378" s="32">
        <f>IF($AH378="",0,$AC378*$T378)</f>
        <v/>
      </c>
    </row>
    <row r="379">
      <c r="A379" s="28" t="inlineStr">
        <is>
          <t>Patch</t>
        </is>
      </c>
      <c r="B379" s="16">
        <f>IF($A379="","",IFERROR(INDEX(Roster!$B$2:$B$40,MATCH($A379,Roster!$A$2:$A$40,0)),"?"))</f>
        <v/>
      </c>
      <c r="C379" s="28" t="inlineStr">
        <is>
          <t>Dorsia_1</t>
        </is>
      </c>
      <c r="D379" s="16">
        <f>IF($C379="","",IFERROR(IF(INDEX(Deals!$C$2:$C$355,MATCH($C379,Deals!$A$2:$A$355,0))=0,"",INDEX(Deals!$C$2:$C$355,MATCH($C379,Deals!$A$2:$A$355,0))),"?"))</f>
        <v/>
      </c>
      <c r="E379" s="16">
        <f>IF($C379="","",IFERROR(INDEX(Deals!$F$2:$F$355,MATCH($C379,Deals!$A$2:$A$355,0)),"?"))</f>
        <v/>
      </c>
      <c r="F379" s="28" t="inlineStr">
        <is>
          <t>VP</t>
        </is>
      </c>
      <c r="G379" s="28" t="inlineStr">
        <is>
          <t>Inactive</t>
        </is>
      </c>
      <c r="H379" s="31" t="n"/>
      <c r="I379" s="32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1">
        <f>IF($C379="",0,IFERROR(INDEX(Deals!$H$2:$H$355,MATCH($C379,Deals!$A$2:$A$355,0)),0))</f>
        <v/>
      </c>
      <c r="K379" s="32">
        <f>IF(Settings!$B$4="Yes",$I379*$J379,$I379)</f>
        <v/>
      </c>
      <c r="L379" s="22">
        <f>IF($C379="","",IFERROR(IF(INDEX(Deals!$I$2:$I$355,MATCH($C379,Deals!$A$2:$A$355,0))=0,"",INDEX(Deals!$I$2:$I$355,MATCH($C379,Deals!$A$2:$A$355,0))),""))</f>
        <v/>
      </c>
      <c r="M379" s="22">
        <f>IF($C379="","",IFERROR(IF(INDEX(Deals!$J$2:$J$355,MATCH($C379,Deals!$A$2:$A$355,0))=0,"",INDEX(Deals!$J$2:$J$355,MATCH($C379,Deals!$A$2:$A$355,0))),""))</f>
        <v/>
      </c>
      <c r="N379" s="35">
        <f>IF($L379="",DATE(1900,1,1),$L379)</f>
        <v/>
      </c>
      <c r="O379" s="35">
        <f>IF($M379="",DATE(2100,12,31),$M379)</f>
        <v/>
      </c>
      <c r="P379" s="20" t="inlineStr">
        <is>
          <t>Invoiced</t>
        </is>
      </c>
      <c r="Q379" s="43" t="inlineStr"/>
      <c r="R379" s="16">
        <f>IF($C379="","",IFERROR(IF(INDEX(Deals!$U$2:$U$355,MATCH($C379,Deals!$A$2:$A$355,0))=0,"",INDEX(Deals!$U$2:$U$355,MATCH($C379,Deals!$A$2:$A$355,0))),""))</f>
        <v/>
      </c>
      <c r="S379" s="34">
        <f>IFERROR(IF($U379="",1,INDEX(Deals!$V$2:$V$355,MATCH($C379,Deals!$A$2:$A$355,0))),1)</f>
        <v/>
      </c>
      <c r="T379" s="34">
        <f>IFERROR(IF($U379="",1,INDEX(Deals!$W$2:$W$355,MATCH($C379,Deals!$A$2:$A$355,0))),1)</f>
        <v/>
      </c>
      <c r="U379" s="22">
        <f>IF($C379="","",IFERROR(IF(INDEX(Deals!$Y$2:$Y$355,MATCH($C379,Deals!$A$2:$A$355,0))=0,"",INDEX(Deals!$Y$2:$Y$355,MATCH($C379,Deals!$A$2:$A$355,0))),""))</f>
        <v/>
      </c>
      <c r="V379" s="35">
        <f>IF($U379="",DATE(1900,1,1),$N379)</f>
        <v/>
      </c>
      <c r="W379" s="35">
        <f>IF($U379="",DATE(2100,12,31),$U379)</f>
        <v/>
      </c>
      <c r="X379" s="32">
        <f>IF($U379="",$K379,$K379*$S379)</f>
        <v/>
      </c>
      <c r="Y379" s="35">
        <f>IF($U379="",DATE(2100,12,31),$U379+1)</f>
        <v/>
      </c>
      <c r="Z379" s="35">
        <f>IF($U379="",DATE(1900,1,1),$O379)</f>
        <v/>
      </c>
      <c r="AA379" s="32">
        <f>IF($U379="",0,$K379*$T379)</f>
        <v/>
      </c>
      <c r="AB379" s="21">
        <f>IF($C379="",0,IFERROR(INDEX(Deals!$AD$2:$AD$355,MATCH($C379,Deals!$A$2:$A$355,0)),0))</f>
        <v/>
      </c>
      <c r="AC379" s="32">
        <f>IF(Settings!$B$4="Yes",$I379*$AB379,$I379)</f>
        <v/>
      </c>
      <c r="AD379" s="22">
        <f>IF($C379="","",IFERROR(IF(INDEX(Deals!$AE$2:$AE$355,MATCH($C379,Deals!$A$2:$A$355,0))=0,"",INDEX(Deals!$AE$2:$AE$355,MATCH($C379,Deals!$A$2:$A$355,0))),""))</f>
        <v/>
      </c>
      <c r="AE379" s="22">
        <f>IF($C379="","",IFERROR(IF(INDEX(Deals!$AF$2:$AF$355,MATCH($C379,Deals!$A$2:$A$355,0))=0,"",INDEX(Deals!$AF$2:$AF$355,MATCH($C379,Deals!$A$2:$A$355,0))),""))</f>
        <v/>
      </c>
      <c r="AF379" s="35">
        <f>IF($AD379="",DATE(1900,1,1),$AD379)</f>
        <v/>
      </c>
      <c r="AG379" s="35">
        <f>IF($AE379="",DATE(2100,12,31),$AE379)</f>
        <v/>
      </c>
      <c r="AH379" s="22">
        <f>IF($C379="","",IFERROR(IF(INDEX(Deals!$AG$2:$AG$355,MATCH($C379,Deals!$A$2:$A$355,0))=0,"",INDEX(Deals!$AG$2:$AG$355,MATCH($C379,Deals!$A$2:$A$355,0))),""))</f>
        <v/>
      </c>
      <c r="AI379" s="35">
        <f>IF($AH379="",DATE(1900,1,1),$AF379)</f>
        <v/>
      </c>
      <c r="AJ379" s="35">
        <f>IF($AH379="",DATE(2100,12,31),$AH379)</f>
        <v/>
      </c>
      <c r="AK379" s="32">
        <f>IF($AH379="",$AC379,$AC379*$S379)</f>
        <v/>
      </c>
      <c r="AL379" s="35">
        <f>IF($AH379="",DATE(2100,12,31),$AH379+1)</f>
        <v/>
      </c>
      <c r="AM379" s="35">
        <f>IF($AH379="",DATE(1900,1,1),$AG379)</f>
        <v/>
      </c>
      <c r="AN379" s="32">
        <f>IF($AH379="",0,$AC379*$T379)</f>
        <v/>
      </c>
    </row>
    <row r="380">
      <c r="A380" s="28" t="inlineStr">
        <is>
          <t>Patch</t>
        </is>
      </c>
      <c r="B380" s="16">
        <f>IF($A380="","",IFERROR(INDEX(Roster!$B$2:$B$40,MATCH($A380,Roster!$A$2:$A$40,0)),"?"))</f>
        <v/>
      </c>
      <c r="C380" s="28" t="inlineStr">
        <is>
          <t>Elcano_1</t>
        </is>
      </c>
      <c r="D380" s="16">
        <f>IF($C380="","",IFERROR(IF(INDEX(Deals!$C$2:$C$355,MATCH($C380,Deals!$A$2:$A$355,0))=0,"",INDEX(Deals!$C$2:$C$355,MATCH($C380,Deals!$A$2:$A$355,0))),"?"))</f>
        <v/>
      </c>
      <c r="E380" s="16">
        <f>IF($C380="","",IFERROR(INDEX(Deals!$F$2:$F$355,MATCH($C380,Deals!$A$2:$A$355,0)),"?"))</f>
        <v/>
      </c>
      <c r="F380" s="28" t="inlineStr">
        <is>
          <t>VP</t>
        </is>
      </c>
      <c r="G380" s="28" t="inlineStr">
        <is>
          <t>Active</t>
        </is>
      </c>
      <c r="H380" s="31" t="n"/>
      <c r="I380" s="32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1">
        <f>IF($C380="",0,IFERROR(INDEX(Deals!$H$2:$H$355,MATCH($C380,Deals!$A$2:$A$355,0)),0))</f>
        <v/>
      </c>
      <c r="K380" s="32">
        <f>IF(Settings!$B$4="Yes",$I380*$J380,$I380)</f>
        <v/>
      </c>
      <c r="L380" s="22">
        <f>IF($C380="","",IFERROR(IF(INDEX(Deals!$I$2:$I$355,MATCH($C380,Deals!$A$2:$A$355,0))=0,"",INDEX(Deals!$I$2:$I$355,MATCH($C380,Deals!$A$2:$A$355,0))),""))</f>
        <v/>
      </c>
      <c r="M380" s="22">
        <f>IF($C380="","",IFERROR(IF(INDEX(Deals!$J$2:$J$355,MATCH($C380,Deals!$A$2:$A$355,0))=0,"",INDEX(Deals!$J$2:$J$355,MATCH($C380,Deals!$A$2:$A$355,0))),""))</f>
        <v/>
      </c>
      <c r="N380" s="35">
        <f>IF($L380="",DATE(1900,1,1),$L380)</f>
        <v/>
      </c>
      <c r="O380" s="35">
        <f>IF($M380="",DATE(2100,12,31),$M380)</f>
        <v/>
      </c>
      <c r="P380" s="20" t="inlineStr">
        <is>
          <t>Proposal Sent</t>
        </is>
      </c>
      <c r="Q380" s="43" t="inlineStr"/>
      <c r="R380" s="16">
        <f>IF($C380="","",IFERROR(IF(INDEX(Deals!$U$2:$U$355,MATCH($C380,Deals!$A$2:$A$355,0))=0,"",INDEX(Deals!$U$2:$U$355,MATCH($C380,Deals!$A$2:$A$355,0))),""))</f>
        <v/>
      </c>
      <c r="S380" s="34">
        <f>IFERROR(IF($U380="",1,INDEX(Deals!$V$2:$V$355,MATCH($C380,Deals!$A$2:$A$355,0))),1)</f>
        <v/>
      </c>
      <c r="T380" s="34">
        <f>IFERROR(IF($U380="",1,INDEX(Deals!$W$2:$W$355,MATCH($C380,Deals!$A$2:$A$355,0))),1)</f>
        <v/>
      </c>
      <c r="U380" s="22">
        <f>IF($C380="","",IFERROR(IF(INDEX(Deals!$Y$2:$Y$355,MATCH($C380,Deals!$A$2:$A$355,0))=0,"",INDEX(Deals!$Y$2:$Y$355,MATCH($C380,Deals!$A$2:$A$355,0))),""))</f>
        <v/>
      </c>
      <c r="V380" s="35">
        <f>IF($U380="",DATE(1900,1,1),$N380)</f>
        <v/>
      </c>
      <c r="W380" s="35">
        <f>IF($U380="",DATE(2100,12,31),$U380)</f>
        <v/>
      </c>
      <c r="X380" s="32">
        <f>IF($U380="",$K380,$K380*$S380)</f>
        <v/>
      </c>
      <c r="Y380" s="35">
        <f>IF($U380="",DATE(2100,12,31),$U380+1)</f>
        <v/>
      </c>
      <c r="Z380" s="35">
        <f>IF($U380="",DATE(1900,1,1),$O380)</f>
        <v/>
      </c>
      <c r="AA380" s="32">
        <f>IF($U380="",0,$K380*$T380)</f>
        <v/>
      </c>
      <c r="AB380" s="21">
        <f>IF($C380="",0,IFERROR(INDEX(Deals!$AD$2:$AD$355,MATCH($C380,Deals!$A$2:$A$355,0)),0))</f>
        <v/>
      </c>
      <c r="AC380" s="32">
        <f>IF(Settings!$B$4="Yes",$I380*$AB380,$I380)</f>
        <v/>
      </c>
      <c r="AD380" s="22">
        <f>IF($C380="","",IFERROR(IF(INDEX(Deals!$AE$2:$AE$355,MATCH($C380,Deals!$A$2:$A$355,0))=0,"",INDEX(Deals!$AE$2:$AE$355,MATCH($C380,Deals!$A$2:$A$355,0))),""))</f>
        <v/>
      </c>
      <c r="AE380" s="22">
        <f>IF($C380="","",IFERROR(IF(INDEX(Deals!$AF$2:$AF$355,MATCH($C380,Deals!$A$2:$A$355,0))=0,"",INDEX(Deals!$AF$2:$AF$355,MATCH($C380,Deals!$A$2:$A$355,0))),""))</f>
        <v/>
      </c>
      <c r="AF380" s="35">
        <f>IF($AD380="",DATE(1900,1,1),$AD380)</f>
        <v/>
      </c>
      <c r="AG380" s="35">
        <f>IF($AE380="",DATE(2100,12,31),$AE380)</f>
        <v/>
      </c>
      <c r="AH380" s="22">
        <f>IF($C380="","",IFERROR(IF(INDEX(Deals!$AG$2:$AG$355,MATCH($C380,Deals!$A$2:$A$355,0))=0,"",INDEX(Deals!$AG$2:$AG$355,MATCH($C380,Deals!$A$2:$A$355,0))),""))</f>
        <v/>
      </c>
      <c r="AI380" s="35">
        <f>IF($AH380="",DATE(1900,1,1),$AF380)</f>
        <v/>
      </c>
      <c r="AJ380" s="35">
        <f>IF($AH380="",DATE(2100,12,31),$AH380)</f>
        <v/>
      </c>
      <c r="AK380" s="32">
        <f>IF($AH380="",$AC380,$AC380*$S380)</f>
        <v/>
      </c>
      <c r="AL380" s="35">
        <f>IF($AH380="",DATE(2100,12,31),$AH380+1)</f>
        <v/>
      </c>
      <c r="AM380" s="35">
        <f>IF($AH380="",DATE(1900,1,1),$AG380)</f>
        <v/>
      </c>
      <c r="AN380" s="32">
        <f>IF($AH380="",0,$AC380*$T380)</f>
        <v/>
      </c>
    </row>
    <row r="381">
      <c r="A381" s="28" t="inlineStr">
        <is>
          <t>Patch</t>
        </is>
      </c>
      <c r="B381" s="16">
        <f>IF($A381="","",IFERROR(INDEX(Roster!$B$2:$B$40,MATCH($A381,Roster!$A$2:$A$40,0)),"?"))</f>
        <v/>
      </c>
      <c r="C381" s="28" t="inlineStr">
        <is>
          <t>Enterprise_1</t>
        </is>
      </c>
      <c r="D381" s="16">
        <f>IF($C381="","",IFERROR(IF(INDEX(Deals!$C$2:$C$355,MATCH($C381,Deals!$A$2:$A$355,0))=0,"",INDEX(Deals!$C$2:$C$355,MATCH($C381,Deals!$A$2:$A$355,0))),"?"))</f>
        <v/>
      </c>
      <c r="E381" s="16">
        <f>IF($C381="","",IFERROR(INDEX(Deals!$F$2:$F$355,MATCH($C381,Deals!$A$2:$A$355,0)),"?"))</f>
        <v/>
      </c>
      <c r="F381" s="28" t="inlineStr">
        <is>
          <t>VP</t>
        </is>
      </c>
      <c r="G381" s="28" t="inlineStr">
        <is>
          <t>Inactive</t>
        </is>
      </c>
      <c r="H381" s="31" t="n"/>
      <c r="I381" s="32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1">
        <f>IF($C381="",0,IFERROR(INDEX(Deals!$H$2:$H$355,MATCH($C381,Deals!$A$2:$A$355,0)),0))</f>
        <v/>
      </c>
      <c r="K381" s="32">
        <f>IF(Settings!$B$4="Yes",$I381*$J381,$I381)</f>
        <v/>
      </c>
      <c r="L381" s="22">
        <f>IF($C381="","",IFERROR(IF(INDEX(Deals!$I$2:$I$355,MATCH($C381,Deals!$A$2:$A$355,0))=0,"",INDEX(Deals!$I$2:$I$355,MATCH($C381,Deals!$A$2:$A$355,0))),""))</f>
        <v/>
      </c>
      <c r="M381" s="22">
        <f>IF($C381="","",IFERROR(IF(INDEX(Deals!$J$2:$J$355,MATCH($C381,Deals!$A$2:$A$355,0))=0,"",INDEX(Deals!$J$2:$J$355,MATCH($C381,Deals!$A$2:$A$355,0))),""))</f>
        <v/>
      </c>
      <c r="N381" s="35">
        <f>IF($L381="",DATE(1900,1,1),$L381)</f>
        <v/>
      </c>
      <c r="O381" s="35">
        <f>IF($M381="",DATE(2100,12,31),$M381)</f>
        <v/>
      </c>
      <c r="P381" s="20" t="inlineStr">
        <is>
          <t>Invoiced</t>
        </is>
      </c>
      <c r="Q381" s="43" t="inlineStr"/>
      <c r="R381" s="16">
        <f>IF($C381="","",IFERROR(IF(INDEX(Deals!$U$2:$U$355,MATCH($C381,Deals!$A$2:$A$355,0))=0,"",INDEX(Deals!$U$2:$U$355,MATCH($C381,Deals!$A$2:$A$355,0))),""))</f>
        <v/>
      </c>
      <c r="S381" s="34">
        <f>IFERROR(IF($U381="",1,INDEX(Deals!$V$2:$V$355,MATCH($C381,Deals!$A$2:$A$355,0))),1)</f>
        <v/>
      </c>
      <c r="T381" s="34">
        <f>IFERROR(IF($U381="",1,INDEX(Deals!$W$2:$W$355,MATCH($C381,Deals!$A$2:$A$355,0))),1)</f>
        <v/>
      </c>
      <c r="U381" s="22">
        <f>IF($C381="","",IFERROR(IF(INDEX(Deals!$Y$2:$Y$355,MATCH($C381,Deals!$A$2:$A$355,0))=0,"",INDEX(Deals!$Y$2:$Y$355,MATCH($C381,Deals!$A$2:$A$355,0))),""))</f>
        <v/>
      </c>
      <c r="V381" s="35">
        <f>IF($U381="",DATE(1900,1,1),$N381)</f>
        <v/>
      </c>
      <c r="W381" s="35">
        <f>IF($U381="",DATE(2100,12,31),$U381)</f>
        <v/>
      </c>
      <c r="X381" s="32">
        <f>IF($U381="",$K381,$K381*$S381)</f>
        <v/>
      </c>
      <c r="Y381" s="35">
        <f>IF($U381="",DATE(2100,12,31),$U381+1)</f>
        <v/>
      </c>
      <c r="Z381" s="35">
        <f>IF($U381="",DATE(1900,1,1),$O381)</f>
        <v/>
      </c>
      <c r="AA381" s="32">
        <f>IF($U381="",0,$K381*$T381)</f>
        <v/>
      </c>
      <c r="AB381" s="21">
        <f>IF($C381="",0,IFERROR(INDEX(Deals!$AD$2:$AD$355,MATCH($C381,Deals!$A$2:$A$355,0)),0))</f>
        <v/>
      </c>
      <c r="AC381" s="32">
        <f>IF(Settings!$B$4="Yes",$I381*$AB381,$I381)</f>
        <v/>
      </c>
      <c r="AD381" s="22">
        <f>IF($C381="","",IFERROR(IF(INDEX(Deals!$AE$2:$AE$355,MATCH($C381,Deals!$A$2:$A$355,0))=0,"",INDEX(Deals!$AE$2:$AE$355,MATCH($C381,Deals!$A$2:$A$355,0))),""))</f>
        <v/>
      </c>
      <c r="AE381" s="22">
        <f>IF($C381="","",IFERROR(IF(INDEX(Deals!$AF$2:$AF$355,MATCH($C381,Deals!$A$2:$A$355,0))=0,"",INDEX(Deals!$AF$2:$AF$355,MATCH($C381,Deals!$A$2:$A$355,0))),""))</f>
        <v/>
      </c>
      <c r="AF381" s="35">
        <f>IF($AD381="",DATE(1900,1,1),$AD381)</f>
        <v/>
      </c>
      <c r="AG381" s="35">
        <f>IF($AE381="",DATE(2100,12,31),$AE381)</f>
        <v/>
      </c>
      <c r="AH381" s="22">
        <f>IF($C381="","",IFERROR(IF(INDEX(Deals!$AG$2:$AG$355,MATCH($C381,Deals!$A$2:$A$355,0))=0,"",INDEX(Deals!$AG$2:$AG$355,MATCH($C381,Deals!$A$2:$A$355,0))),""))</f>
        <v/>
      </c>
      <c r="AI381" s="35">
        <f>IF($AH381="",DATE(1900,1,1),$AF381)</f>
        <v/>
      </c>
      <c r="AJ381" s="35">
        <f>IF($AH381="",DATE(2100,12,31),$AH381)</f>
        <v/>
      </c>
      <c r="AK381" s="32">
        <f>IF($AH381="",$AC381,$AC381*$S381)</f>
        <v/>
      </c>
      <c r="AL381" s="35">
        <f>IF($AH381="",DATE(2100,12,31),$AH381+1)</f>
        <v/>
      </c>
      <c r="AM381" s="35">
        <f>IF($AH381="",DATE(1900,1,1),$AG381)</f>
        <v/>
      </c>
      <c r="AN381" s="32">
        <f>IF($AH381="",0,$AC381*$T381)</f>
        <v/>
      </c>
    </row>
    <row r="382">
      <c r="A382" s="28" t="inlineStr">
        <is>
          <t>Patch</t>
        </is>
      </c>
      <c r="B382" s="16">
        <f>IF($A382="","",IFERROR(INDEX(Roster!$B$2:$B$40,MATCH($A382,Roster!$A$2:$A$40,0)),"?"))</f>
        <v/>
      </c>
      <c r="C382" s="28" t="inlineStr">
        <is>
          <t>EV Passport_2</t>
        </is>
      </c>
      <c r="D382" s="16">
        <f>IF($C382="","",IFERROR(IF(INDEX(Deals!$C$2:$C$355,MATCH($C382,Deals!$A$2:$A$355,0))=0,"",INDEX(Deals!$C$2:$C$355,MATCH($C382,Deals!$A$2:$A$355,0))),"?"))</f>
        <v/>
      </c>
      <c r="E382" s="16">
        <f>IF($C382="","",IFERROR(INDEX(Deals!$F$2:$F$355,MATCH($C382,Deals!$A$2:$A$355,0)),"?"))</f>
        <v/>
      </c>
      <c r="F382" s="28" t="inlineStr">
        <is>
          <t>VP</t>
        </is>
      </c>
      <c r="G382" s="28" t="inlineStr">
        <is>
          <t>Inactive</t>
        </is>
      </c>
      <c r="H382" s="31" t="n"/>
      <c r="I382" s="32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1">
        <f>IF($C382="",0,IFERROR(INDEX(Deals!$H$2:$H$355,MATCH($C382,Deals!$A$2:$A$355,0)),0))</f>
        <v/>
      </c>
      <c r="K382" s="32">
        <f>IF(Settings!$B$4="Yes",$I382*$J382,$I382)</f>
        <v/>
      </c>
      <c r="L382" s="22">
        <f>IF($C382="","",IFERROR(IF(INDEX(Deals!$I$2:$I$355,MATCH($C382,Deals!$A$2:$A$355,0))=0,"",INDEX(Deals!$I$2:$I$355,MATCH($C382,Deals!$A$2:$A$355,0))),""))</f>
        <v/>
      </c>
      <c r="M382" s="22">
        <f>IF($C382="","",IFERROR(IF(INDEX(Deals!$J$2:$J$355,MATCH($C382,Deals!$A$2:$A$355,0))=0,"",INDEX(Deals!$J$2:$J$355,MATCH($C382,Deals!$A$2:$A$355,0))),""))</f>
        <v/>
      </c>
      <c r="N382" s="35">
        <f>IF($L382="",DATE(1900,1,1),$L382)</f>
        <v/>
      </c>
      <c r="O382" s="35">
        <f>IF($M382="",DATE(2100,12,31),$M382)</f>
        <v/>
      </c>
      <c r="P382" s="20" t="inlineStr">
        <is>
          <t>Invoiced</t>
        </is>
      </c>
      <c r="Q382" s="43" t="inlineStr"/>
      <c r="R382" s="16">
        <f>IF($C382="","",IFERROR(IF(INDEX(Deals!$U$2:$U$355,MATCH($C382,Deals!$A$2:$A$355,0))=0,"",INDEX(Deals!$U$2:$U$355,MATCH($C382,Deals!$A$2:$A$355,0))),""))</f>
        <v/>
      </c>
      <c r="S382" s="34">
        <f>IFERROR(IF($U382="",1,INDEX(Deals!$V$2:$V$355,MATCH($C382,Deals!$A$2:$A$355,0))),1)</f>
        <v/>
      </c>
      <c r="T382" s="34">
        <f>IFERROR(IF($U382="",1,INDEX(Deals!$W$2:$W$355,MATCH($C382,Deals!$A$2:$A$355,0))),1)</f>
        <v/>
      </c>
      <c r="U382" s="22">
        <f>IF($C382="","",IFERROR(IF(INDEX(Deals!$Y$2:$Y$355,MATCH($C382,Deals!$A$2:$A$355,0))=0,"",INDEX(Deals!$Y$2:$Y$355,MATCH($C382,Deals!$A$2:$A$355,0))),""))</f>
        <v/>
      </c>
      <c r="V382" s="35">
        <f>IF($U382="",DATE(1900,1,1),$N382)</f>
        <v/>
      </c>
      <c r="W382" s="35">
        <f>IF($U382="",DATE(2100,12,31),$U382)</f>
        <v/>
      </c>
      <c r="X382" s="32">
        <f>IF($U382="",$K382,$K382*$S382)</f>
        <v/>
      </c>
      <c r="Y382" s="35">
        <f>IF($U382="",DATE(2100,12,31),$U382+1)</f>
        <v/>
      </c>
      <c r="Z382" s="35">
        <f>IF($U382="",DATE(1900,1,1),$O382)</f>
        <v/>
      </c>
      <c r="AA382" s="32">
        <f>IF($U382="",0,$K382*$T382)</f>
        <v/>
      </c>
      <c r="AB382" s="21">
        <f>IF($C382="",0,IFERROR(INDEX(Deals!$AD$2:$AD$355,MATCH($C382,Deals!$A$2:$A$355,0)),0))</f>
        <v/>
      </c>
      <c r="AC382" s="32">
        <f>IF(Settings!$B$4="Yes",$I382*$AB382,$I382)</f>
        <v/>
      </c>
      <c r="AD382" s="22">
        <f>IF($C382="","",IFERROR(IF(INDEX(Deals!$AE$2:$AE$355,MATCH($C382,Deals!$A$2:$A$355,0))=0,"",INDEX(Deals!$AE$2:$AE$355,MATCH($C382,Deals!$A$2:$A$355,0))),""))</f>
        <v/>
      </c>
      <c r="AE382" s="22">
        <f>IF($C382="","",IFERROR(IF(INDEX(Deals!$AF$2:$AF$355,MATCH($C382,Deals!$A$2:$A$355,0))=0,"",INDEX(Deals!$AF$2:$AF$355,MATCH($C382,Deals!$A$2:$A$355,0))),""))</f>
        <v/>
      </c>
      <c r="AF382" s="35">
        <f>IF($AD382="",DATE(1900,1,1),$AD382)</f>
        <v/>
      </c>
      <c r="AG382" s="35">
        <f>IF($AE382="",DATE(2100,12,31),$AE382)</f>
        <v/>
      </c>
      <c r="AH382" s="22">
        <f>IF($C382="","",IFERROR(IF(INDEX(Deals!$AG$2:$AG$355,MATCH($C382,Deals!$A$2:$A$355,0))=0,"",INDEX(Deals!$AG$2:$AG$355,MATCH($C382,Deals!$A$2:$A$355,0))),""))</f>
        <v/>
      </c>
      <c r="AI382" s="35">
        <f>IF($AH382="",DATE(1900,1,1),$AF382)</f>
        <v/>
      </c>
      <c r="AJ382" s="35">
        <f>IF($AH382="",DATE(2100,12,31),$AH382)</f>
        <v/>
      </c>
      <c r="AK382" s="32">
        <f>IF($AH382="",$AC382,$AC382*$S382)</f>
        <v/>
      </c>
      <c r="AL382" s="35">
        <f>IF($AH382="",DATE(2100,12,31),$AH382+1)</f>
        <v/>
      </c>
      <c r="AM382" s="35">
        <f>IF($AH382="",DATE(1900,1,1),$AG382)</f>
        <v/>
      </c>
      <c r="AN382" s="32">
        <f>IF($AH382="",0,$AC382*$T382)</f>
        <v/>
      </c>
    </row>
    <row r="383">
      <c r="A383" s="28" t="inlineStr">
        <is>
          <t>Patch</t>
        </is>
      </c>
      <c r="B383" s="16">
        <f>IF($A383="","",IFERROR(INDEX(Roster!$B$2:$B$40,MATCH($A383,Roster!$A$2:$A$40,0)),"?"))</f>
        <v/>
      </c>
      <c r="C383" s="28" t="inlineStr">
        <is>
          <t>Fury_1</t>
        </is>
      </c>
      <c r="D383" s="16">
        <f>IF($C383="","",IFERROR(IF(INDEX(Deals!$C$2:$C$355,MATCH($C383,Deals!$A$2:$A$355,0))=0,"",INDEX(Deals!$C$2:$C$355,MATCH($C383,Deals!$A$2:$A$355,0))),"?"))</f>
        <v/>
      </c>
      <c r="E383" s="16">
        <f>IF($C383="","",IFERROR(INDEX(Deals!$F$2:$F$355,MATCH($C383,Deals!$A$2:$A$355,0)),"?"))</f>
        <v/>
      </c>
      <c r="F383" s="28" t="inlineStr">
        <is>
          <t>VP</t>
        </is>
      </c>
      <c r="G383" s="28" t="inlineStr">
        <is>
          <t>Inactive</t>
        </is>
      </c>
      <c r="H383" s="31" t="n"/>
      <c r="I383" s="32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1">
        <f>IF($C383="",0,IFERROR(INDEX(Deals!$H$2:$H$355,MATCH($C383,Deals!$A$2:$A$355,0)),0))</f>
        <v/>
      </c>
      <c r="K383" s="32">
        <f>IF(Settings!$B$4="Yes",$I383*$J383,$I383)</f>
        <v/>
      </c>
      <c r="L383" s="22">
        <f>IF($C383="","",IFERROR(IF(INDEX(Deals!$I$2:$I$355,MATCH($C383,Deals!$A$2:$A$355,0))=0,"",INDEX(Deals!$I$2:$I$355,MATCH($C383,Deals!$A$2:$A$355,0))),""))</f>
        <v/>
      </c>
      <c r="M383" s="22">
        <f>IF($C383="","",IFERROR(IF(INDEX(Deals!$J$2:$J$355,MATCH($C383,Deals!$A$2:$A$355,0))=0,"",INDEX(Deals!$J$2:$J$355,MATCH($C383,Deals!$A$2:$A$355,0))),""))</f>
        <v/>
      </c>
      <c r="N383" s="35">
        <f>IF($L383="",DATE(1900,1,1),$L383)</f>
        <v/>
      </c>
      <c r="O383" s="35">
        <f>IF($M383="",DATE(2100,12,31),$M383)</f>
        <v/>
      </c>
      <c r="P383" s="20" t="inlineStr">
        <is>
          <t>Closed</t>
        </is>
      </c>
      <c r="Q383" s="43" t="inlineStr"/>
      <c r="R383" s="16">
        <f>IF($C383="","",IFERROR(IF(INDEX(Deals!$U$2:$U$355,MATCH($C383,Deals!$A$2:$A$355,0))=0,"",INDEX(Deals!$U$2:$U$355,MATCH($C383,Deals!$A$2:$A$355,0))),""))</f>
        <v/>
      </c>
      <c r="S383" s="34">
        <f>IFERROR(IF($U383="",1,INDEX(Deals!$V$2:$V$355,MATCH($C383,Deals!$A$2:$A$355,0))),1)</f>
        <v/>
      </c>
      <c r="T383" s="34">
        <f>IFERROR(IF($U383="",1,INDEX(Deals!$W$2:$W$355,MATCH($C383,Deals!$A$2:$A$355,0))),1)</f>
        <v/>
      </c>
      <c r="U383" s="22">
        <f>IF($C383="","",IFERROR(IF(INDEX(Deals!$Y$2:$Y$355,MATCH($C383,Deals!$A$2:$A$355,0))=0,"",INDEX(Deals!$Y$2:$Y$355,MATCH($C383,Deals!$A$2:$A$355,0))),""))</f>
        <v/>
      </c>
      <c r="V383" s="35">
        <f>IF($U383="",DATE(1900,1,1),$N383)</f>
        <v/>
      </c>
      <c r="W383" s="35">
        <f>IF($U383="",DATE(2100,12,31),$U383)</f>
        <v/>
      </c>
      <c r="X383" s="32">
        <f>IF($U383="",$K383,$K383*$S383)</f>
        <v/>
      </c>
      <c r="Y383" s="35">
        <f>IF($U383="",DATE(2100,12,31),$U383+1)</f>
        <v/>
      </c>
      <c r="Z383" s="35">
        <f>IF($U383="",DATE(1900,1,1),$O383)</f>
        <v/>
      </c>
      <c r="AA383" s="32">
        <f>IF($U383="",0,$K383*$T383)</f>
        <v/>
      </c>
      <c r="AB383" s="21">
        <f>IF($C383="",0,IFERROR(INDEX(Deals!$AD$2:$AD$355,MATCH($C383,Deals!$A$2:$A$355,0)),0))</f>
        <v/>
      </c>
      <c r="AC383" s="32">
        <f>IF(Settings!$B$4="Yes",$I383*$AB383,$I383)</f>
        <v/>
      </c>
      <c r="AD383" s="22">
        <f>IF($C383="","",IFERROR(IF(INDEX(Deals!$AE$2:$AE$355,MATCH($C383,Deals!$A$2:$A$355,0))=0,"",INDEX(Deals!$AE$2:$AE$355,MATCH($C383,Deals!$A$2:$A$355,0))),""))</f>
        <v/>
      </c>
      <c r="AE383" s="22">
        <f>IF($C383="","",IFERROR(IF(INDEX(Deals!$AF$2:$AF$355,MATCH($C383,Deals!$A$2:$A$355,0))=0,"",INDEX(Deals!$AF$2:$AF$355,MATCH($C383,Deals!$A$2:$A$355,0))),""))</f>
        <v/>
      </c>
      <c r="AF383" s="35">
        <f>IF($AD383="",DATE(1900,1,1),$AD383)</f>
        <v/>
      </c>
      <c r="AG383" s="35">
        <f>IF($AE383="",DATE(2100,12,31),$AE383)</f>
        <v/>
      </c>
      <c r="AH383" s="22">
        <f>IF($C383="","",IFERROR(IF(INDEX(Deals!$AG$2:$AG$355,MATCH($C383,Deals!$A$2:$A$355,0))=0,"",INDEX(Deals!$AG$2:$AG$355,MATCH($C383,Deals!$A$2:$A$355,0))),""))</f>
        <v/>
      </c>
      <c r="AI383" s="35">
        <f>IF($AH383="",DATE(1900,1,1),$AF383)</f>
        <v/>
      </c>
      <c r="AJ383" s="35">
        <f>IF($AH383="",DATE(2100,12,31),$AH383)</f>
        <v/>
      </c>
      <c r="AK383" s="32">
        <f>IF($AH383="",$AC383,$AC383*$S383)</f>
        <v/>
      </c>
      <c r="AL383" s="35">
        <f>IF($AH383="",DATE(2100,12,31),$AH383+1)</f>
        <v/>
      </c>
      <c r="AM383" s="35">
        <f>IF($AH383="",DATE(1900,1,1),$AG383)</f>
        <v/>
      </c>
      <c r="AN383" s="32">
        <f>IF($AH383="",0,$AC383*$T383)</f>
        <v/>
      </c>
    </row>
    <row r="384">
      <c r="A384" s="28" t="inlineStr">
        <is>
          <t>Patch</t>
        </is>
      </c>
      <c r="B384" s="16">
        <f>IF($A384="","",IFERROR(INDEX(Roster!$B$2:$B$40,MATCH($A384,Roster!$A$2:$A$40,0)),"?"))</f>
        <v/>
      </c>
      <c r="C384" s="28" t="inlineStr">
        <is>
          <t>Gateway_3</t>
        </is>
      </c>
      <c r="D384" s="16">
        <f>IF($C384="","",IFERROR(IF(INDEX(Deals!$C$2:$C$355,MATCH($C384,Deals!$A$2:$A$355,0))=0,"",INDEX(Deals!$C$2:$C$355,MATCH($C384,Deals!$A$2:$A$355,0))),"?"))</f>
        <v/>
      </c>
      <c r="E384" s="16">
        <f>IF($C384="","",IFERROR(INDEX(Deals!$F$2:$F$355,MATCH($C384,Deals!$A$2:$A$355,0)),"?"))</f>
        <v/>
      </c>
      <c r="F384" s="28" t="inlineStr">
        <is>
          <t>VP</t>
        </is>
      </c>
      <c r="G384" s="28" t="inlineStr">
        <is>
          <t>Inactive</t>
        </is>
      </c>
      <c r="H384" s="31" t="n"/>
      <c r="I384" s="32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1">
        <f>IF($C384="",0,IFERROR(INDEX(Deals!$H$2:$H$355,MATCH($C384,Deals!$A$2:$A$355,0)),0))</f>
        <v/>
      </c>
      <c r="K384" s="32">
        <f>IF(Settings!$B$4="Yes",$I384*$J384,$I384)</f>
        <v/>
      </c>
      <c r="L384" s="22">
        <f>IF($C384="","",IFERROR(IF(INDEX(Deals!$I$2:$I$355,MATCH($C384,Deals!$A$2:$A$355,0))=0,"",INDEX(Deals!$I$2:$I$355,MATCH($C384,Deals!$A$2:$A$355,0))),""))</f>
        <v/>
      </c>
      <c r="M384" s="22">
        <f>IF($C384="","",IFERROR(IF(INDEX(Deals!$J$2:$J$355,MATCH($C384,Deals!$A$2:$A$355,0))=0,"",INDEX(Deals!$J$2:$J$355,MATCH($C384,Deals!$A$2:$A$355,0))),""))</f>
        <v/>
      </c>
      <c r="N384" s="35">
        <f>IF($L384="",DATE(1900,1,1),$L384)</f>
        <v/>
      </c>
      <c r="O384" s="35">
        <f>IF($M384="",DATE(2100,12,31),$M384)</f>
        <v/>
      </c>
      <c r="P384" s="20" t="inlineStr">
        <is>
          <t>Closed</t>
        </is>
      </c>
      <c r="Q384" s="43" t="inlineStr"/>
      <c r="R384" s="16">
        <f>IF($C384="","",IFERROR(IF(INDEX(Deals!$U$2:$U$355,MATCH($C384,Deals!$A$2:$A$355,0))=0,"",INDEX(Deals!$U$2:$U$355,MATCH($C384,Deals!$A$2:$A$355,0))),""))</f>
        <v/>
      </c>
      <c r="S384" s="34">
        <f>IFERROR(IF($U384="",1,INDEX(Deals!$V$2:$V$355,MATCH($C384,Deals!$A$2:$A$355,0))),1)</f>
        <v/>
      </c>
      <c r="T384" s="34">
        <f>IFERROR(IF($U384="",1,INDEX(Deals!$W$2:$W$355,MATCH($C384,Deals!$A$2:$A$355,0))),1)</f>
        <v/>
      </c>
      <c r="U384" s="22">
        <f>IF($C384="","",IFERROR(IF(INDEX(Deals!$Y$2:$Y$355,MATCH($C384,Deals!$A$2:$A$355,0))=0,"",INDEX(Deals!$Y$2:$Y$355,MATCH($C384,Deals!$A$2:$A$355,0))),""))</f>
        <v/>
      </c>
      <c r="V384" s="35">
        <f>IF($U384="",DATE(1900,1,1),$N384)</f>
        <v/>
      </c>
      <c r="W384" s="35">
        <f>IF($U384="",DATE(2100,12,31),$U384)</f>
        <v/>
      </c>
      <c r="X384" s="32">
        <f>IF($U384="",$K384,$K384*$S384)</f>
        <v/>
      </c>
      <c r="Y384" s="35">
        <f>IF($U384="",DATE(2100,12,31),$U384+1)</f>
        <v/>
      </c>
      <c r="Z384" s="35">
        <f>IF($U384="",DATE(1900,1,1),$O384)</f>
        <v/>
      </c>
      <c r="AA384" s="32">
        <f>IF($U384="",0,$K384*$T384)</f>
        <v/>
      </c>
      <c r="AB384" s="21">
        <f>IF($C384="",0,IFERROR(INDEX(Deals!$AD$2:$AD$355,MATCH($C384,Deals!$A$2:$A$355,0)),0))</f>
        <v/>
      </c>
      <c r="AC384" s="32">
        <f>IF(Settings!$B$4="Yes",$I384*$AB384,$I384)</f>
        <v/>
      </c>
      <c r="AD384" s="22">
        <f>IF($C384="","",IFERROR(IF(INDEX(Deals!$AE$2:$AE$355,MATCH($C384,Deals!$A$2:$A$355,0))=0,"",INDEX(Deals!$AE$2:$AE$355,MATCH($C384,Deals!$A$2:$A$355,0))),""))</f>
        <v/>
      </c>
      <c r="AE384" s="22">
        <f>IF($C384="","",IFERROR(IF(INDEX(Deals!$AF$2:$AF$355,MATCH($C384,Deals!$A$2:$A$355,0))=0,"",INDEX(Deals!$AF$2:$AF$355,MATCH($C384,Deals!$A$2:$A$355,0))),""))</f>
        <v/>
      </c>
      <c r="AF384" s="35">
        <f>IF($AD384="",DATE(1900,1,1),$AD384)</f>
        <v/>
      </c>
      <c r="AG384" s="35">
        <f>IF($AE384="",DATE(2100,12,31),$AE384)</f>
        <v/>
      </c>
      <c r="AH384" s="22">
        <f>IF($C384="","",IFERROR(IF(INDEX(Deals!$AG$2:$AG$355,MATCH($C384,Deals!$A$2:$A$355,0))=0,"",INDEX(Deals!$AG$2:$AG$355,MATCH($C384,Deals!$A$2:$A$355,0))),""))</f>
        <v/>
      </c>
      <c r="AI384" s="35">
        <f>IF($AH384="",DATE(1900,1,1),$AF384)</f>
        <v/>
      </c>
      <c r="AJ384" s="35">
        <f>IF($AH384="",DATE(2100,12,31),$AH384)</f>
        <v/>
      </c>
      <c r="AK384" s="32">
        <f>IF($AH384="",$AC384,$AC384*$S384)</f>
        <v/>
      </c>
      <c r="AL384" s="35">
        <f>IF($AH384="",DATE(2100,12,31),$AH384+1)</f>
        <v/>
      </c>
      <c r="AM384" s="35">
        <f>IF($AH384="",DATE(1900,1,1),$AG384)</f>
        <v/>
      </c>
      <c r="AN384" s="32">
        <f>IF($AH384="",0,$AC384*$T384)</f>
        <v/>
      </c>
    </row>
    <row r="385">
      <c r="A385" s="28" t="inlineStr">
        <is>
          <t>Patch</t>
        </is>
      </c>
      <c r="B385" s="16">
        <f>IF($A385="","",IFERROR(INDEX(Roster!$B$2:$B$40,MATCH($A385,Roster!$A$2:$A$40,0)),"?"))</f>
        <v/>
      </c>
      <c r="C385" s="28" t="inlineStr">
        <is>
          <t>Genesis_6</t>
        </is>
      </c>
      <c r="D385" s="16">
        <f>IF($C385="","",IFERROR(IF(INDEX(Deals!$C$2:$C$355,MATCH($C385,Deals!$A$2:$A$355,0))=0,"",INDEX(Deals!$C$2:$C$355,MATCH($C385,Deals!$A$2:$A$355,0))),"?"))</f>
        <v/>
      </c>
      <c r="E385" s="16">
        <f>IF($C385="","",IFERROR(INDEX(Deals!$F$2:$F$355,MATCH($C385,Deals!$A$2:$A$355,0)),"?"))</f>
        <v/>
      </c>
      <c r="F385" s="28" t="inlineStr">
        <is>
          <t>VP</t>
        </is>
      </c>
      <c r="G385" s="28" t="inlineStr">
        <is>
          <t>Active</t>
        </is>
      </c>
      <c r="H385" s="31" t="n"/>
      <c r="I385" s="32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1">
        <f>IF($C385="",0,IFERROR(INDEX(Deals!$H$2:$H$355,MATCH($C385,Deals!$A$2:$A$355,0)),0))</f>
        <v/>
      </c>
      <c r="K385" s="32">
        <f>IF(Settings!$B$4="Yes",$I385*$J385,$I385)</f>
        <v/>
      </c>
      <c r="L385" s="22">
        <f>IF($C385="","",IFERROR(IF(INDEX(Deals!$I$2:$I$355,MATCH($C385,Deals!$A$2:$A$355,0))=0,"",INDEX(Deals!$I$2:$I$355,MATCH($C385,Deals!$A$2:$A$355,0))),""))</f>
        <v/>
      </c>
      <c r="M385" s="22">
        <f>IF($C385="","",IFERROR(IF(INDEX(Deals!$J$2:$J$355,MATCH($C385,Deals!$A$2:$A$355,0))=0,"",INDEX(Deals!$J$2:$J$355,MATCH($C385,Deals!$A$2:$A$355,0))),""))</f>
        <v/>
      </c>
      <c r="N385" s="35">
        <f>IF($L385="",DATE(1900,1,1),$L385)</f>
        <v/>
      </c>
      <c r="O385" s="35">
        <f>IF($M385="",DATE(2100,12,31),$M385)</f>
        <v/>
      </c>
      <c r="P385" s="20" t="inlineStr">
        <is>
          <t>Ongoing</t>
        </is>
      </c>
      <c r="Q385" s="43" t="inlineStr"/>
      <c r="R385" s="16">
        <f>IF($C385="","",IFERROR(IF(INDEX(Deals!$U$2:$U$355,MATCH($C385,Deals!$A$2:$A$355,0))=0,"",INDEX(Deals!$U$2:$U$355,MATCH($C385,Deals!$A$2:$A$355,0))),""))</f>
        <v/>
      </c>
      <c r="S385" s="34">
        <f>IFERROR(IF($U385="",1,INDEX(Deals!$V$2:$V$355,MATCH($C385,Deals!$A$2:$A$355,0))),1)</f>
        <v/>
      </c>
      <c r="T385" s="34">
        <f>IFERROR(IF($U385="",1,INDEX(Deals!$W$2:$W$355,MATCH($C385,Deals!$A$2:$A$355,0))),1)</f>
        <v/>
      </c>
      <c r="U385" s="22">
        <f>IF($C385="","",IFERROR(IF(INDEX(Deals!$Y$2:$Y$355,MATCH($C385,Deals!$A$2:$A$355,0))=0,"",INDEX(Deals!$Y$2:$Y$355,MATCH($C385,Deals!$A$2:$A$355,0))),""))</f>
        <v/>
      </c>
      <c r="V385" s="35">
        <f>IF($U385="",DATE(1900,1,1),$N385)</f>
        <v/>
      </c>
      <c r="W385" s="35">
        <f>IF($U385="",DATE(2100,12,31),$U385)</f>
        <v/>
      </c>
      <c r="X385" s="32">
        <f>IF($U385="",$K385,$K385*$S385)</f>
        <v/>
      </c>
      <c r="Y385" s="35">
        <f>IF($U385="",DATE(2100,12,31),$U385+1)</f>
        <v/>
      </c>
      <c r="Z385" s="35">
        <f>IF($U385="",DATE(1900,1,1),$O385)</f>
        <v/>
      </c>
      <c r="AA385" s="32">
        <f>IF($U385="",0,$K385*$T385)</f>
        <v/>
      </c>
      <c r="AB385" s="21">
        <f>IF($C385="",0,IFERROR(INDEX(Deals!$AD$2:$AD$355,MATCH($C385,Deals!$A$2:$A$355,0)),0))</f>
        <v/>
      </c>
      <c r="AC385" s="32">
        <f>IF(Settings!$B$4="Yes",$I385*$AB385,$I385)</f>
        <v/>
      </c>
      <c r="AD385" s="22">
        <f>IF($C385="","",IFERROR(IF(INDEX(Deals!$AE$2:$AE$355,MATCH($C385,Deals!$A$2:$A$355,0))=0,"",INDEX(Deals!$AE$2:$AE$355,MATCH($C385,Deals!$A$2:$A$355,0))),""))</f>
        <v/>
      </c>
      <c r="AE385" s="22">
        <f>IF($C385="","",IFERROR(IF(INDEX(Deals!$AF$2:$AF$355,MATCH($C385,Deals!$A$2:$A$355,0))=0,"",INDEX(Deals!$AF$2:$AF$355,MATCH($C385,Deals!$A$2:$A$355,0))),""))</f>
        <v/>
      </c>
      <c r="AF385" s="35">
        <f>IF($AD385="",DATE(1900,1,1),$AD385)</f>
        <v/>
      </c>
      <c r="AG385" s="35">
        <f>IF($AE385="",DATE(2100,12,31),$AE385)</f>
        <v/>
      </c>
      <c r="AH385" s="22">
        <f>IF($C385="","",IFERROR(IF(INDEX(Deals!$AG$2:$AG$355,MATCH($C385,Deals!$A$2:$A$355,0))=0,"",INDEX(Deals!$AG$2:$AG$355,MATCH($C385,Deals!$A$2:$A$355,0))),""))</f>
        <v/>
      </c>
      <c r="AI385" s="35">
        <f>IF($AH385="",DATE(1900,1,1),$AF385)</f>
        <v/>
      </c>
      <c r="AJ385" s="35">
        <f>IF($AH385="",DATE(2100,12,31),$AH385)</f>
        <v/>
      </c>
      <c r="AK385" s="32">
        <f>IF($AH385="",$AC385,$AC385*$S385)</f>
        <v/>
      </c>
      <c r="AL385" s="35">
        <f>IF($AH385="",DATE(2100,12,31),$AH385+1)</f>
        <v/>
      </c>
      <c r="AM385" s="35">
        <f>IF($AH385="",DATE(1900,1,1),$AG385)</f>
        <v/>
      </c>
      <c r="AN385" s="32">
        <f>IF($AH385="",0,$AC385*$T385)</f>
        <v/>
      </c>
    </row>
    <row r="386">
      <c r="A386" s="28" t="inlineStr">
        <is>
          <t>Patch</t>
        </is>
      </c>
      <c r="B386" s="16">
        <f>IF($A386="","",IFERROR(INDEX(Roster!$B$2:$B$40,MATCH($A386,Roster!$A$2:$A$40,0)),"?"))</f>
        <v/>
      </c>
      <c r="C386" s="28" t="inlineStr">
        <is>
          <t>Hatch_1</t>
        </is>
      </c>
      <c r="D386" s="16">
        <f>IF($C386="","",IFERROR(IF(INDEX(Deals!$C$2:$C$355,MATCH($C386,Deals!$A$2:$A$355,0))=0,"",INDEX(Deals!$C$2:$C$355,MATCH($C386,Deals!$A$2:$A$355,0))),"?"))</f>
        <v/>
      </c>
      <c r="E386" s="16">
        <f>IF($C386="","",IFERROR(INDEX(Deals!$F$2:$F$355,MATCH($C386,Deals!$A$2:$A$355,0)),"?"))</f>
        <v/>
      </c>
      <c r="F386" s="28" t="inlineStr">
        <is>
          <t>VP</t>
        </is>
      </c>
      <c r="G386" s="28" t="inlineStr">
        <is>
          <t>Inactive</t>
        </is>
      </c>
      <c r="H386" s="31" t="n"/>
      <c r="I386" s="32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1">
        <f>IF($C386="",0,IFERROR(INDEX(Deals!$H$2:$H$355,MATCH($C386,Deals!$A$2:$A$355,0)),0))</f>
        <v/>
      </c>
      <c r="K386" s="32">
        <f>IF(Settings!$B$4="Yes",$I386*$J386,$I386)</f>
        <v/>
      </c>
      <c r="L386" s="22">
        <f>IF($C386="","",IFERROR(IF(INDEX(Deals!$I$2:$I$355,MATCH($C386,Deals!$A$2:$A$355,0))=0,"",INDEX(Deals!$I$2:$I$355,MATCH($C386,Deals!$A$2:$A$355,0))),""))</f>
        <v/>
      </c>
      <c r="M386" s="22">
        <f>IF($C386="","",IFERROR(IF(INDEX(Deals!$J$2:$J$355,MATCH($C386,Deals!$A$2:$A$355,0))=0,"",INDEX(Deals!$J$2:$J$355,MATCH($C386,Deals!$A$2:$A$355,0))),""))</f>
        <v/>
      </c>
      <c r="N386" s="35">
        <f>IF($L386="",DATE(1900,1,1),$L386)</f>
        <v/>
      </c>
      <c r="O386" s="35">
        <f>IF($M386="",DATE(2100,12,31),$M386)</f>
        <v/>
      </c>
      <c r="P386" s="20" t="inlineStr">
        <is>
          <t>Pencils Down</t>
        </is>
      </c>
      <c r="Q386" s="43" t="inlineStr"/>
      <c r="R386" s="16">
        <f>IF($C386="","",IFERROR(IF(INDEX(Deals!$U$2:$U$355,MATCH($C386,Deals!$A$2:$A$355,0))=0,"",INDEX(Deals!$U$2:$U$355,MATCH($C386,Deals!$A$2:$A$355,0))),""))</f>
        <v/>
      </c>
      <c r="S386" s="34">
        <f>IFERROR(IF($U386="",1,INDEX(Deals!$V$2:$V$355,MATCH($C386,Deals!$A$2:$A$355,0))),1)</f>
        <v/>
      </c>
      <c r="T386" s="34">
        <f>IFERROR(IF($U386="",1,INDEX(Deals!$W$2:$W$355,MATCH($C386,Deals!$A$2:$A$355,0))),1)</f>
        <v/>
      </c>
      <c r="U386" s="22">
        <f>IF($C386="","",IFERROR(IF(INDEX(Deals!$Y$2:$Y$355,MATCH($C386,Deals!$A$2:$A$355,0))=0,"",INDEX(Deals!$Y$2:$Y$355,MATCH($C386,Deals!$A$2:$A$355,0))),""))</f>
        <v/>
      </c>
      <c r="V386" s="35">
        <f>IF($U386="",DATE(1900,1,1),$N386)</f>
        <v/>
      </c>
      <c r="W386" s="35">
        <f>IF($U386="",DATE(2100,12,31),$U386)</f>
        <v/>
      </c>
      <c r="X386" s="32">
        <f>IF($U386="",$K386,$K386*$S386)</f>
        <v/>
      </c>
      <c r="Y386" s="35">
        <f>IF($U386="",DATE(2100,12,31),$U386+1)</f>
        <v/>
      </c>
      <c r="Z386" s="35">
        <f>IF($U386="",DATE(1900,1,1),$O386)</f>
        <v/>
      </c>
      <c r="AA386" s="32">
        <f>IF($U386="",0,$K386*$T386)</f>
        <v/>
      </c>
      <c r="AB386" s="21">
        <f>IF($C386="",0,IFERROR(INDEX(Deals!$AD$2:$AD$355,MATCH($C386,Deals!$A$2:$A$355,0)),0))</f>
        <v/>
      </c>
      <c r="AC386" s="32">
        <f>IF(Settings!$B$4="Yes",$I386*$AB386,$I386)</f>
        <v/>
      </c>
      <c r="AD386" s="22">
        <f>IF($C386="","",IFERROR(IF(INDEX(Deals!$AE$2:$AE$355,MATCH($C386,Deals!$A$2:$A$355,0))=0,"",INDEX(Deals!$AE$2:$AE$355,MATCH($C386,Deals!$A$2:$A$355,0))),""))</f>
        <v/>
      </c>
      <c r="AE386" s="22">
        <f>IF($C386="","",IFERROR(IF(INDEX(Deals!$AF$2:$AF$355,MATCH($C386,Deals!$A$2:$A$355,0))=0,"",INDEX(Deals!$AF$2:$AF$355,MATCH($C386,Deals!$A$2:$A$355,0))),""))</f>
        <v/>
      </c>
      <c r="AF386" s="35">
        <f>IF($AD386="",DATE(1900,1,1),$AD386)</f>
        <v/>
      </c>
      <c r="AG386" s="35">
        <f>IF($AE386="",DATE(2100,12,31),$AE386)</f>
        <v/>
      </c>
      <c r="AH386" s="22">
        <f>IF($C386="","",IFERROR(IF(INDEX(Deals!$AG$2:$AG$355,MATCH($C386,Deals!$A$2:$A$355,0))=0,"",INDEX(Deals!$AG$2:$AG$355,MATCH($C386,Deals!$A$2:$A$355,0))),""))</f>
        <v/>
      </c>
      <c r="AI386" s="35">
        <f>IF($AH386="",DATE(1900,1,1),$AF386)</f>
        <v/>
      </c>
      <c r="AJ386" s="35">
        <f>IF($AH386="",DATE(2100,12,31),$AH386)</f>
        <v/>
      </c>
      <c r="AK386" s="32">
        <f>IF($AH386="",$AC386,$AC386*$S386)</f>
        <v/>
      </c>
      <c r="AL386" s="35">
        <f>IF($AH386="",DATE(2100,12,31),$AH386+1)</f>
        <v/>
      </c>
      <c r="AM386" s="35">
        <f>IF($AH386="",DATE(1900,1,1),$AG386)</f>
        <v/>
      </c>
      <c r="AN386" s="32">
        <f>IF($AH386="",0,$AC386*$T386)</f>
        <v/>
      </c>
    </row>
    <row r="387">
      <c r="A387" s="28" t="inlineStr">
        <is>
          <t>Patch</t>
        </is>
      </c>
      <c r="B387" s="16">
        <f>IF($A387="","",IFERROR(INDEX(Roster!$B$2:$B$40,MATCH($A387,Roster!$A$2:$A$40,0)),"?"))</f>
        <v/>
      </c>
      <c r="C387" s="28" t="inlineStr">
        <is>
          <t>Heartland_2</t>
        </is>
      </c>
      <c r="D387" s="16">
        <f>IF($C387="","",IFERROR(IF(INDEX(Deals!$C$2:$C$355,MATCH($C387,Deals!$A$2:$A$355,0))=0,"",INDEX(Deals!$C$2:$C$355,MATCH($C387,Deals!$A$2:$A$355,0))),"?"))</f>
        <v/>
      </c>
      <c r="E387" s="16">
        <f>IF($C387="","",IFERROR(INDEX(Deals!$F$2:$F$355,MATCH($C387,Deals!$A$2:$A$355,0)),"?"))</f>
        <v/>
      </c>
      <c r="F387" s="28" t="inlineStr">
        <is>
          <t>VP</t>
        </is>
      </c>
      <c r="G387" s="28" t="inlineStr">
        <is>
          <t>Inactive</t>
        </is>
      </c>
      <c r="H387" s="31" t="n"/>
      <c r="I387" s="32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1">
        <f>IF($C387="",0,IFERROR(INDEX(Deals!$H$2:$H$355,MATCH($C387,Deals!$A$2:$A$355,0)),0))</f>
        <v/>
      </c>
      <c r="K387" s="32">
        <f>IF(Settings!$B$4="Yes",$I387*$J387,$I387)</f>
        <v/>
      </c>
      <c r="L387" s="22">
        <f>IF($C387="","",IFERROR(IF(INDEX(Deals!$I$2:$I$355,MATCH($C387,Deals!$A$2:$A$355,0))=0,"",INDEX(Deals!$I$2:$I$355,MATCH($C387,Deals!$A$2:$A$355,0))),""))</f>
        <v/>
      </c>
      <c r="M387" s="22">
        <f>IF($C387="","",IFERROR(IF(INDEX(Deals!$J$2:$J$355,MATCH($C387,Deals!$A$2:$A$355,0))=0,"",INDEX(Deals!$J$2:$J$355,MATCH($C387,Deals!$A$2:$A$355,0))),""))</f>
        <v/>
      </c>
      <c r="N387" s="35">
        <f>IF($L387="",DATE(1900,1,1),$L387)</f>
        <v/>
      </c>
      <c r="O387" s="35">
        <f>IF($M387="",DATE(2100,12,31),$M387)</f>
        <v/>
      </c>
      <c r="P387" s="20" t="inlineStr">
        <is>
          <t>Not really involved in ongoing work</t>
        </is>
      </c>
      <c r="Q387" s="43" t="inlineStr"/>
      <c r="R387" s="16">
        <f>IF($C387="","",IFERROR(IF(INDEX(Deals!$U$2:$U$355,MATCH($C387,Deals!$A$2:$A$355,0))=0,"",INDEX(Deals!$U$2:$U$355,MATCH($C387,Deals!$A$2:$A$355,0))),""))</f>
        <v/>
      </c>
      <c r="S387" s="34">
        <f>IFERROR(IF($U387="",1,INDEX(Deals!$V$2:$V$355,MATCH($C387,Deals!$A$2:$A$355,0))),1)</f>
        <v/>
      </c>
      <c r="T387" s="34">
        <f>IFERROR(IF($U387="",1,INDEX(Deals!$W$2:$W$355,MATCH($C387,Deals!$A$2:$A$355,0))),1)</f>
        <v/>
      </c>
      <c r="U387" s="22">
        <f>IF($C387="","",IFERROR(IF(INDEX(Deals!$Y$2:$Y$355,MATCH($C387,Deals!$A$2:$A$355,0))=0,"",INDEX(Deals!$Y$2:$Y$355,MATCH($C387,Deals!$A$2:$A$355,0))),""))</f>
        <v/>
      </c>
      <c r="V387" s="35">
        <f>IF($U387="",DATE(1900,1,1),$N387)</f>
        <v/>
      </c>
      <c r="W387" s="35">
        <f>IF($U387="",DATE(2100,12,31),$U387)</f>
        <v/>
      </c>
      <c r="X387" s="32">
        <f>IF($U387="",$K387,$K387*$S387)</f>
        <v/>
      </c>
      <c r="Y387" s="35">
        <f>IF($U387="",DATE(2100,12,31),$U387+1)</f>
        <v/>
      </c>
      <c r="Z387" s="35">
        <f>IF($U387="",DATE(1900,1,1),$O387)</f>
        <v/>
      </c>
      <c r="AA387" s="32">
        <f>IF($U387="",0,$K387*$T387)</f>
        <v/>
      </c>
      <c r="AB387" s="21">
        <f>IF($C387="",0,IFERROR(INDEX(Deals!$AD$2:$AD$355,MATCH($C387,Deals!$A$2:$A$355,0)),0))</f>
        <v/>
      </c>
      <c r="AC387" s="32">
        <f>IF(Settings!$B$4="Yes",$I387*$AB387,$I387)</f>
        <v/>
      </c>
      <c r="AD387" s="22">
        <f>IF($C387="","",IFERROR(IF(INDEX(Deals!$AE$2:$AE$355,MATCH($C387,Deals!$A$2:$A$355,0))=0,"",INDEX(Deals!$AE$2:$AE$355,MATCH($C387,Deals!$A$2:$A$355,0))),""))</f>
        <v/>
      </c>
      <c r="AE387" s="22">
        <f>IF($C387="","",IFERROR(IF(INDEX(Deals!$AF$2:$AF$355,MATCH($C387,Deals!$A$2:$A$355,0))=0,"",INDEX(Deals!$AF$2:$AF$355,MATCH($C387,Deals!$A$2:$A$355,0))),""))</f>
        <v/>
      </c>
      <c r="AF387" s="35">
        <f>IF($AD387="",DATE(1900,1,1),$AD387)</f>
        <v/>
      </c>
      <c r="AG387" s="35">
        <f>IF($AE387="",DATE(2100,12,31),$AE387)</f>
        <v/>
      </c>
      <c r="AH387" s="22">
        <f>IF($C387="","",IFERROR(IF(INDEX(Deals!$AG$2:$AG$355,MATCH($C387,Deals!$A$2:$A$355,0))=0,"",INDEX(Deals!$AG$2:$AG$355,MATCH($C387,Deals!$A$2:$A$355,0))),""))</f>
        <v/>
      </c>
      <c r="AI387" s="35">
        <f>IF($AH387="",DATE(1900,1,1),$AF387)</f>
        <v/>
      </c>
      <c r="AJ387" s="35">
        <f>IF($AH387="",DATE(2100,12,31),$AH387)</f>
        <v/>
      </c>
      <c r="AK387" s="32">
        <f>IF($AH387="",$AC387,$AC387*$S387)</f>
        <v/>
      </c>
      <c r="AL387" s="35">
        <f>IF($AH387="",DATE(2100,12,31),$AH387+1)</f>
        <v/>
      </c>
      <c r="AM387" s="35">
        <f>IF($AH387="",DATE(1900,1,1),$AG387)</f>
        <v/>
      </c>
      <c r="AN387" s="32">
        <f>IF($AH387="",0,$AC387*$T387)</f>
        <v/>
      </c>
    </row>
    <row r="388">
      <c r="A388" s="28" t="inlineStr">
        <is>
          <t>Patch</t>
        </is>
      </c>
      <c r="B388" s="16">
        <f>IF($A388="","",IFERROR(INDEX(Roster!$B$2:$B$40,MATCH($A388,Roster!$A$2:$A$40,0)),"?"))</f>
        <v/>
      </c>
      <c r="C388" s="28" t="inlineStr">
        <is>
          <t>Hop_1</t>
        </is>
      </c>
      <c r="D388" s="16">
        <f>IF($C388="","",IFERROR(IF(INDEX(Deals!$C$2:$C$355,MATCH($C388,Deals!$A$2:$A$355,0))=0,"",INDEX(Deals!$C$2:$C$355,MATCH($C388,Deals!$A$2:$A$355,0))),"?"))</f>
        <v/>
      </c>
      <c r="E388" s="16">
        <f>IF($C388="","",IFERROR(INDEX(Deals!$F$2:$F$355,MATCH($C388,Deals!$A$2:$A$355,0)),"?"))</f>
        <v/>
      </c>
      <c r="F388" s="28" t="inlineStr">
        <is>
          <t>VP</t>
        </is>
      </c>
      <c r="G388" s="28" t="inlineStr">
        <is>
          <t>Active</t>
        </is>
      </c>
      <c r="H388" s="31" t="n"/>
      <c r="I388" s="32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1">
        <f>IF($C388="",0,IFERROR(INDEX(Deals!$H$2:$H$355,MATCH($C388,Deals!$A$2:$A$355,0)),0))</f>
        <v/>
      </c>
      <c r="K388" s="32">
        <f>IF(Settings!$B$4="Yes",$I388*$J388,$I388)</f>
        <v/>
      </c>
      <c r="L388" s="22">
        <f>IF($C388="","",IFERROR(IF(INDEX(Deals!$I$2:$I$355,MATCH($C388,Deals!$A$2:$A$355,0))=0,"",INDEX(Deals!$I$2:$I$355,MATCH($C388,Deals!$A$2:$A$355,0))),""))</f>
        <v/>
      </c>
      <c r="M388" s="22">
        <f>IF($C388="","",IFERROR(IF(INDEX(Deals!$J$2:$J$355,MATCH($C388,Deals!$A$2:$A$355,0))=0,"",INDEX(Deals!$J$2:$J$355,MATCH($C388,Deals!$A$2:$A$355,0))),""))</f>
        <v/>
      </c>
      <c r="N388" s="35">
        <f>IF($L388="",DATE(1900,1,1),$L388)</f>
        <v/>
      </c>
      <c r="O388" s="35">
        <f>IF($M388="",DATE(2100,12,31),$M388)</f>
        <v/>
      </c>
      <c r="P388" s="20" t="inlineStr">
        <is>
          <t>SALT deal</t>
        </is>
      </c>
      <c r="Q388" s="43" t="inlineStr"/>
      <c r="R388" s="16">
        <f>IF($C388="","",IFERROR(IF(INDEX(Deals!$U$2:$U$355,MATCH($C388,Deals!$A$2:$A$355,0))=0,"",INDEX(Deals!$U$2:$U$355,MATCH($C388,Deals!$A$2:$A$355,0))),""))</f>
        <v/>
      </c>
      <c r="S388" s="34">
        <f>IFERROR(IF($U388="",1,INDEX(Deals!$V$2:$V$355,MATCH($C388,Deals!$A$2:$A$355,0))),1)</f>
        <v/>
      </c>
      <c r="T388" s="34">
        <f>IFERROR(IF($U388="",1,INDEX(Deals!$W$2:$W$355,MATCH($C388,Deals!$A$2:$A$355,0))),1)</f>
        <v/>
      </c>
      <c r="U388" s="22">
        <f>IF($C388="","",IFERROR(IF(INDEX(Deals!$Y$2:$Y$355,MATCH($C388,Deals!$A$2:$A$355,0))=0,"",INDEX(Deals!$Y$2:$Y$355,MATCH($C388,Deals!$A$2:$A$355,0))),""))</f>
        <v/>
      </c>
      <c r="V388" s="35">
        <f>IF($U388="",DATE(1900,1,1),$N388)</f>
        <v/>
      </c>
      <c r="W388" s="35">
        <f>IF($U388="",DATE(2100,12,31),$U388)</f>
        <v/>
      </c>
      <c r="X388" s="32">
        <f>IF($U388="",$K388,$K388*$S388)</f>
        <v/>
      </c>
      <c r="Y388" s="35">
        <f>IF($U388="",DATE(2100,12,31),$U388+1)</f>
        <v/>
      </c>
      <c r="Z388" s="35">
        <f>IF($U388="",DATE(1900,1,1),$O388)</f>
        <v/>
      </c>
      <c r="AA388" s="32">
        <f>IF($U388="",0,$K388*$T388)</f>
        <v/>
      </c>
      <c r="AB388" s="21">
        <f>IF($C388="",0,IFERROR(INDEX(Deals!$AD$2:$AD$355,MATCH($C388,Deals!$A$2:$A$355,0)),0))</f>
        <v/>
      </c>
      <c r="AC388" s="32">
        <f>IF(Settings!$B$4="Yes",$I388*$AB388,$I388)</f>
        <v/>
      </c>
      <c r="AD388" s="22">
        <f>IF($C388="","",IFERROR(IF(INDEX(Deals!$AE$2:$AE$355,MATCH($C388,Deals!$A$2:$A$355,0))=0,"",INDEX(Deals!$AE$2:$AE$355,MATCH($C388,Deals!$A$2:$A$355,0))),""))</f>
        <v/>
      </c>
      <c r="AE388" s="22">
        <f>IF($C388="","",IFERROR(IF(INDEX(Deals!$AF$2:$AF$355,MATCH($C388,Deals!$A$2:$A$355,0))=0,"",INDEX(Deals!$AF$2:$AF$355,MATCH($C388,Deals!$A$2:$A$355,0))),""))</f>
        <v/>
      </c>
      <c r="AF388" s="35">
        <f>IF($AD388="",DATE(1900,1,1),$AD388)</f>
        <v/>
      </c>
      <c r="AG388" s="35">
        <f>IF($AE388="",DATE(2100,12,31),$AE388)</f>
        <v/>
      </c>
      <c r="AH388" s="22">
        <f>IF($C388="","",IFERROR(IF(INDEX(Deals!$AG$2:$AG$355,MATCH($C388,Deals!$A$2:$A$355,0))=0,"",INDEX(Deals!$AG$2:$AG$355,MATCH($C388,Deals!$A$2:$A$355,0))),""))</f>
        <v/>
      </c>
      <c r="AI388" s="35">
        <f>IF($AH388="",DATE(1900,1,1),$AF388)</f>
        <v/>
      </c>
      <c r="AJ388" s="35">
        <f>IF($AH388="",DATE(2100,12,31),$AH388)</f>
        <v/>
      </c>
      <c r="AK388" s="32">
        <f>IF($AH388="",$AC388,$AC388*$S388)</f>
        <v/>
      </c>
      <c r="AL388" s="35">
        <f>IF($AH388="",DATE(2100,12,31),$AH388+1)</f>
        <v/>
      </c>
      <c r="AM388" s="35">
        <f>IF($AH388="",DATE(1900,1,1),$AG388)</f>
        <v/>
      </c>
      <c r="AN388" s="32">
        <f>IF($AH388="",0,$AC388*$T388)</f>
        <v/>
      </c>
    </row>
    <row r="389">
      <c r="A389" s="28" t="inlineStr">
        <is>
          <t>Patch</t>
        </is>
      </c>
      <c r="B389" s="16">
        <f>IF($A389="","",IFERROR(INDEX(Roster!$B$2:$B$40,MATCH($A389,Roster!$A$2:$A$40,0)),"?"))</f>
        <v/>
      </c>
      <c r="C389" s="28" t="inlineStr">
        <is>
          <t>i3 Broadband _1</t>
        </is>
      </c>
      <c r="D389" s="16">
        <f>IF($C389="","",IFERROR(IF(INDEX(Deals!$C$2:$C$355,MATCH($C389,Deals!$A$2:$A$355,0))=0,"",INDEX(Deals!$C$2:$C$355,MATCH($C389,Deals!$A$2:$A$355,0))),"?"))</f>
        <v/>
      </c>
      <c r="E389" s="16">
        <f>IF($C389="","",IFERROR(INDEX(Deals!$F$2:$F$355,MATCH($C389,Deals!$A$2:$A$355,0)),"?"))</f>
        <v/>
      </c>
      <c r="F389" s="28" t="inlineStr">
        <is>
          <t>VP</t>
        </is>
      </c>
      <c r="G389" s="28" t="inlineStr">
        <is>
          <t>Inactive</t>
        </is>
      </c>
      <c r="H389" s="31" t="n"/>
      <c r="I389" s="32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1">
        <f>IF($C389="",0,IFERROR(INDEX(Deals!$H$2:$H$355,MATCH($C389,Deals!$A$2:$A$355,0)),0))</f>
        <v/>
      </c>
      <c r="K389" s="32">
        <f>IF(Settings!$B$4="Yes",$I389*$J389,$I389)</f>
        <v/>
      </c>
      <c r="L389" s="22">
        <f>IF($C389="","",IFERROR(IF(INDEX(Deals!$I$2:$I$355,MATCH($C389,Deals!$A$2:$A$355,0))=0,"",INDEX(Deals!$I$2:$I$355,MATCH($C389,Deals!$A$2:$A$355,0))),""))</f>
        <v/>
      </c>
      <c r="M389" s="22">
        <f>IF($C389="","",IFERROR(IF(INDEX(Deals!$J$2:$J$355,MATCH($C389,Deals!$A$2:$A$355,0))=0,"",INDEX(Deals!$J$2:$J$355,MATCH($C389,Deals!$A$2:$A$355,0))),""))</f>
        <v/>
      </c>
      <c r="N389" s="35">
        <f>IF($L389="",DATE(1900,1,1),$L389)</f>
        <v/>
      </c>
      <c r="O389" s="35">
        <f>IF($M389="",DATE(2100,12,31),$M389)</f>
        <v/>
      </c>
      <c r="P389" s="20" t="inlineStr">
        <is>
          <t>Not involved in ongoing work</t>
        </is>
      </c>
      <c r="Q389" s="43" t="inlineStr"/>
      <c r="R389" s="16">
        <f>IF($C389="","",IFERROR(IF(INDEX(Deals!$U$2:$U$355,MATCH($C389,Deals!$A$2:$A$355,0))=0,"",INDEX(Deals!$U$2:$U$355,MATCH($C389,Deals!$A$2:$A$355,0))),""))</f>
        <v/>
      </c>
      <c r="S389" s="34">
        <f>IFERROR(IF($U389="",1,INDEX(Deals!$V$2:$V$355,MATCH($C389,Deals!$A$2:$A$355,0))),1)</f>
        <v/>
      </c>
      <c r="T389" s="34">
        <f>IFERROR(IF($U389="",1,INDEX(Deals!$W$2:$W$355,MATCH($C389,Deals!$A$2:$A$355,0))),1)</f>
        <v/>
      </c>
      <c r="U389" s="22">
        <f>IF($C389="","",IFERROR(IF(INDEX(Deals!$Y$2:$Y$355,MATCH($C389,Deals!$A$2:$A$355,0))=0,"",INDEX(Deals!$Y$2:$Y$355,MATCH($C389,Deals!$A$2:$A$355,0))),""))</f>
        <v/>
      </c>
      <c r="V389" s="35">
        <f>IF($U389="",DATE(1900,1,1),$N389)</f>
        <v/>
      </c>
      <c r="W389" s="35">
        <f>IF($U389="",DATE(2100,12,31),$U389)</f>
        <v/>
      </c>
      <c r="X389" s="32">
        <f>IF($U389="",$K389,$K389*$S389)</f>
        <v/>
      </c>
      <c r="Y389" s="35">
        <f>IF($U389="",DATE(2100,12,31),$U389+1)</f>
        <v/>
      </c>
      <c r="Z389" s="35">
        <f>IF($U389="",DATE(1900,1,1),$O389)</f>
        <v/>
      </c>
      <c r="AA389" s="32">
        <f>IF($U389="",0,$K389*$T389)</f>
        <v/>
      </c>
      <c r="AB389" s="21">
        <f>IF($C389="",0,IFERROR(INDEX(Deals!$AD$2:$AD$355,MATCH($C389,Deals!$A$2:$A$355,0)),0))</f>
        <v/>
      </c>
      <c r="AC389" s="32">
        <f>IF(Settings!$B$4="Yes",$I389*$AB389,$I389)</f>
        <v/>
      </c>
      <c r="AD389" s="22">
        <f>IF($C389="","",IFERROR(IF(INDEX(Deals!$AE$2:$AE$355,MATCH($C389,Deals!$A$2:$A$355,0))=0,"",INDEX(Deals!$AE$2:$AE$355,MATCH($C389,Deals!$A$2:$A$355,0))),""))</f>
        <v/>
      </c>
      <c r="AE389" s="22">
        <f>IF($C389="","",IFERROR(IF(INDEX(Deals!$AF$2:$AF$355,MATCH($C389,Deals!$A$2:$A$355,0))=0,"",INDEX(Deals!$AF$2:$AF$355,MATCH($C389,Deals!$A$2:$A$355,0))),""))</f>
        <v/>
      </c>
      <c r="AF389" s="35">
        <f>IF($AD389="",DATE(1900,1,1),$AD389)</f>
        <v/>
      </c>
      <c r="AG389" s="35">
        <f>IF($AE389="",DATE(2100,12,31),$AE389)</f>
        <v/>
      </c>
      <c r="AH389" s="22">
        <f>IF($C389="","",IFERROR(IF(INDEX(Deals!$AG$2:$AG$355,MATCH($C389,Deals!$A$2:$A$355,0))=0,"",INDEX(Deals!$AG$2:$AG$355,MATCH($C389,Deals!$A$2:$A$355,0))),""))</f>
        <v/>
      </c>
      <c r="AI389" s="35">
        <f>IF($AH389="",DATE(1900,1,1),$AF389)</f>
        <v/>
      </c>
      <c r="AJ389" s="35">
        <f>IF($AH389="",DATE(2100,12,31),$AH389)</f>
        <v/>
      </c>
      <c r="AK389" s="32">
        <f>IF($AH389="",$AC389,$AC389*$S389)</f>
        <v/>
      </c>
      <c r="AL389" s="35">
        <f>IF($AH389="",DATE(2100,12,31),$AH389+1)</f>
        <v/>
      </c>
      <c r="AM389" s="35">
        <f>IF($AH389="",DATE(1900,1,1),$AG389)</f>
        <v/>
      </c>
      <c r="AN389" s="32">
        <f>IF($AH389="",0,$AC389*$T389)</f>
        <v/>
      </c>
    </row>
    <row r="390">
      <c r="A390" s="28" t="inlineStr">
        <is>
          <t>Patch</t>
        </is>
      </c>
      <c r="B390" s="16">
        <f>IF($A390="","",IFERROR(INDEX(Roster!$B$2:$B$40,MATCH($A390,Roster!$A$2:$A$40,0)),"?"))</f>
        <v/>
      </c>
      <c r="C390" s="28" t="inlineStr">
        <is>
          <t>IMEC_1</t>
        </is>
      </c>
      <c r="D390" s="16">
        <f>IF($C390="","",IFERROR(IF(INDEX(Deals!$C$2:$C$355,MATCH($C390,Deals!$A$2:$A$355,0))=0,"",INDEX(Deals!$C$2:$C$355,MATCH($C390,Deals!$A$2:$A$355,0))),"?"))</f>
        <v/>
      </c>
      <c r="E390" s="16">
        <f>IF($C390="","",IFERROR(INDEX(Deals!$F$2:$F$355,MATCH($C390,Deals!$A$2:$A$355,0)),"?"))</f>
        <v/>
      </c>
      <c r="F390" s="28" t="inlineStr">
        <is>
          <t>VP</t>
        </is>
      </c>
      <c r="G390" s="28" t="inlineStr">
        <is>
          <t>Inactive</t>
        </is>
      </c>
      <c r="H390" s="31" t="n"/>
      <c r="I390" s="32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1">
        <f>IF($C390="",0,IFERROR(INDEX(Deals!$H$2:$H$355,MATCH($C390,Deals!$A$2:$A$355,0)),0))</f>
        <v/>
      </c>
      <c r="K390" s="32">
        <f>IF(Settings!$B$4="Yes",$I390*$J390,$I390)</f>
        <v/>
      </c>
      <c r="L390" s="22">
        <f>IF($C390="","",IFERROR(IF(INDEX(Deals!$I$2:$I$355,MATCH($C390,Deals!$A$2:$A$355,0))=0,"",INDEX(Deals!$I$2:$I$355,MATCH($C390,Deals!$A$2:$A$355,0))),""))</f>
        <v/>
      </c>
      <c r="M390" s="22">
        <f>IF($C390="","",IFERROR(IF(INDEX(Deals!$J$2:$J$355,MATCH($C390,Deals!$A$2:$A$355,0))=0,"",INDEX(Deals!$J$2:$J$355,MATCH($C390,Deals!$A$2:$A$355,0))),""))</f>
        <v/>
      </c>
      <c r="N390" s="35">
        <f>IF($L390="",DATE(1900,1,1),$L390)</f>
        <v/>
      </c>
      <c r="O390" s="35">
        <f>IF($M390="",DATE(2100,12,31),$M390)</f>
        <v/>
      </c>
      <c r="P390" s="20" t="inlineStr">
        <is>
          <t>Invoiced</t>
        </is>
      </c>
      <c r="Q390" s="43" t="inlineStr"/>
      <c r="R390" s="16">
        <f>IF($C390="","",IFERROR(IF(INDEX(Deals!$U$2:$U$355,MATCH($C390,Deals!$A$2:$A$355,0))=0,"",INDEX(Deals!$U$2:$U$355,MATCH($C390,Deals!$A$2:$A$355,0))),""))</f>
        <v/>
      </c>
      <c r="S390" s="34">
        <f>IFERROR(IF($U390="",1,INDEX(Deals!$V$2:$V$355,MATCH($C390,Deals!$A$2:$A$355,0))),1)</f>
        <v/>
      </c>
      <c r="T390" s="34">
        <f>IFERROR(IF($U390="",1,INDEX(Deals!$W$2:$W$355,MATCH($C390,Deals!$A$2:$A$355,0))),1)</f>
        <v/>
      </c>
      <c r="U390" s="22">
        <f>IF($C390="","",IFERROR(IF(INDEX(Deals!$Y$2:$Y$355,MATCH($C390,Deals!$A$2:$A$355,0))=0,"",INDEX(Deals!$Y$2:$Y$355,MATCH($C390,Deals!$A$2:$A$355,0))),""))</f>
        <v/>
      </c>
      <c r="V390" s="35">
        <f>IF($U390="",DATE(1900,1,1),$N390)</f>
        <v/>
      </c>
      <c r="W390" s="35">
        <f>IF($U390="",DATE(2100,12,31),$U390)</f>
        <v/>
      </c>
      <c r="X390" s="32">
        <f>IF($U390="",$K390,$K390*$S390)</f>
        <v/>
      </c>
      <c r="Y390" s="35">
        <f>IF($U390="",DATE(2100,12,31),$U390+1)</f>
        <v/>
      </c>
      <c r="Z390" s="35">
        <f>IF($U390="",DATE(1900,1,1),$O390)</f>
        <v/>
      </c>
      <c r="AA390" s="32">
        <f>IF($U390="",0,$K390*$T390)</f>
        <v/>
      </c>
      <c r="AB390" s="21">
        <f>IF($C390="",0,IFERROR(INDEX(Deals!$AD$2:$AD$355,MATCH($C390,Deals!$A$2:$A$355,0)),0))</f>
        <v/>
      </c>
      <c r="AC390" s="32">
        <f>IF(Settings!$B$4="Yes",$I390*$AB390,$I390)</f>
        <v/>
      </c>
      <c r="AD390" s="22">
        <f>IF($C390="","",IFERROR(IF(INDEX(Deals!$AE$2:$AE$355,MATCH($C390,Deals!$A$2:$A$355,0))=0,"",INDEX(Deals!$AE$2:$AE$355,MATCH($C390,Deals!$A$2:$A$355,0))),""))</f>
        <v/>
      </c>
      <c r="AE390" s="22">
        <f>IF($C390="","",IFERROR(IF(INDEX(Deals!$AF$2:$AF$355,MATCH($C390,Deals!$A$2:$A$355,0))=0,"",INDEX(Deals!$AF$2:$AF$355,MATCH($C390,Deals!$A$2:$A$355,0))),""))</f>
        <v/>
      </c>
      <c r="AF390" s="35">
        <f>IF($AD390="",DATE(1900,1,1),$AD390)</f>
        <v/>
      </c>
      <c r="AG390" s="35">
        <f>IF($AE390="",DATE(2100,12,31),$AE390)</f>
        <v/>
      </c>
      <c r="AH390" s="22">
        <f>IF($C390="","",IFERROR(IF(INDEX(Deals!$AG$2:$AG$355,MATCH($C390,Deals!$A$2:$A$355,0))=0,"",INDEX(Deals!$AG$2:$AG$355,MATCH($C390,Deals!$A$2:$A$355,0))),""))</f>
        <v/>
      </c>
      <c r="AI390" s="35">
        <f>IF($AH390="",DATE(1900,1,1),$AF390)</f>
        <v/>
      </c>
      <c r="AJ390" s="35">
        <f>IF($AH390="",DATE(2100,12,31),$AH390)</f>
        <v/>
      </c>
      <c r="AK390" s="32">
        <f>IF($AH390="",$AC390,$AC390*$S390)</f>
        <v/>
      </c>
      <c r="AL390" s="35">
        <f>IF($AH390="",DATE(2100,12,31),$AH390+1)</f>
        <v/>
      </c>
      <c r="AM390" s="35">
        <f>IF($AH390="",DATE(1900,1,1),$AG390)</f>
        <v/>
      </c>
      <c r="AN390" s="32">
        <f>IF($AH390="",0,$AC390*$T390)</f>
        <v/>
      </c>
    </row>
    <row r="391">
      <c r="A391" s="28" t="inlineStr">
        <is>
          <t>Patch</t>
        </is>
      </c>
      <c r="B391" s="16">
        <f>IF($A391="","",IFERROR(INDEX(Roster!$B$2:$B$40,MATCH($A391,Roster!$A$2:$A$40,0)),"?"))</f>
        <v/>
      </c>
      <c r="C391" s="28" t="inlineStr">
        <is>
          <t>Justin_2</t>
        </is>
      </c>
      <c r="D391" s="16">
        <f>IF($C391="","",IFERROR(IF(INDEX(Deals!$C$2:$C$355,MATCH($C391,Deals!$A$2:$A$355,0))=0,"",INDEX(Deals!$C$2:$C$355,MATCH($C391,Deals!$A$2:$A$355,0))),"?"))</f>
        <v/>
      </c>
      <c r="E391" s="16">
        <f>IF($C391="","",IFERROR(INDEX(Deals!$F$2:$F$355,MATCH($C391,Deals!$A$2:$A$355,0)),"?"))</f>
        <v/>
      </c>
      <c r="F391" s="28" t="inlineStr">
        <is>
          <t>VP</t>
        </is>
      </c>
      <c r="G391" s="28" t="inlineStr">
        <is>
          <t>Inactive</t>
        </is>
      </c>
      <c r="H391" s="31" t="n"/>
      <c r="I391" s="32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1">
        <f>IF($C391="",0,IFERROR(INDEX(Deals!$H$2:$H$355,MATCH($C391,Deals!$A$2:$A$355,0)),0))</f>
        <v/>
      </c>
      <c r="K391" s="32">
        <f>IF(Settings!$B$4="Yes",$I391*$J391,$I391)</f>
        <v/>
      </c>
      <c r="L391" s="22">
        <f>IF($C391="","",IFERROR(IF(INDEX(Deals!$I$2:$I$355,MATCH($C391,Deals!$A$2:$A$355,0))=0,"",INDEX(Deals!$I$2:$I$355,MATCH($C391,Deals!$A$2:$A$355,0))),""))</f>
        <v/>
      </c>
      <c r="M391" s="22">
        <f>IF($C391="","",IFERROR(IF(INDEX(Deals!$J$2:$J$355,MATCH($C391,Deals!$A$2:$A$355,0))=0,"",INDEX(Deals!$J$2:$J$355,MATCH($C391,Deals!$A$2:$A$355,0))),""))</f>
        <v/>
      </c>
      <c r="N391" s="35">
        <f>IF($L391="",DATE(1900,1,1),$L391)</f>
        <v/>
      </c>
      <c r="O391" s="35">
        <f>IF($M391="",DATE(2100,12,31),$M391)</f>
        <v/>
      </c>
      <c r="P391" s="20" t="inlineStr">
        <is>
          <t>This was probably when I was helping check tax insurance datarooms.</t>
        </is>
      </c>
      <c r="Q391" s="43" t="inlineStr"/>
      <c r="R391" s="16">
        <f>IF($C391="","",IFERROR(IF(INDEX(Deals!$U$2:$U$355,MATCH($C391,Deals!$A$2:$A$355,0))=0,"",INDEX(Deals!$U$2:$U$355,MATCH($C391,Deals!$A$2:$A$355,0))),""))</f>
        <v/>
      </c>
      <c r="S391" s="34">
        <f>IFERROR(IF($U391="",1,INDEX(Deals!$V$2:$V$355,MATCH($C391,Deals!$A$2:$A$355,0))),1)</f>
        <v/>
      </c>
      <c r="T391" s="34">
        <f>IFERROR(IF($U391="",1,INDEX(Deals!$W$2:$W$355,MATCH($C391,Deals!$A$2:$A$355,0))),1)</f>
        <v/>
      </c>
      <c r="U391" s="22">
        <f>IF($C391="","",IFERROR(IF(INDEX(Deals!$Y$2:$Y$355,MATCH($C391,Deals!$A$2:$A$355,0))=0,"",INDEX(Deals!$Y$2:$Y$355,MATCH($C391,Deals!$A$2:$A$355,0))),""))</f>
        <v/>
      </c>
      <c r="V391" s="35">
        <f>IF($U391="",DATE(1900,1,1),$N391)</f>
        <v/>
      </c>
      <c r="W391" s="35">
        <f>IF($U391="",DATE(2100,12,31),$U391)</f>
        <v/>
      </c>
      <c r="X391" s="32">
        <f>IF($U391="",$K391,$K391*$S391)</f>
        <v/>
      </c>
      <c r="Y391" s="35">
        <f>IF($U391="",DATE(2100,12,31),$U391+1)</f>
        <v/>
      </c>
      <c r="Z391" s="35">
        <f>IF($U391="",DATE(1900,1,1),$O391)</f>
        <v/>
      </c>
      <c r="AA391" s="32">
        <f>IF($U391="",0,$K391*$T391)</f>
        <v/>
      </c>
      <c r="AB391" s="21">
        <f>IF($C391="",0,IFERROR(INDEX(Deals!$AD$2:$AD$355,MATCH($C391,Deals!$A$2:$A$355,0)),0))</f>
        <v/>
      </c>
      <c r="AC391" s="32">
        <f>IF(Settings!$B$4="Yes",$I391*$AB391,$I391)</f>
        <v/>
      </c>
      <c r="AD391" s="22">
        <f>IF($C391="","",IFERROR(IF(INDEX(Deals!$AE$2:$AE$355,MATCH($C391,Deals!$A$2:$A$355,0))=0,"",INDEX(Deals!$AE$2:$AE$355,MATCH($C391,Deals!$A$2:$A$355,0))),""))</f>
        <v/>
      </c>
      <c r="AE391" s="22">
        <f>IF($C391="","",IFERROR(IF(INDEX(Deals!$AF$2:$AF$355,MATCH($C391,Deals!$A$2:$A$355,0))=0,"",INDEX(Deals!$AF$2:$AF$355,MATCH($C391,Deals!$A$2:$A$355,0))),""))</f>
        <v/>
      </c>
      <c r="AF391" s="35">
        <f>IF($AD391="",DATE(1900,1,1),$AD391)</f>
        <v/>
      </c>
      <c r="AG391" s="35">
        <f>IF($AE391="",DATE(2100,12,31),$AE391)</f>
        <v/>
      </c>
      <c r="AH391" s="22">
        <f>IF($C391="","",IFERROR(IF(INDEX(Deals!$AG$2:$AG$355,MATCH($C391,Deals!$A$2:$A$355,0))=0,"",INDEX(Deals!$AG$2:$AG$355,MATCH($C391,Deals!$A$2:$A$355,0))),""))</f>
        <v/>
      </c>
      <c r="AI391" s="35">
        <f>IF($AH391="",DATE(1900,1,1),$AF391)</f>
        <v/>
      </c>
      <c r="AJ391" s="35">
        <f>IF($AH391="",DATE(2100,12,31),$AH391)</f>
        <v/>
      </c>
      <c r="AK391" s="32">
        <f>IF($AH391="",$AC391,$AC391*$S391)</f>
        <v/>
      </c>
      <c r="AL391" s="35">
        <f>IF($AH391="",DATE(2100,12,31),$AH391+1)</f>
        <v/>
      </c>
      <c r="AM391" s="35">
        <f>IF($AH391="",DATE(1900,1,1),$AG391)</f>
        <v/>
      </c>
      <c r="AN391" s="32">
        <f>IF($AH391="",0,$AC391*$T391)</f>
        <v/>
      </c>
    </row>
    <row r="392">
      <c r="A392" s="28" t="inlineStr">
        <is>
          <t>Patch</t>
        </is>
      </c>
      <c r="B392" s="16">
        <f>IF($A392="","",IFERROR(INDEX(Roster!$B$2:$B$40,MATCH($A392,Roster!$A$2:$A$40,0)),"?"))</f>
        <v/>
      </c>
      <c r="C392" s="28" t="inlineStr">
        <is>
          <t>MIF_1</t>
        </is>
      </c>
      <c r="D392" s="16">
        <f>IF($C392="","",IFERROR(IF(INDEX(Deals!$C$2:$C$355,MATCH($C392,Deals!$A$2:$A$355,0))=0,"",INDEX(Deals!$C$2:$C$355,MATCH($C392,Deals!$A$2:$A$355,0))),"?"))</f>
        <v/>
      </c>
      <c r="E392" s="16">
        <f>IF($C392="","",IFERROR(INDEX(Deals!$F$2:$F$355,MATCH($C392,Deals!$A$2:$A$355,0)),"?"))</f>
        <v/>
      </c>
      <c r="F392" s="28" t="inlineStr">
        <is>
          <t>VP</t>
        </is>
      </c>
      <c r="G392" s="28" t="inlineStr">
        <is>
          <t>Active</t>
        </is>
      </c>
      <c r="H392" s="31" t="n"/>
      <c r="I392" s="32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1">
        <f>IF($C392="",0,IFERROR(INDEX(Deals!$H$2:$H$355,MATCH($C392,Deals!$A$2:$A$355,0)),0))</f>
        <v/>
      </c>
      <c r="K392" s="32">
        <f>IF(Settings!$B$4="Yes",$I392*$J392,$I392)</f>
        <v/>
      </c>
      <c r="L392" s="22">
        <f>IF($C392="","",IFERROR(IF(INDEX(Deals!$I$2:$I$355,MATCH($C392,Deals!$A$2:$A$355,0))=0,"",INDEX(Deals!$I$2:$I$355,MATCH($C392,Deals!$A$2:$A$355,0))),""))</f>
        <v/>
      </c>
      <c r="M392" s="22">
        <f>IF($C392="","",IFERROR(IF(INDEX(Deals!$J$2:$J$355,MATCH($C392,Deals!$A$2:$A$355,0))=0,"",INDEX(Deals!$J$2:$J$355,MATCH($C392,Deals!$A$2:$A$355,0))),""))</f>
        <v/>
      </c>
      <c r="N392" s="35">
        <f>IF($L392="",DATE(1900,1,1),$L392)</f>
        <v/>
      </c>
      <c r="O392" s="35">
        <f>IF($M392="",DATE(2100,12,31),$M392)</f>
        <v/>
      </c>
      <c r="P392" s="20" t="inlineStr">
        <is>
          <t>Don't know what this is</t>
        </is>
      </c>
      <c r="Q392" s="43" t="inlineStr">
        <is>
          <t>Active - confirmed by review 2026-07-19 (user: yes)</t>
        </is>
      </c>
      <c r="R392" s="16">
        <f>IF($C392="","",IFERROR(IF(INDEX(Deals!$U$2:$U$355,MATCH($C392,Deals!$A$2:$A$355,0))=0,"",INDEX(Deals!$U$2:$U$355,MATCH($C392,Deals!$A$2:$A$355,0))),""))</f>
        <v/>
      </c>
      <c r="S392" s="34">
        <f>IFERROR(IF($U392="",1,INDEX(Deals!$V$2:$V$355,MATCH($C392,Deals!$A$2:$A$355,0))),1)</f>
        <v/>
      </c>
      <c r="T392" s="34">
        <f>IFERROR(IF($U392="",1,INDEX(Deals!$W$2:$W$355,MATCH($C392,Deals!$A$2:$A$355,0))),1)</f>
        <v/>
      </c>
      <c r="U392" s="22">
        <f>IF($C392="","",IFERROR(IF(INDEX(Deals!$Y$2:$Y$355,MATCH($C392,Deals!$A$2:$A$355,0))=0,"",INDEX(Deals!$Y$2:$Y$355,MATCH($C392,Deals!$A$2:$A$355,0))),""))</f>
        <v/>
      </c>
      <c r="V392" s="35">
        <f>IF($U392="",DATE(1900,1,1),$N392)</f>
        <v/>
      </c>
      <c r="W392" s="35">
        <f>IF($U392="",DATE(2100,12,31),$U392)</f>
        <v/>
      </c>
      <c r="X392" s="32">
        <f>IF($U392="",$K392,$K392*$S392)</f>
        <v/>
      </c>
      <c r="Y392" s="35">
        <f>IF($U392="",DATE(2100,12,31),$U392+1)</f>
        <v/>
      </c>
      <c r="Z392" s="35">
        <f>IF($U392="",DATE(1900,1,1),$O392)</f>
        <v/>
      </c>
      <c r="AA392" s="32">
        <f>IF($U392="",0,$K392*$T392)</f>
        <v/>
      </c>
      <c r="AB392" s="21">
        <f>IF($C392="",0,IFERROR(INDEX(Deals!$AD$2:$AD$355,MATCH($C392,Deals!$A$2:$A$355,0)),0))</f>
        <v/>
      </c>
      <c r="AC392" s="32">
        <f>IF(Settings!$B$4="Yes",$I392*$AB392,$I392)</f>
        <v/>
      </c>
      <c r="AD392" s="22">
        <f>IF($C392="","",IFERROR(IF(INDEX(Deals!$AE$2:$AE$355,MATCH($C392,Deals!$A$2:$A$355,0))=0,"",INDEX(Deals!$AE$2:$AE$355,MATCH($C392,Deals!$A$2:$A$355,0))),""))</f>
        <v/>
      </c>
      <c r="AE392" s="22">
        <f>IF($C392="","",IFERROR(IF(INDEX(Deals!$AF$2:$AF$355,MATCH($C392,Deals!$A$2:$A$355,0))=0,"",INDEX(Deals!$AF$2:$AF$355,MATCH($C392,Deals!$A$2:$A$355,0))),""))</f>
        <v/>
      </c>
      <c r="AF392" s="35">
        <f>IF($AD392="",DATE(1900,1,1),$AD392)</f>
        <v/>
      </c>
      <c r="AG392" s="35">
        <f>IF($AE392="",DATE(2100,12,31),$AE392)</f>
        <v/>
      </c>
      <c r="AH392" s="22">
        <f>IF($C392="","",IFERROR(IF(INDEX(Deals!$AG$2:$AG$355,MATCH($C392,Deals!$A$2:$A$355,0))=0,"",INDEX(Deals!$AG$2:$AG$355,MATCH($C392,Deals!$A$2:$A$355,0))),""))</f>
        <v/>
      </c>
      <c r="AI392" s="35">
        <f>IF($AH392="",DATE(1900,1,1),$AF392)</f>
        <v/>
      </c>
      <c r="AJ392" s="35">
        <f>IF($AH392="",DATE(2100,12,31),$AH392)</f>
        <v/>
      </c>
      <c r="AK392" s="32">
        <f>IF($AH392="",$AC392,$AC392*$S392)</f>
        <v/>
      </c>
      <c r="AL392" s="35">
        <f>IF($AH392="",DATE(2100,12,31),$AH392+1)</f>
        <v/>
      </c>
      <c r="AM392" s="35">
        <f>IF($AH392="",DATE(1900,1,1),$AG392)</f>
        <v/>
      </c>
      <c r="AN392" s="32">
        <f>IF($AH392="",0,$AC392*$T392)</f>
        <v/>
      </c>
    </row>
    <row r="393">
      <c r="A393" s="28" t="inlineStr">
        <is>
          <t>Patch</t>
        </is>
      </c>
      <c r="B393" s="16">
        <f>IF($A393="","",IFERROR(INDEX(Roster!$B$2:$B$40,MATCH($A393,Roster!$A$2:$A$40,0)),"?"))</f>
        <v/>
      </c>
      <c r="C393" s="28" t="inlineStr">
        <is>
          <t>Nexus_6</t>
        </is>
      </c>
      <c r="D393" s="16">
        <f>IF($C393="","",IFERROR(IF(INDEX(Deals!$C$2:$C$355,MATCH($C393,Deals!$A$2:$A$355,0))=0,"",INDEX(Deals!$C$2:$C$355,MATCH($C393,Deals!$A$2:$A$355,0))),"?"))</f>
        <v/>
      </c>
      <c r="E393" s="16">
        <f>IF($C393="","",IFERROR(INDEX(Deals!$F$2:$F$355,MATCH($C393,Deals!$A$2:$A$355,0)),"?"))</f>
        <v/>
      </c>
      <c r="F393" s="28" t="inlineStr">
        <is>
          <t>VP</t>
        </is>
      </c>
      <c r="G393" s="28" t="inlineStr">
        <is>
          <t>Inactive</t>
        </is>
      </c>
      <c r="H393" s="31" t="n"/>
      <c r="I393" s="32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1">
        <f>IF($C393="",0,IFERROR(INDEX(Deals!$H$2:$H$355,MATCH($C393,Deals!$A$2:$A$355,0)),0))</f>
        <v/>
      </c>
      <c r="K393" s="32">
        <f>IF(Settings!$B$4="Yes",$I393*$J393,$I393)</f>
        <v/>
      </c>
      <c r="L393" s="22">
        <f>IF($C393="","",IFERROR(IF(INDEX(Deals!$I$2:$I$355,MATCH($C393,Deals!$A$2:$A$355,0))=0,"",INDEX(Deals!$I$2:$I$355,MATCH($C393,Deals!$A$2:$A$355,0))),""))</f>
        <v/>
      </c>
      <c r="M393" s="22">
        <f>IF($C393="","",IFERROR(IF(INDEX(Deals!$J$2:$J$355,MATCH($C393,Deals!$A$2:$A$355,0))=0,"",INDEX(Deals!$J$2:$J$355,MATCH($C393,Deals!$A$2:$A$355,0))),""))</f>
        <v/>
      </c>
      <c r="N393" s="35">
        <f>IF($L393="",DATE(1900,1,1),$L393)</f>
        <v/>
      </c>
      <c r="O393" s="35">
        <f>IF($M393="",DATE(2100,12,31),$M393)</f>
        <v/>
      </c>
      <c r="P393" s="20" t="inlineStr">
        <is>
          <t>Invoicing Soon</t>
        </is>
      </c>
      <c r="Q393" s="43" t="inlineStr"/>
      <c r="R393" s="16">
        <f>IF($C393="","",IFERROR(IF(INDEX(Deals!$U$2:$U$355,MATCH($C393,Deals!$A$2:$A$355,0))=0,"",INDEX(Deals!$U$2:$U$355,MATCH($C393,Deals!$A$2:$A$355,0))),""))</f>
        <v/>
      </c>
      <c r="S393" s="34">
        <f>IFERROR(IF($U393="",1,INDEX(Deals!$V$2:$V$355,MATCH($C393,Deals!$A$2:$A$355,0))),1)</f>
        <v/>
      </c>
      <c r="T393" s="34">
        <f>IFERROR(IF($U393="",1,INDEX(Deals!$W$2:$W$355,MATCH($C393,Deals!$A$2:$A$355,0))),1)</f>
        <v/>
      </c>
      <c r="U393" s="22">
        <f>IF($C393="","",IFERROR(IF(INDEX(Deals!$Y$2:$Y$355,MATCH($C393,Deals!$A$2:$A$355,0))=0,"",INDEX(Deals!$Y$2:$Y$355,MATCH($C393,Deals!$A$2:$A$355,0))),""))</f>
        <v/>
      </c>
      <c r="V393" s="35">
        <f>IF($U393="",DATE(1900,1,1),$N393)</f>
        <v/>
      </c>
      <c r="W393" s="35">
        <f>IF($U393="",DATE(2100,12,31),$U393)</f>
        <v/>
      </c>
      <c r="X393" s="32">
        <f>IF($U393="",$K393,$K393*$S393)</f>
        <v/>
      </c>
      <c r="Y393" s="35">
        <f>IF($U393="",DATE(2100,12,31),$U393+1)</f>
        <v/>
      </c>
      <c r="Z393" s="35">
        <f>IF($U393="",DATE(1900,1,1),$O393)</f>
        <v/>
      </c>
      <c r="AA393" s="32">
        <f>IF($U393="",0,$K393*$T393)</f>
        <v/>
      </c>
      <c r="AB393" s="21">
        <f>IF($C393="",0,IFERROR(INDEX(Deals!$AD$2:$AD$355,MATCH($C393,Deals!$A$2:$A$355,0)),0))</f>
        <v/>
      </c>
      <c r="AC393" s="32">
        <f>IF(Settings!$B$4="Yes",$I393*$AB393,$I393)</f>
        <v/>
      </c>
      <c r="AD393" s="22">
        <f>IF($C393="","",IFERROR(IF(INDEX(Deals!$AE$2:$AE$355,MATCH($C393,Deals!$A$2:$A$355,0))=0,"",INDEX(Deals!$AE$2:$AE$355,MATCH($C393,Deals!$A$2:$A$355,0))),""))</f>
        <v/>
      </c>
      <c r="AE393" s="22">
        <f>IF($C393="","",IFERROR(IF(INDEX(Deals!$AF$2:$AF$355,MATCH($C393,Deals!$A$2:$A$355,0))=0,"",INDEX(Deals!$AF$2:$AF$355,MATCH($C393,Deals!$A$2:$A$355,0))),""))</f>
        <v/>
      </c>
      <c r="AF393" s="35">
        <f>IF($AD393="",DATE(1900,1,1),$AD393)</f>
        <v/>
      </c>
      <c r="AG393" s="35">
        <f>IF($AE393="",DATE(2100,12,31),$AE393)</f>
        <v/>
      </c>
      <c r="AH393" s="22">
        <f>IF($C393="","",IFERROR(IF(INDEX(Deals!$AG$2:$AG$355,MATCH($C393,Deals!$A$2:$A$355,0))=0,"",INDEX(Deals!$AG$2:$AG$355,MATCH($C393,Deals!$A$2:$A$355,0))),""))</f>
        <v/>
      </c>
      <c r="AI393" s="35">
        <f>IF($AH393="",DATE(1900,1,1),$AF393)</f>
        <v/>
      </c>
      <c r="AJ393" s="35">
        <f>IF($AH393="",DATE(2100,12,31),$AH393)</f>
        <v/>
      </c>
      <c r="AK393" s="32">
        <f>IF($AH393="",$AC393,$AC393*$S393)</f>
        <v/>
      </c>
      <c r="AL393" s="35">
        <f>IF($AH393="",DATE(2100,12,31),$AH393+1)</f>
        <v/>
      </c>
      <c r="AM393" s="35">
        <f>IF($AH393="",DATE(1900,1,1),$AG393)</f>
        <v/>
      </c>
      <c r="AN393" s="32">
        <f>IF($AH393="",0,$AC393*$T393)</f>
        <v/>
      </c>
    </row>
    <row r="394">
      <c r="A394" s="28" t="inlineStr">
        <is>
          <t>Patch</t>
        </is>
      </c>
      <c r="B394" s="16">
        <f>IF($A394="","",IFERROR(INDEX(Roster!$B$2:$B$40,MATCH($A394,Roster!$A$2:$A$40,0)),"?"))</f>
        <v/>
      </c>
      <c r="C394" s="28" t="inlineStr">
        <is>
          <t>Pennsylvania_1</t>
        </is>
      </c>
      <c r="D394" s="16">
        <f>IF($C394="","",IFERROR(IF(INDEX(Deals!$C$2:$C$355,MATCH($C394,Deals!$A$2:$A$355,0))=0,"",INDEX(Deals!$C$2:$C$355,MATCH($C394,Deals!$A$2:$A$355,0))),"?"))</f>
        <v/>
      </c>
      <c r="E394" s="16">
        <f>IF($C394="","",IFERROR(INDEX(Deals!$F$2:$F$355,MATCH($C394,Deals!$A$2:$A$355,0)),"?"))</f>
        <v/>
      </c>
      <c r="F394" s="28" t="inlineStr">
        <is>
          <t>VP</t>
        </is>
      </c>
      <c r="G394" s="28" t="inlineStr">
        <is>
          <t>Inactive</t>
        </is>
      </c>
      <c r="H394" s="31" t="n"/>
      <c r="I394" s="32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1">
        <f>IF($C394="",0,IFERROR(INDEX(Deals!$H$2:$H$355,MATCH($C394,Deals!$A$2:$A$355,0)),0))</f>
        <v/>
      </c>
      <c r="K394" s="32">
        <f>IF(Settings!$B$4="Yes",$I394*$J394,$I394)</f>
        <v/>
      </c>
      <c r="L394" s="22">
        <f>IF($C394="","",IFERROR(IF(INDEX(Deals!$I$2:$I$355,MATCH($C394,Deals!$A$2:$A$355,0))=0,"",INDEX(Deals!$I$2:$I$355,MATCH($C394,Deals!$A$2:$A$355,0))),""))</f>
        <v/>
      </c>
      <c r="M394" s="22">
        <f>IF($C394="","",IFERROR(IF(INDEX(Deals!$J$2:$J$355,MATCH($C394,Deals!$A$2:$A$355,0))=0,"",INDEX(Deals!$J$2:$J$355,MATCH($C394,Deals!$A$2:$A$355,0))),""))</f>
        <v/>
      </c>
      <c r="N394" s="35">
        <f>IF($L394="",DATE(1900,1,1),$L394)</f>
        <v/>
      </c>
      <c r="O394" s="35">
        <f>IF($M394="",DATE(2100,12,31),$M394)</f>
        <v/>
      </c>
      <c r="P394" s="20" t="inlineStr">
        <is>
          <t>On pause</t>
        </is>
      </c>
      <c r="Q394" s="43" t="inlineStr"/>
      <c r="R394" s="16">
        <f>IF($C394="","",IFERROR(IF(INDEX(Deals!$U$2:$U$355,MATCH($C394,Deals!$A$2:$A$355,0))=0,"",INDEX(Deals!$U$2:$U$355,MATCH($C394,Deals!$A$2:$A$355,0))),""))</f>
        <v/>
      </c>
      <c r="S394" s="34">
        <f>IFERROR(IF($U394="",1,INDEX(Deals!$V$2:$V$355,MATCH($C394,Deals!$A$2:$A$355,0))),1)</f>
        <v/>
      </c>
      <c r="T394" s="34">
        <f>IFERROR(IF($U394="",1,INDEX(Deals!$W$2:$W$355,MATCH($C394,Deals!$A$2:$A$355,0))),1)</f>
        <v/>
      </c>
      <c r="U394" s="22">
        <f>IF($C394="","",IFERROR(IF(INDEX(Deals!$Y$2:$Y$355,MATCH($C394,Deals!$A$2:$A$355,0))=0,"",INDEX(Deals!$Y$2:$Y$355,MATCH($C394,Deals!$A$2:$A$355,0))),""))</f>
        <v/>
      </c>
      <c r="V394" s="35">
        <f>IF($U394="",DATE(1900,1,1),$N394)</f>
        <v/>
      </c>
      <c r="W394" s="35">
        <f>IF($U394="",DATE(2100,12,31),$U394)</f>
        <v/>
      </c>
      <c r="X394" s="32">
        <f>IF($U394="",$K394,$K394*$S394)</f>
        <v/>
      </c>
      <c r="Y394" s="35">
        <f>IF($U394="",DATE(2100,12,31),$U394+1)</f>
        <v/>
      </c>
      <c r="Z394" s="35">
        <f>IF($U394="",DATE(1900,1,1),$O394)</f>
        <v/>
      </c>
      <c r="AA394" s="32">
        <f>IF($U394="",0,$K394*$T394)</f>
        <v/>
      </c>
      <c r="AB394" s="21">
        <f>IF($C394="",0,IFERROR(INDEX(Deals!$AD$2:$AD$355,MATCH($C394,Deals!$A$2:$A$355,0)),0))</f>
        <v/>
      </c>
      <c r="AC394" s="32">
        <f>IF(Settings!$B$4="Yes",$I394*$AB394,$I394)</f>
        <v/>
      </c>
      <c r="AD394" s="22">
        <f>IF($C394="","",IFERROR(IF(INDEX(Deals!$AE$2:$AE$355,MATCH($C394,Deals!$A$2:$A$355,0))=0,"",INDEX(Deals!$AE$2:$AE$355,MATCH($C394,Deals!$A$2:$A$355,0))),""))</f>
        <v/>
      </c>
      <c r="AE394" s="22">
        <f>IF($C394="","",IFERROR(IF(INDEX(Deals!$AF$2:$AF$355,MATCH($C394,Deals!$A$2:$A$355,0))=0,"",INDEX(Deals!$AF$2:$AF$355,MATCH($C394,Deals!$A$2:$A$355,0))),""))</f>
        <v/>
      </c>
      <c r="AF394" s="35">
        <f>IF($AD394="",DATE(1900,1,1),$AD394)</f>
        <v/>
      </c>
      <c r="AG394" s="35">
        <f>IF($AE394="",DATE(2100,12,31),$AE394)</f>
        <v/>
      </c>
      <c r="AH394" s="22">
        <f>IF($C394="","",IFERROR(IF(INDEX(Deals!$AG$2:$AG$355,MATCH($C394,Deals!$A$2:$A$355,0))=0,"",INDEX(Deals!$AG$2:$AG$355,MATCH($C394,Deals!$A$2:$A$355,0))),""))</f>
        <v/>
      </c>
      <c r="AI394" s="35">
        <f>IF($AH394="",DATE(1900,1,1),$AF394)</f>
        <v/>
      </c>
      <c r="AJ394" s="35">
        <f>IF($AH394="",DATE(2100,12,31),$AH394)</f>
        <v/>
      </c>
      <c r="AK394" s="32">
        <f>IF($AH394="",$AC394,$AC394*$S394)</f>
        <v/>
      </c>
      <c r="AL394" s="35">
        <f>IF($AH394="",DATE(2100,12,31),$AH394+1)</f>
        <v/>
      </c>
      <c r="AM394" s="35">
        <f>IF($AH394="",DATE(1900,1,1),$AG394)</f>
        <v/>
      </c>
      <c r="AN394" s="32">
        <f>IF($AH394="",0,$AC394*$T394)</f>
        <v/>
      </c>
    </row>
    <row r="395">
      <c r="A395" s="28" t="inlineStr">
        <is>
          <t>Patch</t>
        </is>
      </c>
      <c r="B395" s="16">
        <f>IF($A395="","",IFERROR(INDEX(Roster!$B$2:$B$40,MATCH($A395,Roster!$A$2:$A$40,0)),"?"))</f>
        <v/>
      </c>
      <c r="C395" s="28" t="inlineStr">
        <is>
          <t>Prolydian_1</t>
        </is>
      </c>
      <c r="D395" s="16">
        <f>IF($C395="","",IFERROR(IF(INDEX(Deals!$C$2:$C$355,MATCH($C395,Deals!$A$2:$A$355,0))=0,"",INDEX(Deals!$C$2:$C$355,MATCH($C395,Deals!$A$2:$A$355,0))),"?"))</f>
        <v/>
      </c>
      <c r="E395" s="16">
        <f>IF($C395="","",IFERROR(INDEX(Deals!$F$2:$F$355,MATCH($C395,Deals!$A$2:$A$355,0)),"?"))</f>
        <v/>
      </c>
      <c r="F395" s="28" t="inlineStr">
        <is>
          <t>VP</t>
        </is>
      </c>
      <c r="G395" s="28" t="inlineStr">
        <is>
          <t>Inactive</t>
        </is>
      </c>
      <c r="H395" s="31" t="n"/>
      <c r="I395" s="32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1">
        <f>IF($C395="",0,IFERROR(INDEX(Deals!$H$2:$H$355,MATCH($C395,Deals!$A$2:$A$355,0)),0))</f>
        <v/>
      </c>
      <c r="K395" s="32">
        <f>IF(Settings!$B$4="Yes",$I395*$J395,$I395)</f>
        <v/>
      </c>
      <c r="L395" s="22">
        <f>IF($C395="","",IFERROR(IF(INDEX(Deals!$I$2:$I$355,MATCH($C395,Deals!$A$2:$A$355,0))=0,"",INDEX(Deals!$I$2:$I$355,MATCH($C395,Deals!$A$2:$A$355,0))),""))</f>
        <v/>
      </c>
      <c r="M395" s="22">
        <f>IF($C395="","",IFERROR(IF(INDEX(Deals!$J$2:$J$355,MATCH($C395,Deals!$A$2:$A$355,0))=0,"",INDEX(Deals!$J$2:$J$355,MATCH($C395,Deals!$A$2:$A$355,0))),""))</f>
        <v/>
      </c>
      <c r="N395" s="35">
        <f>IF($L395="",DATE(1900,1,1),$L395)</f>
        <v/>
      </c>
      <c r="O395" s="35">
        <f>IF($M395="",DATE(2100,12,31),$M395)</f>
        <v/>
      </c>
      <c r="P395" s="20" t="inlineStr">
        <is>
          <t>Invoicing Soon</t>
        </is>
      </c>
      <c r="Q395" s="43" t="inlineStr"/>
      <c r="R395" s="16">
        <f>IF($C395="","",IFERROR(IF(INDEX(Deals!$U$2:$U$355,MATCH($C395,Deals!$A$2:$A$355,0))=0,"",INDEX(Deals!$U$2:$U$355,MATCH($C395,Deals!$A$2:$A$355,0))),""))</f>
        <v/>
      </c>
      <c r="S395" s="34">
        <f>IFERROR(IF($U395="",1,INDEX(Deals!$V$2:$V$355,MATCH($C395,Deals!$A$2:$A$355,0))),1)</f>
        <v/>
      </c>
      <c r="T395" s="34">
        <f>IFERROR(IF($U395="",1,INDEX(Deals!$W$2:$W$355,MATCH($C395,Deals!$A$2:$A$355,0))),1)</f>
        <v/>
      </c>
      <c r="U395" s="22">
        <f>IF($C395="","",IFERROR(IF(INDEX(Deals!$Y$2:$Y$355,MATCH($C395,Deals!$A$2:$A$355,0))=0,"",INDEX(Deals!$Y$2:$Y$355,MATCH($C395,Deals!$A$2:$A$355,0))),""))</f>
        <v/>
      </c>
      <c r="V395" s="35">
        <f>IF($U395="",DATE(1900,1,1),$N395)</f>
        <v/>
      </c>
      <c r="W395" s="35">
        <f>IF($U395="",DATE(2100,12,31),$U395)</f>
        <v/>
      </c>
      <c r="X395" s="32">
        <f>IF($U395="",$K395,$K395*$S395)</f>
        <v/>
      </c>
      <c r="Y395" s="35">
        <f>IF($U395="",DATE(2100,12,31),$U395+1)</f>
        <v/>
      </c>
      <c r="Z395" s="35">
        <f>IF($U395="",DATE(1900,1,1),$O395)</f>
        <v/>
      </c>
      <c r="AA395" s="32">
        <f>IF($U395="",0,$K395*$T395)</f>
        <v/>
      </c>
      <c r="AB395" s="21">
        <f>IF($C395="",0,IFERROR(INDEX(Deals!$AD$2:$AD$355,MATCH($C395,Deals!$A$2:$A$355,0)),0))</f>
        <v/>
      </c>
      <c r="AC395" s="32">
        <f>IF(Settings!$B$4="Yes",$I395*$AB395,$I395)</f>
        <v/>
      </c>
      <c r="AD395" s="22">
        <f>IF($C395="","",IFERROR(IF(INDEX(Deals!$AE$2:$AE$355,MATCH($C395,Deals!$A$2:$A$355,0))=0,"",INDEX(Deals!$AE$2:$AE$355,MATCH($C395,Deals!$A$2:$A$355,0))),""))</f>
        <v/>
      </c>
      <c r="AE395" s="22">
        <f>IF($C395="","",IFERROR(IF(INDEX(Deals!$AF$2:$AF$355,MATCH($C395,Deals!$A$2:$A$355,0))=0,"",INDEX(Deals!$AF$2:$AF$355,MATCH($C395,Deals!$A$2:$A$355,0))),""))</f>
        <v/>
      </c>
      <c r="AF395" s="35">
        <f>IF($AD395="",DATE(1900,1,1),$AD395)</f>
        <v/>
      </c>
      <c r="AG395" s="35">
        <f>IF($AE395="",DATE(2100,12,31),$AE395)</f>
        <v/>
      </c>
      <c r="AH395" s="22">
        <f>IF($C395="","",IFERROR(IF(INDEX(Deals!$AG$2:$AG$355,MATCH($C395,Deals!$A$2:$A$355,0))=0,"",INDEX(Deals!$AG$2:$AG$355,MATCH($C395,Deals!$A$2:$A$355,0))),""))</f>
        <v/>
      </c>
      <c r="AI395" s="35">
        <f>IF($AH395="",DATE(1900,1,1),$AF395)</f>
        <v/>
      </c>
      <c r="AJ395" s="35">
        <f>IF($AH395="",DATE(2100,12,31),$AH395)</f>
        <v/>
      </c>
      <c r="AK395" s="32">
        <f>IF($AH395="",$AC395,$AC395*$S395)</f>
        <v/>
      </c>
      <c r="AL395" s="35">
        <f>IF($AH395="",DATE(2100,12,31),$AH395+1)</f>
        <v/>
      </c>
      <c r="AM395" s="35">
        <f>IF($AH395="",DATE(1900,1,1),$AG395)</f>
        <v/>
      </c>
      <c r="AN395" s="32">
        <f>IF($AH395="",0,$AC395*$T395)</f>
        <v/>
      </c>
    </row>
    <row r="396">
      <c r="A396" s="28" t="inlineStr">
        <is>
          <t>Patch</t>
        </is>
      </c>
      <c r="B396" s="16">
        <f>IF($A396="","",IFERROR(INDEX(Roster!$B$2:$B$40,MATCH($A396,Roster!$A$2:$A$40,0)),"?"))</f>
        <v/>
      </c>
      <c r="C396" s="28" t="inlineStr">
        <is>
          <t>Rosa_1</t>
        </is>
      </c>
      <c r="D396" s="16">
        <f>IF($C396="","",IFERROR(IF(INDEX(Deals!$C$2:$C$355,MATCH($C396,Deals!$A$2:$A$355,0))=0,"",INDEX(Deals!$C$2:$C$355,MATCH($C396,Deals!$A$2:$A$355,0))),"?"))</f>
        <v/>
      </c>
      <c r="E396" s="16">
        <f>IF($C396="","",IFERROR(INDEX(Deals!$F$2:$F$355,MATCH($C396,Deals!$A$2:$A$355,0)),"?"))</f>
        <v/>
      </c>
      <c r="F396" s="28" t="inlineStr">
        <is>
          <t>VP</t>
        </is>
      </c>
      <c r="G396" s="28" t="inlineStr">
        <is>
          <t>Inactive</t>
        </is>
      </c>
      <c r="H396" s="31" t="n"/>
      <c r="I396" s="32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1">
        <f>IF($C396="",0,IFERROR(INDEX(Deals!$H$2:$H$355,MATCH($C396,Deals!$A$2:$A$355,0)),0))</f>
        <v/>
      </c>
      <c r="K396" s="32">
        <f>IF(Settings!$B$4="Yes",$I396*$J396,$I396)</f>
        <v/>
      </c>
      <c r="L396" s="22">
        <f>IF($C396="","",IFERROR(IF(INDEX(Deals!$I$2:$I$355,MATCH($C396,Deals!$A$2:$A$355,0))=0,"",INDEX(Deals!$I$2:$I$355,MATCH($C396,Deals!$A$2:$A$355,0))),""))</f>
        <v/>
      </c>
      <c r="M396" s="22">
        <f>IF($C396="","",IFERROR(IF(INDEX(Deals!$J$2:$J$355,MATCH($C396,Deals!$A$2:$A$355,0))=0,"",INDEX(Deals!$J$2:$J$355,MATCH($C396,Deals!$A$2:$A$355,0))),""))</f>
        <v/>
      </c>
      <c r="N396" s="35">
        <f>IF($L396="",DATE(1900,1,1),$L396)</f>
        <v/>
      </c>
      <c r="O396" s="35">
        <f>IF($M396="",DATE(2100,12,31),$M396)</f>
        <v/>
      </c>
      <c r="P396" s="20" t="inlineStr">
        <is>
          <t>Invoicing soon</t>
        </is>
      </c>
      <c r="Q396" s="43" t="inlineStr"/>
      <c r="R396" s="16">
        <f>IF($C396="","",IFERROR(IF(INDEX(Deals!$U$2:$U$355,MATCH($C396,Deals!$A$2:$A$355,0))=0,"",INDEX(Deals!$U$2:$U$355,MATCH($C396,Deals!$A$2:$A$355,0))),""))</f>
        <v/>
      </c>
      <c r="S396" s="34">
        <f>IFERROR(IF($U396="",1,INDEX(Deals!$V$2:$V$355,MATCH($C396,Deals!$A$2:$A$355,0))),1)</f>
        <v/>
      </c>
      <c r="T396" s="34">
        <f>IFERROR(IF($U396="",1,INDEX(Deals!$W$2:$W$355,MATCH($C396,Deals!$A$2:$A$355,0))),1)</f>
        <v/>
      </c>
      <c r="U396" s="22">
        <f>IF($C396="","",IFERROR(IF(INDEX(Deals!$Y$2:$Y$355,MATCH($C396,Deals!$A$2:$A$355,0))=0,"",INDEX(Deals!$Y$2:$Y$355,MATCH($C396,Deals!$A$2:$A$355,0))),""))</f>
        <v/>
      </c>
      <c r="V396" s="35">
        <f>IF($U396="",DATE(1900,1,1),$N396)</f>
        <v/>
      </c>
      <c r="W396" s="35">
        <f>IF($U396="",DATE(2100,12,31),$U396)</f>
        <v/>
      </c>
      <c r="X396" s="32">
        <f>IF($U396="",$K396,$K396*$S396)</f>
        <v/>
      </c>
      <c r="Y396" s="35">
        <f>IF($U396="",DATE(2100,12,31),$U396+1)</f>
        <v/>
      </c>
      <c r="Z396" s="35">
        <f>IF($U396="",DATE(1900,1,1),$O396)</f>
        <v/>
      </c>
      <c r="AA396" s="32">
        <f>IF($U396="",0,$K396*$T396)</f>
        <v/>
      </c>
      <c r="AB396" s="21">
        <f>IF($C396="",0,IFERROR(INDEX(Deals!$AD$2:$AD$355,MATCH($C396,Deals!$A$2:$A$355,0)),0))</f>
        <v/>
      </c>
      <c r="AC396" s="32">
        <f>IF(Settings!$B$4="Yes",$I396*$AB396,$I396)</f>
        <v/>
      </c>
      <c r="AD396" s="22">
        <f>IF($C396="","",IFERROR(IF(INDEX(Deals!$AE$2:$AE$355,MATCH($C396,Deals!$A$2:$A$355,0))=0,"",INDEX(Deals!$AE$2:$AE$355,MATCH($C396,Deals!$A$2:$A$355,0))),""))</f>
        <v/>
      </c>
      <c r="AE396" s="22">
        <f>IF($C396="","",IFERROR(IF(INDEX(Deals!$AF$2:$AF$355,MATCH($C396,Deals!$A$2:$A$355,0))=0,"",INDEX(Deals!$AF$2:$AF$355,MATCH($C396,Deals!$A$2:$A$355,0))),""))</f>
        <v/>
      </c>
      <c r="AF396" s="35">
        <f>IF($AD396="",DATE(1900,1,1),$AD396)</f>
        <v/>
      </c>
      <c r="AG396" s="35">
        <f>IF($AE396="",DATE(2100,12,31),$AE396)</f>
        <v/>
      </c>
      <c r="AH396" s="22">
        <f>IF($C396="","",IFERROR(IF(INDEX(Deals!$AG$2:$AG$355,MATCH($C396,Deals!$A$2:$A$355,0))=0,"",INDEX(Deals!$AG$2:$AG$355,MATCH($C396,Deals!$A$2:$A$355,0))),""))</f>
        <v/>
      </c>
      <c r="AI396" s="35">
        <f>IF($AH396="",DATE(1900,1,1),$AF396)</f>
        <v/>
      </c>
      <c r="AJ396" s="35">
        <f>IF($AH396="",DATE(2100,12,31),$AH396)</f>
        <v/>
      </c>
      <c r="AK396" s="32">
        <f>IF($AH396="",$AC396,$AC396*$S396)</f>
        <v/>
      </c>
      <c r="AL396" s="35">
        <f>IF($AH396="",DATE(2100,12,31),$AH396+1)</f>
        <v/>
      </c>
      <c r="AM396" s="35">
        <f>IF($AH396="",DATE(1900,1,1),$AG396)</f>
        <v/>
      </c>
      <c r="AN396" s="32">
        <f>IF($AH396="",0,$AC396*$T396)</f>
        <v/>
      </c>
    </row>
    <row r="397">
      <c r="A397" s="28" t="inlineStr">
        <is>
          <t>Patch</t>
        </is>
      </c>
      <c r="B397" s="16">
        <f>IF($A397="","",IFERROR(INDEX(Roster!$B$2:$B$40,MATCH($A397,Roster!$A$2:$A$40,0)),"?"))</f>
        <v/>
      </c>
      <c r="C397" s="28" t="inlineStr">
        <is>
          <t>Scale_4</t>
        </is>
      </c>
      <c r="D397" s="16">
        <f>IF($C397="","",IFERROR(IF(INDEX(Deals!$C$2:$C$355,MATCH($C397,Deals!$A$2:$A$355,0))=0,"",INDEX(Deals!$C$2:$C$355,MATCH($C397,Deals!$A$2:$A$355,0))),"?"))</f>
        <v/>
      </c>
      <c r="E397" s="16">
        <f>IF($C397="","",IFERROR(INDEX(Deals!$F$2:$F$355,MATCH($C397,Deals!$A$2:$A$355,0)),"?"))</f>
        <v/>
      </c>
      <c r="F397" s="28" t="inlineStr">
        <is>
          <t>VP</t>
        </is>
      </c>
      <c r="G397" s="28" t="inlineStr">
        <is>
          <t>Inactive</t>
        </is>
      </c>
      <c r="H397" s="31" t="n"/>
      <c r="I397" s="32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1">
        <f>IF($C397="",0,IFERROR(INDEX(Deals!$H$2:$H$355,MATCH($C397,Deals!$A$2:$A$355,0)),0))</f>
        <v/>
      </c>
      <c r="K397" s="32">
        <f>IF(Settings!$B$4="Yes",$I397*$J397,$I397)</f>
        <v/>
      </c>
      <c r="L397" s="22">
        <f>IF($C397="","",IFERROR(IF(INDEX(Deals!$I$2:$I$355,MATCH($C397,Deals!$A$2:$A$355,0))=0,"",INDEX(Deals!$I$2:$I$355,MATCH($C397,Deals!$A$2:$A$355,0))),""))</f>
        <v/>
      </c>
      <c r="M397" s="22">
        <f>IF($C397="","",IFERROR(IF(INDEX(Deals!$J$2:$J$355,MATCH($C397,Deals!$A$2:$A$355,0))=0,"",INDEX(Deals!$J$2:$J$355,MATCH($C397,Deals!$A$2:$A$355,0))),""))</f>
        <v/>
      </c>
      <c r="N397" s="35">
        <f>IF($L397="",DATE(1900,1,1),$L397)</f>
        <v/>
      </c>
      <c r="O397" s="35">
        <f>IF($M397="",DATE(2100,12,31),$M397)</f>
        <v/>
      </c>
      <c r="P397" s="20" t="inlineStr">
        <is>
          <t>Closed</t>
        </is>
      </c>
      <c r="Q397" s="43" t="inlineStr"/>
      <c r="R397" s="16">
        <f>IF($C397="","",IFERROR(IF(INDEX(Deals!$U$2:$U$355,MATCH($C397,Deals!$A$2:$A$355,0))=0,"",INDEX(Deals!$U$2:$U$355,MATCH($C397,Deals!$A$2:$A$355,0))),""))</f>
        <v/>
      </c>
      <c r="S397" s="34">
        <f>IFERROR(IF($U397="",1,INDEX(Deals!$V$2:$V$355,MATCH($C397,Deals!$A$2:$A$355,0))),1)</f>
        <v/>
      </c>
      <c r="T397" s="34">
        <f>IFERROR(IF($U397="",1,INDEX(Deals!$W$2:$W$355,MATCH($C397,Deals!$A$2:$A$355,0))),1)</f>
        <v/>
      </c>
      <c r="U397" s="22">
        <f>IF($C397="","",IFERROR(IF(INDEX(Deals!$Y$2:$Y$355,MATCH($C397,Deals!$A$2:$A$355,0))=0,"",INDEX(Deals!$Y$2:$Y$355,MATCH($C397,Deals!$A$2:$A$355,0))),""))</f>
        <v/>
      </c>
      <c r="V397" s="35">
        <f>IF($U397="",DATE(1900,1,1),$N397)</f>
        <v/>
      </c>
      <c r="W397" s="35">
        <f>IF($U397="",DATE(2100,12,31),$U397)</f>
        <v/>
      </c>
      <c r="X397" s="32">
        <f>IF($U397="",$K397,$K397*$S397)</f>
        <v/>
      </c>
      <c r="Y397" s="35">
        <f>IF($U397="",DATE(2100,12,31),$U397+1)</f>
        <v/>
      </c>
      <c r="Z397" s="35">
        <f>IF($U397="",DATE(1900,1,1),$O397)</f>
        <v/>
      </c>
      <c r="AA397" s="32">
        <f>IF($U397="",0,$K397*$T397)</f>
        <v/>
      </c>
      <c r="AB397" s="21">
        <f>IF($C397="",0,IFERROR(INDEX(Deals!$AD$2:$AD$355,MATCH($C397,Deals!$A$2:$A$355,0)),0))</f>
        <v/>
      </c>
      <c r="AC397" s="32">
        <f>IF(Settings!$B$4="Yes",$I397*$AB397,$I397)</f>
        <v/>
      </c>
      <c r="AD397" s="22">
        <f>IF($C397="","",IFERROR(IF(INDEX(Deals!$AE$2:$AE$355,MATCH($C397,Deals!$A$2:$A$355,0))=0,"",INDEX(Deals!$AE$2:$AE$355,MATCH($C397,Deals!$A$2:$A$355,0))),""))</f>
        <v/>
      </c>
      <c r="AE397" s="22">
        <f>IF($C397="","",IFERROR(IF(INDEX(Deals!$AF$2:$AF$355,MATCH($C397,Deals!$A$2:$A$355,0))=0,"",INDEX(Deals!$AF$2:$AF$355,MATCH($C397,Deals!$A$2:$A$355,0))),""))</f>
        <v/>
      </c>
      <c r="AF397" s="35">
        <f>IF($AD397="",DATE(1900,1,1),$AD397)</f>
        <v/>
      </c>
      <c r="AG397" s="35">
        <f>IF($AE397="",DATE(2100,12,31),$AE397)</f>
        <v/>
      </c>
      <c r="AH397" s="22">
        <f>IF($C397="","",IFERROR(IF(INDEX(Deals!$AG$2:$AG$355,MATCH($C397,Deals!$A$2:$A$355,0))=0,"",INDEX(Deals!$AG$2:$AG$355,MATCH($C397,Deals!$A$2:$A$355,0))),""))</f>
        <v/>
      </c>
      <c r="AI397" s="35">
        <f>IF($AH397="",DATE(1900,1,1),$AF397)</f>
        <v/>
      </c>
      <c r="AJ397" s="35">
        <f>IF($AH397="",DATE(2100,12,31),$AH397)</f>
        <v/>
      </c>
      <c r="AK397" s="32">
        <f>IF($AH397="",$AC397,$AC397*$S397)</f>
        <v/>
      </c>
      <c r="AL397" s="35">
        <f>IF($AH397="",DATE(2100,12,31),$AH397+1)</f>
        <v/>
      </c>
      <c r="AM397" s="35">
        <f>IF($AH397="",DATE(1900,1,1),$AG397)</f>
        <v/>
      </c>
      <c r="AN397" s="32">
        <f>IF($AH397="",0,$AC397*$T397)</f>
        <v/>
      </c>
    </row>
    <row r="398">
      <c r="A398" s="28" t="inlineStr">
        <is>
          <t>Patch</t>
        </is>
      </c>
      <c r="B398" s="16">
        <f>IF($A398="","",IFERROR(INDEX(Roster!$B$2:$B$40,MATCH($A398,Roster!$A$2:$A$40,0)),"?"))</f>
        <v/>
      </c>
      <c r="C398" s="28" t="inlineStr">
        <is>
          <t>Scan_1</t>
        </is>
      </c>
      <c r="D398" s="16">
        <f>IF($C398="","",IFERROR(IF(INDEX(Deals!$C$2:$C$355,MATCH($C398,Deals!$A$2:$A$355,0))=0,"",INDEX(Deals!$C$2:$C$355,MATCH($C398,Deals!$A$2:$A$355,0))),"?"))</f>
        <v/>
      </c>
      <c r="E398" s="16">
        <f>IF($C398="","",IFERROR(INDEX(Deals!$F$2:$F$355,MATCH($C398,Deals!$A$2:$A$355,0)),"?"))</f>
        <v/>
      </c>
      <c r="F398" s="28" t="inlineStr">
        <is>
          <t>VP</t>
        </is>
      </c>
      <c r="G398" s="28" t="inlineStr">
        <is>
          <t>Inactive</t>
        </is>
      </c>
      <c r="H398" s="31" t="n"/>
      <c r="I398" s="32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1">
        <f>IF($C398="",0,IFERROR(INDEX(Deals!$H$2:$H$355,MATCH($C398,Deals!$A$2:$A$355,0)),0))</f>
        <v/>
      </c>
      <c r="K398" s="32">
        <f>IF(Settings!$B$4="Yes",$I398*$J398,$I398)</f>
        <v/>
      </c>
      <c r="L398" s="22">
        <f>IF($C398="","",IFERROR(IF(INDEX(Deals!$I$2:$I$355,MATCH($C398,Deals!$A$2:$A$355,0))=0,"",INDEX(Deals!$I$2:$I$355,MATCH($C398,Deals!$A$2:$A$355,0))),""))</f>
        <v/>
      </c>
      <c r="M398" s="22">
        <f>IF($C398="","",IFERROR(IF(INDEX(Deals!$J$2:$J$355,MATCH($C398,Deals!$A$2:$A$355,0))=0,"",INDEX(Deals!$J$2:$J$355,MATCH($C398,Deals!$A$2:$A$355,0))),""))</f>
        <v/>
      </c>
      <c r="N398" s="35">
        <f>IF($L398="",DATE(1900,1,1),$L398)</f>
        <v/>
      </c>
      <c r="O398" s="35">
        <f>IF($M398="",DATE(2100,12,31),$M398)</f>
        <v/>
      </c>
      <c r="P398" s="20" t="inlineStr">
        <is>
          <t>Closed</t>
        </is>
      </c>
      <c r="Q398" s="43" t="inlineStr"/>
      <c r="R398" s="16">
        <f>IF($C398="","",IFERROR(IF(INDEX(Deals!$U$2:$U$355,MATCH($C398,Deals!$A$2:$A$355,0))=0,"",INDEX(Deals!$U$2:$U$355,MATCH($C398,Deals!$A$2:$A$355,0))),""))</f>
        <v/>
      </c>
      <c r="S398" s="34">
        <f>IFERROR(IF($U398="",1,INDEX(Deals!$V$2:$V$355,MATCH($C398,Deals!$A$2:$A$355,0))),1)</f>
        <v/>
      </c>
      <c r="T398" s="34">
        <f>IFERROR(IF($U398="",1,INDEX(Deals!$W$2:$W$355,MATCH($C398,Deals!$A$2:$A$355,0))),1)</f>
        <v/>
      </c>
      <c r="U398" s="22">
        <f>IF($C398="","",IFERROR(IF(INDEX(Deals!$Y$2:$Y$355,MATCH($C398,Deals!$A$2:$A$355,0))=0,"",INDEX(Deals!$Y$2:$Y$355,MATCH($C398,Deals!$A$2:$A$355,0))),""))</f>
        <v/>
      </c>
      <c r="V398" s="35">
        <f>IF($U398="",DATE(1900,1,1),$N398)</f>
        <v/>
      </c>
      <c r="W398" s="35">
        <f>IF($U398="",DATE(2100,12,31),$U398)</f>
        <v/>
      </c>
      <c r="X398" s="32">
        <f>IF($U398="",$K398,$K398*$S398)</f>
        <v/>
      </c>
      <c r="Y398" s="35">
        <f>IF($U398="",DATE(2100,12,31),$U398+1)</f>
        <v/>
      </c>
      <c r="Z398" s="35">
        <f>IF($U398="",DATE(1900,1,1),$O398)</f>
        <v/>
      </c>
      <c r="AA398" s="32">
        <f>IF($U398="",0,$K398*$T398)</f>
        <v/>
      </c>
      <c r="AB398" s="21">
        <f>IF($C398="",0,IFERROR(INDEX(Deals!$AD$2:$AD$355,MATCH($C398,Deals!$A$2:$A$355,0)),0))</f>
        <v/>
      </c>
      <c r="AC398" s="32">
        <f>IF(Settings!$B$4="Yes",$I398*$AB398,$I398)</f>
        <v/>
      </c>
      <c r="AD398" s="22">
        <f>IF($C398="","",IFERROR(IF(INDEX(Deals!$AE$2:$AE$355,MATCH($C398,Deals!$A$2:$A$355,0))=0,"",INDEX(Deals!$AE$2:$AE$355,MATCH($C398,Deals!$A$2:$A$355,0))),""))</f>
        <v/>
      </c>
      <c r="AE398" s="22">
        <f>IF($C398="","",IFERROR(IF(INDEX(Deals!$AF$2:$AF$355,MATCH($C398,Deals!$A$2:$A$355,0))=0,"",INDEX(Deals!$AF$2:$AF$355,MATCH($C398,Deals!$A$2:$A$355,0))),""))</f>
        <v/>
      </c>
      <c r="AF398" s="35">
        <f>IF($AD398="",DATE(1900,1,1),$AD398)</f>
        <v/>
      </c>
      <c r="AG398" s="35">
        <f>IF($AE398="",DATE(2100,12,31),$AE398)</f>
        <v/>
      </c>
      <c r="AH398" s="22">
        <f>IF($C398="","",IFERROR(IF(INDEX(Deals!$AG$2:$AG$355,MATCH($C398,Deals!$A$2:$A$355,0))=0,"",INDEX(Deals!$AG$2:$AG$355,MATCH($C398,Deals!$A$2:$A$355,0))),""))</f>
        <v/>
      </c>
      <c r="AI398" s="35">
        <f>IF($AH398="",DATE(1900,1,1),$AF398)</f>
        <v/>
      </c>
      <c r="AJ398" s="35">
        <f>IF($AH398="",DATE(2100,12,31),$AH398)</f>
        <v/>
      </c>
      <c r="AK398" s="32">
        <f>IF($AH398="",$AC398,$AC398*$S398)</f>
        <v/>
      </c>
      <c r="AL398" s="35">
        <f>IF($AH398="",DATE(2100,12,31),$AH398+1)</f>
        <v/>
      </c>
      <c r="AM398" s="35">
        <f>IF($AH398="",DATE(1900,1,1),$AG398)</f>
        <v/>
      </c>
      <c r="AN398" s="32">
        <f>IF($AH398="",0,$AC398*$T398)</f>
        <v/>
      </c>
    </row>
    <row r="399">
      <c r="A399" s="28" t="inlineStr">
        <is>
          <t>Patch</t>
        </is>
      </c>
      <c r="B399" s="16">
        <f>IF($A399="","",IFERROR(INDEX(Roster!$B$2:$B$40,MATCH($A399,Roster!$A$2:$A$40,0)),"?"))</f>
        <v/>
      </c>
      <c r="C399" s="28" t="inlineStr">
        <is>
          <t>Scion_1</t>
        </is>
      </c>
      <c r="D399" s="16">
        <f>IF($C399="","",IFERROR(IF(INDEX(Deals!$C$2:$C$355,MATCH($C399,Deals!$A$2:$A$355,0))=0,"",INDEX(Deals!$C$2:$C$355,MATCH($C399,Deals!$A$2:$A$355,0))),"?"))</f>
        <v/>
      </c>
      <c r="E399" s="16">
        <f>IF($C399="","",IFERROR(INDEX(Deals!$F$2:$F$355,MATCH($C399,Deals!$A$2:$A$355,0)),"?"))</f>
        <v/>
      </c>
      <c r="F399" s="28" t="inlineStr">
        <is>
          <t>VP</t>
        </is>
      </c>
      <c r="G399" s="28" t="inlineStr">
        <is>
          <t>Active</t>
        </is>
      </c>
      <c r="H399" s="31" t="n"/>
      <c r="I399" s="32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1">
        <f>IF($C399="",0,IFERROR(INDEX(Deals!$H$2:$H$355,MATCH($C399,Deals!$A$2:$A$355,0)),0))</f>
        <v/>
      </c>
      <c r="K399" s="32">
        <f>IF(Settings!$B$4="Yes",$I399*$J399,$I399)</f>
        <v/>
      </c>
      <c r="L399" s="22">
        <f>IF($C399="","",IFERROR(IF(INDEX(Deals!$I$2:$I$355,MATCH($C399,Deals!$A$2:$A$355,0))=0,"",INDEX(Deals!$I$2:$I$355,MATCH($C399,Deals!$A$2:$A$355,0))),""))</f>
        <v/>
      </c>
      <c r="M399" s="22">
        <f>IF($C399="","",IFERROR(IF(INDEX(Deals!$J$2:$J$355,MATCH($C399,Deals!$A$2:$A$355,0))=0,"",INDEX(Deals!$J$2:$J$355,MATCH($C399,Deals!$A$2:$A$355,0))),""))</f>
        <v/>
      </c>
      <c r="N399" s="35">
        <f>IF($L399="",DATE(1900,1,1),$L399)</f>
        <v/>
      </c>
      <c r="O399" s="35">
        <f>IF($M399="",DATE(2100,12,31),$M399)</f>
        <v/>
      </c>
      <c r="P399" s="20" t="inlineStr">
        <is>
          <t>Finished phase I</t>
        </is>
      </c>
      <c r="Q399" s="43" t="inlineStr"/>
      <c r="R399" s="16">
        <f>IF($C399="","",IFERROR(IF(INDEX(Deals!$U$2:$U$355,MATCH($C399,Deals!$A$2:$A$355,0))=0,"",INDEX(Deals!$U$2:$U$355,MATCH($C399,Deals!$A$2:$A$355,0))),""))</f>
        <v/>
      </c>
      <c r="S399" s="34">
        <f>IFERROR(IF($U399="",1,INDEX(Deals!$V$2:$V$355,MATCH($C399,Deals!$A$2:$A$355,0))),1)</f>
        <v/>
      </c>
      <c r="T399" s="34">
        <f>IFERROR(IF($U399="",1,INDEX(Deals!$W$2:$W$355,MATCH($C399,Deals!$A$2:$A$355,0))),1)</f>
        <v/>
      </c>
      <c r="U399" s="22">
        <f>IF($C399="","",IFERROR(IF(INDEX(Deals!$Y$2:$Y$355,MATCH($C399,Deals!$A$2:$A$355,0))=0,"",INDEX(Deals!$Y$2:$Y$355,MATCH($C399,Deals!$A$2:$A$355,0))),""))</f>
        <v/>
      </c>
      <c r="V399" s="35">
        <f>IF($U399="",DATE(1900,1,1),$N399)</f>
        <v/>
      </c>
      <c r="W399" s="35">
        <f>IF($U399="",DATE(2100,12,31),$U399)</f>
        <v/>
      </c>
      <c r="X399" s="32">
        <f>IF($U399="",$K399,$K399*$S399)</f>
        <v/>
      </c>
      <c r="Y399" s="35">
        <f>IF($U399="",DATE(2100,12,31),$U399+1)</f>
        <v/>
      </c>
      <c r="Z399" s="35">
        <f>IF($U399="",DATE(1900,1,1),$O399)</f>
        <v/>
      </c>
      <c r="AA399" s="32">
        <f>IF($U399="",0,$K399*$T399)</f>
        <v/>
      </c>
      <c r="AB399" s="21">
        <f>IF($C399="",0,IFERROR(INDEX(Deals!$AD$2:$AD$355,MATCH($C399,Deals!$A$2:$A$355,0)),0))</f>
        <v/>
      </c>
      <c r="AC399" s="32">
        <f>IF(Settings!$B$4="Yes",$I399*$AB399,$I399)</f>
        <v/>
      </c>
      <c r="AD399" s="22">
        <f>IF($C399="","",IFERROR(IF(INDEX(Deals!$AE$2:$AE$355,MATCH($C399,Deals!$A$2:$A$355,0))=0,"",INDEX(Deals!$AE$2:$AE$355,MATCH($C399,Deals!$A$2:$A$355,0))),""))</f>
        <v/>
      </c>
      <c r="AE399" s="22">
        <f>IF($C399="","",IFERROR(IF(INDEX(Deals!$AF$2:$AF$355,MATCH($C399,Deals!$A$2:$A$355,0))=0,"",INDEX(Deals!$AF$2:$AF$355,MATCH($C399,Deals!$A$2:$A$355,0))),""))</f>
        <v/>
      </c>
      <c r="AF399" s="35">
        <f>IF($AD399="",DATE(1900,1,1),$AD399)</f>
        <v/>
      </c>
      <c r="AG399" s="35">
        <f>IF($AE399="",DATE(2100,12,31),$AE399)</f>
        <v/>
      </c>
      <c r="AH399" s="22">
        <f>IF($C399="","",IFERROR(IF(INDEX(Deals!$AG$2:$AG$355,MATCH($C399,Deals!$A$2:$A$355,0))=0,"",INDEX(Deals!$AG$2:$AG$355,MATCH($C399,Deals!$A$2:$A$355,0))),""))</f>
        <v/>
      </c>
      <c r="AI399" s="35">
        <f>IF($AH399="",DATE(1900,1,1),$AF399)</f>
        <v/>
      </c>
      <c r="AJ399" s="35">
        <f>IF($AH399="",DATE(2100,12,31),$AH399)</f>
        <v/>
      </c>
      <c r="AK399" s="32">
        <f>IF($AH399="",$AC399,$AC399*$S399)</f>
        <v/>
      </c>
      <c r="AL399" s="35">
        <f>IF($AH399="",DATE(2100,12,31),$AH399+1)</f>
        <v/>
      </c>
      <c r="AM399" s="35">
        <f>IF($AH399="",DATE(1900,1,1),$AG399)</f>
        <v/>
      </c>
      <c r="AN399" s="32">
        <f>IF($AH399="",0,$AC399*$T399)</f>
        <v/>
      </c>
    </row>
    <row r="400">
      <c r="A400" s="28" t="inlineStr">
        <is>
          <t>Patch</t>
        </is>
      </c>
      <c r="B400" s="16">
        <f>IF($A400="","",IFERROR(INDEX(Roster!$B$2:$B$40,MATCH($A400,Roster!$A$2:$A$40,0)),"?"))</f>
        <v/>
      </c>
      <c r="C400" s="28" t="inlineStr">
        <is>
          <t>Spark_1</t>
        </is>
      </c>
      <c r="D400" s="16">
        <f>IF($C400="","",IFERROR(IF(INDEX(Deals!$C$2:$C$355,MATCH($C400,Deals!$A$2:$A$355,0))=0,"",INDEX(Deals!$C$2:$C$355,MATCH($C400,Deals!$A$2:$A$355,0))),"?"))</f>
        <v/>
      </c>
      <c r="E400" s="16">
        <f>IF($C400="","",IFERROR(INDEX(Deals!$F$2:$F$355,MATCH($C400,Deals!$A$2:$A$355,0)),"?"))</f>
        <v/>
      </c>
      <c r="F400" s="28" t="inlineStr">
        <is>
          <t>VP</t>
        </is>
      </c>
      <c r="G400" s="28" t="inlineStr">
        <is>
          <t>Inactive</t>
        </is>
      </c>
      <c r="H400" s="31" t="n"/>
      <c r="I400" s="32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1">
        <f>IF($C400="",0,IFERROR(INDEX(Deals!$H$2:$H$355,MATCH($C400,Deals!$A$2:$A$355,0)),0))</f>
        <v/>
      </c>
      <c r="K400" s="32">
        <f>IF(Settings!$B$4="Yes",$I400*$J400,$I400)</f>
        <v/>
      </c>
      <c r="L400" s="22">
        <f>IF($C400="","",IFERROR(IF(INDEX(Deals!$I$2:$I$355,MATCH($C400,Deals!$A$2:$A$355,0))=0,"",INDEX(Deals!$I$2:$I$355,MATCH($C400,Deals!$A$2:$A$355,0))),""))</f>
        <v/>
      </c>
      <c r="M400" s="22">
        <f>IF($C400="","",IFERROR(IF(INDEX(Deals!$J$2:$J$355,MATCH($C400,Deals!$A$2:$A$355,0))=0,"",INDEX(Deals!$J$2:$J$355,MATCH($C400,Deals!$A$2:$A$355,0))),""))</f>
        <v/>
      </c>
      <c r="N400" s="35">
        <f>IF($L400="",DATE(1900,1,1),$L400)</f>
        <v/>
      </c>
      <c r="O400" s="35">
        <f>IF($M400="",DATE(2100,12,31),$M400)</f>
        <v/>
      </c>
      <c r="P400" s="20" t="inlineStr">
        <is>
          <t>Closed</t>
        </is>
      </c>
      <c r="Q400" s="43" t="inlineStr"/>
      <c r="R400" s="16">
        <f>IF($C400="","",IFERROR(IF(INDEX(Deals!$U$2:$U$355,MATCH($C400,Deals!$A$2:$A$355,0))=0,"",INDEX(Deals!$U$2:$U$355,MATCH($C400,Deals!$A$2:$A$355,0))),""))</f>
        <v/>
      </c>
      <c r="S400" s="34">
        <f>IFERROR(IF($U400="",1,INDEX(Deals!$V$2:$V$355,MATCH($C400,Deals!$A$2:$A$355,0))),1)</f>
        <v/>
      </c>
      <c r="T400" s="34">
        <f>IFERROR(IF($U400="",1,INDEX(Deals!$W$2:$W$355,MATCH($C400,Deals!$A$2:$A$355,0))),1)</f>
        <v/>
      </c>
      <c r="U400" s="22">
        <f>IF($C400="","",IFERROR(IF(INDEX(Deals!$Y$2:$Y$355,MATCH($C400,Deals!$A$2:$A$355,0))=0,"",INDEX(Deals!$Y$2:$Y$355,MATCH($C400,Deals!$A$2:$A$355,0))),""))</f>
        <v/>
      </c>
      <c r="V400" s="35">
        <f>IF($U400="",DATE(1900,1,1),$N400)</f>
        <v/>
      </c>
      <c r="W400" s="35">
        <f>IF($U400="",DATE(2100,12,31),$U400)</f>
        <v/>
      </c>
      <c r="X400" s="32">
        <f>IF($U400="",$K400,$K400*$S400)</f>
        <v/>
      </c>
      <c r="Y400" s="35">
        <f>IF($U400="",DATE(2100,12,31),$U400+1)</f>
        <v/>
      </c>
      <c r="Z400" s="35">
        <f>IF($U400="",DATE(1900,1,1),$O400)</f>
        <v/>
      </c>
      <c r="AA400" s="32">
        <f>IF($U400="",0,$K400*$T400)</f>
        <v/>
      </c>
      <c r="AB400" s="21">
        <f>IF($C400="",0,IFERROR(INDEX(Deals!$AD$2:$AD$355,MATCH($C400,Deals!$A$2:$A$355,0)),0))</f>
        <v/>
      </c>
      <c r="AC400" s="32">
        <f>IF(Settings!$B$4="Yes",$I400*$AB400,$I400)</f>
        <v/>
      </c>
      <c r="AD400" s="22">
        <f>IF($C400="","",IFERROR(IF(INDEX(Deals!$AE$2:$AE$355,MATCH($C400,Deals!$A$2:$A$355,0))=0,"",INDEX(Deals!$AE$2:$AE$355,MATCH($C400,Deals!$A$2:$A$355,0))),""))</f>
        <v/>
      </c>
      <c r="AE400" s="22">
        <f>IF($C400="","",IFERROR(IF(INDEX(Deals!$AF$2:$AF$355,MATCH($C400,Deals!$A$2:$A$355,0))=0,"",INDEX(Deals!$AF$2:$AF$355,MATCH($C400,Deals!$A$2:$A$355,0))),""))</f>
        <v/>
      </c>
      <c r="AF400" s="35">
        <f>IF($AD400="",DATE(1900,1,1),$AD400)</f>
        <v/>
      </c>
      <c r="AG400" s="35">
        <f>IF($AE400="",DATE(2100,12,31),$AE400)</f>
        <v/>
      </c>
      <c r="AH400" s="22">
        <f>IF($C400="","",IFERROR(IF(INDEX(Deals!$AG$2:$AG$355,MATCH($C400,Deals!$A$2:$A$355,0))=0,"",INDEX(Deals!$AG$2:$AG$355,MATCH($C400,Deals!$A$2:$A$355,0))),""))</f>
        <v/>
      </c>
      <c r="AI400" s="35">
        <f>IF($AH400="",DATE(1900,1,1),$AF400)</f>
        <v/>
      </c>
      <c r="AJ400" s="35">
        <f>IF($AH400="",DATE(2100,12,31),$AH400)</f>
        <v/>
      </c>
      <c r="AK400" s="32">
        <f>IF($AH400="",$AC400,$AC400*$S400)</f>
        <v/>
      </c>
      <c r="AL400" s="35">
        <f>IF($AH400="",DATE(2100,12,31),$AH400+1)</f>
        <v/>
      </c>
      <c r="AM400" s="35">
        <f>IF($AH400="",DATE(1900,1,1),$AG400)</f>
        <v/>
      </c>
      <c r="AN400" s="32">
        <f>IF($AH400="",0,$AC400*$T400)</f>
        <v/>
      </c>
    </row>
    <row r="401">
      <c r="A401" s="28" t="inlineStr">
        <is>
          <t>Patch</t>
        </is>
      </c>
      <c r="B401" s="16">
        <f>IF($A401="","",IFERROR(INDEX(Roster!$B$2:$B$40,MATCH($A401,Roster!$A$2:$A$40,0)),"?"))</f>
        <v/>
      </c>
      <c r="C401" s="28" t="inlineStr">
        <is>
          <t>Steam_2</t>
        </is>
      </c>
      <c r="D401" s="16">
        <f>IF($C401="","",IFERROR(IF(INDEX(Deals!$C$2:$C$355,MATCH($C401,Deals!$A$2:$A$355,0))=0,"",INDEX(Deals!$C$2:$C$355,MATCH($C401,Deals!$A$2:$A$355,0))),"?"))</f>
        <v/>
      </c>
      <c r="E401" s="16">
        <f>IF($C401="","",IFERROR(INDEX(Deals!$F$2:$F$355,MATCH($C401,Deals!$A$2:$A$355,0)),"?"))</f>
        <v/>
      </c>
      <c r="F401" s="28" t="inlineStr">
        <is>
          <t>VP</t>
        </is>
      </c>
      <c r="G401" s="28" t="inlineStr">
        <is>
          <t>Inactive</t>
        </is>
      </c>
      <c r="H401" s="31" t="n"/>
      <c r="I401" s="32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1">
        <f>IF($C401="",0,IFERROR(INDEX(Deals!$H$2:$H$355,MATCH($C401,Deals!$A$2:$A$355,0)),0))</f>
        <v/>
      </c>
      <c r="K401" s="32">
        <f>IF(Settings!$B$4="Yes",$I401*$J401,$I401)</f>
        <v/>
      </c>
      <c r="L401" s="22">
        <f>IF($C401="","",IFERROR(IF(INDEX(Deals!$I$2:$I$355,MATCH($C401,Deals!$A$2:$A$355,0))=0,"",INDEX(Deals!$I$2:$I$355,MATCH($C401,Deals!$A$2:$A$355,0))),""))</f>
        <v/>
      </c>
      <c r="M401" s="22">
        <f>IF($C401="","",IFERROR(IF(INDEX(Deals!$J$2:$J$355,MATCH($C401,Deals!$A$2:$A$355,0))=0,"",INDEX(Deals!$J$2:$J$355,MATCH($C401,Deals!$A$2:$A$355,0))),""))</f>
        <v/>
      </c>
      <c r="N401" s="35">
        <f>IF($L401="",DATE(1900,1,1),$L401)</f>
        <v/>
      </c>
      <c r="O401" s="35">
        <f>IF($M401="",DATE(2100,12,31),$M401)</f>
        <v/>
      </c>
      <c r="P401" s="20" t="inlineStr">
        <is>
          <t>Not involved in ongoing work</t>
        </is>
      </c>
      <c r="Q401" s="43" t="inlineStr"/>
      <c r="R401" s="16">
        <f>IF($C401="","",IFERROR(IF(INDEX(Deals!$U$2:$U$355,MATCH($C401,Deals!$A$2:$A$355,0))=0,"",INDEX(Deals!$U$2:$U$355,MATCH($C401,Deals!$A$2:$A$355,0))),""))</f>
        <v/>
      </c>
      <c r="S401" s="34">
        <f>IFERROR(IF($U401="",1,INDEX(Deals!$V$2:$V$355,MATCH($C401,Deals!$A$2:$A$355,0))),1)</f>
        <v/>
      </c>
      <c r="T401" s="34">
        <f>IFERROR(IF($U401="",1,INDEX(Deals!$W$2:$W$355,MATCH($C401,Deals!$A$2:$A$355,0))),1)</f>
        <v/>
      </c>
      <c r="U401" s="22">
        <f>IF($C401="","",IFERROR(IF(INDEX(Deals!$Y$2:$Y$355,MATCH($C401,Deals!$A$2:$A$355,0))=0,"",INDEX(Deals!$Y$2:$Y$355,MATCH($C401,Deals!$A$2:$A$355,0))),""))</f>
        <v/>
      </c>
      <c r="V401" s="35">
        <f>IF($U401="",DATE(1900,1,1),$N401)</f>
        <v/>
      </c>
      <c r="W401" s="35">
        <f>IF($U401="",DATE(2100,12,31),$U401)</f>
        <v/>
      </c>
      <c r="X401" s="32">
        <f>IF($U401="",$K401,$K401*$S401)</f>
        <v/>
      </c>
      <c r="Y401" s="35">
        <f>IF($U401="",DATE(2100,12,31),$U401+1)</f>
        <v/>
      </c>
      <c r="Z401" s="35">
        <f>IF($U401="",DATE(1900,1,1),$O401)</f>
        <v/>
      </c>
      <c r="AA401" s="32">
        <f>IF($U401="",0,$K401*$T401)</f>
        <v/>
      </c>
      <c r="AB401" s="21">
        <f>IF($C401="",0,IFERROR(INDEX(Deals!$AD$2:$AD$355,MATCH($C401,Deals!$A$2:$A$355,0)),0))</f>
        <v/>
      </c>
      <c r="AC401" s="32">
        <f>IF(Settings!$B$4="Yes",$I401*$AB401,$I401)</f>
        <v/>
      </c>
      <c r="AD401" s="22">
        <f>IF($C401="","",IFERROR(IF(INDEX(Deals!$AE$2:$AE$355,MATCH($C401,Deals!$A$2:$A$355,0))=0,"",INDEX(Deals!$AE$2:$AE$355,MATCH($C401,Deals!$A$2:$A$355,0))),""))</f>
        <v/>
      </c>
      <c r="AE401" s="22">
        <f>IF($C401="","",IFERROR(IF(INDEX(Deals!$AF$2:$AF$355,MATCH($C401,Deals!$A$2:$A$355,0))=0,"",INDEX(Deals!$AF$2:$AF$355,MATCH($C401,Deals!$A$2:$A$355,0))),""))</f>
        <v/>
      </c>
      <c r="AF401" s="35">
        <f>IF($AD401="",DATE(1900,1,1),$AD401)</f>
        <v/>
      </c>
      <c r="AG401" s="35">
        <f>IF($AE401="",DATE(2100,12,31),$AE401)</f>
        <v/>
      </c>
      <c r="AH401" s="22">
        <f>IF($C401="","",IFERROR(IF(INDEX(Deals!$AG$2:$AG$355,MATCH($C401,Deals!$A$2:$A$355,0))=0,"",INDEX(Deals!$AG$2:$AG$355,MATCH($C401,Deals!$A$2:$A$355,0))),""))</f>
        <v/>
      </c>
      <c r="AI401" s="35">
        <f>IF($AH401="",DATE(1900,1,1),$AF401)</f>
        <v/>
      </c>
      <c r="AJ401" s="35">
        <f>IF($AH401="",DATE(2100,12,31),$AH401)</f>
        <v/>
      </c>
      <c r="AK401" s="32">
        <f>IF($AH401="",$AC401,$AC401*$S401)</f>
        <v/>
      </c>
      <c r="AL401" s="35">
        <f>IF($AH401="",DATE(2100,12,31),$AH401+1)</f>
        <v/>
      </c>
      <c r="AM401" s="35">
        <f>IF($AH401="",DATE(1900,1,1),$AG401)</f>
        <v/>
      </c>
      <c r="AN401" s="32">
        <f>IF($AH401="",0,$AC401*$T401)</f>
        <v/>
      </c>
    </row>
    <row r="402">
      <c r="A402" s="28" t="inlineStr">
        <is>
          <t>Patch</t>
        </is>
      </c>
      <c r="B402" s="16">
        <f>IF($A402="","",IFERROR(INDEX(Roster!$B$2:$B$40,MATCH($A402,Roster!$A$2:$A$40,0)),"?"))</f>
        <v/>
      </c>
      <c r="C402" s="28" t="inlineStr">
        <is>
          <t>Sun Pond_1</t>
        </is>
      </c>
      <c r="D402" s="16">
        <f>IF($C402="","",IFERROR(IF(INDEX(Deals!$C$2:$C$355,MATCH($C402,Deals!$A$2:$A$355,0))=0,"",INDEX(Deals!$C$2:$C$355,MATCH($C402,Deals!$A$2:$A$355,0))),"?"))</f>
        <v/>
      </c>
      <c r="E402" s="16">
        <f>IF($C402="","",IFERROR(INDEX(Deals!$F$2:$F$355,MATCH($C402,Deals!$A$2:$A$355,0)),"?"))</f>
        <v/>
      </c>
      <c r="F402" s="28" t="inlineStr">
        <is>
          <t>VP</t>
        </is>
      </c>
      <c r="G402" s="28" t="inlineStr">
        <is>
          <t>Inactive</t>
        </is>
      </c>
      <c r="H402" s="31" t="n"/>
      <c r="I402" s="32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1">
        <f>IF($C402="",0,IFERROR(INDEX(Deals!$H$2:$H$355,MATCH($C402,Deals!$A$2:$A$355,0)),0))</f>
        <v/>
      </c>
      <c r="K402" s="32">
        <f>IF(Settings!$B$4="Yes",$I402*$J402,$I402)</f>
        <v/>
      </c>
      <c r="L402" s="22">
        <f>IF($C402="","",IFERROR(IF(INDEX(Deals!$I$2:$I$355,MATCH($C402,Deals!$A$2:$A$355,0))=0,"",INDEX(Deals!$I$2:$I$355,MATCH($C402,Deals!$A$2:$A$355,0))),""))</f>
        <v/>
      </c>
      <c r="M402" s="22">
        <f>IF($C402="","",IFERROR(IF(INDEX(Deals!$J$2:$J$355,MATCH($C402,Deals!$A$2:$A$355,0))=0,"",INDEX(Deals!$J$2:$J$355,MATCH($C402,Deals!$A$2:$A$355,0))),""))</f>
        <v/>
      </c>
      <c r="N402" s="35">
        <f>IF($L402="",DATE(1900,1,1),$L402)</f>
        <v/>
      </c>
      <c r="O402" s="35">
        <f>IF($M402="",DATE(2100,12,31),$M402)</f>
        <v/>
      </c>
      <c r="P402" s="20" t="inlineStr">
        <is>
          <t>This was probably when I was helping check tax insurance datarooms.</t>
        </is>
      </c>
      <c r="Q402" s="43" t="inlineStr"/>
      <c r="R402" s="16">
        <f>IF($C402="","",IFERROR(IF(INDEX(Deals!$U$2:$U$355,MATCH($C402,Deals!$A$2:$A$355,0))=0,"",INDEX(Deals!$U$2:$U$355,MATCH($C402,Deals!$A$2:$A$355,0))),""))</f>
        <v/>
      </c>
      <c r="S402" s="34">
        <f>IFERROR(IF($U402="",1,INDEX(Deals!$V$2:$V$355,MATCH($C402,Deals!$A$2:$A$355,0))),1)</f>
        <v/>
      </c>
      <c r="T402" s="34">
        <f>IFERROR(IF($U402="",1,INDEX(Deals!$W$2:$W$355,MATCH($C402,Deals!$A$2:$A$355,0))),1)</f>
        <v/>
      </c>
      <c r="U402" s="22">
        <f>IF($C402="","",IFERROR(IF(INDEX(Deals!$Y$2:$Y$355,MATCH($C402,Deals!$A$2:$A$355,0))=0,"",INDEX(Deals!$Y$2:$Y$355,MATCH($C402,Deals!$A$2:$A$355,0))),""))</f>
        <v/>
      </c>
      <c r="V402" s="35">
        <f>IF($U402="",DATE(1900,1,1),$N402)</f>
        <v/>
      </c>
      <c r="W402" s="35">
        <f>IF($U402="",DATE(2100,12,31),$U402)</f>
        <v/>
      </c>
      <c r="X402" s="32">
        <f>IF($U402="",$K402,$K402*$S402)</f>
        <v/>
      </c>
      <c r="Y402" s="35">
        <f>IF($U402="",DATE(2100,12,31),$U402+1)</f>
        <v/>
      </c>
      <c r="Z402" s="35">
        <f>IF($U402="",DATE(1900,1,1),$O402)</f>
        <v/>
      </c>
      <c r="AA402" s="32">
        <f>IF($U402="",0,$K402*$T402)</f>
        <v/>
      </c>
      <c r="AB402" s="21">
        <f>IF($C402="",0,IFERROR(INDEX(Deals!$AD$2:$AD$355,MATCH($C402,Deals!$A$2:$A$355,0)),0))</f>
        <v/>
      </c>
      <c r="AC402" s="32">
        <f>IF(Settings!$B$4="Yes",$I402*$AB402,$I402)</f>
        <v/>
      </c>
      <c r="AD402" s="22">
        <f>IF($C402="","",IFERROR(IF(INDEX(Deals!$AE$2:$AE$355,MATCH($C402,Deals!$A$2:$A$355,0))=0,"",INDEX(Deals!$AE$2:$AE$355,MATCH($C402,Deals!$A$2:$A$355,0))),""))</f>
        <v/>
      </c>
      <c r="AE402" s="22">
        <f>IF($C402="","",IFERROR(IF(INDEX(Deals!$AF$2:$AF$355,MATCH($C402,Deals!$A$2:$A$355,0))=0,"",INDEX(Deals!$AF$2:$AF$355,MATCH($C402,Deals!$A$2:$A$355,0))),""))</f>
        <v/>
      </c>
      <c r="AF402" s="35">
        <f>IF($AD402="",DATE(1900,1,1),$AD402)</f>
        <v/>
      </c>
      <c r="AG402" s="35">
        <f>IF($AE402="",DATE(2100,12,31),$AE402)</f>
        <v/>
      </c>
      <c r="AH402" s="22">
        <f>IF($C402="","",IFERROR(IF(INDEX(Deals!$AG$2:$AG$355,MATCH($C402,Deals!$A$2:$A$355,0))=0,"",INDEX(Deals!$AG$2:$AG$355,MATCH($C402,Deals!$A$2:$A$355,0))),""))</f>
        <v/>
      </c>
      <c r="AI402" s="35">
        <f>IF($AH402="",DATE(1900,1,1),$AF402)</f>
        <v/>
      </c>
      <c r="AJ402" s="35">
        <f>IF($AH402="",DATE(2100,12,31),$AH402)</f>
        <v/>
      </c>
      <c r="AK402" s="32">
        <f>IF($AH402="",$AC402,$AC402*$S402)</f>
        <v/>
      </c>
      <c r="AL402" s="35">
        <f>IF($AH402="",DATE(2100,12,31),$AH402+1)</f>
        <v/>
      </c>
      <c r="AM402" s="35">
        <f>IF($AH402="",DATE(1900,1,1),$AG402)</f>
        <v/>
      </c>
      <c r="AN402" s="32">
        <f>IF($AH402="",0,$AC402*$T402)</f>
        <v/>
      </c>
    </row>
    <row r="403">
      <c r="A403" s="28" t="inlineStr">
        <is>
          <t>Patch</t>
        </is>
      </c>
      <c r="B403" s="16">
        <f>IF($A403="","",IFERROR(INDEX(Roster!$B$2:$B$40,MATCH($A403,Roster!$A$2:$A$40,0)),"?"))</f>
        <v/>
      </c>
      <c r="C403" s="28" t="inlineStr">
        <is>
          <t>Tailgate_1</t>
        </is>
      </c>
      <c r="D403" s="16">
        <f>IF($C403="","",IFERROR(IF(INDEX(Deals!$C$2:$C$355,MATCH($C403,Deals!$A$2:$A$355,0))=0,"",INDEX(Deals!$C$2:$C$355,MATCH($C403,Deals!$A$2:$A$355,0))),"?"))</f>
        <v/>
      </c>
      <c r="E403" s="16">
        <f>IF($C403="","",IFERROR(INDEX(Deals!$F$2:$F$355,MATCH($C403,Deals!$A$2:$A$355,0)),"?"))</f>
        <v/>
      </c>
      <c r="F403" s="28" t="inlineStr">
        <is>
          <t>VP</t>
        </is>
      </c>
      <c r="G403" s="28" t="inlineStr">
        <is>
          <t>Inactive</t>
        </is>
      </c>
      <c r="H403" s="31" t="n"/>
      <c r="I403" s="32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1">
        <f>IF($C403="",0,IFERROR(INDEX(Deals!$H$2:$H$355,MATCH($C403,Deals!$A$2:$A$355,0)),0))</f>
        <v/>
      </c>
      <c r="K403" s="32">
        <f>IF(Settings!$B$4="Yes",$I403*$J403,$I403)</f>
        <v/>
      </c>
      <c r="L403" s="22">
        <f>IF($C403="","",IFERROR(IF(INDEX(Deals!$I$2:$I$355,MATCH($C403,Deals!$A$2:$A$355,0))=0,"",INDEX(Deals!$I$2:$I$355,MATCH($C403,Deals!$A$2:$A$355,0))),""))</f>
        <v/>
      </c>
      <c r="M403" s="22">
        <f>IF($C403="","",IFERROR(IF(INDEX(Deals!$J$2:$J$355,MATCH($C403,Deals!$A$2:$A$355,0))=0,"",INDEX(Deals!$J$2:$J$355,MATCH($C403,Deals!$A$2:$A$355,0))),""))</f>
        <v/>
      </c>
      <c r="N403" s="35">
        <f>IF($L403="",DATE(1900,1,1),$L403)</f>
        <v/>
      </c>
      <c r="O403" s="35">
        <f>IF($M403="",DATE(2100,12,31),$M403)</f>
        <v/>
      </c>
      <c r="P403" s="20" t="inlineStr">
        <is>
          <t>Penicls Down</t>
        </is>
      </c>
      <c r="Q403" s="43" t="inlineStr"/>
      <c r="R403" s="16">
        <f>IF($C403="","",IFERROR(IF(INDEX(Deals!$U$2:$U$355,MATCH($C403,Deals!$A$2:$A$355,0))=0,"",INDEX(Deals!$U$2:$U$355,MATCH($C403,Deals!$A$2:$A$355,0))),""))</f>
        <v/>
      </c>
      <c r="S403" s="34">
        <f>IFERROR(IF($U403="",1,INDEX(Deals!$V$2:$V$355,MATCH($C403,Deals!$A$2:$A$355,0))),1)</f>
        <v/>
      </c>
      <c r="T403" s="34">
        <f>IFERROR(IF($U403="",1,INDEX(Deals!$W$2:$W$355,MATCH($C403,Deals!$A$2:$A$355,0))),1)</f>
        <v/>
      </c>
      <c r="U403" s="22">
        <f>IF($C403="","",IFERROR(IF(INDEX(Deals!$Y$2:$Y$355,MATCH($C403,Deals!$A$2:$A$355,0))=0,"",INDEX(Deals!$Y$2:$Y$355,MATCH($C403,Deals!$A$2:$A$355,0))),""))</f>
        <v/>
      </c>
      <c r="V403" s="35">
        <f>IF($U403="",DATE(1900,1,1),$N403)</f>
        <v/>
      </c>
      <c r="W403" s="35">
        <f>IF($U403="",DATE(2100,12,31),$U403)</f>
        <v/>
      </c>
      <c r="X403" s="32">
        <f>IF($U403="",$K403,$K403*$S403)</f>
        <v/>
      </c>
      <c r="Y403" s="35">
        <f>IF($U403="",DATE(2100,12,31),$U403+1)</f>
        <v/>
      </c>
      <c r="Z403" s="35">
        <f>IF($U403="",DATE(1900,1,1),$O403)</f>
        <v/>
      </c>
      <c r="AA403" s="32">
        <f>IF($U403="",0,$K403*$T403)</f>
        <v/>
      </c>
      <c r="AB403" s="21">
        <f>IF($C403="",0,IFERROR(INDEX(Deals!$AD$2:$AD$355,MATCH($C403,Deals!$A$2:$A$355,0)),0))</f>
        <v/>
      </c>
      <c r="AC403" s="32">
        <f>IF(Settings!$B$4="Yes",$I403*$AB403,$I403)</f>
        <v/>
      </c>
      <c r="AD403" s="22">
        <f>IF($C403="","",IFERROR(IF(INDEX(Deals!$AE$2:$AE$355,MATCH($C403,Deals!$A$2:$A$355,0))=0,"",INDEX(Deals!$AE$2:$AE$355,MATCH($C403,Deals!$A$2:$A$355,0))),""))</f>
        <v/>
      </c>
      <c r="AE403" s="22">
        <f>IF($C403="","",IFERROR(IF(INDEX(Deals!$AF$2:$AF$355,MATCH($C403,Deals!$A$2:$A$355,0))=0,"",INDEX(Deals!$AF$2:$AF$355,MATCH($C403,Deals!$A$2:$A$355,0))),""))</f>
        <v/>
      </c>
      <c r="AF403" s="35">
        <f>IF($AD403="",DATE(1900,1,1),$AD403)</f>
        <v/>
      </c>
      <c r="AG403" s="35">
        <f>IF($AE403="",DATE(2100,12,31),$AE403)</f>
        <v/>
      </c>
      <c r="AH403" s="22">
        <f>IF($C403="","",IFERROR(IF(INDEX(Deals!$AG$2:$AG$355,MATCH($C403,Deals!$A$2:$A$355,0))=0,"",INDEX(Deals!$AG$2:$AG$355,MATCH($C403,Deals!$A$2:$A$355,0))),""))</f>
        <v/>
      </c>
      <c r="AI403" s="35">
        <f>IF($AH403="",DATE(1900,1,1),$AF403)</f>
        <v/>
      </c>
      <c r="AJ403" s="35">
        <f>IF($AH403="",DATE(2100,12,31),$AH403)</f>
        <v/>
      </c>
      <c r="AK403" s="32">
        <f>IF($AH403="",$AC403,$AC403*$S403)</f>
        <v/>
      </c>
      <c r="AL403" s="35">
        <f>IF($AH403="",DATE(2100,12,31),$AH403+1)</f>
        <v/>
      </c>
      <c r="AM403" s="35">
        <f>IF($AH403="",DATE(1900,1,1),$AG403)</f>
        <v/>
      </c>
      <c r="AN403" s="32">
        <f>IF($AH403="",0,$AC403*$T403)</f>
        <v/>
      </c>
    </row>
    <row r="404">
      <c r="A404" s="28" t="inlineStr">
        <is>
          <t>Patch</t>
        </is>
      </c>
      <c r="B404" s="16">
        <f>IF($A404="","",IFERROR(INDEX(Roster!$B$2:$B$40,MATCH($A404,Roster!$A$2:$A$40,0)),"?"))</f>
        <v/>
      </c>
      <c r="C404" s="28" t="inlineStr">
        <is>
          <t>Takeover_1</t>
        </is>
      </c>
      <c r="D404" s="16">
        <f>IF($C404="","",IFERROR(IF(INDEX(Deals!$C$2:$C$355,MATCH($C404,Deals!$A$2:$A$355,0))=0,"",INDEX(Deals!$C$2:$C$355,MATCH($C404,Deals!$A$2:$A$355,0))),"?"))</f>
        <v/>
      </c>
      <c r="E404" s="16">
        <f>IF($C404="","",IFERROR(INDEX(Deals!$F$2:$F$355,MATCH($C404,Deals!$A$2:$A$355,0)),"?"))</f>
        <v/>
      </c>
      <c r="F404" s="28" t="inlineStr">
        <is>
          <t>VP</t>
        </is>
      </c>
      <c r="G404" s="28" t="inlineStr">
        <is>
          <t>Inactive</t>
        </is>
      </c>
      <c r="H404" s="31" t="n"/>
      <c r="I404" s="32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1">
        <f>IF($C404="",0,IFERROR(INDEX(Deals!$H$2:$H$355,MATCH($C404,Deals!$A$2:$A$355,0)),0))</f>
        <v/>
      </c>
      <c r="K404" s="32">
        <f>IF(Settings!$B$4="Yes",$I404*$J404,$I404)</f>
        <v/>
      </c>
      <c r="L404" s="22">
        <f>IF($C404="","",IFERROR(IF(INDEX(Deals!$I$2:$I$355,MATCH($C404,Deals!$A$2:$A$355,0))=0,"",INDEX(Deals!$I$2:$I$355,MATCH($C404,Deals!$A$2:$A$355,0))),""))</f>
        <v/>
      </c>
      <c r="M404" s="22">
        <f>IF($C404="","",IFERROR(IF(INDEX(Deals!$J$2:$J$355,MATCH($C404,Deals!$A$2:$A$355,0))=0,"",INDEX(Deals!$J$2:$J$355,MATCH($C404,Deals!$A$2:$A$355,0))),""))</f>
        <v/>
      </c>
      <c r="N404" s="35">
        <f>IF($L404="",DATE(1900,1,1),$L404)</f>
        <v/>
      </c>
      <c r="O404" s="35">
        <f>IF($M404="",DATE(2100,12,31),$M404)</f>
        <v/>
      </c>
      <c r="P404" s="20" t="inlineStr">
        <is>
          <t>Pencils Down</t>
        </is>
      </c>
      <c r="Q404" s="43" t="inlineStr"/>
      <c r="R404" s="16">
        <f>IF($C404="","",IFERROR(IF(INDEX(Deals!$U$2:$U$355,MATCH($C404,Deals!$A$2:$A$355,0))=0,"",INDEX(Deals!$U$2:$U$355,MATCH($C404,Deals!$A$2:$A$355,0))),""))</f>
        <v/>
      </c>
      <c r="S404" s="34">
        <f>IFERROR(IF($U404="",1,INDEX(Deals!$V$2:$V$355,MATCH($C404,Deals!$A$2:$A$355,0))),1)</f>
        <v/>
      </c>
      <c r="T404" s="34">
        <f>IFERROR(IF($U404="",1,INDEX(Deals!$W$2:$W$355,MATCH($C404,Deals!$A$2:$A$355,0))),1)</f>
        <v/>
      </c>
      <c r="U404" s="22">
        <f>IF($C404="","",IFERROR(IF(INDEX(Deals!$Y$2:$Y$355,MATCH($C404,Deals!$A$2:$A$355,0))=0,"",INDEX(Deals!$Y$2:$Y$355,MATCH($C404,Deals!$A$2:$A$355,0))),""))</f>
        <v/>
      </c>
      <c r="V404" s="35">
        <f>IF($U404="",DATE(1900,1,1),$N404)</f>
        <v/>
      </c>
      <c r="W404" s="35">
        <f>IF($U404="",DATE(2100,12,31),$U404)</f>
        <v/>
      </c>
      <c r="X404" s="32">
        <f>IF($U404="",$K404,$K404*$S404)</f>
        <v/>
      </c>
      <c r="Y404" s="35">
        <f>IF($U404="",DATE(2100,12,31),$U404+1)</f>
        <v/>
      </c>
      <c r="Z404" s="35">
        <f>IF($U404="",DATE(1900,1,1),$O404)</f>
        <v/>
      </c>
      <c r="AA404" s="32">
        <f>IF($U404="",0,$K404*$T404)</f>
        <v/>
      </c>
      <c r="AB404" s="21">
        <f>IF($C404="",0,IFERROR(INDEX(Deals!$AD$2:$AD$355,MATCH($C404,Deals!$A$2:$A$355,0)),0))</f>
        <v/>
      </c>
      <c r="AC404" s="32">
        <f>IF(Settings!$B$4="Yes",$I404*$AB404,$I404)</f>
        <v/>
      </c>
      <c r="AD404" s="22">
        <f>IF($C404="","",IFERROR(IF(INDEX(Deals!$AE$2:$AE$355,MATCH($C404,Deals!$A$2:$A$355,0))=0,"",INDEX(Deals!$AE$2:$AE$355,MATCH($C404,Deals!$A$2:$A$355,0))),""))</f>
        <v/>
      </c>
      <c r="AE404" s="22">
        <f>IF($C404="","",IFERROR(IF(INDEX(Deals!$AF$2:$AF$355,MATCH($C404,Deals!$A$2:$A$355,0))=0,"",INDEX(Deals!$AF$2:$AF$355,MATCH($C404,Deals!$A$2:$A$355,0))),""))</f>
        <v/>
      </c>
      <c r="AF404" s="35">
        <f>IF($AD404="",DATE(1900,1,1),$AD404)</f>
        <v/>
      </c>
      <c r="AG404" s="35">
        <f>IF($AE404="",DATE(2100,12,31),$AE404)</f>
        <v/>
      </c>
      <c r="AH404" s="22">
        <f>IF($C404="","",IFERROR(IF(INDEX(Deals!$AG$2:$AG$355,MATCH($C404,Deals!$A$2:$A$355,0))=0,"",INDEX(Deals!$AG$2:$AG$355,MATCH($C404,Deals!$A$2:$A$355,0))),""))</f>
        <v/>
      </c>
      <c r="AI404" s="35">
        <f>IF($AH404="",DATE(1900,1,1),$AF404)</f>
        <v/>
      </c>
      <c r="AJ404" s="35">
        <f>IF($AH404="",DATE(2100,12,31),$AH404)</f>
        <v/>
      </c>
      <c r="AK404" s="32">
        <f>IF($AH404="",$AC404,$AC404*$S404)</f>
        <v/>
      </c>
      <c r="AL404" s="35">
        <f>IF($AH404="",DATE(2100,12,31),$AH404+1)</f>
        <v/>
      </c>
      <c r="AM404" s="35">
        <f>IF($AH404="",DATE(1900,1,1),$AG404)</f>
        <v/>
      </c>
      <c r="AN404" s="32">
        <f>IF($AH404="",0,$AC404*$T404)</f>
        <v/>
      </c>
    </row>
    <row r="405">
      <c r="A405" s="28" t="inlineStr">
        <is>
          <t>Patch</t>
        </is>
      </c>
      <c r="B405" s="16">
        <f>IF($A405="","",IFERROR(INDEX(Roster!$B$2:$B$40,MATCH($A405,Roster!$A$2:$A$40,0)),"?"))</f>
        <v/>
      </c>
      <c r="C405" s="28" t="inlineStr">
        <is>
          <t>Truman_2</t>
        </is>
      </c>
      <c r="D405" s="16">
        <f>IF($C405="","",IFERROR(IF(INDEX(Deals!$C$2:$C$355,MATCH($C405,Deals!$A$2:$A$355,0))=0,"",INDEX(Deals!$C$2:$C$355,MATCH($C405,Deals!$A$2:$A$355,0))),"?"))</f>
        <v/>
      </c>
      <c r="E405" s="16">
        <f>IF($C405="","",IFERROR(INDEX(Deals!$F$2:$F$355,MATCH($C405,Deals!$A$2:$A$355,0)),"?"))</f>
        <v/>
      </c>
      <c r="F405" s="28" t="inlineStr">
        <is>
          <t>VP</t>
        </is>
      </c>
      <c r="G405" s="28" t="inlineStr">
        <is>
          <t>Active</t>
        </is>
      </c>
      <c r="H405" s="31" t="n"/>
      <c r="I405" s="32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1">
        <f>IF($C405="",0,IFERROR(INDEX(Deals!$H$2:$H$355,MATCH($C405,Deals!$A$2:$A$355,0)),0))</f>
        <v/>
      </c>
      <c r="K405" s="32">
        <f>IF(Settings!$B$4="Yes",$I405*$J405,$I405)</f>
        <v/>
      </c>
      <c r="L405" s="22">
        <f>IF($C405="","",IFERROR(IF(INDEX(Deals!$I$2:$I$355,MATCH($C405,Deals!$A$2:$A$355,0))=0,"",INDEX(Deals!$I$2:$I$355,MATCH($C405,Deals!$A$2:$A$355,0))),""))</f>
        <v/>
      </c>
      <c r="M405" s="22">
        <f>IF($C405="","",IFERROR(IF(INDEX(Deals!$J$2:$J$355,MATCH($C405,Deals!$A$2:$A$355,0))=0,"",INDEX(Deals!$J$2:$J$355,MATCH($C405,Deals!$A$2:$A$355,0))),""))</f>
        <v/>
      </c>
      <c r="N405" s="35">
        <f>IF($L405="",DATE(1900,1,1),$L405)</f>
        <v/>
      </c>
      <c r="O405" s="35">
        <f>IF($M405="",DATE(2100,12,31),$M405)</f>
        <v/>
      </c>
      <c r="P405" s="20" t="inlineStr">
        <is>
          <t>Ongoing</t>
        </is>
      </c>
      <c r="Q405" s="43" t="inlineStr"/>
      <c r="R405" s="16">
        <f>IF($C405="","",IFERROR(IF(INDEX(Deals!$U$2:$U$355,MATCH($C405,Deals!$A$2:$A$355,0))=0,"",INDEX(Deals!$U$2:$U$355,MATCH($C405,Deals!$A$2:$A$355,0))),""))</f>
        <v/>
      </c>
      <c r="S405" s="34">
        <f>IFERROR(IF($U405="",1,INDEX(Deals!$V$2:$V$355,MATCH($C405,Deals!$A$2:$A$355,0))),1)</f>
        <v/>
      </c>
      <c r="T405" s="34">
        <f>IFERROR(IF($U405="",1,INDEX(Deals!$W$2:$W$355,MATCH($C405,Deals!$A$2:$A$355,0))),1)</f>
        <v/>
      </c>
      <c r="U405" s="22">
        <f>IF($C405="","",IFERROR(IF(INDEX(Deals!$Y$2:$Y$355,MATCH($C405,Deals!$A$2:$A$355,0))=0,"",INDEX(Deals!$Y$2:$Y$355,MATCH($C405,Deals!$A$2:$A$355,0))),""))</f>
        <v/>
      </c>
      <c r="V405" s="35">
        <f>IF($U405="",DATE(1900,1,1),$N405)</f>
        <v/>
      </c>
      <c r="W405" s="35">
        <f>IF($U405="",DATE(2100,12,31),$U405)</f>
        <v/>
      </c>
      <c r="X405" s="32">
        <f>IF($U405="",$K405,$K405*$S405)</f>
        <v/>
      </c>
      <c r="Y405" s="35">
        <f>IF($U405="",DATE(2100,12,31),$U405+1)</f>
        <v/>
      </c>
      <c r="Z405" s="35">
        <f>IF($U405="",DATE(1900,1,1),$O405)</f>
        <v/>
      </c>
      <c r="AA405" s="32">
        <f>IF($U405="",0,$K405*$T405)</f>
        <v/>
      </c>
      <c r="AB405" s="21">
        <f>IF($C405="",0,IFERROR(INDEX(Deals!$AD$2:$AD$355,MATCH($C405,Deals!$A$2:$A$355,0)),0))</f>
        <v/>
      </c>
      <c r="AC405" s="32">
        <f>IF(Settings!$B$4="Yes",$I405*$AB405,$I405)</f>
        <v/>
      </c>
      <c r="AD405" s="22">
        <f>IF($C405="","",IFERROR(IF(INDEX(Deals!$AE$2:$AE$355,MATCH($C405,Deals!$A$2:$A$355,0))=0,"",INDEX(Deals!$AE$2:$AE$355,MATCH($C405,Deals!$A$2:$A$355,0))),""))</f>
        <v/>
      </c>
      <c r="AE405" s="22">
        <f>IF($C405="","",IFERROR(IF(INDEX(Deals!$AF$2:$AF$355,MATCH($C405,Deals!$A$2:$A$355,0))=0,"",INDEX(Deals!$AF$2:$AF$355,MATCH($C405,Deals!$A$2:$A$355,0))),""))</f>
        <v/>
      </c>
      <c r="AF405" s="35">
        <f>IF($AD405="",DATE(1900,1,1),$AD405)</f>
        <v/>
      </c>
      <c r="AG405" s="35">
        <f>IF($AE405="",DATE(2100,12,31),$AE405)</f>
        <v/>
      </c>
      <c r="AH405" s="22">
        <f>IF($C405="","",IFERROR(IF(INDEX(Deals!$AG$2:$AG$355,MATCH($C405,Deals!$A$2:$A$355,0))=0,"",INDEX(Deals!$AG$2:$AG$355,MATCH($C405,Deals!$A$2:$A$355,0))),""))</f>
        <v/>
      </c>
      <c r="AI405" s="35">
        <f>IF($AH405="",DATE(1900,1,1),$AF405)</f>
        <v/>
      </c>
      <c r="AJ405" s="35">
        <f>IF($AH405="",DATE(2100,12,31),$AH405)</f>
        <v/>
      </c>
      <c r="AK405" s="32">
        <f>IF($AH405="",$AC405,$AC405*$S405)</f>
        <v/>
      </c>
      <c r="AL405" s="35">
        <f>IF($AH405="",DATE(2100,12,31),$AH405+1)</f>
        <v/>
      </c>
      <c r="AM405" s="35">
        <f>IF($AH405="",DATE(1900,1,1),$AG405)</f>
        <v/>
      </c>
      <c r="AN405" s="32">
        <f>IF($AH405="",0,$AC405*$T405)</f>
        <v/>
      </c>
    </row>
    <row r="406">
      <c r="A406" s="28" t="inlineStr">
        <is>
          <t>Patch</t>
        </is>
      </c>
      <c r="B406" s="16">
        <f>IF($A406="","",IFERROR(INDEX(Roster!$B$2:$B$40,MATCH($A406,Roster!$A$2:$A$40,0)),"?"))</f>
        <v/>
      </c>
      <c r="C406" s="28" t="inlineStr">
        <is>
          <t>ValorC3_1</t>
        </is>
      </c>
      <c r="D406" s="16">
        <f>IF($C406="","",IFERROR(IF(INDEX(Deals!$C$2:$C$355,MATCH($C406,Deals!$A$2:$A$355,0))=0,"",INDEX(Deals!$C$2:$C$355,MATCH($C406,Deals!$A$2:$A$355,0))),"?"))</f>
        <v/>
      </c>
      <c r="E406" s="16">
        <f>IF($C406="","",IFERROR(INDEX(Deals!$F$2:$F$355,MATCH($C406,Deals!$A$2:$A$355,0)),"?"))</f>
        <v/>
      </c>
      <c r="F406" s="28" t="inlineStr">
        <is>
          <t>VP</t>
        </is>
      </c>
      <c r="G406" s="28" t="inlineStr">
        <is>
          <t>Inactive</t>
        </is>
      </c>
      <c r="H406" s="31" t="n"/>
      <c r="I406" s="32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1">
        <f>IF($C406="",0,IFERROR(INDEX(Deals!$H$2:$H$355,MATCH($C406,Deals!$A$2:$A$355,0)),0))</f>
        <v/>
      </c>
      <c r="K406" s="32">
        <f>IF(Settings!$B$4="Yes",$I406*$J406,$I406)</f>
        <v/>
      </c>
      <c r="L406" s="22">
        <f>IF($C406="","",IFERROR(IF(INDEX(Deals!$I$2:$I$355,MATCH($C406,Deals!$A$2:$A$355,0))=0,"",INDEX(Deals!$I$2:$I$355,MATCH($C406,Deals!$A$2:$A$355,0))),""))</f>
        <v/>
      </c>
      <c r="M406" s="22">
        <f>IF($C406="","",IFERROR(IF(INDEX(Deals!$J$2:$J$355,MATCH($C406,Deals!$A$2:$A$355,0))=0,"",INDEX(Deals!$J$2:$J$355,MATCH($C406,Deals!$A$2:$A$355,0))),""))</f>
        <v/>
      </c>
      <c r="N406" s="35">
        <f>IF($L406="",DATE(1900,1,1),$L406)</f>
        <v/>
      </c>
      <c r="O406" s="35">
        <f>IF($M406="",DATE(2100,12,31),$M406)</f>
        <v/>
      </c>
      <c r="P406" s="20" t="inlineStr">
        <is>
          <t>Invoicing Soon</t>
        </is>
      </c>
      <c r="Q406" s="43" t="inlineStr"/>
      <c r="R406" s="16">
        <f>IF($C406="","",IFERROR(IF(INDEX(Deals!$U$2:$U$355,MATCH($C406,Deals!$A$2:$A$355,0))=0,"",INDEX(Deals!$U$2:$U$355,MATCH($C406,Deals!$A$2:$A$355,0))),""))</f>
        <v/>
      </c>
      <c r="S406" s="34">
        <f>IFERROR(IF($U406="",1,INDEX(Deals!$V$2:$V$355,MATCH($C406,Deals!$A$2:$A$355,0))),1)</f>
        <v/>
      </c>
      <c r="T406" s="34">
        <f>IFERROR(IF($U406="",1,INDEX(Deals!$W$2:$W$355,MATCH($C406,Deals!$A$2:$A$355,0))),1)</f>
        <v/>
      </c>
      <c r="U406" s="22">
        <f>IF($C406="","",IFERROR(IF(INDEX(Deals!$Y$2:$Y$355,MATCH($C406,Deals!$A$2:$A$355,0))=0,"",INDEX(Deals!$Y$2:$Y$355,MATCH($C406,Deals!$A$2:$A$355,0))),""))</f>
        <v/>
      </c>
      <c r="V406" s="35">
        <f>IF($U406="",DATE(1900,1,1),$N406)</f>
        <v/>
      </c>
      <c r="W406" s="35">
        <f>IF($U406="",DATE(2100,12,31),$U406)</f>
        <v/>
      </c>
      <c r="X406" s="32">
        <f>IF($U406="",$K406,$K406*$S406)</f>
        <v/>
      </c>
      <c r="Y406" s="35">
        <f>IF($U406="",DATE(2100,12,31),$U406+1)</f>
        <v/>
      </c>
      <c r="Z406" s="35">
        <f>IF($U406="",DATE(1900,1,1),$O406)</f>
        <v/>
      </c>
      <c r="AA406" s="32">
        <f>IF($U406="",0,$K406*$T406)</f>
        <v/>
      </c>
      <c r="AB406" s="21">
        <f>IF($C406="",0,IFERROR(INDEX(Deals!$AD$2:$AD$355,MATCH($C406,Deals!$A$2:$A$355,0)),0))</f>
        <v/>
      </c>
      <c r="AC406" s="32">
        <f>IF(Settings!$B$4="Yes",$I406*$AB406,$I406)</f>
        <v/>
      </c>
      <c r="AD406" s="22">
        <f>IF($C406="","",IFERROR(IF(INDEX(Deals!$AE$2:$AE$355,MATCH($C406,Deals!$A$2:$A$355,0))=0,"",INDEX(Deals!$AE$2:$AE$355,MATCH($C406,Deals!$A$2:$A$355,0))),""))</f>
        <v/>
      </c>
      <c r="AE406" s="22">
        <f>IF($C406="","",IFERROR(IF(INDEX(Deals!$AF$2:$AF$355,MATCH($C406,Deals!$A$2:$A$355,0))=0,"",INDEX(Deals!$AF$2:$AF$355,MATCH($C406,Deals!$A$2:$A$355,0))),""))</f>
        <v/>
      </c>
      <c r="AF406" s="35">
        <f>IF($AD406="",DATE(1900,1,1),$AD406)</f>
        <v/>
      </c>
      <c r="AG406" s="35">
        <f>IF($AE406="",DATE(2100,12,31),$AE406)</f>
        <v/>
      </c>
      <c r="AH406" s="22">
        <f>IF($C406="","",IFERROR(IF(INDEX(Deals!$AG$2:$AG$355,MATCH($C406,Deals!$A$2:$A$355,0))=0,"",INDEX(Deals!$AG$2:$AG$355,MATCH($C406,Deals!$A$2:$A$355,0))),""))</f>
        <v/>
      </c>
      <c r="AI406" s="35">
        <f>IF($AH406="",DATE(1900,1,1),$AF406)</f>
        <v/>
      </c>
      <c r="AJ406" s="35">
        <f>IF($AH406="",DATE(2100,12,31),$AH406)</f>
        <v/>
      </c>
      <c r="AK406" s="32">
        <f>IF($AH406="",$AC406,$AC406*$S406)</f>
        <v/>
      </c>
      <c r="AL406" s="35">
        <f>IF($AH406="",DATE(2100,12,31),$AH406+1)</f>
        <v/>
      </c>
      <c r="AM406" s="35">
        <f>IF($AH406="",DATE(1900,1,1),$AG406)</f>
        <v/>
      </c>
      <c r="AN406" s="32">
        <f>IF($AH406="",0,$AC406*$T406)</f>
        <v/>
      </c>
    </row>
    <row r="407">
      <c r="A407" s="28" t="inlineStr">
        <is>
          <t>Patch</t>
        </is>
      </c>
      <c r="B407" s="16">
        <f>IF($A407="","",IFERROR(INDEX(Roster!$B$2:$B$40,MATCH($A407,Roster!$A$2:$A$40,0)),"?"))</f>
        <v/>
      </c>
      <c r="C407" s="28" t="inlineStr">
        <is>
          <t>Veritas_1</t>
        </is>
      </c>
      <c r="D407" s="16">
        <f>IF($C407="","",IFERROR(IF(INDEX(Deals!$C$2:$C$355,MATCH($C407,Deals!$A$2:$A$355,0))=0,"",INDEX(Deals!$C$2:$C$355,MATCH($C407,Deals!$A$2:$A$355,0))),"?"))</f>
        <v/>
      </c>
      <c r="E407" s="16">
        <f>IF($C407="","",IFERROR(INDEX(Deals!$F$2:$F$355,MATCH($C407,Deals!$A$2:$A$355,0)),"?"))</f>
        <v/>
      </c>
      <c r="F407" s="28" t="inlineStr">
        <is>
          <t>VP</t>
        </is>
      </c>
      <c r="G407" s="28" t="inlineStr">
        <is>
          <t>Inactive</t>
        </is>
      </c>
      <c r="H407" s="31" t="n"/>
      <c r="I407" s="32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1">
        <f>IF($C407="",0,IFERROR(INDEX(Deals!$H$2:$H$355,MATCH($C407,Deals!$A$2:$A$355,0)),0))</f>
        <v/>
      </c>
      <c r="K407" s="32">
        <f>IF(Settings!$B$4="Yes",$I407*$J407,$I407)</f>
        <v/>
      </c>
      <c r="L407" s="22">
        <f>IF($C407="","",IFERROR(IF(INDEX(Deals!$I$2:$I$355,MATCH($C407,Deals!$A$2:$A$355,0))=0,"",INDEX(Deals!$I$2:$I$355,MATCH($C407,Deals!$A$2:$A$355,0))),""))</f>
        <v/>
      </c>
      <c r="M407" s="22">
        <f>IF($C407="","",IFERROR(IF(INDEX(Deals!$J$2:$J$355,MATCH($C407,Deals!$A$2:$A$355,0))=0,"",INDEX(Deals!$J$2:$J$355,MATCH($C407,Deals!$A$2:$A$355,0))),""))</f>
        <v/>
      </c>
      <c r="N407" s="35">
        <f>IF($L407="",DATE(1900,1,1),$L407)</f>
        <v/>
      </c>
      <c r="O407" s="35">
        <f>IF($M407="",DATE(2100,12,31),$M407)</f>
        <v/>
      </c>
      <c r="P407" s="20" t="inlineStr">
        <is>
          <t>Pencils Down</t>
        </is>
      </c>
      <c r="Q407" s="43" t="inlineStr"/>
      <c r="R407" s="16">
        <f>IF($C407="","",IFERROR(IF(INDEX(Deals!$U$2:$U$355,MATCH($C407,Deals!$A$2:$A$355,0))=0,"",INDEX(Deals!$U$2:$U$355,MATCH($C407,Deals!$A$2:$A$355,0))),""))</f>
        <v/>
      </c>
      <c r="S407" s="34">
        <f>IFERROR(IF($U407="",1,INDEX(Deals!$V$2:$V$355,MATCH($C407,Deals!$A$2:$A$355,0))),1)</f>
        <v/>
      </c>
      <c r="T407" s="34">
        <f>IFERROR(IF($U407="",1,INDEX(Deals!$W$2:$W$355,MATCH($C407,Deals!$A$2:$A$355,0))),1)</f>
        <v/>
      </c>
      <c r="U407" s="22">
        <f>IF($C407="","",IFERROR(IF(INDEX(Deals!$Y$2:$Y$355,MATCH($C407,Deals!$A$2:$A$355,0))=0,"",INDEX(Deals!$Y$2:$Y$355,MATCH($C407,Deals!$A$2:$A$355,0))),""))</f>
        <v/>
      </c>
      <c r="V407" s="35">
        <f>IF($U407="",DATE(1900,1,1),$N407)</f>
        <v/>
      </c>
      <c r="W407" s="35">
        <f>IF($U407="",DATE(2100,12,31),$U407)</f>
        <v/>
      </c>
      <c r="X407" s="32">
        <f>IF($U407="",$K407,$K407*$S407)</f>
        <v/>
      </c>
      <c r="Y407" s="35">
        <f>IF($U407="",DATE(2100,12,31),$U407+1)</f>
        <v/>
      </c>
      <c r="Z407" s="35">
        <f>IF($U407="",DATE(1900,1,1),$O407)</f>
        <v/>
      </c>
      <c r="AA407" s="32">
        <f>IF($U407="",0,$K407*$T407)</f>
        <v/>
      </c>
      <c r="AB407" s="21">
        <f>IF($C407="",0,IFERROR(INDEX(Deals!$AD$2:$AD$355,MATCH($C407,Deals!$A$2:$A$355,0)),0))</f>
        <v/>
      </c>
      <c r="AC407" s="32">
        <f>IF(Settings!$B$4="Yes",$I407*$AB407,$I407)</f>
        <v/>
      </c>
      <c r="AD407" s="22">
        <f>IF($C407="","",IFERROR(IF(INDEX(Deals!$AE$2:$AE$355,MATCH($C407,Deals!$A$2:$A$355,0))=0,"",INDEX(Deals!$AE$2:$AE$355,MATCH($C407,Deals!$A$2:$A$355,0))),""))</f>
        <v/>
      </c>
      <c r="AE407" s="22">
        <f>IF($C407="","",IFERROR(IF(INDEX(Deals!$AF$2:$AF$355,MATCH($C407,Deals!$A$2:$A$355,0))=0,"",INDEX(Deals!$AF$2:$AF$355,MATCH($C407,Deals!$A$2:$A$355,0))),""))</f>
        <v/>
      </c>
      <c r="AF407" s="35">
        <f>IF($AD407="",DATE(1900,1,1),$AD407)</f>
        <v/>
      </c>
      <c r="AG407" s="35">
        <f>IF($AE407="",DATE(2100,12,31),$AE407)</f>
        <v/>
      </c>
      <c r="AH407" s="22">
        <f>IF($C407="","",IFERROR(IF(INDEX(Deals!$AG$2:$AG$355,MATCH($C407,Deals!$A$2:$A$355,0))=0,"",INDEX(Deals!$AG$2:$AG$355,MATCH($C407,Deals!$A$2:$A$355,0))),""))</f>
        <v/>
      </c>
      <c r="AI407" s="35">
        <f>IF($AH407="",DATE(1900,1,1),$AF407)</f>
        <v/>
      </c>
      <c r="AJ407" s="35">
        <f>IF($AH407="",DATE(2100,12,31),$AH407)</f>
        <v/>
      </c>
      <c r="AK407" s="32">
        <f>IF($AH407="",$AC407,$AC407*$S407)</f>
        <v/>
      </c>
      <c r="AL407" s="35">
        <f>IF($AH407="",DATE(2100,12,31),$AH407+1)</f>
        <v/>
      </c>
      <c r="AM407" s="35">
        <f>IF($AH407="",DATE(1900,1,1),$AG407)</f>
        <v/>
      </c>
      <c r="AN407" s="32">
        <f>IF($AH407="",0,$AC407*$T407)</f>
        <v/>
      </c>
    </row>
    <row r="408">
      <c r="A408" s="28" t="inlineStr">
        <is>
          <t>Patch</t>
        </is>
      </c>
      <c r="B408" s="16">
        <f>IF($A408="","",IFERROR(INDEX(Roster!$B$2:$B$40,MATCH($A408,Roster!$A$2:$A$40,0)),"?"))</f>
        <v/>
      </c>
      <c r="C408" s="28" t="inlineStr">
        <is>
          <t>Wind_3</t>
        </is>
      </c>
      <c r="D408" s="16">
        <f>IF($C408="","",IFERROR(IF(INDEX(Deals!$C$2:$C$355,MATCH($C408,Deals!$A$2:$A$355,0))=0,"",INDEX(Deals!$C$2:$C$355,MATCH($C408,Deals!$A$2:$A$355,0))),"?"))</f>
        <v/>
      </c>
      <c r="E408" s="16">
        <f>IF($C408="","",IFERROR(INDEX(Deals!$F$2:$F$355,MATCH($C408,Deals!$A$2:$A$355,0)),"?"))</f>
        <v/>
      </c>
      <c r="F408" s="28" t="inlineStr">
        <is>
          <t>VP</t>
        </is>
      </c>
      <c r="G408" s="28" t="inlineStr">
        <is>
          <t>Active</t>
        </is>
      </c>
      <c r="H408" s="31" t="n"/>
      <c r="I408" s="32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1">
        <f>IF($C408="",0,IFERROR(INDEX(Deals!$H$2:$H$355,MATCH($C408,Deals!$A$2:$A$355,0)),0))</f>
        <v/>
      </c>
      <c r="K408" s="32">
        <f>IF(Settings!$B$4="Yes",$I408*$J408,$I408)</f>
        <v/>
      </c>
      <c r="L408" s="22">
        <f>IF($C408="","",IFERROR(IF(INDEX(Deals!$I$2:$I$355,MATCH($C408,Deals!$A$2:$A$355,0))=0,"",INDEX(Deals!$I$2:$I$355,MATCH($C408,Deals!$A$2:$A$355,0))),""))</f>
        <v/>
      </c>
      <c r="M408" s="22">
        <f>IF($C408="","",IFERROR(IF(INDEX(Deals!$J$2:$J$355,MATCH($C408,Deals!$A$2:$A$355,0))=0,"",INDEX(Deals!$J$2:$J$355,MATCH($C408,Deals!$A$2:$A$355,0))),""))</f>
        <v/>
      </c>
      <c r="N408" s="35">
        <f>IF($L408="",DATE(1900,1,1),$L408)</f>
        <v/>
      </c>
      <c r="O408" s="35">
        <f>IF($M408="",DATE(2100,12,31),$M408)</f>
        <v/>
      </c>
      <c r="P408" s="20" t="inlineStr">
        <is>
          <t>Waiting Greenlight to kick off diligence.</t>
        </is>
      </c>
      <c r="Q408" s="43" t="inlineStr"/>
      <c r="R408" s="16">
        <f>IF($C408="","",IFERROR(IF(INDEX(Deals!$U$2:$U$355,MATCH($C408,Deals!$A$2:$A$355,0))=0,"",INDEX(Deals!$U$2:$U$355,MATCH($C408,Deals!$A$2:$A$355,0))),""))</f>
        <v/>
      </c>
      <c r="S408" s="34">
        <f>IFERROR(IF($U408="",1,INDEX(Deals!$V$2:$V$355,MATCH($C408,Deals!$A$2:$A$355,0))),1)</f>
        <v/>
      </c>
      <c r="T408" s="34">
        <f>IFERROR(IF($U408="",1,INDEX(Deals!$W$2:$W$355,MATCH($C408,Deals!$A$2:$A$355,0))),1)</f>
        <v/>
      </c>
      <c r="U408" s="22">
        <f>IF($C408="","",IFERROR(IF(INDEX(Deals!$Y$2:$Y$355,MATCH($C408,Deals!$A$2:$A$355,0))=0,"",INDEX(Deals!$Y$2:$Y$355,MATCH($C408,Deals!$A$2:$A$355,0))),""))</f>
        <v/>
      </c>
      <c r="V408" s="35">
        <f>IF($U408="",DATE(1900,1,1),$N408)</f>
        <v/>
      </c>
      <c r="W408" s="35">
        <f>IF($U408="",DATE(2100,12,31),$U408)</f>
        <v/>
      </c>
      <c r="X408" s="32">
        <f>IF($U408="",$K408,$K408*$S408)</f>
        <v/>
      </c>
      <c r="Y408" s="35">
        <f>IF($U408="",DATE(2100,12,31),$U408+1)</f>
        <v/>
      </c>
      <c r="Z408" s="35">
        <f>IF($U408="",DATE(1900,1,1),$O408)</f>
        <v/>
      </c>
      <c r="AA408" s="32">
        <f>IF($U408="",0,$K408*$T408)</f>
        <v/>
      </c>
      <c r="AB408" s="21">
        <f>IF($C408="",0,IFERROR(INDEX(Deals!$AD$2:$AD$355,MATCH($C408,Deals!$A$2:$A$355,0)),0))</f>
        <v/>
      </c>
      <c r="AC408" s="32">
        <f>IF(Settings!$B$4="Yes",$I408*$AB408,$I408)</f>
        <v/>
      </c>
      <c r="AD408" s="22">
        <f>IF($C408="","",IFERROR(IF(INDEX(Deals!$AE$2:$AE$355,MATCH($C408,Deals!$A$2:$A$355,0))=0,"",INDEX(Deals!$AE$2:$AE$355,MATCH($C408,Deals!$A$2:$A$355,0))),""))</f>
        <v/>
      </c>
      <c r="AE408" s="22">
        <f>IF($C408="","",IFERROR(IF(INDEX(Deals!$AF$2:$AF$355,MATCH($C408,Deals!$A$2:$A$355,0))=0,"",INDEX(Deals!$AF$2:$AF$355,MATCH($C408,Deals!$A$2:$A$355,0))),""))</f>
        <v/>
      </c>
      <c r="AF408" s="35">
        <f>IF($AD408="",DATE(1900,1,1),$AD408)</f>
        <v/>
      </c>
      <c r="AG408" s="35">
        <f>IF($AE408="",DATE(2100,12,31),$AE408)</f>
        <v/>
      </c>
      <c r="AH408" s="22">
        <f>IF($C408="","",IFERROR(IF(INDEX(Deals!$AG$2:$AG$355,MATCH($C408,Deals!$A$2:$A$355,0))=0,"",INDEX(Deals!$AG$2:$AG$355,MATCH($C408,Deals!$A$2:$A$355,0))),""))</f>
        <v/>
      </c>
      <c r="AI408" s="35">
        <f>IF($AH408="",DATE(1900,1,1),$AF408)</f>
        <v/>
      </c>
      <c r="AJ408" s="35">
        <f>IF($AH408="",DATE(2100,12,31),$AH408)</f>
        <v/>
      </c>
      <c r="AK408" s="32">
        <f>IF($AH408="",$AC408,$AC408*$S408)</f>
        <v/>
      </c>
      <c r="AL408" s="35">
        <f>IF($AH408="",DATE(2100,12,31),$AH408+1)</f>
        <v/>
      </c>
      <c r="AM408" s="35">
        <f>IF($AH408="",DATE(1900,1,1),$AG408)</f>
        <v/>
      </c>
      <c r="AN408" s="32">
        <f>IF($AH408="",0,$AC408*$T408)</f>
        <v/>
      </c>
    </row>
    <row r="409">
      <c r="A409" s="28" t="inlineStr">
        <is>
          <t>Patch</t>
        </is>
      </c>
      <c r="B409" s="16">
        <f>IF($A409="","",IFERROR(INDEX(Roster!$B$2:$B$40,MATCH($A409,Roster!$A$2:$A$40,0)),"?"))</f>
        <v/>
      </c>
      <c r="C409" s="28" t="inlineStr">
        <is>
          <t>Zircon 2_1</t>
        </is>
      </c>
      <c r="D409" s="16">
        <f>IF($C409="","",IFERROR(IF(INDEX(Deals!$C$2:$C$355,MATCH($C409,Deals!$A$2:$A$355,0))=0,"",INDEX(Deals!$C$2:$C$355,MATCH($C409,Deals!$A$2:$A$355,0))),"?"))</f>
        <v/>
      </c>
      <c r="E409" s="16">
        <f>IF($C409="","",IFERROR(INDEX(Deals!$F$2:$F$355,MATCH($C409,Deals!$A$2:$A$355,0)),"?"))</f>
        <v/>
      </c>
      <c r="F409" s="28" t="inlineStr">
        <is>
          <t>VP</t>
        </is>
      </c>
      <c r="G409" s="28" t="inlineStr">
        <is>
          <t>Inactive</t>
        </is>
      </c>
      <c r="H409" s="31" t="n"/>
      <c r="I409" s="32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1">
        <f>IF($C409="",0,IFERROR(INDEX(Deals!$H$2:$H$355,MATCH($C409,Deals!$A$2:$A$355,0)),0))</f>
        <v/>
      </c>
      <c r="K409" s="32">
        <f>IF(Settings!$B$4="Yes",$I409*$J409,$I409)</f>
        <v/>
      </c>
      <c r="L409" s="22">
        <f>IF($C409="","",IFERROR(IF(INDEX(Deals!$I$2:$I$355,MATCH($C409,Deals!$A$2:$A$355,0))=0,"",INDEX(Deals!$I$2:$I$355,MATCH($C409,Deals!$A$2:$A$355,0))),""))</f>
        <v/>
      </c>
      <c r="M409" s="22">
        <f>IF($C409="","",IFERROR(IF(INDEX(Deals!$J$2:$J$355,MATCH($C409,Deals!$A$2:$A$355,0))=0,"",INDEX(Deals!$J$2:$J$355,MATCH($C409,Deals!$A$2:$A$355,0))),""))</f>
        <v/>
      </c>
      <c r="N409" s="35">
        <f>IF($L409="",DATE(1900,1,1),$L409)</f>
        <v/>
      </c>
      <c r="O409" s="35">
        <f>IF($M409="",DATE(2100,12,31),$M409)</f>
        <v/>
      </c>
      <c r="P409" s="20" t="inlineStr">
        <is>
          <t>Closed</t>
        </is>
      </c>
      <c r="Q409" s="43" t="inlineStr"/>
      <c r="R409" s="16">
        <f>IF($C409="","",IFERROR(IF(INDEX(Deals!$U$2:$U$355,MATCH($C409,Deals!$A$2:$A$355,0))=0,"",INDEX(Deals!$U$2:$U$355,MATCH($C409,Deals!$A$2:$A$355,0))),""))</f>
        <v/>
      </c>
      <c r="S409" s="34">
        <f>IFERROR(IF($U409="",1,INDEX(Deals!$V$2:$V$355,MATCH($C409,Deals!$A$2:$A$355,0))),1)</f>
        <v/>
      </c>
      <c r="T409" s="34">
        <f>IFERROR(IF($U409="",1,INDEX(Deals!$W$2:$W$355,MATCH($C409,Deals!$A$2:$A$355,0))),1)</f>
        <v/>
      </c>
      <c r="U409" s="22">
        <f>IF($C409="","",IFERROR(IF(INDEX(Deals!$Y$2:$Y$355,MATCH($C409,Deals!$A$2:$A$355,0))=0,"",INDEX(Deals!$Y$2:$Y$355,MATCH($C409,Deals!$A$2:$A$355,0))),""))</f>
        <v/>
      </c>
      <c r="V409" s="35">
        <f>IF($U409="",DATE(1900,1,1),$N409)</f>
        <v/>
      </c>
      <c r="W409" s="35">
        <f>IF($U409="",DATE(2100,12,31),$U409)</f>
        <v/>
      </c>
      <c r="X409" s="32">
        <f>IF($U409="",$K409,$K409*$S409)</f>
        <v/>
      </c>
      <c r="Y409" s="35">
        <f>IF($U409="",DATE(2100,12,31),$U409+1)</f>
        <v/>
      </c>
      <c r="Z409" s="35">
        <f>IF($U409="",DATE(1900,1,1),$O409)</f>
        <v/>
      </c>
      <c r="AA409" s="32">
        <f>IF($U409="",0,$K409*$T409)</f>
        <v/>
      </c>
      <c r="AB409" s="21">
        <f>IF($C409="",0,IFERROR(INDEX(Deals!$AD$2:$AD$355,MATCH($C409,Deals!$A$2:$A$355,0)),0))</f>
        <v/>
      </c>
      <c r="AC409" s="32">
        <f>IF(Settings!$B$4="Yes",$I409*$AB409,$I409)</f>
        <v/>
      </c>
      <c r="AD409" s="22">
        <f>IF($C409="","",IFERROR(IF(INDEX(Deals!$AE$2:$AE$355,MATCH($C409,Deals!$A$2:$A$355,0))=0,"",INDEX(Deals!$AE$2:$AE$355,MATCH($C409,Deals!$A$2:$A$355,0))),""))</f>
        <v/>
      </c>
      <c r="AE409" s="22">
        <f>IF($C409="","",IFERROR(IF(INDEX(Deals!$AF$2:$AF$355,MATCH($C409,Deals!$A$2:$A$355,0))=0,"",INDEX(Deals!$AF$2:$AF$355,MATCH($C409,Deals!$A$2:$A$355,0))),""))</f>
        <v/>
      </c>
      <c r="AF409" s="35">
        <f>IF($AD409="",DATE(1900,1,1),$AD409)</f>
        <v/>
      </c>
      <c r="AG409" s="35">
        <f>IF($AE409="",DATE(2100,12,31),$AE409)</f>
        <v/>
      </c>
      <c r="AH409" s="22">
        <f>IF($C409="","",IFERROR(IF(INDEX(Deals!$AG$2:$AG$355,MATCH($C409,Deals!$A$2:$A$355,0))=0,"",INDEX(Deals!$AG$2:$AG$355,MATCH($C409,Deals!$A$2:$A$355,0))),""))</f>
        <v/>
      </c>
      <c r="AI409" s="35">
        <f>IF($AH409="",DATE(1900,1,1),$AF409)</f>
        <v/>
      </c>
      <c r="AJ409" s="35">
        <f>IF($AH409="",DATE(2100,12,31),$AH409)</f>
        <v/>
      </c>
      <c r="AK409" s="32">
        <f>IF($AH409="",$AC409,$AC409*$S409)</f>
        <v/>
      </c>
      <c r="AL409" s="35">
        <f>IF($AH409="",DATE(2100,12,31),$AH409+1)</f>
        <v/>
      </c>
      <c r="AM409" s="35">
        <f>IF($AH409="",DATE(1900,1,1),$AG409)</f>
        <v/>
      </c>
      <c r="AN409" s="32">
        <f>IF($AH409="",0,$AC409*$T409)</f>
        <v/>
      </c>
    </row>
    <row r="410">
      <c r="A410" s="28" t="inlineStr">
        <is>
          <t>Patch</t>
        </is>
      </c>
      <c r="B410" s="16">
        <f>IF($A410="","",IFERROR(INDEX(Roster!$B$2:$B$40,MATCH($A410,Roster!$A$2:$A$40,0)),"?"))</f>
        <v/>
      </c>
      <c r="C410" s="28" t="inlineStr">
        <is>
          <t>Zora_1</t>
        </is>
      </c>
      <c r="D410" s="16">
        <f>IF($C410="","",IFERROR(IF(INDEX(Deals!$C$2:$C$355,MATCH($C410,Deals!$A$2:$A$355,0))=0,"",INDEX(Deals!$C$2:$C$355,MATCH($C410,Deals!$A$2:$A$355,0))),"?"))</f>
        <v/>
      </c>
      <c r="E410" s="16">
        <f>IF($C410="","",IFERROR(INDEX(Deals!$F$2:$F$355,MATCH($C410,Deals!$A$2:$A$355,0)),"?"))</f>
        <v/>
      </c>
      <c r="F410" s="28" t="inlineStr">
        <is>
          <t>VP</t>
        </is>
      </c>
      <c r="G410" s="28" t="inlineStr">
        <is>
          <t>Inactive</t>
        </is>
      </c>
      <c r="H410" s="31" t="n"/>
      <c r="I410" s="32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1">
        <f>IF($C410="",0,IFERROR(INDEX(Deals!$H$2:$H$355,MATCH($C410,Deals!$A$2:$A$355,0)),0))</f>
        <v/>
      </c>
      <c r="K410" s="32">
        <f>IF(Settings!$B$4="Yes",$I410*$J410,$I410)</f>
        <v/>
      </c>
      <c r="L410" s="22">
        <f>IF($C410="","",IFERROR(IF(INDEX(Deals!$I$2:$I$355,MATCH($C410,Deals!$A$2:$A$355,0))=0,"",INDEX(Deals!$I$2:$I$355,MATCH($C410,Deals!$A$2:$A$355,0))),""))</f>
        <v/>
      </c>
      <c r="M410" s="22">
        <f>IF($C410="","",IFERROR(IF(INDEX(Deals!$J$2:$J$355,MATCH($C410,Deals!$A$2:$A$355,0))=0,"",INDEX(Deals!$J$2:$J$355,MATCH($C410,Deals!$A$2:$A$355,0))),""))</f>
        <v/>
      </c>
      <c r="N410" s="35">
        <f>IF($L410="",DATE(1900,1,1),$L410)</f>
        <v/>
      </c>
      <c r="O410" s="35">
        <f>IF($M410="",DATE(2100,12,31),$M410)</f>
        <v/>
      </c>
      <c r="P410" s="20" t="inlineStr">
        <is>
          <t>Pencils Down</t>
        </is>
      </c>
      <c r="Q410" s="43" t="inlineStr"/>
      <c r="R410" s="16">
        <f>IF($C410="","",IFERROR(IF(INDEX(Deals!$U$2:$U$355,MATCH($C410,Deals!$A$2:$A$355,0))=0,"",INDEX(Deals!$U$2:$U$355,MATCH($C410,Deals!$A$2:$A$355,0))),""))</f>
        <v/>
      </c>
      <c r="S410" s="34">
        <f>IFERROR(IF($U410="",1,INDEX(Deals!$V$2:$V$355,MATCH($C410,Deals!$A$2:$A$355,0))),1)</f>
        <v/>
      </c>
      <c r="T410" s="34">
        <f>IFERROR(IF($U410="",1,INDEX(Deals!$W$2:$W$355,MATCH($C410,Deals!$A$2:$A$355,0))),1)</f>
        <v/>
      </c>
      <c r="U410" s="22">
        <f>IF($C410="","",IFERROR(IF(INDEX(Deals!$Y$2:$Y$355,MATCH($C410,Deals!$A$2:$A$355,0))=0,"",INDEX(Deals!$Y$2:$Y$355,MATCH($C410,Deals!$A$2:$A$355,0))),""))</f>
        <v/>
      </c>
      <c r="V410" s="35">
        <f>IF($U410="",DATE(1900,1,1),$N410)</f>
        <v/>
      </c>
      <c r="W410" s="35">
        <f>IF($U410="",DATE(2100,12,31),$U410)</f>
        <v/>
      </c>
      <c r="X410" s="32">
        <f>IF($U410="",$K410,$K410*$S410)</f>
        <v/>
      </c>
      <c r="Y410" s="35">
        <f>IF($U410="",DATE(2100,12,31),$U410+1)</f>
        <v/>
      </c>
      <c r="Z410" s="35">
        <f>IF($U410="",DATE(1900,1,1),$O410)</f>
        <v/>
      </c>
      <c r="AA410" s="32">
        <f>IF($U410="",0,$K410*$T410)</f>
        <v/>
      </c>
      <c r="AB410" s="21">
        <f>IF($C410="",0,IFERROR(INDEX(Deals!$AD$2:$AD$355,MATCH($C410,Deals!$A$2:$A$355,0)),0))</f>
        <v/>
      </c>
      <c r="AC410" s="32">
        <f>IF(Settings!$B$4="Yes",$I410*$AB410,$I410)</f>
        <v/>
      </c>
      <c r="AD410" s="22">
        <f>IF($C410="","",IFERROR(IF(INDEX(Deals!$AE$2:$AE$355,MATCH($C410,Deals!$A$2:$A$355,0))=0,"",INDEX(Deals!$AE$2:$AE$355,MATCH($C410,Deals!$A$2:$A$355,0))),""))</f>
        <v/>
      </c>
      <c r="AE410" s="22">
        <f>IF($C410="","",IFERROR(IF(INDEX(Deals!$AF$2:$AF$355,MATCH($C410,Deals!$A$2:$A$355,0))=0,"",INDEX(Deals!$AF$2:$AF$355,MATCH($C410,Deals!$A$2:$A$355,0))),""))</f>
        <v/>
      </c>
      <c r="AF410" s="35">
        <f>IF($AD410="",DATE(1900,1,1),$AD410)</f>
        <v/>
      </c>
      <c r="AG410" s="35">
        <f>IF($AE410="",DATE(2100,12,31),$AE410)</f>
        <v/>
      </c>
      <c r="AH410" s="22">
        <f>IF($C410="","",IFERROR(IF(INDEX(Deals!$AG$2:$AG$355,MATCH($C410,Deals!$A$2:$A$355,0))=0,"",INDEX(Deals!$AG$2:$AG$355,MATCH($C410,Deals!$A$2:$A$355,0))),""))</f>
        <v/>
      </c>
      <c r="AI410" s="35">
        <f>IF($AH410="",DATE(1900,1,1),$AF410)</f>
        <v/>
      </c>
      <c r="AJ410" s="35">
        <f>IF($AH410="",DATE(2100,12,31),$AH410)</f>
        <v/>
      </c>
      <c r="AK410" s="32">
        <f>IF($AH410="",$AC410,$AC410*$S410)</f>
        <v/>
      </c>
      <c r="AL410" s="35">
        <f>IF($AH410="",DATE(2100,12,31),$AH410+1)</f>
        <v/>
      </c>
      <c r="AM410" s="35">
        <f>IF($AH410="",DATE(1900,1,1),$AG410)</f>
        <v/>
      </c>
      <c r="AN410" s="32">
        <f>IF($AH410="",0,$AC410*$T410)</f>
        <v/>
      </c>
    </row>
    <row r="411">
      <c r="A411" s="28" t="inlineStr">
        <is>
          <t>Vidhi</t>
        </is>
      </c>
      <c r="B411" s="16">
        <f>IF($A411="","",IFERROR(INDEX(Roster!$B$2:$B$40,MATCH($A411,Roster!$A$2:$A$40,0)),"?"))</f>
        <v/>
      </c>
      <c r="C411" s="28" t="inlineStr">
        <is>
          <t>Beacon_3</t>
        </is>
      </c>
      <c r="D411" s="16">
        <f>IF($C411="","",IFERROR(IF(INDEX(Deals!$C$2:$C$355,MATCH($C411,Deals!$A$2:$A$355,0))=0,"",INDEX(Deals!$C$2:$C$355,MATCH($C411,Deals!$A$2:$A$355,0))),"?"))</f>
        <v/>
      </c>
      <c r="E411" s="16">
        <f>IF($C411="","",IFERROR(INDEX(Deals!$F$2:$F$355,MATCH($C411,Deals!$A$2:$A$355,0)),"?"))</f>
        <v/>
      </c>
      <c r="F411" s="28" t="inlineStr">
        <is>
          <t>Senior Associate</t>
        </is>
      </c>
      <c r="G411" s="28" t="inlineStr">
        <is>
          <t>Inactive</t>
        </is>
      </c>
      <c r="H411" s="31" t="n"/>
      <c r="I411" s="32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1">
        <f>IF($C411="",0,IFERROR(INDEX(Deals!$H$2:$H$355,MATCH($C411,Deals!$A$2:$A$355,0)),0))</f>
        <v/>
      </c>
      <c r="K411" s="32">
        <f>IF(Settings!$B$4="Yes",$I411*$J411,$I411)</f>
        <v/>
      </c>
      <c r="L411" s="22">
        <f>IF($C411="","",IFERROR(IF(INDEX(Deals!$I$2:$I$355,MATCH($C411,Deals!$A$2:$A$355,0))=0,"",INDEX(Deals!$I$2:$I$355,MATCH($C411,Deals!$A$2:$A$355,0))),""))</f>
        <v/>
      </c>
      <c r="M411" s="22">
        <f>IF($C411="","",IFERROR(IF(INDEX(Deals!$J$2:$J$355,MATCH($C411,Deals!$A$2:$A$355,0))=0,"",INDEX(Deals!$J$2:$J$355,MATCH($C411,Deals!$A$2:$A$355,0))),""))</f>
        <v/>
      </c>
      <c r="N411" s="35">
        <f>IF($L411="",DATE(1900,1,1),$L411)</f>
        <v/>
      </c>
      <c r="O411" s="35">
        <f>IF($M411="",DATE(2100,12,31),$M411)</f>
        <v/>
      </c>
      <c r="P411" s="20" t="inlineStr"/>
      <c r="Q411" s="43" t="inlineStr">
        <is>
          <t>Deal lifecycle is Dead</t>
        </is>
      </c>
      <c r="R411" s="16">
        <f>IF($C411="","",IFERROR(IF(INDEX(Deals!$U$2:$U$355,MATCH($C411,Deals!$A$2:$A$355,0))=0,"",INDEX(Deals!$U$2:$U$355,MATCH($C411,Deals!$A$2:$A$355,0))),""))</f>
        <v/>
      </c>
      <c r="S411" s="34">
        <f>IFERROR(IF($U411="",1,INDEX(Deals!$V$2:$V$355,MATCH($C411,Deals!$A$2:$A$355,0))),1)</f>
        <v/>
      </c>
      <c r="T411" s="34">
        <f>IFERROR(IF($U411="",1,INDEX(Deals!$W$2:$W$355,MATCH($C411,Deals!$A$2:$A$355,0))),1)</f>
        <v/>
      </c>
      <c r="U411" s="22">
        <f>IF($C411="","",IFERROR(IF(INDEX(Deals!$Y$2:$Y$355,MATCH($C411,Deals!$A$2:$A$355,0))=0,"",INDEX(Deals!$Y$2:$Y$355,MATCH($C411,Deals!$A$2:$A$355,0))),""))</f>
        <v/>
      </c>
      <c r="V411" s="35">
        <f>IF($U411="",DATE(1900,1,1),$N411)</f>
        <v/>
      </c>
      <c r="W411" s="35">
        <f>IF($U411="",DATE(2100,12,31),$U411)</f>
        <v/>
      </c>
      <c r="X411" s="32">
        <f>IF($U411="",$K411,$K411*$S411)</f>
        <v/>
      </c>
      <c r="Y411" s="35">
        <f>IF($U411="",DATE(2100,12,31),$U411+1)</f>
        <v/>
      </c>
      <c r="Z411" s="35">
        <f>IF($U411="",DATE(1900,1,1),$O411)</f>
        <v/>
      </c>
      <c r="AA411" s="32">
        <f>IF($U411="",0,$K411*$T411)</f>
        <v/>
      </c>
      <c r="AB411" s="21">
        <f>IF($C411="",0,IFERROR(INDEX(Deals!$AD$2:$AD$355,MATCH($C411,Deals!$A$2:$A$355,0)),0))</f>
        <v/>
      </c>
      <c r="AC411" s="32">
        <f>IF(Settings!$B$4="Yes",$I411*$AB411,$I411)</f>
        <v/>
      </c>
      <c r="AD411" s="22">
        <f>IF($C411="","",IFERROR(IF(INDEX(Deals!$AE$2:$AE$355,MATCH($C411,Deals!$A$2:$A$355,0))=0,"",INDEX(Deals!$AE$2:$AE$355,MATCH($C411,Deals!$A$2:$A$355,0))),""))</f>
        <v/>
      </c>
      <c r="AE411" s="22">
        <f>IF($C411="","",IFERROR(IF(INDEX(Deals!$AF$2:$AF$355,MATCH($C411,Deals!$A$2:$A$355,0))=0,"",INDEX(Deals!$AF$2:$AF$355,MATCH($C411,Deals!$A$2:$A$355,0))),""))</f>
        <v/>
      </c>
      <c r="AF411" s="35">
        <f>IF($AD411="",DATE(1900,1,1),$AD411)</f>
        <v/>
      </c>
      <c r="AG411" s="35">
        <f>IF($AE411="",DATE(2100,12,31),$AE411)</f>
        <v/>
      </c>
      <c r="AH411" s="22">
        <f>IF($C411="","",IFERROR(IF(INDEX(Deals!$AG$2:$AG$355,MATCH($C411,Deals!$A$2:$A$355,0))=0,"",INDEX(Deals!$AG$2:$AG$355,MATCH($C411,Deals!$A$2:$A$355,0))),""))</f>
        <v/>
      </c>
      <c r="AI411" s="35">
        <f>IF($AH411="",DATE(1900,1,1),$AF411)</f>
        <v/>
      </c>
      <c r="AJ411" s="35">
        <f>IF($AH411="",DATE(2100,12,31),$AH411)</f>
        <v/>
      </c>
      <c r="AK411" s="32">
        <f>IF($AH411="",$AC411,$AC411*$S411)</f>
        <v/>
      </c>
      <c r="AL411" s="35">
        <f>IF($AH411="",DATE(2100,12,31),$AH411+1)</f>
        <v/>
      </c>
      <c r="AM411" s="35">
        <f>IF($AH411="",DATE(1900,1,1),$AG411)</f>
        <v/>
      </c>
      <c r="AN411" s="32">
        <f>IF($AH411="",0,$AC411*$T411)</f>
        <v/>
      </c>
    </row>
    <row r="412">
      <c r="A412" s="28" t="inlineStr">
        <is>
          <t>Vidhi</t>
        </is>
      </c>
      <c r="B412" s="16">
        <f>IF($A412="","",IFERROR(INDEX(Roster!$B$2:$B$40,MATCH($A412,Roster!$A$2:$A$40,0)),"?"))</f>
        <v/>
      </c>
      <c r="C412" s="28" t="inlineStr">
        <is>
          <t>Bishopville_1</t>
        </is>
      </c>
      <c r="D412" s="16">
        <f>IF($C412="","",IFERROR(IF(INDEX(Deals!$C$2:$C$355,MATCH($C412,Deals!$A$2:$A$355,0))=0,"",INDEX(Deals!$C$2:$C$355,MATCH($C412,Deals!$A$2:$A$355,0))),"?"))</f>
        <v/>
      </c>
      <c r="E412" s="16">
        <f>IF($C412="","",IFERROR(INDEX(Deals!$F$2:$F$355,MATCH($C412,Deals!$A$2:$A$355,0)),"?"))</f>
        <v/>
      </c>
      <c r="F412" s="28" t="inlineStr">
        <is>
          <t>Senior Associate</t>
        </is>
      </c>
      <c r="G412" s="28" t="inlineStr">
        <is>
          <t>Active</t>
        </is>
      </c>
      <c r="H412" s="31" t="n"/>
      <c r="I412" s="32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1">
        <f>IF($C412="",0,IFERROR(INDEX(Deals!$H$2:$H$355,MATCH($C412,Deals!$A$2:$A$355,0)),0))</f>
        <v/>
      </c>
      <c r="K412" s="32">
        <f>IF(Settings!$B$4="Yes",$I412*$J412,$I412)</f>
        <v/>
      </c>
      <c r="L412" s="22">
        <f>IF($C412="","",IFERROR(IF(INDEX(Deals!$I$2:$I$355,MATCH($C412,Deals!$A$2:$A$355,0))=0,"",INDEX(Deals!$I$2:$I$355,MATCH($C412,Deals!$A$2:$A$355,0))),""))</f>
        <v/>
      </c>
      <c r="M412" s="22">
        <f>IF($C412="","",IFERROR(IF(INDEX(Deals!$J$2:$J$355,MATCH($C412,Deals!$A$2:$A$355,0))=0,"",INDEX(Deals!$J$2:$J$355,MATCH($C412,Deals!$A$2:$A$355,0))),""))</f>
        <v/>
      </c>
      <c r="N412" s="35">
        <f>IF($L412="",DATE(1900,1,1),$L412)</f>
        <v/>
      </c>
      <c r="O412" s="35">
        <f>IF($M412="",DATE(2100,12,31),$M412)</f>
        <v/>
      </c>
      <c r="P412" s="20" t="inlineStr"/>
      <c r="Q412" s="43" t="inlineStr"/>
      <c r="R412" s="16">
        <f>IF($C412="","",IFERROR(IF(INDEX(Deals!$U$2:$U$355,MATCH($C412,Deals!$A$2:$A$355,0))=0,"",INDEX(Deals!$U$2:$U$355,MATCH($C412,Deals!$A$2:$A$355,0))),""))</f>
        <v/>
      </c>
      <c r="S412" s="34">
        <f>IFERROR(IF($U412="",1,INDEX(Deals!$V$2:$V$355,MATCH($C412,Deals!$A$2:$A$355,0))),1)</f>
        <v/>
      </c>
      <c r="T412" s="34">
        <f>IFERROR(IF($U412="",1,INDEX(Deals!$W$2:$W$355,MATCH($C412,Deals!$A$2:$A$355,0))),1)</f>
        <v/>
      </c>
      <c r="U412" s="22">
        <f>IF($C412="","",IFERROR(IF(INDEX(Deals!$Y$2:$Y$355,MATCH($C412,Deals!$A$2:$A$355,0))=0,"",INDEX(Deals!$Y$2:$Y$355,MATCH($C412,Deals!$A$2:$A$355,0))),""))</f>
        <v/>
      </c>
      <c r="V412" s="35">
        <f>IF($U412="",DATE(1900,1,1),$N412)</f>
        <v/>
      </c>
      <c r="W412" s="35">
        <f>IF($U412="",DATE(2100,12,31),$U412)</f>
        <v/>
      </c>
      <c r="X412" s="32">
        <f>IF($U412="",$K412,$K412*$S412)</f>
        <v/>
      </c>
      <c r="Y412" s="35">
        <f>IF($U412="",DATE(2100,12,31),$U412+1)</f>
        <v/>
      </c>
      <c r="Z412" s="35">
        <f>IF($U412="",DATE(1900,1,1),$O412)</f>
        <v/>
      </c>
      <c r="AA412" s="32">
        <f>IF($U412="",0,$K412*$T412)</f>
        <v/>
      </c>
      <c r="AB412" s="21">
        <f>IF($C412="",0,IFERROR(INDEX(Deals!$AD$2:$AD$355,MATCH($C412,Deals!$A$2:$A$355,0)),0))</f>
        <v/>
      </c>
      <c r="AC412" s="32">
        <f>IF(Settings!$B$4="Yes",$I412*$AB412,$I412)</f>
        <v/>
      </c>
      <c r="AD412" s="22">
        <f>IF($C412="","",IFERROR(IF(INDEX(Deals!$AE$2:$AE$355,MATCH($C412,Deals!$A$2:$A$355,0))=0,"",INDEX(Deals!$AE$2:$AE$355,MATCH($C412,Deals!$A$2:$A$355,0))),""))</f>
        <v/>
      </c>
      <c r="AE412" s="22">
        <f>IF($C412="","",IFERROR(IF(INDEX(Deals!$AF$2:$AF$355,MATCH($C412,Deals!$A$2:$A$355,0))=0,"",INDEX(Deals!$AF$2:$AF$355,MATCH($C412,Deals!$A$2:$A$355,0))),""))</f>
        <v/>
      </c>
      <c r="AF412" s="35">
        <f>IF($AD412="",DATE(1900,1,1),$AD412)</f>
        <v/>
      </c>
      <c r="AG412" s="35">
        <f>IF($AE412="",DATE(2100,12,31),$AE412)</f>
        <v/>
      </c>
      <c r="AH412" s="22">
        <f>IF($C412="","",IFERROR(IF(INDEX(Deals!$AG$2:$AG$355,MATCH($C412,Deals!$A$2:$A$355,0))=0,"",INDEX(Deals!$AG$2:$AG$355,MATCH($C412,Deals!$A$2:$A$355,0))),""))</f>
        <v/>
      </c>
      <c r="AI412" s="35">
        <f>IF($AH412="",DATE(1900,1,1),$AF412)</f>
        <v/>
      </c>
      <c r="AJ412" s="35">
        <f>IF($AH412="",DATE(2100,12,31),$AH412)</f>
        <v/>
      </c>
      <c r="AK412" s="32">
        <f>IF($AH412="",$AC412,$AC412*$S412)</f>
        <v/>
      </c>
      <c r="AL412" s="35">
        <f>IF($AH412="",DATE(2100,12,31),$AH412+1)</f>
        <v/>
      </c>
      <c r="AM412" s="35">
        <f>IF($AH412="",DATE(1900,1,1),$AG412)</f>
        <v/>
      </c>
      <c r="AN412" s="32">
        <f>IF($AH412="",0,$AC412*$T412)</f>
        <v/>
      </c>
    </row>
    <row r="413">
      <c r="A413" s="28" t="inlineStr">
        <is>
          <t>Vidhi</t>
        </is>
      </c>
      <c r="B413" s="16">
        <f>IF($A413="","",IFERROR(INDEX(Roster!$B$2:$B$40,MATCH($A413,Roster!$A$2:$A$40,0)),"?"))</f>
        <v/>
      </c>
      <c r="C413" s="28" t="inlineStr">
        <is>
          <t>Brass_2</t>
        </is>
      </c>
      <c r="D413" s="16">
        <f>IF($C413="","",IFERROR(IF(INDEX(Deals!$C$2:$C$355,MATCH($C413,Deals!$A$2:$A$355,0))=0,"",INDEX(Deals!$C$2:$C$355,MATCH($C413,Deals!$A$2:$A$355,0))),"?"))</f>
        <v/>
      </c>
      <c r="E413" s="16">
        <f>IF($C413="","",IFERROR(INDEX(Deals!$F$2:$F$355,MATCH($C413,Deals!$A$2:$A$355,0)),"?"))</f>
        <v/>
      </c>
      <c r="F413" s="28" t="inlineStr">
        <is>
          <t>Senior Associate</t>
        </is>
      </c>
      <c r="G413" s="28" t="inlineStr">
        <is>
          <t>Active</t>
        </is>
      </c>
      <c r="H413" s="31" t="n"/>
      <c r="I413" s="32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1">
        <f>IF($C413="",0,IFERROR(INDEX(Deals!$H$2:$H$355,MATCH($C413,Deals!$A$2:$A$355,0)),0))</f>
        <v/>
      </c>
      <c r="K413" s="32">
        <f>IF(Settings!$B$4="Yes",$I413*$J413,$I413)</f>
        <v/>
      </c>
      <c r="L413" s="22">
        <f>IF($C413="","",IFERROR(IF(INDEX(Deals!$I$2:$I$355,MATCH($C413,Deals!$A$2:$A$355,0))=0,"",INDEX(Deals!$I$2:$I$355,MATCH($C413,Deals!$A$2:$A$355,0))),""))</f>
        <v/>
      </c>
      <c r="M413" s="22">
        <f>IF($C413="","",IFERROR(IF(INDEX(Deals!$J$2:$J$355,MATCH($C413,Deals!$A$2:$A$355,0))=0,"",INDEX(Deals!$J$2:$J$355,MATCH($C413,Deals!$A$2:$A$355,0))),""))</f>
        <v/>
      </c>
      <c r="N413" s="35">
        <f>IF($L413="",DATE(1900,1,1),$L413)</f>
        <v/>
      </c>
      <c r="O413" s="35">
        <f>IF($M413="",DATE(2100,12,31),$M413)</f>
        <v/>
      </c>
      <c r="P413" s="20" t="inlineStr"/>
      <c r="Q413" s="43" t="inlineStr"/>
      <c r="R413" s="16">
        <f>IF($C413="","",IFERROR(IF(INDEX(Deals!$U$2:$U$355,MATCH($C413,Deals!$A$2:$A$355,0))=0,"",INDEX(Deals!$U$2:$U$355,MATCH($C413,Deals!$A$2:$A$355,0))),""))</f>
        <v/>
      </c>
      <c r="S413" s="34">
        <f>IFERROR(IF($U413="",1,INDEX(Deals!$V$2:$V$355,MATCH($C413,Deals!$A$2:$A$355,0))),1)</f>
        <v/>
      </c>
      <c r="T413" s="34">
        <f>IFERROR(IF($U413="",1,INDEX(Deals!$W$2:$W$355,MATCH($C413,Deals!$A$2:$A$355,0))),1)</f>
        <v/>
      </c>
      <c r="U413" s="22">
        <f>IF($C413="","",IFERROR(IF(INDEX(Deals!$Y$2:$Y$355,MATCH($C413,Deals!$A$2:$A$355,0))=0,"",INDEX(Deals!$Y$2:$Y$355,MATCH($C413,Deals!$A$2:$A$355,0))),""))</f>
        <v/>
      </c>
      <c r="V413" s="35">
        <f>IF($U413="",DATE(1900,1,1),$N413)</f>
        <v/>
      </c>
      <c r="W413" s="35">
        <f>IF($U413="",DATE(2100,12,31),$U413)</f>
        <v/>
      </c>
      <c r="X413" s="32">
        <f>IF($U413="",$K413,$K413*$S413)</f>
        <v/>
      </c>
      <c r="Y413" s="35">
        <f>IF($U413="",DATE(2100,12,31),$U413+1)</f>
        <v/>
      </c>
      <c r="Z413" s="35">
        <f>IF($U413="",DATE(1900,1,1),$O413)</f>
        <v/>
      </c>
      <c r="AA413" s="32">
        <f>IF($U413="",0,$K413*$T413)</f>
        <v/>
      </c>
      <c r="AB413" s="21">
        <f>IF($C413="",0,IFERROR(INDEX(Deals!$AD$2:$AD$355,MATCH($C413,Deals!$A$2:$A$355,0)),0))</f>
        <v/>
      </c>
      <c r="AC413" s="32">
        <f>IF(Settings!$B$4="Yes",$I413*$AB413,$I413)</f>
        <v/>
      </c>
      <c r="AD413" s="22">
        <f>IF($C413="","",IFERROR(IF(INDEX(Deals!$AE$2:$AE$355,MATCH($C413,Deals!$A$2:$A$355,0))=0,"",INDEX(Deals!$AE$2:$AE$355,MATCH($C413,Deals!$A$2:$A$355,0))),""))</f>
        <v/>
      </c>
      <c r="AE413" s="22">
        <f>IF($C413="","",IFERROR(IF(INDEX(Deals!$AF$2:$AF$355,MATCH($C413,Deals!$A$2:$A$355,0))=0,"",INDEX(Deals!$AF$2:$AF$355,MATCH($C413,Deals!$A$2:$A$355,0))),""))</f>
        <v/>
      </c>
      <c r="AF413" s="35">
        <f>IF($AD413="",DATE(1900,1,1),$AD413)</f>
        <v/>
      </c>
      <c r="AG413" s="35">
        <f>IF($AE413="",DATE(2100,12,31),$AE413)</f>
        <v/>
      </c>
      <c r="AH413" s="22">
        <f>IF($C413="","",IFERROR(IF(INDEX(Deals!$AG$2:$AG$355,MATCH($C413,Deals!$A$2:$A$355,0))=0,"",INDEX(Deals!$AG$2:$AG$355,MATCH($C413,Deals!$A$2:$A$355,0))),""))</f>
        <v/>
      </c>
      <c r="AI413" s="35">
        <f>IF($AH413="",DATE(1900,1,1),$AF413)</f>
        <v/>
      </c>
      <c r="AJ413" s="35">
        <f>IF($AH413="",DATE(2100,12,31),$AH413)</f>
        <v/>
      </c>
      <c r="AK413" s="32">
        <f>IF($AH413="",$AC413,$AC413*$S413)</f>
        <v/>
      </c>
      <c r="AL413" s="35">
        <f>IF($AH413="",DATE(2100,12,31),$AH413+1)</f>
        <v/>
      </c>
      <c r="AM413" s="35">
        <f>IF($AH413="",DATE(1900,1,1),$AG413)</f>
        <v/>
      </c>
      <c r="AN413" s="32">
        <f>IF($AH413="",0,$AC413*$T413)</f>
        <v/>
      </c>
    </row>
    <row r="414">
      <c r="A414" s="28" t="inlineStr">
        <is>
          <t>Vidhi</t>
        </is>
      </c>
      <c r="B414" s="16">
        <f>IF($A414="","",IFERROR(INDEX(Roster!$B$2:$B$40,MATCH($A414,Roster!$A$2:$A$40,0)),"?"))</f>
        <v/>
      </c>
      <c r="C414" s="28" t="inlineStr">
        <is>
          <t>Breakaway_1</t>
        </is>
      </c>
      <c r="D414" s="16">
        <f>IF($C414="","",IFERROR(IF(INDEX(Deals!$C$2:$C$355,MATCH($C414,Deals!$A$2:$A$355,0))=0,"",INDEX(Deals!$C$2:$C$355,MATCH($C414,Deals!$A$2:$A$355,0))),"?"))</f>
        <v/>
      </c>
      <c r="E414" s="16">
        <f>IF($C414="","",IFERROR(INDEX(Deals!$F$2:$F$355,MATCH($C414,Deals!$A$2:$A$355,0)),"?"))</f>
        <v/>
      </c>
      <c r="F414" s="28" t="inlineStr">
        <is>
          <t>Senior Associate</t>
        </is>
      </c>
      <c r="G414" s="28" t="inlineStr">
        <is>
          <t>Active</t>
        </is>
      </c>
      <c r="H414" s="31" t="n"/>
      <c r="I414" s="32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1">
        <f>IF($C414="",0,IFERROR(INDEX(Deals!$H$2:$H$355,MATCH($C414,Deals!$A$2:$A$355,0)),0))</f>
        <v/>
      </c>
      <c r="K414" s="32">
        <f>IF(Settings!$B$4="Yes",$I414*$J414,$I414)</f>
        <v/>
      </c>
      <c r="L414" s="22">
        <f>IF($C414="","",IFERROR(IF(INDEX(Deals!$I$2:$I$355,MATCH($C414,Deals!$A$2:$A$355,0))=0,"",INDEX(Deals!$I$2:$I$355,MATCH($C414,Deals!$A$2:$A$355,0))),""))</f>
        <v/>
      </c>
      <c r="M414" s="22">
        <f>IF($C414="","",IFERROR(IF(INDEX(Deals!$J$2:$J$355,MATCH($C414,Deals!$A$2:$A$355,0))=0,"",INDEX(Deals!$J$2:$J$355,MATCH($C414,Deals!$A$2:$A$355,0))),""))</f>
        <v/>
      </c>
      <c r="N414" s="35">
        <f>IF($L414="",DATE(1900,1,1),$L414)</f>
        <v/>
      </c>
      <c r="O414" s="35">
        <f>IF($M414="",DATE(2100,12,31),$M414)</f>
        <v/>
      </c>
      <c r="P414" s="20" t="inlineStr"/>
      <c r="Q414" s="43" t="inlineStr">
        <is>
          <t>Added from Summary tab</t>
        </is>
      </c>
      <c r="R414" s="16">
        <f>IF($C414="","",IFERROR(IF(INDEX(Deals!$U$2:$U$355,MATCH($C414,Deals!$A$2:$A$355,0))=0,"",INDEX(Deals!$U$2:$U$355,MATCH($C414,Deals!$A$2:$A$355,0))),""))</f>
        <v/>
      </c>
      <c r="S414" s="34">
        <f>IFERROR(IF($U414="",1,INDEX(Deals!$V$2:$V$355,MATCH($C414,Deals!$A$2:$A$355,0))),1)</f>
        <v/>
      </c>
      <c r="T414" s="34">
        <f>IFERROR(IF($U414="",1,INDEX(Deals!$W$2:$W$355,MATCH($C414,Deals!$A$2:$A$355,0))),1)</f>
        <v/>
      </c>
      <c r="U414" s="22">
        <f>IF($C414="","",IFERROR(IF(INDEX(Deals!$Y$2:$Y$355,MATCH($C414,Deals!$A$2:$A$355,0))=0,"",INDEX(Deals!$Y$2:$Y$355,MATCH($C414,Deals!$A$2:$A$355,0))),""))</f>
        <v/>
      </c>
      <c r="V414" s="35">
        <f>IF($U414="",DATE(1900,1,1),$N414)</f>
        <v/>
      </c>
      <c r="W414" s="35">
        <f>IF($U414="",DATE(2100,12,31),$U414)</f>
        <v/>
      </c>
      <c r="X414" s="32">
        <f>IF($U414="",$K414,$K414*$S414)</f>
        <v/>
      </c>
      <c r="Y414" s="35">
        <f>IF($U414="",DATE(2100,12,31),$U414+1)</f>
        <v/>
      </c>
      <c r="Z414" s="35">
        <f>IF($U414="",DATE(1900,1,1),$O414)</f>
        <v/>
      </c>
      <c r="AA414" s="32">
        <f>IF($U414="",0,$K414*$T414)</f>
        <v/>
      </c>
      <c r="AB414" s="21">
        <f>IF($C414="",0,IFERROR(INDEX(Deals!$AD$2:$AD$355,MATCH($C414,Deals!$A$2:$A$355,0)),0))</f>
        <v/>
      </c>
      <c r="AC414" s="32">
        <f>IF(Settings!$B$4="Yes",$I414*$AB414,$I414)</f>
        <v/>
      </c>
      <c r="AD414" s="22">
        <f>IF($C414="","",IFERROR(IF(INDEX(Deals!$AE$2:$AE$355,MATCH($C414,Deals!$A$2:$A$355,0))=0,"",INDEX(Deals!$AE$2:$AE$355,MATCH($C414,Deals!$A$2:$A$355,0))),""))</f>
        <v/>
      </c>
      <c r="AE414" s="22">
        <f>IF($C414="","",IFERROR(IF(INDEX(Deals!$AF$2:$AF$355,MATCH($C414,Deals!$A$2:$A$355,0))=0,"",INDEX(Deals!$AF$2:$AF$355,MATCH($C414,Deals!$A$2:$A$355,0))),""))</f>
        <v/>
      </c>
      <c r="AF414" s="35">
        <f>IF($AD414="",DATE(1900,1,1),$AD414)</f>
        <v/>
      </c>
      <c r="AG414" s="35">
        <f>IF($AE414="",DATE(2100,12,31),$AE414)</f>
        <v/>
      </c>
      <c r="AH414" s="22">
        <f>IF($C414="","",IFERROR(IF(INDEX(Deals!$AG$2:$AG$355,MATCH($C414,Deals!$A$2:$A$355,0))=0,"",INDEX(Deals!$AG$2:$AG$355,MATCH($C414,Deals!$A$2:$A$355,0))),""))</f>
        <v/>
      </c>
      <c r="AI414" s="35">
        <f>IF($AH414="",DATE(1900,1,1),$AF414)</f>
        <v/>
      </c>
      <c r="AJ414" s="35">
        <f>IF($AH414="",DATE(2100,12,31),$AH414)</f>
        <v/>
      </c>
      <c r="AK414" s="32">
        <f>IF($AH414="",$AC414,$AC414*$S414)</f>
        <v/>
      </c>
      <c r="AL414" s="35">
        <f>IF($AH414="",DATE(2100,12,31),$AH414+1)</f>
        <v/>
      </c>
      <c r="AM414" s="35">
        <f>IF($AH414="",DATE(1900,1,1),$AG414)</f>
        <v/>
      </c>
      <c r="AN414" s="32">
        <f>IF($AH414="",0,$AC414*$T414)</f>
        <v/>
      </c>
    </row>
    <row r="415">
      <c r="A415" s="28" t="inlineStr">
        <is>
          <t>Vidhi</t>
        </is>
      </c>
      <c r="B415" s="16">
        <f>IF($A415="","",IFERROR(INDEX(Roster!$B$2:$B$40,MATCH($A415,Roster!$A$2:$A$40,0)),"?"))</f>
        <v/>
      </c>
      <c r="C415" s="28" t="inlineStr">
        <is>
          <t>Camaro_1</t>
        </is>
      </c>
      <c r="D415" s="16">
        <f>IF($C415="","",IFERROR(IF(INDEX(Deals!$C$2:$C$355,MATCH($C415,Deals!$A$2:$A$355,0))=0,"",INDEX(Deals!$C$2:$C$355,MATCH($C415,Deals!$A$2:$A$355,0))),"?"))</f>
        <v/>
      </c>
      <c r="E415" s="16">
        <f>IF($C415="","",IFERROR(INDEX(Deals!$F$2:$F$355,MATCH($C415,Deals!$A$2:$A$355,0)),"?"))</f>
        <v/>
      </c>
      <c r="F415" s="28" t="inlineStr">
        <is>
          <t>Senior Associate</t>
        </is>
      </c>
      <c r="G415" s="28" t="inlineStr">
        <is>
          <t>Active</t>
        </is>
      </c>
      <c r="H415" s="31" t="n"/>
      <c r="I415" s="32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1">
        <f>IF($C415="",0,IFERROR(INDEX(Deals!$H$2:$H$355,MATCH($C415,Deals!$A$2:$A$355,0)),0))</f>
        <v/>
      </c>
      <c r="K415" s="32">
        <f>IF(Settings!$B$4="Yes",$I415*$J415,$I415)</f>
        <v/>
      </c>
      <c r="L415" s="22">
        <f>IF($C415="","",IFERROR(IF(INDEX(Deals!$I$2:$I$355,MATCH($C415,Deals!$A$2:$A$355,0))=0,"",INDEX(Deals!$I$2:$I$355,MATCH($C415,Deals!$A$2:$A$355,0))),""))</f>
        <v/>
      </c>
      <c r="M415" s="22">
        <f>IF($C415="","",IFERROR(IF(INDEX(Deals!$J$2:$J$355,MATCH($C415,Deals!$A$2:$A$355,0))=0,"",INDEX(Deals!$J$2:$J$355,MATCH($C415,Deals!$A$2:$A$355,0))),""))</f>
        <v/>
      </c>
      <c r="N415" s="35">
        <f>IF($L415="",DATE(1900,1,1),$L415)</f>
        <v/>
      </c>
      <c r="O415" s="35">
        <f>IF($M415="",DATE(2100,12,31),$M415)</f>
        <v/>
      </c>
      <c r="P415" s="20" t="inlineStr"/>
      <c r="Q415" s="43" t="inlineStr"/>
      <c r="R415" s="16">
        <f>IF($C415="","",IFERROR(IF(INDEX(Deals!$U$2:$U$355,MATCH($C415,Deals!$A$2:$A$355,0))=0,"",INDEX(Deals!$U$2:$U$355,MATCH($C415,Deals!$A$2:$A$355,0))),""))</f>
        <v/>
      </c>
      <c r="S415" s="34">
        <f>IFERROR(IF($U415="",1,INDEX(Deals!$V$2:$V$355,MATCH($C415,Deals!$A$2:$A$355,0))),1)</f>
        <v/>
      </c>
      <c r="T415" s="34">
        <f>IFERROR(IF($U415="",1,INDEX(Deals!$W$2:$W$355,MATCH($C415,Deals!$A$2:$A$355,0))),1)</f>
        <v/>
      </c>
      <c r="U415" s="22">
        <f>IF($C415="","",IFERROR(IF(INDEX(Deals!$Y$2:$Y$355,MATCH($C415,Deals!$A$2:$A$355,0))=0,"",INDEX(Deals!$Y$2:$Y$355,MATCH($C415,Deals!$A$2:$A$355,0))),""))</f>
        <v/>
      </c>
      <c r="V415" s="35">
        <f>IF($U415="",DATE(1900,1,1),$N415)</f>
        <v/>
      </c>
      <c r="W415" s="35">
        <f>IF($U415="",DATE(2100,12,31),$U415)</f>
        <v/>
      </c>
      <c r="X415" s="32">
        <f>IF($U415="",$K415,$K415*$S415)</f>
        <v/>
      </c>
      <c r="Y415" s="35">
        <f>IF($U415="",DATE(2100,12,31),$U415+1)</f>
        <v/>
      </c>
      <c r="Z415" s="35">
        <f>IF($U415="",DATE(1900,1,1),$O415)</f>
        <v/>
      </c>
      <c r="AA415" s="32">
        <f>IF($U415="",0,$K415*$T415)</f>
        <v/>
      </c>
      <c r="AB415" s="21">
        <f>IF($C415="",0,IFERROR(INDEX(Deals!$AD$2:$AD$355,MATCH($C415,Deals!$A$2:$A$355,0)),0))</f>
        <v/>
      </c>
      <c r="AC415" s="32">
        <f>IF(Settings!$B$4="Yes",$I415*$AB415,$I415)</f>
        <v/>
      </c>
      <c r="AD415" s="22">
        <f>IF($C415="","",IFERROR(IF(INDEX(Deals!$AE$2:$AE$355,MATCH($C415,Deals!$A$2:$A$355,0))=0,"",INDEX(Deals!$AE$2:$AE$355,MATCH($C415,Deals!$A$2:$A$355,0))),""))</f>
        <v/>
      </c>
      <c r="AE415" s="22">
        <f>IF($C415="","",IFERROR(IF(INDEX(Deals!$AF$2:$AF$355,MATCH($C415,Deals!$A$2:$A$355,0))=0,"",INDEX(Deals!$AF$2:$AF$355,MATCH($C415,Deals!$A$2:$A$355,0))),""))</f>
        <v/>
      </c>
      <c r="AF415" s="35">
        <f>IF($AD415="",DATE(1900,1,1),$AD415)</f>
        <v/>
      </c>
      <c r="AG415" s="35">
        <f>IF($AE415="",DATE(2100,12,31),$AE415)</f>
        <v/>
      </c>
      <c r="AH415" s="22">
        <f>IF($C415="","",IFERROR(IF(INDEX(Deals!$AG$2:$AG$355,MATCH($C415,Deals!$A$2:$A$355,0))=0,"",INDEX(Deals!$AG$2:$AG$355,MATCH($C415,Deals!$A$2:$A$355,0))),""))</f>
        <v/>
      </c>
      <c r="AI415" s="35">
        <f>IF($AH415="",DATE(1900,1,1),$AF415)</f>
        <v/>
      </c>
      <c r="AJ415" s="35">
        <f>IF($AH415="",DATE(2100,12,31),$AH415)</f>
        <v/>
      </c>
      <c r="AK415" s="32">
        <f>IF($AH415="",$AC415,$AC415*$S415)</f>
        <v/>
      </c>
      <c r="AL415" s="35">
        <f>IF($AH415="",DATE(2100,12,31),$AH415+1)</f>
        <v/>
      </c>
      <c r="AM415" s="35">
        <f>IF($AH415="",DATE(1900,1,1),$AG415)</f>
        <v/>
      </c>
      <c r="AN415" s="32">
        <f>IF($AH415="",0,$AC415*$T415)</f>
        <v/>
      </c>
    </row>
    <row r="416">
      <c r="A416" s="28" t="inlineStr">
        <is>
          <t>Vidhi</t>
        </is>
      </c>
      <c r="B416" s="16">
        <f>IF($A416="","",IFERROR(INDEX(Roster!$B$2:$B$40,MATCH($A416,Roster!$A$2:$A$40,0)),"?"))</f>
        <v/>
      </c>
      <c r="C416" s="28" t="inlineStr">
        <is>
          <t>Care_1</t>
        </is>
      </c>
      <c r="D416" s="16">
        <f>IF($C416="","",IFERROR(IF(INDEX(Deals!$C$2:$C$355,MATCH($C416,Deals!$A$2:$A$355,0))=0,"",INDEX(Deals!$C$2:$C$355,MATCH($C416,Deals!$A$2:$A$355,0))),"?"))</f>
        <v/>
      </c>
      <c r="E416" s="16">
        <f>IF($C416="","",IFERROR(INDEX(Deals!$F$2:$F$355,MATCH($C416,Deals!$A$2:$A$355,0)),"?"))</f>
        <v/>
      </c>
      <c r="F416" s="28" t="inlineStr">
        <is>
          <t>Senior Associate</t>
        </is>
      </c>
      <c r="G416" s="28" t="inlineStr">
        <is>
          <t>Active</t>
        </is>
      </c>
      <c r="H416" s="31" t="n"/>
      <c r="I416" s="32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1">
        <f>IF($C416="",0,IFERROR(INDEX(Deals!$H$2:$H$355,MATCH($C416,Deals!$A$2:$A$355,0)),0))</f>
        <v/>
      </c>
      <c r="K416" s="32">
        <f>IF(Settings!$B$4="Yes",$I416*$J416,$I416)</f>
        <v/>
      </c>
      <c r="L416" s="22">
        <f>IF($C416="","",IFERROR(IF(INDEX(Deals!$I$2:$I$355,MATCH($C416,Deals!$A$2:$A$355,0))=0,"",INDEX(Deals!$I$2:$I$355,MATCH($C416,Deals!$A$2:$A$355,0))),""))</f>
        <v/>
      </c>
      <c r="M416" s="22">
        <f>IF($C416="","",IFERROR(IF(INDEX(Deals!$J$2:$J$355,MATCH($C416,Deals!$A$2:$A$355,0))=0,"",INDEX(Deals!$J$2:$J$355,MATCH($C416,Deals!$A$2:$A$355,0))),""))</f>
        <v/>
      </c>
      <c r="N416" s="35">
        <f>IF($L416="",DATE(1900,1,1),$L416)</f>
        <v/>
      </c>
      <c r="O416" s="35">
        <f>IF($M416="",DATE(2100,12,31),$M416)</f>
        <v/>
      </c>
      <c r="P416" s="20" t="inlineStr"/>
      <c r="Q416" s="43" t="inlineStr"/>
      <c r="R416" s="16">
        <f>IF($C416="","",IFERROR(IF(INDEX(Deals!$U$2:$U$355,MATCH($C416,Deals!$A$2:$A$355,0))=0,"",INDEX(Deals!$U$2:$U$355,MATCH($C416,Deals!$A$2:$A$355,0))),""))</f>
        <v/>
      </c>
      <c r="S416" s="34">
        <f>IFERROR(IF($U416="",1,INDEX(Deals!$V$2:$V$355,MATCH($C416,Deals!$A$2:$A$355,0))),1)</f>
        <v/>
      </c>
      <c r="T416" s="34">
        <f>IFERROR(IF($U416="",1,INDEX(Deals!$W$2:$W$355,MATCH($C416,Deals!$A$2:$A$355,0))),1)</f>
        <v/>
      </c>
      <c r="U416" s="22">
        <f>IF($C416="","",IFERROR(IF(INDEX(Deals!$Y$2:$Y$355,MATCH($C416,Deals!$A$2:$A$355,0))=0,"",INDEX(Deals!$Y$2:$Y$355,MATCH($C416,Deals!$A$2:$A$355,0))),""))</f>
        <v/>
      </c>
      <c r="V416" s="35">
        <f>IF($U416="",DATE(1900,1,1),$N416)</f>
        <v/>
      </c>
      <c r="W416" s="35">
        <f>IF($U416="",DATE(2100,12,31),$U416)</f>
        <v/>
      </c>
      <c r="X416" s="32">
        <f>IF($U416="",$K416,$K416*$S416)</f>
        <v/>
      </c>
      <c r="Y416" s="35">
        <f>IF($U416="",DATE(2100,12,31),$U416+1)</f>
        <v/>
      </c>
      <c r="Z416" s="35">
        <f>IF($U416="",DATE(1900,1,1),$O416)</f>
        <v/>
      </c>
      <c r="AA416" s="32">
        <f>IF($U416="",0,$K416*$T416)</f>
        <v/>
      </c>
      <c r="AB416" s="21">
        <f>IF($C416="",0,IFERROR(INDEX(Deals!$AD$2:$AD$355,MATCH($C416,Deals!$A$2:$A$355,0)),0))</f>
        <v/>
      </c>
      <c r="AC416" s="32">
        <f>IF(Settings!$B$4="Yes",$I416*$AB416,$I416)</f>
        <v/>
      </c>
      <c r="AD416" s="22">
        <f>IF($C416="","",IFERROR(IF(INDEX(Deals!$AE$2:$AE$355,MATCH($C416,Deals!$A$2:$A$355,0))=0,"",INDEX(Deals!$AE$2:$AE$355,MATCH($C416,Deals!$A$2:$A$355,0))),""))</f>
        <v/>
      </c>
      <c r="AE416" s="22">
        <f>IF($C416="","",IFERROR(IF(INDEX(Deals!$AF$2:$AF$355,MATCH($C416,Deals!$A$2:$A$355,0))=0,"",INDEX(Deals!$AF$2:$AF$355,MATCH($C416,Deals!$A$2:$A$355,0))),""))</f>
        <v/>
      </c>
      <c r="AF416" s="35">
        <f>IF($AD416="",DATE(1900,1,1),$AD416)</f>
        <v/>
      </c>
      <c r="AG416" s="35">
        <f>IF($AE416="",DATE(2100,12,31),$AE416)</f>
        <v/>
      </c>
      <c r="AH416" s="22">
        <f>IF($C416="","",IFERROR(IF(INDEX(Deals!$AG$2:$AG$355,MATCH($C416,Deals!$A$2:$A$355,0))=0,"",INDEX(Deals!$AG$2:$AG$355,MATCH($C416,Deals!$A$2:$A$355,0))),""))</f>
        <v/>
      </c>
      <c r="AI416" s="35">
        <f>IF($AH416="",DATE(1900,1,1),$AF416)</f>
        <v/>
      </c>
      <c r="AJ416" s="35">
        <f>IF($AH416="",DATE(2100,12,31),$AH416)</f>
        <v/>
      </c>
      <c r="AK416" s="32">
        <f>IF($AH416="",$AC416,$AC416*$S416)</f>
        <v/>
      </c>
      <c r="AL416" s="35">
        <f>IF($AH416="",DATE(2100,12,31),$AH416+1)</f>
        <v/>
      </c>
      <c r="AM416" s="35">
        <f>IF($AH416="",DATE(1900,1,1),$AG416)</f>
        <v/>
      </c>
      <c r="AN416" s="32">
        <f>IF($AH416="",0,$AC416*$T416)</f>
        <v/>
      </c>
    </row>
    <row r="417">
      <c r="A417" s="28" t="inlineStr">
        <is>
          <t>Vidhi</t>
        </is>
      </c>
      <c r="B417" s="16">
        <f>IF($A417="","",IFERROR(INDEX(Roster!$B$2:$B$40,MATCH($A417,Roster!$A$2:$A$40,0)),"?"))</f>
        <v/>
      </c>
      <c r="C417" s="28" t="inlineStr">
        <is>
          <t>Chicago RE_1</t>
        </is>
      </c>
      <c r="D417" s="16">
        <f>IF($C417="","",IFERROR(IF(INDEX(Deals!$C$2:$C$355,MATCH($C417,Deals!$A$2:$A$355,0))=0,"",INDEX(Deals!$C$2:$C$355,MATCH($C417,Deals!$A$2:$A$355,0))),"?"))</f>
        <v/>
      </c>
      <c r="E417" s="16">
        <f>IF($C417="","",IFERROR(INDEX(Deals!$F$2:$F$355,MATCH($C417,Deals!$A$2:$A$355,0)),"?"))</f>
        <v/>
      </c>
      <c r="F417" s="28" t="inlineStr">
        <is>
          <t>Senior Associate</t>
        </is>
      </c>
      <c r="G417" s="28" t="inlineStr">
        <is>
          <t>Active</t>
        </is>
      </c>
      <c r="H417" s="31" t="n"/>
      <c r="I417" s="32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1">
        <f>IF($C417="",0,IFERROR(INDEX(Deals!$H$2:$H$355,MATCH($C417,Deals!$A$2:$A$355,0)),0))</f>
        <v/>
      </c>
      <c r="K417" s="32">
        <f>IF(Settings!$B$4="Yes",$I417*$J417,$I417)</f>
        <v/>
      </c>
      <c r="L417" s="22">
        <f>IF($C417="","",IFERROR(IF(INDEX(Deals!$I$2:$I$355,MATCH($C417,Deals!$A$2:$A$355,0))=0,"",INDEX(Deals!$I$2:$I$355,MATCH($C417,Deals!$A$2:$A$355,0))),""))</f>
        <v/>
      </c>
      <c r="M417" s="22">
        <f>IF($C417="","",IFERROR(IF(INDEX(Deals!$J$2:$J$355,MATCH($C417,Deals!$A$2:$A$355,0))=0,"",INDEX(Deals!$J$2:$J$355,MATCH($C417,Deals!$A$2:$A$355,0))),""))</f>
        <v/>
      </c>
      <c r="N417" s="35">
        <f>IF($L417="",DATE(1900,1,1),$L417)</f>
        <v/>
      </c>
      <c r="O417" s="35">
        <f>IF($M417="",DATE(2100,12,31),$M417)</f>
        <v/>
      </c>
      <c r="P417" s="20" t="inlineStr"/>
      <c r="Q417" s="43" t="inlineStr"/>
      <c r="R417" s="16">
        <f>IF($C417="","",IFERROR(IF(INDEX(Deals!$U$2:$U$355,MATCH($C417,Deals!$A$2:$A$355,0))=0,"",INDEX(Deals!$U$2:$U$355,MATCH($C417,Deals!$A$2:$A$355,0))),""))</f>
        <v/>
      </c>
      <c r="S417" s="34">
        <f>IFERROR(IF($U417="",1,INDEX(Deals!$V$2:$V$355,MATCH($C417,Deals!$A$2:$A$355,0))),1)</f>
        <v/>
      </c>
      <c r="T417" s="34">
        <f>IFERROR(IF($U417="",1,INDEX(Deals!$W$2:$W$355,MATCH($C417,Deals!$A$2:$A$355,0))),1)</f>
        <v/>
      </c>
      <c r="U417" s="22">
        <f>IF($C417="","",IFERROR(IF(INDEX(Deals!$Y$2:$Y$355,MATCH($C417,Deals!$A$2:$A$355,0))=0,"",INDEX(Deals!$Y$2:$Y$355,MATCH($C417,Deals!$A$2:$A$355,0))),""))</f>
        <v/>
      </c>
      <c r="V417" s="35">
        <f>IF($U417="",DATE(1900,1,1),$N417)</f>
        <v/>
      </c>
      <c r="W417" s="35">
        <f>IF($U417="",DATE(2100,12,31),$U417)</f>
        <v/>
      </c>
      <c r="X417" s="32">
        <f>IF($U417="",$K417,$K417*$S417)</f>
        <v/>
      </c>
      <c r="Y417" s="35">
        <f>IF($U417="",DATE(2100,12,31),$U417+1)</f>
        <v/>
      </c>
      <c r="Z417" s="35">
        <f>IF($U417="",DATE(1900,1,1),$O417)</f>
        <v/>
      </c>
      <c r="AA417" s="32">
        <f>IF($U417="",0,$K417*$T417)</f>
        <v/>
      </c>
      <c r="AB417" s="21">
        <f>IF($C417="",0,IFERROR(INDEX(Deals!$AD$2:$AD$355,MATCH($C417,Deals!$A$2:$A$355,0)),0))</f>
        <v/>
      </c>
      <c r="AC417" s="32">
        <f>IF(Settings!$B$4="Yes",$I417*$AB417,$I417)</f>
        <v/>
      </c>
      <c r="AD417" s="22">
        <f>IF($C417="","",IFERROR(IF(INDEX(Deals!$AE$2:$AE$355,MATCH($C417,Deals!$A$2:$A$355,0))=0,"",INDEX(Deals!$AE$2:$AE$355,MATCH($C417,Deals!$A$2:$A$355,0))),""))</f>
        <v/>
      </c>
      <c r="AE417" s="22">
        <f>IF($C417="","",IFERROR(IF(INDEX(Deals!$AF$2:$AF$355,MATCH($C417,Deals!$A$2:$A$355,0))=0,"",INDEX(Deals!$AF$2:$AF$355,MATCH($C417,Deals!$A$2:$A$355,0))),""))</f>
        <v/>
      </c>
      <c r="AF417" s="35">
        <f>IF($AD417="",DATE(1900,1,1),$AD417)</f>
        <v/>
      </c>
      <c r="AG417" s="35">
        <f>IF($AE417="",DATE(2100,12,31),$AE417)</f>
        <v/>
      </c>
      <c r="AH417" s="22">
        <f>IF($C417="","",IFERROR(IF(INDEX(Deals!$AG$2:$AG$355,MATCH($C417,Deals!$A$2:$A$355,0))=0,"",INDEX(Deals!$AG$2:$AG$355,MATCH($C417,Deals!$A$2:$A$355,0))),""))</f>
        <v/>
      </c>
      <c r="AI417" s="35">
        <f>IF($AH417="",DATE(1900,1,1),$AF417)</f>
        <v/>
      </c>
      <c r="AJ417" s="35">
        <f>IF($AH417="",DATE(2100,12,31),$AH417)</f>
        <v/>
      </c>
      <c r="AK417" s="32">
        <f>IF($AH417="",$AC417,$AC417*$S417)</f>
        <v/>
      </c>
      <c r="AL417" s="35">
        <f>IF($AH417="",DATE(2100,12,31),$AH417+1)</f>
        <v/>
      </c>
      <c r="AM417" s="35">
        <f>IF($AH417="",DATE(1900,1,1),$AG417)</f>
        <v/>
      </c>
      <c r="AN417" s="32">
        <f>IF($AH417="",0,$AC417*$T417)</f>
        <v/>
      </c>
    </row>
    <row r="418">
      <c r="A418" s="28" t="inlineStr">
        <is>
          <t>Vidhi</t>
        </is>
      </c>
      <c r="B418" s="16">
        <f>IF($A418="","",IFERROR(INDEX(Roster!$B$2:$B$40,MATCH($A418,Roster!$A$2:$A$40,0)),"?"))</f>
        <v/>
      </c>
      <c r="C418" s="28" t="inlineStr">
        <is>
          <t>Circuit_1</t>
        </is>
      </c>
      <c r="D418" s="16">
        <f>IF($C418="","",IFERROR(IF(INDEX(Deals!$C$2:$C$355,MATCH($C418,Deals!$A$2:$A$355,0))=0,"",INDEX(Deals!$C$2:$C$355,MATCH($C418,Deals!$A$2:$A$355,0))),"?"))</f>
        <v/>
      </c>
      <c r="E418" s="16">
        <f>IF($C418="","",IFERROR(INDEX(Deals!$F$2:$F$355,MATCH($C418,Deals!$A$2:$A$355,0)),"?"))</f>
        <v/>
      </c>
      <c r="F418" s="28" t="inlineStr">
        <is>
          <t>Senior Associate</t>
        </is>
      </c>
      <c r="G418" s="28" t="inlineStr">
        <is>
          <t>Active</t>
        </is>
      </c>
      <c r="H418" s="31" t="n"/>
      <c r="I418" s="32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1">
        <f>IF($C418="",0,IFERROR(INDEX(Deals!$H$2:$H$355,MATCH($C418,Deals!$A$2:$A$355,0)),0))</f>
        <v/>
      </c>
      <c r="K418" s="32">
        <f>IF(Settings!$B$4="Yes",$I418*$J418,$I418)</f>
        <v/>
      </c>
      <c r="L418" s="22">
        <f>IF($C418="","",IFERROR(IF(INDEX(Deals!$I$2:$I$355,MATCH($C418,Deals!$A$2:$A$355,0))=0,"",INDEX(Deals!$I$2:$I$355,MATCH($C418,Deals!$A$2:$A$355,0))),""))</f>
        <v/>
      </c>
      <c r="M418" s="22">
        <f>IF($C418="","",IFERROR(IF(INDEX(Deals!$J$2:$J$355,MATCH($C418,Deals!$A$2:$A$355,0))=0,"",INDEX(Deals!$J$2:$J$355,MATCH($C418,Deals!$A$2:$A$355,0))),""))</f>
        <v/>
      </c>
      <c r="N418" s="35">
        <f>IF($L418="",DATE(1900,1,1),$L418)</f>
        <v/>
      </c>
      <c r="O418" s="35">
        <f>IF($M418="",DATE(2100,12,31),$M418)</f>
        <v/>
      </c>
      <c r="P418" s="20" t="inlineStr"/>
      <c r="Q418" s="43" t="inlineStr"/>
      <c r="R418" s="16">
        <f>IF($C418="","",IFERROR(IF(INDEX(Deals!$U$2:$U$355,MATCH($C418,Deals!$A$2:$A$355,0))=0,"",INDEX(Deals!$U$2:$U$355,MATCH($C418,Deals!$A$2:$A$355,0))),""))</f>
        <v/>
      </c>
      <c r="S418" s="34">
        <f>IFERROR(IF($U418="",1,INDEX(Deals!$V$2:$V$355,MATCH($C418,Deals!$A$2:$A$355,0))),1)</f>
        <v/>
      </c>
      <c r="T418" s="34">
        <f>IFERROR(IF($U418="",1,INDEX(Deals!$W$2:$W$355,MATCH($C418,Deals!$A$2:$A$355,0))),1)</f>
        <v/>
      </c>
      <c r="U418" s="22">
        <f>IF($C418="","",IFERROR(IF(INDEX(Deals!$Y$2:$Y$355,MATCH($C418,Deals!$A$2:$A$355,0))=0,"",INDEX(Deals!$Y$2:$Y$355,MATCH($C418,Deals!$A$2:$A$355,0))),""))</f>
        <v/>
      </c>
      <c r="V418" s="35">
        <f>IF($U418="",DATE(1900,1,1),$N418)</f>
        <v/>
      </c>
      <c r="W418" s="35">
        <f>IF($U418="",DATE(2100,12,31),$U418)</f>
        <v/>
      </c>
      <c r="X418" s="32">
        <f>IF($U418="",$K418,$K418*$S418)</f>
        <v/>
      </c>
      <c r="Y418" s="35">
        <f>IF($U418="",DATE(2100,12,31),$U418+1)</f>
        <v/>
      </c>
      <c r="Z418" s="35">
        <f>IF($U418="",DATE(1900,1,1),$O418)</f>
        <v/>
      </c>
      <c r="AA418" s="32">
        <f>IF($U418="",0,$K418*$T418)</f>
        <v/>
      </c>
      <c r="AB418" s="21">
        <f>IF($C418="",0,IFERROR(INDEX(Deals!$AD$2:$AD$355,MATCH($C418,Deals!$A$2:$A$355,0)),0))</f>
        <v/>
      </c>
      <c r="AC418" s="32">
        <f>IF(Settings!$B$4="Yes",$I418*$AB418,$I418)</f>
        <v/>
      </c>
      <c r="AD418" s="22">
        <f>IF($C418="","",IFERROR(IF(INDEX(Deals!$AE$2:$AE$355,MATCH($C418,Deals!$A$2:$A$355,0))=0,"",INDEX(Deals!$AE$2:$AE$355,MATCH($C418,Deals!$A$2:$A$355,0))),""))</f>
        <v/>
      </c>
      <c r="AE418" s="22">
        <f>IF($C418="","",IFERROR(IF(INDEX(Deals!$AF$2:$AF$355,MATCH($C418,Deals!$A$2:$A$355,0))=0,"",INDEX(Deals!$AF$2:$AF$355,MATCH($C418,Deals!$A$2:$A$355,0))),""))</f>
        <v/>
      </c>
      <c r="AF418" s="35">
        <f>IF($AD418="",DATE(1900,1,1),$AD418)</f>
        <v/>
      </c>
      <c r="AG418" s="35">
        <f>IF($AE418="",DATE(2100,12,31),$AE418)</f>
        <v/>
      </c>
      <c r="AH418" s="22">
        <f>IF($C418="","",IFERROR(IF(INDEX(Deals!$AG$2:$AG$355,MATCH($C418,Deals!$A$2:$A$355,0))=0,"",INDEX(Deals!$AG$2:$AG$355,MATCH($C418,Deals!$A$2:$A$355,0))),""))</f>
        <v/>
      </c>
      <c r="AI418" s="35">
        <f>IF($AH418="",DATE(1900,1,1),$AF418)</f>
        <v/>
      </c>
      <c r="AJ418" s="35">
        <f>IF($AH418="",DATE(2100,12,31),$AH418)</f>
        <v/>
      </c>
      <c r="AK418" s="32">
        <f>IF($AH418="",$AC418,$AC418*$S418)</f>
        <v/>
      </c>
      <c r="AL418" s="35">
        <f>IF($AH418="",DATE(2100,12,31),$AH418+1)</f>
        <v/>
      </c>
      <c r="AM418" s="35">
        <f>IF($AH418="",DATE(1900,1,1),$AG418)</f>
        <v/>
      </c>
      <c r="AN418" s="32">
        <f>IF($AH418="",0,$AC418*$T418)</f>
        <v/>
      </c>
    </row>
    <row r="419">
      <c r="A419" s="28" t="inlineStr">
        <is>
          <t>Vidhi</t>
        </is>
      </c>
      <c r="B419" s="16">
        <f>IF($A419="","",IFERROR(INDEX(Roster!$B$2:$B$40,MATCH($A419,Roster!$A$2:$A$40,0)),"?"))</f>
        <v/>
      </c>
      <c r="C419" s="28" t="inlineStr">
        <is>
          <t>Cohost_1</t>
        </is>
      </c>
      <c r="D419" s="16">
        <f>IF($C419="","",IFERROR(IF(INDEX(Deals!$C$2:$C$355,MATCH($C419,Deals!$A$2:$A$355,0))=0,"",INDEX(Deals!$C$2:$C$355,MATCH($C419,Deals!$A$2:$A$355,0))),"?"))</f>
        <v/>
      </c>
      <c r="E419" s="16">
        <f>IF($C419="","",IFERROR(INDEX(Deals!$F$2:$F$355,MATCH($C419,Deals!$A$2:$A$355,0)),"?"))</f>
        <v/>
      </c>
      <c r="F419" s="28" t="inlineStr">
        <is>
          <t>Senior Associate</t>
        </is>
      </c>
      <c r="G419" s="28" t="inlineStr">
        <is>
          <t>Active</t>
        </is>
      </c>
      <c r="H419" s="31" t="n"/>
      <c r="I419" s="32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1">
        <f>IF($C419="",0,IFERROR(INDEX(Deals!$H$2:$H$355,MATCH($C419,Deals!$A$2:$A$355,0)),0))</f>
        <v/>
      </c>
      <c r="K419" s="32">
        <f>IF(Settings!$B$4="Yes",$I419*$J419,$I419)</f>
        <v/>
      </c>
      <c r="L419" s="22">
        <f>IF($C419="","",IFERROR(IF(INDEX(Deals!$I$2:$I$355,MATCH($C419,Deals!$A$2:$A$355,0))=0,"",INDEX(Deals!$I$2:$I$355,MATCH($C419,Deals!$A$2:$A$355,0))),""))</f>
        <v/>
      </c>
      <c r="M419" s="22">
        <f>IF($C419="","",IFERROR(IF(INDEX(Deals!$J$2:$J$355,MATCH($C419,Deals!$A$2:$A$355,0))=0,"",INDEX(Deals!$J$2:$J$355,MATCH($C419,Deals!$A$2:$A$355,0))),""))</f>
        <v/>
      </c>
      <c r="N419" s="35">
        <f>IF($L419="",DATE(1900,1,1),$L419)</f>
        <v/>
      </c>
      <c r="O419" s="35">
        <f>IF($M419="",DATE(2100,12,31),$M419)</f>
        <v/>
      </c>
      <c r="P419" s="20" t="inlineStr"/>
      <c r="Q419" s="43" t="inlineStr"/>
      <c r="R419" s="16">
        <f>IF($C419="","",IFERROR(IF(INDEX(Deals!$U$2:$U$355,MATCH($C419,Deals!$A$2:$A$355,0))=0,"",INDEX(Deals!$U$2:$U$355,MATCH($C419,Deals!$A$2:$A$355,0))),""))</f>
        <v/>
      </c>
      <c r="S419" s="34">
        <f>IFERROR(IF($U419="",1,INDEX(Deals!$V$2:$V$355,MATCH($C419,Deals!$A$2:$A$355,0))),1)</f>
        <v/>
      </c>
      <c r="T419" s="34">
        <f>IFERROR(IF($U419="",1,INDEX(Deals!$W$2:$W$355,MATCH($C419,Deals!$A$2:$A$355,0))),1)</f>
        <v/>
      </c>
      <c r="U419" s="22">
        <f>IF($C419="","",IFERROR(IF(INDEX(Deals!$Y$2:$Y$355,MATCH($C419,Deals!$A$2:$A$355,0))=0,"",INDEX(Deals!$Y$2:$Y$355,MATCH($C419,Deals!$A$2:$A$355,0))),""))</f>
        <v/>
      </c>
      <c r="V419" s="35">
        <f>IF($U419="",DATE(1900,1,1),$N419)</f>
        <v/>
      </c>
      <c r="W419" s="35">
        <f>IF($U419="",DATE(2100,12,31),$U419)</f>
        <v/>
      </c>
      <c r="X419" s="32">
        <f>IF($U419="",$K419,$K419*$S419)</f>
        <v/>
      </c>
      <c r="Y419" s="35">
        <f>IF($U419="",DATE(2100,12,31),$U419+1)</f>
        <v/>
      </c>
      <c r="Z419" s="35">
        <f>IF($U419="",DATE(1900,1,1),$O419)</f>
        <v/>
      </c>
      <c r="AA419" s="32">
        <f>IF($U419="",0,$K419*$T419)</f>
        <v/>
      </c>
      <c r="AB419" s="21">
        <f>IF($C419="",0,IFERROR(INDEX(Deals!$AD$2:$AD$355,MATCH($C419,Deals!$A$2:$A$355,0)),0))</f>
        <v/>
      </c>
      <c r="AC419" s="32">
        <f>IF(Settings!$B$4="Yes",$I419*$AB419,$I419)</f>
        <v/>
      </c>
      <c r="AD419" s="22">
        <f>IF($C419="","",IFERROR(IF(INDEX(Deals!$AE$2:$AE$355,MATCH($C419,Deals!$A$2:$A$355,0))=0,"",INDEX(Deals!$AE$2:$AE$355,MATCH($C419,Deals!$A$2:$A$355,0))),""))</f>
        <v/>
      </c>
      <c r="AE419" s="22">
        <f>IF($C419="","",IFERROR(IF(INDEX(Deals!$AF$2:$AF$355,MATCH($C419,Deals!$A$2:$A$355,0))=0,"",INDEX(Deals!$AF$2:$AF$355,MATCH($C419,Deals!$A$2:$A$355,0))),""))</f>
        <v/>
      </c>
      <c r="AF419" s="35">
        <f>IF($AD419="",DATE(1900,1,1),$AD419)</f>
        <v/>
      </c>
      <c r="AG419" s="35">
        <f>IF($AE419="",DATE(2100,12,31),$AE419)</f>
        <v/>
      </c>
      <c r="AH419" s="22">
        <f>IF($C419="","",IFERROR(IF(INDEX(Deals!$AG$2:$AG$355,MATCH($C419,Deals!$A$2:$A$355,0))=0,"",INDEX(Deals!$AG$2:$AG$355,MATCH($C419,Deals!$A$2:$A$355,0))),""))</f>
        <v/>
      </c>
      <c r="AI419" s="35">
        <f>IF($AH419="",DATE(1900,1,1),$AF419)</f>
        <v/>
      </c>
      <c r="AJ419" s="35">
        <f>IF($AH419="",DATE(2100,12,31),$AH419)</f>
        <v/>
      </c>
      <c r="AK419" s="32">
        <f>IF($AH419="",$AC419,$AC419*$S419)</f>
        <v/>
      </c>
      <c r="AL419" s="35">
        <f>IF($AH419="",DATE(2100,12,31),$AH419+1)</f>
        <v/>
      </c>
      <c r="AM419" s="35">
        <f>IF($AH419="",DATE(1900,1,1),$AG419)</f>
        <v/>
      </c>
      <c r="AN419" s="32">
        <f>IF($AH419="",0,$AC419*$T419)</f>
        <v/>
      </c>
    </row>
    <row r="420">
      <c r="A420" s="28" t="inlineStr">
        <is>
          <t>Vidhi</t>
        </is>
      </c>
      <c r="B420" s="16">
        <f>IF($A420="","",IFERROR(INDEX(Roster!$B$2:$B$40,MATCH($A420,Roster!$A$2:$A$40,0)),"?"))</f>
        <v/>
      </c>
      <c r="C420" s="28" t="inlineStr">
        <is>
          <t>Concrete_1</t>
        </is>
      </c>
      <c r="D420" s="16">
        <f>IF($C420="","",IFERROR(IF(INDEX(Deals!$C$2:$C$355,MATCH($C420,Deals!$A$2:$A$355,0))=0,"",INDEX(Deals!$C$2:$C$355,MATCH($C420,Deals!$A$2:$A$355,0))),"?"))</f>
        <v/>
      </c>
      <c r="E420" s="16">
        <f>IF($C420="","",IFERROR(INDEX(Deals!$F$2:$F$355,MATCH($C420,Deals!$A$2:$A$355,0)),"?"))</f>
        <v/>
      </c>
      <c r="F420" s="28" t="inlineStr">
        <is>
          <t>Senior Associate</t>
        </is>
      </c>
      <c r="G420" s="28" t="inlineStr">
        <is>
          <t>Active</t>
        </is>
      </c>
      <c r="H420" s="31" t="n"/>
      <c r="I420" s="32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1">
        <f>IF($C420="",0,IFERROR(INDEX(Deals!$H$2:$H$355,MATCH($C420,Deals!$A$2:$A$355,0)),0))</f>
        <v/>
      </c>
      <c r="K420" s="32">
        <f>IF(Settings!$B$4="Yes",$I420*$J420,$I420)</f>
        <v/>
      </c>
      <c r="L420" s="22">
        <f>IF($C420="","",IFERROR(IF(INDEX(Deals!$I$2:$I$355,MATCH($C420,Deals!$A$2:$A$355,0))=0,"",INDEX(Deals!$I$2:$I$355,MATCH($C420,Deals!$A$2:$A$355,0))),""))</f>
        <v/>
      </c>
      <c r="M420" s="22">
        <f>IF($C420="","",IFERROR(IF(INDEX(Deals!$J$2:$J$355,MATCH($C420,Deals!$A$2:$A$355,0))=0,"",INDEX(Deals!$J$2:$J$355,MATCH($C420,Deals!$A$2:$A$355,0))),""))</f>
        <v/>
      </c>
      <c r="N420" s="35">
        <f>IF($L420="",DATE(1900,1,1),$L420)</f>
        <v/>
      </c>
      <c r="O420" s="35">
        <f>IF($M420="",DATE(2100,12,31),$M420)</f>
        <v/>
      </c>
      <c r="P420" s="20" t="inlineStr"/>
      <c r="Q420" s="43" t="inlineStr"/>
      <c r="R420" s="16">
        <f>IF($C420="","",IFERROR(IF(INDEX(Deals!$U$2:$U$355,MATCH($C420,Deals!$A$2:$A$355,0))=0,"",INDEX(Deals!$U$2:$U$355,MATCH($C420,Deals!$A$2:$A$355,0))),""))</f>
        <v/>
      </c>
      <c r="S420" s="34">
        <f>IFERROR(IF($U420="",1,INDEX(Deals!$V$2:$V$355,MATCH($C420,Deals!$A$2:$A$355,0))),1)</f>
        <v/>
      </c>
      <c r="T420" s="34">
        <f>IFERROR(IF($U420="",1,INDEX(Deals!$W$2:$W$355,MATCH($C420,Deals!$A$2:$A$355,0))),1)</f>
        <v/>
      </c>
      <c r="U420" s="22">
        <f>IF($C420="","",IFERROR(IF(INDEX(Deals!$Y$2:$Y$355,MATCH($C420,Deals!$A$2:$A$355,0))=0,"",INDEX(Deals!$Y$2:$Y$355,MATCH($C420,Deals!$A$2:$A$355,0))),""))</f>
        <v/>
      </c>
      <c r="V420" s="35">
        <f>IF($U420="",DATE(1900,1,1),$N420)</f>
        <v/>
      </c>
      <c r="W420" s="35">
        <f>IF($U420="",DATE(2100,12,31),$U420)</f>
        <v/>
      </c>
      <c r="X420" s="32">
        <f>IF($U420="",$K420,$K420*$S420)</f>
        <v/>
      </c>
      <c r="Y420" s="35">
        <f>IF($U420="",DATE(2100,12,31),$U420+1)</f>
        <v/>
      </c>
      <c r="Z420" s="35">
        <f>IF($U420="",DATE(1900,1,1),$O420)</f>
        <v/>
      </c>
      <c r="AA420" s="32">
        <f>IF($U420="",0,$K420*$T420)</f>
        <v/>
      </c>
      <c r="AB420" s="21">
        <f>IF($C420="",0,IFERROR(INDEX(Deals!$AD$2:$AD$355,MATCH($C420,Deals!$A$2:$A$355,0)),0))</f>
        <v/>
      </c>
      <c r="AC420" s="32">
        <f>IF(Settings!$B$4="Yes",$I420*$AB420,$I420)</f>
        <v/>
      </c>
      <c r="AD420" s="22">
        <f>IF($C420="","",IFERROR(IF(INDEX(Deals!$AE$2:$AE$355,MATCH($C420,Deals!$A$2:$A$355,0))=0,"",INDEX(Deals!$AE$2:$AE$355,MATCH($C420,Deals!$A$2:$A$355,0))),""))</f>
        <v/>
      </c>
      <c r="AE420" s="22">
        <f>IF($C420="","",IFERROR(IF(INDEX(Deals!$AF$2:$AF$355,MATCH($C420,Deals!$A$2:$A$355,0))=0,"",INDEX(Deals!$AF$2:$AF$355,MATCH($C420,Deals!$A$2:$A$355,0))),""))</f>
        <v/>
      </c>
      <c r="AF420" s="35">
        <f>IF($AD420="",DATE(1900,1,1),$AD420)</f>
        <v/>
      </c>
      <c r="AG420" s="35">
        <f>IF($AE420="",DATE(2100,12,31),$AE420)</f>
        <v/>
      </c>
      <c r="AH420" s="22">
        <f>IF($C420="","",IFERROR(IF(INDEX(Deals!$AG$2:$AG$355,MATCH($C420,Deals!$A$2:$A$355,0))=0,"",INDEX(Deals!$AG$2:$AG$355,MATCH($C420,Deals!$A$2:$A$355,0))),""))</f>
        <v/>
      </c>
      <c r="AI420" s="35">
        <f>IF($AH420="",DATE(1900,1,1),$AF420)</f>
        <v/>
      </c>
      <c r="AJ420" s="35">
        <f>IF($AH420="",DATE(2100,12,31),$AH420)</f>
        <v/>
      </c>
      <c r="AK420" s="32">
        <f>IF($AH420="",$AC420,$AC420*$S420)</f>
        <v/>
      </c>
      <c r="AL420" s="35">
        <f>IF($AH420="",DATE(2100,12,31),$AH420+1)</f>
        <v/>
      </c>
      <c r="AM420" s="35">
        <f>IF($AH420="",DATE(1900,1,1),$AG420)</f>
        <v/>
      </c>
      <c r="AN420" s="32">
        <f>IF($AH420="",0,$AC420*$T420)</f>
        <v/>
      </c>
    </row>
    <row r="421">
      <c r="A421" s="28" t="inlineStr">
        <is>
          <t>Vidhi</t>
        </is>
      </c>
      <c r="B421" s="16">
        <f>IF($A421="","",IFERROR(INDEX(Roster!$B$2:$B$40,MATCH($A421,Roster!$A$2:$A$40,0)),"?"))</f>
        <v/>
      </c>
      <c r="C421" s="28" t="inlineStr">
        <is>
          <t>Medicis_1</t>
        </is>
      </c>
      <c r="D421" s="16">
        <f>IF($C421="","",IFERROR(IF(INDEX(Deals!$C$2:$C$355,MATCH($C421,Deals!$A$2:$A$355,0))=0,"",INDEX(Deals!$C$2:$C$355,MATCH($C421,Deals!$A$2:$A$355,0))),"?"))</f>
        <v/>
      </c>
      <c r="E421" s="16">
        <f>IF($C421="","",IFERROR(INDEX(Deals!$F$2:$F$355,MATCH($C421,Deals!$A$2:$A$355,0)),"?"))</f>
        <v/>
      </c>
      <c r="F421" s="28" t="inlineStr">
        <is>
          <t>Senior Associate</t>
        </is>
      </c>
      <c r="G421" s="28" t="inlineStr">
        <is>
          <t>Active</t>
        </is>
      </c>
      <c r="H421" s="31" t="n"/>
      <c r="I421" s="32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1">
        <f>IF($C421="",0,IFERROR(INDEX(Deals!$H$2:$H$355,MATCH($C421,Deals!$A$2:$A$355,0)),0))</f>
        <v/>
      </c>
      <c r="K421" s="32">
        <f>IF(Settings!$B$4="Yes",$I421*$J421,$I421)</f>
        <v/>
      </c>
      <c r="L421" s="22">
        <f>IF($C421="","",IFERROR(IF(INDEX(Deals!$I$2:$I$355,MATCH($C421,Deals!$A$2:$A$355,0))=0,"",INDEX(Deals!$I$2:$I$355,MATCH($C421,Deals!$A$2:$A$355,0))),""))</f>
        <v/>
      </c>
      <c r="M421" s="22">
        <f>IF($C421="","",IFERROR(IF(INDEX(Deals!$J$2:$J$355,MATCH($C421,Deals!$A$2:$A$355,0))=0,"",INDEX(Deals!$J$2:$J$355,MATCH($C421,Deals!$A$2:$A$355,0))),""))</f>
        <v/>
      </c>
      <c r="N421" s="35">
        <f>IF($L421="",DATE(1900,1,1),$L421)</f>
        <v/>
      </c>
      <c r="O421" s="35">
        <f>IF($M421="",DATE(2100,12,31),$M421)</f>
        <v/>
      </c>
      <c r="P421" s="20" t="inlineStr"/>
      <c r="Q421" s="43" t="inlineStr"/>
      <c r="R421" s="16">
        <f>IF($C421="","",IFERROR(IF(INDEX(Deals!$U$2:$U$355,MATCH($C421,Deals!$A$2:$A$355,0))=0,"",INDEX(Deals!$U$2:$U$355,MATCH($C421,Deals!$A$2:$A$355,0))),""))</f>
        <v/>
      </c>
      <c r="S421" s="34">
        <f>IFERROR(IF($U421="",1,INDEX(Deals!$V$2:$V$355,MATCH($C421,Deals!$A$2:$A$355,0))),1)</f>
        <v/>
      </c>
      <c r="T421" s="34">
        <f>IFERROR(IF($U421="",1,INDEX(Deals!$W$2:$W$355,MATCH($C421,Deals!$A$2:$A$355,0))),1)</f>
        <v/>
      </c>
      <c r="U421" s="22">
        <f>IF($C421="","",IFERROR(IF(INDEX(Deals!$Y$2:$Y$355,MATCH($C421,Deals!$A$2:$A$355,0))=0,"",INDEX(Deals!$Y$2:$Y$355,MATCH($C421,Deals!$A$2:$A$355,0))),""))</f>
        <v/>
      </c>
      <c r="V421" s="35">
        <f>IF($U421="",DATE(1900,1,1),$N421)</f>
        <v/>
      </c>
      <c r="W421" s="35">
        <f>IF($U421="",DATE(2100,12,31),$U421)</f>
        <v/>
      </c>
      <c r="X421" s="32">
        <f>IF($U421="",$K421,$K421*$S421)</f>
        <v/>
      </c>
      <c r="Y421" s="35">
        <f>IF($U421="",DATE(2100,12,31),$U421+1)</f>
        <v/>
      </c>
      <c r="Z421" s="35">
        <f>IF($U421="",DATE(1900,1,1),$O421)</f>
        <v/>
      </c>
      <c r="AA421" s="32">
        <f>IF($U421="",0,$K421*$T421)</f>
        <v/>
      </c>
      <c r="AB421" s="21">
        <f>IF($C421="",0,IFERROR(INDEX(Deals!$AD$2:$AD$355,MATCH($C421,Deals!$A$2:$A$355,0)),0))</f>
        <v/>
      </c>
      <c r="AC421" s="32">
        <f>IF(Settings!$B$4="Yes",$I421*$AB421,$I421)</f>
        <v/>
      </c>
      <c r="AD421" s="22">
        <f>IF($C421="","",IFERROR(IF(INDEX(Deals!$AE$2:$AE$355,MATCH($C421,Deals!$A$2:$A$355,0))=0,"",INDEX(Deals!$AE$2:$AE$355,MATCH($C421,Deals!$A$2:$A$355,0))),""))</f>
        <v/>
      </c>
      <c r="AE421" s="22">
        <f>IF($C421="","",IFERROR(IF(INDEX(Deals!$AF$2:$AF$355,MATCH($C421,Deals!$A$2:$A$355,0))=0,"",INDEX(Deals!$AF$2:$AF$355,MATCH($C421,Deals!$A$2:$A$355,0))),""))</f>
        <v/>
      </c>
      <c r="AF421" s="35">
        <f>IF($AD421="",DATE(1900,1,1),$AD421)</f>
        <v/>
      </c>
      <c r="AG421" s="35">
        <f>IF($AE421="",DATE(2100,12,31),$AE421)</f>
        <v/>
      </c>
      <c r="AH421" s="22">
        <f>IF($C421="","",IFERROR(IF(INDEX(Deals!$AG$2:$AG$355,MATCH($C421,Deals!$A$2:$A$355,0))=0,"",INDEX(Deals!$AG$2:$AG$355,MATCH($C421,Deals!$A$2:$A$355,0))),""))</f>
        <v/>
      </c>
      <c r="AI421" s="35">
        <f>IF($AH421="",DATE(1900,1,1),$AF421)</f>
        <v/>
      </c>
      <c r="AJ421" s="35">
        <f>IF($AH421="",DATE(2100,12,31),$AH421)</f>
        <v/>
      </c>
      <c r="AK421" s="32">
        <f>IF($AH421="",$AC421,$AC421*$S421)</f>
        <v/>
      </c>
      <c r="AL421" s="35">
        <f>IF($AH421="",DATE(2100,12,31),$AH421+1)</f>
        <v/>
      </c>
      <c r="AM421" s="35">
        <f>IF($AH421="",DATE(1900,1,1),$AG421)</f>
        <v/>
      </c>
      <c r="AN421" s="32">
        <f>IF($AH421="",0,$AC421*$T421)</f>
        <v/>
      </c>
    </row>
    <row r="422">
      <c r="A422" s="28" t="inlineStr">
        <is>
          <t>Vidhi</t>
        </is>
      </c>
      <c r="B422" s="16">
        <f>IF($A422="","",IFERROR(INDEX(Roster!$B$2:$B$40,MATCH($A422,Roster!$A$2:$A$40,0)),"?"))</f>
        <v/>
      </c>
      <c r="C422" s="28" t="inlineStr">
        <is>
          <t>MIF_1</t>
        </is>
      </c>
      <c r="D422" s="16">
        <f>IF($C422="","",IFERROR(IF(INDEX(Deals!$C$2:$C$355,MATCH($C422,Deals!$A$2:$A$355,0))=0,"",INDEX(Deals!$C$2:$C$355,MATCH($C422,Deals!$A$2:$A$355,0))),"?"))</f>
        <v/>
      </c>
      <c r="E422" s="16">
        <f>IF($C422="","",IFERROR(INDEX(Deals!$F$2:$F$355,MATCH($C422,Deals!$A$2:$A$355,0)),"?"))</f>
        <v/>
      </c>
      <c r="F422" s="28" t="inlineStr">
        <is>
          <t>Senior Associate</t>
        </is>
      </c>
      <c r="G422" s="28" t="inlineStr">
        <is>
          <t>Active</t>
        </is>
      </c>
      <c r="H422" s="31" t="n"/>
      <c r="I422" s="32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1">
        <f>IF($C422="",0,IFERROR(INDEX(Deals!$H$2:$H$355,MATCH($C422,Deals!$A$2:$A$355,0)),0))</f>
        <v/>
      </c>
      <c r="K422" s="32">
        <f>IF(Settings!$B$4="Yes",$I422*$J422,$I422)</f>
        <v/>
      </c>
      <c r="L422" s="22">
        <f>IF($C422="","",IFERROR(IF(INDEX(Deals!$I$2:$I$355,MATCH($C422,Deals!$A$2:$A$355,0))=0,"",INDEX(Deals!$I$2:$I$355,MATCH($C422,Deals!$A$2:$A$355,0))),""))</f>
        <v/>
      </c>
      <c r="M422" s="22">
        <f>IF($C422="","",IFERROR(IF(INDEX(Deals!$J$2:$J$355,MATCH($C422,Deals!$A$2:$A$355,0))=0,"",INDEX(Deals!$J$2:$J$355,MATCH($C422,Deals!$A$2:$A$355,0))),""))</f>
        <v/>
      </c>
      <c r="N422" s="35">
        <f>IF($L422="",DATE(1900,1,1),$L422)</f>
        <v/>
      </c>
      <c r="O422" s="35">
        <f>IF($M422="",DATE(2100,12,31),$M422)</f>
        <v/>
      </c>
      <c r="P422" s="20" t="inlineStr"/>
      <c r="Q422" s="43" t="inlineStr"/>
      <c r="R422" s="16">
        <f>IF($C422="","",IFERROR(IF(INDEX(Deals!$U$2:$U$355,MATCH($C422,Deals!$A$2:$A$355,0))=0,"",INDEX(Deals!$U$2:$U$355,MATCH($C422,Deals!$A$2:$A$355,0))),""))</f>
        <v/>
      </c>
      <c r="S422" s="34">
        <f>IFERROR(IF($U422="",1,INDEX(Deals!$V$2:$V$355,MATCH($C422,Deals!$A$2:$A$355,0))),1)</f>
        <v/>
      </c>
      <c r="T422" s="34">
        <f>IFERROR(IF($U422="",1,INDEX(Deals!$W$2:$W$355,MATCH($C422,Deals!$A$2:$A$355,0))),1)</f>
        <v/>
      </c>
      <c r="U422" s="22">
        <f>IF($C422="","",IFERROR(IF(INDEX(Deals!$Y$2:$Y$355,MATCH($C422,Deals!$A$2:$A$355,0))=0,"",INDEX(Deals!$Y$2:$Y$355,MATCH($C422,Deals!$A$2:$A$355,0))),""))</f>
        <v/>
      </c>
      <c r="V422" s="35">
        <f>IF($U422="",DATE(1900,1,1),$N422)</f>
        <v/>
      </c>
      <c r="W422" s="35">
        <f>IF($U422="",DATE(2100,12,31),$U422)</f>
        <v/>
      </c>
      <c r="X422" s="32">
        <f>IF($U422="",$K422,$K422*$S422)</f>
        <v/>
      </c>
      <c r="Y422" s="35">
        <f>IF($U422="",DATE(2100,12,31),$U422+1)</f>
        <v/>
      </c>
      <c r="Z422" s="35">
        <f>IF($U422="",DATE(1900,1,1),$O422)</f>
        <v/>
      </c>
      <c r="AA422" s="32">
        <f>IF($U422="",0,$K422*$T422)</f>
        <v/>
      </c>
      <c r="AB422" s="21">
        <f>IF($C422="",0,IFERROR(INDEX(Deals!$AD$2:$AD$355,MATCH($C422,Deals!$A$2:$A$355,0)),0))</f>
        <v/>
      </c>
      <c r="AC422" s="32">
        <f>IF(Settings!$B$4="Yes",$I422*$AB422,$I422)</f>
        <v/>
      </c>
      <c r="AD422" s="22">
        <f>IF($C422="","",IFERROR(IF(INDEX(Deals!$AE$2:$AE$355,MATCH($C422,Deals!$A$2:$A$355,0))=0,"",INDEX(Deals!$AE$2:$AE$355,MATCH($C422,Deals!$A$2:$A$355,0))),""))</f>
        <v/>
      </c>
      <c r="AE422" s="22">
        <f>IF($C422="","",IFERROR(IF(INDEX(Deals!$AF$2:$AF$355,MATCH($C422,Deals!$A$2:$A$355,0))=0,"",INDEX(Deals!$AF$2:$AF$355,MATCH($C422,Deals!$A$2:$A$355,0))),""))</f>
        <v/>
      </c>
      <c r="AF422" s="35">
        <f>IF($AD422="",DATE(1900,1,1),$AD422)</f>
        <v/>
      </c>
      <c r="AG422" s="35">
        <f>IF($AE422="",DATE(2100,12,31),$AE422)</f>
        <v/>
      </c>
      <c r="AH422" s="22">
        <f>IF($C422="","",IFERROR(IF(INDEX(Deals!$AG$2:$AG$355,MATCH($C422,Deals!$A$2:$A$355,0))=0,"",INDEX(Deals!$AG$2:$AG$355,MATCH($C422,Deals!$A$2:$A$355,0))),""))</f>
        <v/>
      </c>
      <c r="AI422" s="35">
        <f>IF($AH422="",DATE(1900,1,1),$AF422)</f>
        <v/>
      </c>
      <c r="AJ422" s="35">
        <f>IF($AH422="",DATE(2100,12,31),$AH422)</f>
        <v/>
      </c>
      <c r="AK422" s="32">
        <f>IF($AH422="",$AC422,$AC422*$S422)</f>
        <v/>
      </c>
      <c r="AL422" s="35">
        <f>IF($AH422="",DATE(2100,12,31),$AH422+1)</f>
        <v/>
      </c>
      <c r="AM422" s="35">
        <f>IF($AH422="",DATE(1900,1,1),$AG422)</f>
        <v/>
      </c>
      <c r="AN422" s="32">
        <f>IF($AH422="",0,$AC422*$T422)</f>
        <v/>
      </c>
    </row>
    <row r="423">
      <c r="A423" s="28" t="inlineStr">
        <is>
          <t>Vidhi</t>
        </is>
      </c>
      <c r="B423" s="16">
        <f>IF($A423="","",IFERROR(INDEX(Roster!$B$2:$B$40,MATCH($A423,Roster!$A$2:$A$40,0)),"?"))</f>
        <v/>
      </c>
      <c r="C423" s="28" t="inlineStr">
        <is>
          <t>Pocket_1</t>
        </is>
      </c>
      <c r="D423" s="16">
        <f>IF($C423="","",IFERROR(IF(INDEX(Deals!$C$2:$C$355,MATCH($C423,Deals!$A$2:$A$355,0))=0,"",INDEX(Deals!$C$2:$C$355,MATCH($C423,Deals!$A$2:$A$355,0))),"?"))</f>
        <v/>
      </c>
      <c r="E423" s="16">
        <f>IF($C423="","",IFERROR(INDEX(Deals!$F$2:$F$355,MATCH($C423,Deals!$A$2:$A$355,0)),"?"))</f>
        <v/>
      </c>
      <c r="F423" s="28" t="inlineStr">
        <is>
          <t>Senior Associate</t>
        </is>
      </c>
      <c r="G423" s="28" t="inlineStr">
        <is>
          <t>Active</t>
        </is>
      </c>
      <c r="H423" s="31" t="n"/>
      <c r="I423" s="32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1">
        <f>IF($C423="",0,IFERROR(INDEX(Deals!$H$2:$H$355,MATCH($C423,Deals!$A$2:$A$355,0)),0))</f>
        <v/>
      </c>
      <c r="K423" s="32">
        <f>IF(Settings!$B$4="Yes",$I423*$J423,$I423)</f>
        <v/>
      </c>
      <c r="L423" s="22">
        <f>IF($C423="","",IFERROR(IF(INDEX(Deals!$I$2:$I$355,MATCH($C423,Deals!$A$2:$A$355,0))=0,"",INDEX(Deals!$I$2:$I$355,MATCH($C423,Deals!$A$2:$A$355,0))),""))</f>
        <v/>
      </c>
      <c r="M423" s="22">
        <f>IF($C423="","",IFERROR(IF(INDEX(Deals!$J$2:$J$355,MATCH($C423,Deals!$A$2:$A$355,0))=0,"",INDEX(Deals!$J$2:$J$355,MATCH($C423,Deals!$A$2:$A$355,0))),""))</f>
        <v/>
      </c>
      <c r="N423" s="35">
        <f>IF($L423="",DATE(1900,1,1),$L423)</f>
        <v/>
      </c>
      <c r="O423" s="35">
        <f>IF($M423="",DATE(2100,12,31),$M423)</f>
        <v/>
      </c>
      <c r="P423" s="20" t="inlineStr"/>
      <c r="Q423" s="43" t="inlineStr"/>
      <c r="R423" s="16">
        <f>IF($C423="","",IFERROR(IF(INDEX(Deals!$U$2:$U$355,MATCH($C423,Deals!$A$2:$A$355,0))=0,"",INDEX(Deals!$U$2:$U$355,MATCH($C423,Deals!$A$2:$A$355,0))),""))</f>
        <v/>
      </c>
      <c r="S423" s="34">
        <f>IFERROR(IF($U423="",1,INDEX(Deals!$V$2:$V$355,MATCH($C423,Deals!$A$2:$A$355,0))),1)</f>
        <v/>
      </c>
      <c r="T423" s="34">
        <f>IFERROR(IF($U423="",1,INDEX(Deals!$W$2:$W$355,MATCH($C423,Deals!$A$2:$A$355,0))),1)</f>
        <v/>
      </c>
      <c r="U423" s="22">
        <f>IF($C423="","",IFERROR(IF(INDEX(Deals!$Y$2:$Y$355,MATCH($C423,Deals!$A$2:$A$355,0))=0,"",INDEX(Deals!$Y$2:$Y$355,MATCH($C423,Deals!$A$2:$A$355,0))),""))</f>
        <v/>
      </c>
      <c r="V423" s="35">
        <f>IF($U423="",DATE(1900,1,1),$N423)</f>
        <v/>
      </c>
      <c r="W423" s="35">
        <f>IF($U423="",DATE(2100,12,31),$U423)</f>
        <v/>
      </c>
      <c r="X423" s="32">
        <f>IF($U423="",$K423,$K423*$S423)</f>
        <v/>
      </c>
      <c r="Y423" s="35">
        <f>IF($U423="",DATE(2100,12,31),$U423+1)</f>
        <v/>
      </c>
      <c r="Z423" s="35">
        <f>IF($U423="",DATE(1900,1,1),$O423)</f>
        <v/>
      </c>
      <c r="AA423" s="32">
        <f>IF($U423="",0,$K423*$T423)</f>
        <v/>
      </c>
      <c r="AB423" s="21">
        <f>IF($C423="",0,IFERROR(INDEX(Deals!$AD$2:$AD$355,MATCH($C423,Deals!$A$2:$A$355,0)),0))</f>
        <v/>
      </c>
      <c r="AC423" s="32">
        <f>IF(Settings!$B$4="Yes",$I423*$AB423,$I423)</f>
        <v/>
      </c>
      <c r="AD423" s="22">
        <f>IF($C423="","",IFERROR(IF(INDEX(Deals!$AE$2:$AE$355,MATCH($C423,Deals!$A$2:$A$355,0))=0,"",INDEX(Deals!$AE$2:$AE$355,MATCH($C423,Deals!$A$2:$A$355,0))),""))</f>
        <v/>
      </c>
      <c r="AE423" s="22">
        <f>IF($C423="","",IFERROR(IF(INDEX(Deals!$AF$2:$AF$355,MATCH($C423,Deals!$A$2:$A$355,0))=0,"",INDEX(Deals!$AF$2:$AF$355,MATCH($C423,Deals!$A$2:$A$355,0))),""))</f>
        <v/>
      </c>
      <c r="AF423" s="35">
        <f>IF($AD423="",DATE(1900,1,1),$AD423)</f>
        <v/>
      </c>
      <c r="AG423" s="35">
        <f>IF($AE423="",DATE(2100,12,31),$AE423)</f>
        <v/>
      </c>
      <c r="AH423" s="22">
        <f>IF($C423="","",IFERROR(IF(INDEX(Deals!$AG$2:$AG$355,MATCH($C423,Deals!$A$2:$A$355,0))=0,"",INDEX(Deals!$AG$2:$AG$355,MATCH($C423,Deals!$A$2:$A$355,0))),""))</f>
        <v/>
      </c>
      <c r="AI423" s="35">
        <f>IF($AH423="",DATE(1900,1,1),$AF423)</f>
        <v/>
      </c>
      <c r="AJ423" s="35">
        <f>IF($AH423="",DATE(2100,12,31),$AH423)</f>
        <v/>
      </c>
      <c r="AK423" s="32">
        <f>IF($AH423="",$AC423,$AC423*$S423)</f>
        <v/>
      </c>
      <c r="AL423" s="35">
        <f>IF($AH423="",DATE(2100,12,31),$AH423+1)</f>
        <v/>
      </c>
      <c r="AM423" s="35">
        <f>IF($AH423="",DATE(1900,1,1),$AG423)</f>
        <v/>
      </c>
      <c r="AN423" s="32">
        <f>IF($AH423="",0,$AC423*$T423)</f>
        <v/>
      </c>
    </row>
    <row r="424">
      <c r="A424" s="28" t="inlineStr">
        <is>
          <t>Vidhi</t>
        </is>
      </c>
      <c r="B424" s="16">
        <f>IF($A424="","",IFERROR(INDEX(Roster!$B$2:$B$40,MATCH($A424,Roster!$A$2:$A$40,0)),"?"))</f>
        <v/>
      </c>
      <c r="C424" s="28" t="inlineStr">
        <is>
          <t>Prince_2</t>
        </is>
      </c>
      <c r="D424" s="16">
        <f>IF($C424="","",IFERROR(IF(INDEX(Deals!$C$2:$C$355,MATCH($C424,Deals!$A$2:$A$355,0))=0,"",INDEX(Deals!$C$2:$C$355,MATCH($C424,Deals!$A$2:$A$355,0))),"?"))</f>
        <v/>
      </c>
      <c r="E424" s="16">
        <f>IF($C424="","",IFERROR(INDEX(Deals!$F$2:$F$355,MATCH($C424,Deals!$A$2:$A$355,0)),"?"))</f>
        <v/>
      </c>
      <c r="F424" s="28" t="inlineStr">
        <is>
          <t>Senior Associate</t>
        </is>
      </c>
      <c r="G424" s="28" t="inlineStr">
        <is>
          <t>Active</t>
        </is>
      </c>
      <c r="H424" s="31" t="n"/>
      <c r="I424" s="32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1">
        <f>IF($C424="",0,IFERROR(INDEX(Deals!$H$2:$H$355,MATCH($C424,Deals!$A$2:$A$355,0)),0))</f>
        <v/>
      </c>
      <c r="K424" s="32">
        <f>IF(Settings!$B$4="Yes",$I424*$J424,$I424)</f>
        <v/>
      </c>
      <c r="L424" s="22">
        <f>IF($C424="","",IFERROR(IF(INDEX(Deals!$I$2:$I$355,MATCH($C424,Deals!$A$2:$A$355,0))=0,"",INDEX(Deals!$I$2:$I$355,MATCH($C424,Deals!$A$2:$A$355,0))),""))</f>
        <v/>
      </c>
      <c r="M424" s="22">
        <f>IF($C424="","",IFERROR(IF(INDEX(Deals!$J$2:$J$355,MATCH($C424,Deals!$A$2:$A$355,0))=0,"",INDEX(Deals!$J$2:$J$355,MATCH($C424,Deals!$A$2:$A$355,0))),""))</f>
        <v/>
      </c>
      <c r="N424" s="35">
        <f>IF($L424="",DATE(1900,1,1),$L424)</f>
        <v/>
      </c>
      <c r="O424" s="35">
        <f>IF($M424="",DATE(2100,12,31),$M424)</f>
        <v/>
      </c>
      <c r="P424" s="20" t="inlineStr"/>
      <c r="Q424" s="43" t="inlineStr"/>
      <c r="R424" s="16">
        <f>IF($C424="","",IFERROR(IF(INDEX(Deals!$U$2:$U$355,MATCH($C424,Deals!$A$2:$A$355,0))=0,"",INDEX(Deals!$U$2:$U$355,MATCH($C424,Deals!$A$2:$A$355,0))),""))</f>
        <v/>
      </c>
      <c r="S424" s="34">
        <f>IFERROR(IF($U424="",1,INDEX(Deals!$V$2:$V$355,MATCH($C424,Deals!$A$2:$A$355,0))),1)</f>
        <v/>
      </c>
      <c r="T424" s="34">
        <f>IFERROR(IF($U424="",1,INDEX(Deals!$W$2:$W$355,MATCH($C424,Deals!$A$2:$A$355,0))),1)</f>
        <v/>
      </c>
      <c r="U424" s="22">
        <f>IF($C424="","",IFERROR(IF(INDEX(Deals!$Y$2:$Y$355,MATCH($C424,Deals!$A$2:$A$355,0))=0,"",INDEX(Deals!$Y$2:$Y$355,MATCH($C424,Deals!$A$2:$A$355,0))),""))</f>
        <v/>
      </c>
      <c r="V424" s="35">
        <f>IF($U424="",DATE(1900,1,1),$N424)</f>
        <v/>
      </c>
      <c r="W424" s="35">
        <f>IF($U424="",DATE(2100,12,31),$U424)</f>
        <v/>
      </c>
      <c r="X424" s="32">
        <f>IF($U424="",$K424,$K424*$S424)</f>
        <v/>
      </c>
      <c r="Y424" s="35">
        <f>IF($U424="",DATE(2100,12,31),$U424+1)</f>
        <v/>
      </c>
      <c r="Z424" s="35">
        <f>IF($U424="",DATE(1900,1,1),$O424)</f>
        <v/>
      </c>
      <c r="AA424" s="32">
        <f>IF($U424="",0,$K424*$T424)</f>
        <v/>
      </c>
      <c r="AB424" s="21">
        <f>IF($C424="",0,IFERROR(INDEX(Deals!$AD$2:$AD$355,MATCH($C424,Deals!$A$2:$A$355,0)),0))</f>
        <v/>
      </c>
      <c r="AC424" s="32">
        <f>IF(Settings!$B$4="Yes",$I424*$AB424,$I424)</f>
        <v/>
      </c>
      <c r="AD424" s="22">
        <f>IF($C424="","",IFERROR(IF(INDEX(Deals!$AE$2:$AE$355,MATCH($C424,Deals!$A$2:$A$355,0))=0,"",INDEX(Deals!$AE$2:$AE$355,MATCH($C424,Deals!$A$2:$A$355,0))),""))</f>
        <v/>
      </c>
      <c r="AE424" s="22">
        <f>IF($C424="","",IFERROR(IF(INDEX(Deals!$AF$2:$AF$355,MATCH($C424,Deals!$A$2:$A$355,0))=0,"",INDEX(Deals!$AF$2:$AF$355,MATCH($C424,Deals!$A$2:$A$355,0))),""))</f>
        <v/>
      </c>
      <c r="AF424" s="35">
        <f>IF($AD424="",DATE(1900,1,1),$AD424)</f>
        <v/>
      </c>
      <c r="AG424" s="35">
        <f>IF($AE424="",DATE(2100,12,31),$AE424)</f>
        <v/>
      </c>
      <c r="AH424" s="22">
        <f>IF($C424="","",IFERROR(IF(INDEX(Deals!$AG$2:$AG$355,MATCH($C424,Deals!$A$2:$A$355,0))=0,"",INDEX(Deals!$AG$2:$AG$355,MATCH($C424,Deals!$A$2:$A$355,0))),""))</f>
        <v/>
      </c>
      <c r="AI424" s="35">
        <f>IF($AH424="",DATE(1900,1,1),$AF424)</f>
        <v/>
      </c>
      <c r="AJ424" s="35">
        <f>IF($AH424="",DATE(2100,12,31),$AH424)</f>
        <v/>
      </c>
      <c r="AK424" s="32">
        <f>IF($AH424="",$AC424,$AC424*$S424)</f>
        <v/>
      </c>
      <c r="AL424" s="35">
        <f>IF($AH424="",DATE(2100,12,31),$AH424+1)</f>
        <v/>
      </c>
      <c r="AM424" s="35">
        <f>IF($AH424="",DATE(1900,1,1),$AG424)</f>
        <v/>
      </c>
      <c r="AN424" s="32">
        <f>IF($AH424="",0,$AC424*$T424)</f>
        <v/>
      </c>
    </row>
    <row r="425">
      <c r="A425" s="28" t="inlineStr">
        <is>
          <t>Vidhi</t>
        </is>
      </c>
      <c r="B425" s="16">
        <f>IF($A425="","",IFERROR(INDEX(Roster!$B$2:$B$40,MATCH($A425,Roster!$A$2:$A$40,0)),"?"))</f>
        <v/>
      </c>
      <c r="C425" s="28" t="inlineStr">
        <is>
          <t>Prolydian_1</t>
        </is>
      </c>
      <c r="D425" s="16">
        <f>IF($C425="","",IFERROR(IF(INDEX(Deals!$C$2:$C$355,MATCH($C425,Deals!$A$2:$A$355,0))=0,"",INDEX(Deals!$C$2:$C$355,MATCH($C425,Deals!$A$2:$A$355,0))),"?"))</f>
        <v/>
      </c>
      <c r="E425" s="16">
        <f>IF($C425="","",IFERROR(INDEX(Deals!$F$2:$F$355,MATCH($C425,Deals!$A$2:$A$355,0)),"?"))</f>
        <v/>
      </c>
      <c r="F425" s="28" t="inlineStr">
        <is>
          <t>Senior Associate</t>
        </is>
      </c>
      <c r="G425" s="28" t="inlineStr">
        <is>
          <t>Active</t>
        </is>
      </c>
      <c r="H425" s="31" t="n"/>
      <c r="I425" s="32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1">
        <f>IF($C425="",0,IFERROR(INDEX(Deals!$H$2:$H$355,MATCH($C425,Deals!$A$2:$A$355,0)),0))</f>
        <v/>
      </c>
      <c r="K425" s="32">
        <f>IF(Settings!$B$4="Yes",$I425*$J425,$I425)</f>
        <v/>
      </c>
      <c r="L425" s="22">
        <f>IF($C425="","",IFERROR(IF(INDEX(Deals!$I$2:$I$355,MATCH($C425,Deals!$A$2:$A$355,0))=0,"",INDEX(Deals!$I$2:$I$355,MATCH($C425,Deals!$A$2:$A$355,0))),""))</f>
        <v/>
      </c>
      <c r="M425" s="22">
        <f>IF($C425="","",IFERROR(IF(INDEX(Deals!$J$2:$J$355,MATCH($C425,Deals!$A$2:$A$355,0))=0,"",INDEX(Deals!$J$2:$J$355,MATCH($C425,Deals!$A$2:$A$355,0))),""))</f>
        <v/>
      </c>
      <c r="N425" s="35">
        <f>IF($L425="",DATE(1900,1,1),$L425)</f>
        <v/>
      </c>
      <c r="O425" s="35">
        <f>IF($M425="",DATE(2100,12,31),$M425)</f>
        <v/>
      </c>
      <c r="P425" s="20" t="inlineStr"/>
      <c r="Q425" s="43" t="inlineStr"/>
      <c r="R425" s="16">
        <f>IF($C425="","",IFERROR(IF(INDEX(Deals!$U$2:$U$355,MATCH($C425,Deals!$A$2:$A$355,0))=0,"",INDEX(Deals!$U$2:$U$355,MATCH($C425,Deals!$A$2:$A$355,0))),""))</f>
        <v/>
      </c>
      <c r="S425" s="34">
        <f>IFERROR(IF($U425="",1,INDEX(Deals!$V$2:$V$355,MATCH($C425,Deals!$A$2:$A$355,0))),1)</f>
        <v/>
      </c>
      <c r="T425" s="34">
        <f>IFERROR(IF($U425="",1,INDEX(Deals!$W$2:$W$355,MATCH($C425,Deals!$A$2:$A$355,0))),1)</f>
        <v/>
      </c>
      <c r="U425" s="22">
        <f>IF($C425="","",IFERROR(IF(INDEX(Deals!$Y$2:$Y$355,MATCH($C425,Deals!$A$2:$A$355,0))=0,"",INDEX(Deals!$Y$2:$Y$355,MATCH($C425,Deals!$A$2:$A$355,0))),""))</f>
        <v/>
      </c>
      <c r="V425" s="35">
        <f>IF($U425="",DATE(1900,1,1),$N425)</f>
        <v/>
      </c>
      <c r="W425" s="35">
        <f>IF($U425="",DATE(2100,12,31),$U425)</f>
        <v/>
      </c>
      <c r="X425" s="32">
        <f>IF($U425="",$K425,$K425*$S425)</f>
        <v/>
      </c>
      <c r="Y425" s="35">
        <f>IF($U425="",DATE(2100,12,31),$U425+1)</f>
        <v/>
      </c>
      <c r="Z425" s="35">
        <f>IF($U425="",DATE(1900,1,1),$O425)</f>
        <v/>
      </c>
      <c r="AA425" s="32">
        <f>IF($U425="",0,$K425*$T425)</f>
        <v/>
      </c>
      <c r="AB425" s="21">
        <f>IF($C425="",0,IFERROR(INDEX(Deals!$AD$2:$AD$355,MATCH($C425,Deals!$A$2:$A$355,0)),0))</f>
        <v/>
      </c>
      <c r="AC425" s="32">
        <f>IF(Settings!$B$4="Yes",$I425*$AB425,$I425)</f>
        <v/>
      </c>
      <c r="AD425" s="22">
        <f>IF($C425="","",IFERROR(IF(INDEX(Deals!$AE$2:$AE$355,MATCH($C425,Deals!$A$2:$A$355,0))=0,"",INDEX(Deals!$AE$2:$AE$355,MATCH($C425,Deals!$A$2:$A$355,0))),""))</f>
        <v/>
      </c>
      <c r="AE425" s="22">
        <f>IF($C425="","",IFERROR(IF(INDEX(Deals!$AF$2:$AF$355,MATCH($C425,Deals!$A$2:$A$355,0))=0,"",INDEX(Deals!$AF$2:$AF$355,MATCH($C425,Deals!$A$2:$A$355,0))),""))</f>
        <v/>
      </c>
      <c r="AF425" s="35">
        <f>IF($AD425="",DATE(1900,1,1),$AD425)</f>
        <v/>
      </c>
      <c r="AG425" s="35">
        <f>IF($AE425="",DATE(2100,12,31),$AE425)</f>
        <v/>
      </c>
      <c r="AH425" s="22">
        <f>IF($C425="","",IFERROR(IF(INDEX(Deals!$AG$2:$AG$355,MATCH($C425,Deals!$A$2:$A$355,0))=0,"",INDEX(Deals!$AG$2:$AG$355,MATCH($C425,Deals!$A$2:$A$355,0))),""))</f>
        <v/>
      </c>
      <c r="AI425" s="35">
        <f>IF($AH425="",DATE(1900,1,1),$AF425)</f>
        <v/>
      </c>
      <c r="AJ425" s="35">
        <f>IF($AH425="",DATE(2100,12,31),$AH425)</f>
        <v/>
      </c>
      <c r="AK425" s="32">
        <f>IF($AH425="",$AC425,$AC425*$S425)</f>
        <v/>
      </c>
      <c r="AL425" s="35">
        <f>IF($AH425="",DATE(2100,12,31),$AH425+1)</f>
        <v/>
      </c>
      <c r="AM425" s="35">
        <f>IF($AH425="",DATE(1900,1,1),$AG425)</f>
        <v/>
      </c>
      <c r="AN425" s="32">
        <f>IF($AH425="",0,$AC425*$T425)</f>
        <v/>
      </c>
    </row>
    <row r="426">
      <c r="A426" s="28" t="inlineStr">
        <is>
          <t>Vidhi</t>
        </is>
      </c>
      <c r="B426" s="16">
        <f>IF($A426="","",IFERROR(INDEX(Roster!$B$2:$B$40,MATCH($A426,Roster!$A$2:$A$40,0)),"?"))</f>
        <v/>
      </c>
      <c r="C426" s="28" t="inlineStr">
        <is>
          <t>Pythagoras_1</t>
        </is>
      </c>
      <c r="D426" s="16">
        <f>IF($C426="","",IFERROR(IF(INDEX(Deals!$C$2:$C$355,MATCH($C426,Deals!$A$2:$A$355,0))=0,"",INDEX(Deals!$C$2:$C$355,MATCH($C426,Deals!$A$2:$A$355,0))),"?"))</f>
        <v/>
      </c>
      <c r="E426" s="16">
        <f>IF($C426="","",IFERROR(INDEX(Deals!$F$2:$F$355,MATCH($C426,Deals!$A$2:$A$355,0)),"?"))</f>
        <v/>
      </c>
      <c r="F426" s="28" t="inlineStr">
        <is>
          <t>Senior Associate</t>
        </is>
      </c>
      <c r="G426" s="28" t="inlineStr">
        <is>
          <t>Active</t>
        </is>
      </c>
      <c r="H426" s="31" t="n"/>
      <c r="I426" s="32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1">
        <f>IF($C426="",0,IFERROR(INDEX(Deals!$H$2:$H$355,MATCH($C426,Deals!$A$2:$A$355,0)),0))</f>
        <v/>
      </c>
      <c r="K426" s="32">
        <f>IF(Settings!$B$4="Yes",$I426*$J426,$I426)</f>
        <v/>
      </c>
      <c r="L426" s="22">
        <f>IF($C426="","",IFERROR(IF(INDEX(Deals!$I$2:$I$355,MATCH($C426,Deals!$A$2:$A$355,0))=0,"",INDEX(Deals!$I$2:$I$355,MATCH($C426,Deals!$A$2:$A$355,0))),""))</f>
        <v/>
      </c>
      <c r="M426" s="22">
        <f>IF($C426="","",IFERROR(IF(INDEX(Deals!$J$2:$J$355,MATCH($C426,Deals!$A$2:$A$355,0))=0,"",INDEX(Deals!$J$2:$J$355,MATCH($C426,Deals!$A$2:$A$355,0))),""))</f>
        <v/>
      </c>
      <c r="N426" s="35">
        <f>IF($L426="",DATE(1900,1,1),$L426)</f>
        <v/>
      </c>
      <c r="O426" s="35">
        <f>IF($M426="",DATE(2100,12,31),$M426)</f>
        <v/>
      </c>
      <c r="P426" s="20" t="inlineStr"/>
      <c r="Q426" s="43" t="inlineStr"/>
      <c r="R426" s="16">
        <f>IF($C426="","",IFERROR(IF(INDEX(Deals!$U$2:$U$355,MATCH($C426,Deals!$A$2:$A$355,0))=0,"",INDEX(Deals!$U$2:$U$355,MATCH($C426,Deals!$A$2:$A$355,0))),""))</f>
        <v/>
      </c>
      <c r="S426" s="34">
        <f>IFERROR(IF($U426="",1,INDEX(Deals!$V$2:$V$355,MATCH($C426,Deals!$A$2:$A$355,0))),1)</f>
        <v/>
      </c>
      <c r="T426" s="34">
        <f>IFERROR(IF($U426="",1,INDEX(Deals!$W$2:$W$355,MATCH($C426,Deals!$A$2:$A$355,0))),1)</f>
        <v/>
      </c>
      <c r="U426" s="22">
        <f>IF($C426="","",IFERROR(IF(INDEX(Deals!$Y$2:$Y$355,MATCH($C426,Deals!$A$2:$A$355,0))=0,"",INDEX(Deals!$Y$2:$Y$355,MATCH($C426,Deals!$A$2:$A$355,0))),""))</f>
        <v/>
      </c>
      <c r="V426" s="35">
        <f>IF($U426="",DATE(1900,1,1),$N426)</f>
        <v/>
      </c>
      <c r="W426" s="35">
        <f>IF($U426="",DATE(2100,12,31),$U426)</f>
        <v/>
      </c>
      <c r="X426" s="32">
        <f>IF($U426="",$K426,$K426*$S426)</f>
        <v/>
      </c>
      <c r="Y426" s="35">
        <f>IF($U426="",DATE(2100,12,31),$U426+1)</f>
        <v/>
      </c>
      <c r="Z426" s="35">
        <f>IF($U426="",DATE(1900,1,1),$O426)</f>
        <v/>
      </c>
      <c r="AA426" s="32">
        <f>IF($U426="",0,$K426*$T426)</f>
        <v/>
      </c>
      <c r="AB426" s="21">
        <f>IF($C426="",0,IFERROR(INDEX(Deals!$AD$2:$AD$355,MATCH($C426,Deals!$A$2:$A$355,0)),0))</f>
        <v/>
      </c>
      <c r="AC426" s="32">
        <f>IF(Settings!$B$4="Yes",$I426*$AB426,$I426)</f>
        <v/>
      </c>
      <c r="AD426" s="22">
        <f>IF($C426="","",IFERROR(IF(INDEX(Deals!$AE$2:$AE$355,MATCH($C426,Deals!$A$2:$A$355,0))=0,"",INDEX(Deals!$AE$2:$AE$355,MATCH($C426,Deals!$A$2:$A$355,0))),""))</f>
        <v/>
      </c>
      <c r="AE426" s="22">
        <f>IF($C426="","",IFERROR(IF(INDEX(Deals!$AF$2:$AF$355,MATCH($C426,Deals!$A$2:$A$355,0))=0,"",INDEX(Deals!$AF$2:$AF$355,MATCH($C426,Deals!$A$2:$A$355,0))),""))</f>
        <v/>
      </c>
      <c r="AF426" s="35">
        <f>IF($AD426="",DATE(1900,1,1),$AD426)</f>
        <v/>
      </c>
      <c r="AG426" s="35">
        <f>IF($AE426="",DATE(2100,12,31),$AE426)</f>
        <v/>
      </c>
      <c r="AH426" s="22">
        <f>IF($C426="","",IFERROR(IF(INDEX(Deals!$AG$2:$AG$355,MATCH($C426,Deals!$A$2:$A$355,0))=0,"",INDEX(Deals!$AG$2:$AG$355,MATCH($C426,Deals!$A$2:$A$355,0))),""))</f>
        <v/>
      </c>
      <c r="AI426" s="35">
        <f>IF($AH426="",DATE(1900,1,1),$AF426)</f>
        <v/>
      </c>
      <c r="AJ426" s="35">
        <f>IF($AH426="",DATE(2100,12,31),$AH426)</f>
        <v/>
      </c>
      <c r="AK426" s="32">
        <f>IF($AH426="",$AC426,$AC426*$S426)</f>
        <v/>
      </c>
      <c r="AL426" s="35">
        <f>IF($AH426="",DATE(2100,12,31),$AH426+1)</f>
        <v/>
      </c>
      <c r="AM426" s="35">
        <f>IF($AH426="",DATE(1900,1,1),$AG426)</f>
        <v/>
      </c>
      <c r="AN426" s="32">
        <f>IF($AH426="",0,$AC426*$T426)</f>
        <v/>
      </c>
    </row>
    <row r="427">
      <c r="A427" s="28" t="inlineStr">
        <is>
          <t>Vidhi</t>
        </is>
      </c>
      <c r="B427" s="16">
        <f>IF($A427="","",IFERROR(INDEX(Roster!$B$2:$B$40,MATCH($A427,Roster!$A$2:$A$40,0)),"?"))</f>
        <v/>
      </c>
      <c r="C427" s="28" t="inlineStr">
        <is>
          <t>Redwood_1</t>
        </is>
      </c>
      <c r="D427" s="16">
        <f>IF($C427="","",IFERROR(IF(INDEX(Deals!$C$2:$C$355,MATCH($C427,Deals!$A$2:$A$355,0))=0,"",INDEX(Deals!$C$2:$C$355,MATCH($C427,Deals!$A$2:$A$355,0))),"?"))</f>
        <v/>
      </c>
      <c r="E427" s="16">
        <f>IF($C427="","",IFERROR(INDEX(Deals!$F$2:$F$355,MATCH($C427,Deals!$A$2:$A$355,0)),"?"))</f>
        <v/>
      </c>
      <c r="F427" s="28" t="inlineStr">
        <is>
          <t>Senior Associate</t>
        </is>
      </c>
      <c r="G427" s="28" t="inlineStr">
        <is>
          <t>Active</t>
        </is>
      </c>
      <c r="H427" s="31" t="n"/>
      <c r="I427" s="32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1">
        <f>IF($C427="",0,IFERROR(INDEX(Deals!$H$2:$H$355,MATCH($C427,Deals!$A$2:$A$355,0)),0))</f>
        <v/>
      </c>
      <c r="K427" s="32">
        <f>IF(Settings!$B$4="Yes",$I427*$J427,$I427)</f>
        <v/>
      </c>
      <c r="L427" s="22">
        <f>IF($C427="","",IFERROR(IF(INDEX(Deals!$I$2:$I$355,MATCH($C427,Deals!$A$2:$A$355,0))=0,"",INDEX(Deals!$I$2:$I$355,MATCH($C427,Deals!$A$2:$A$355,0))),""))</f>
        <v/>
      </c>
      <c r="M427" s="22">
        <f>IF($C427="","",IFERROR(IF(INDEX(Deals!$J$2:$J$355,MATCH($C427,Deals!$A$2:$A$355,0))=0,"",INDEX(Deals!$J$2:$J$355,MATCH($C427,Deals!$A$2:$A$355,0))),""))</f>
        <v/>
      </c>
      <c r="N427" s="35">
        <f>IF($L427="",DATE(1900,1,1),$L427)</f>
        <v/>
      </c>
      <c r="O427" s="35">
        <f>IF($M427="",DATE(2100,12,31),$M427)</f>
        <v/>
      </c>
      <c r="P427" s="20" t="inlineStr"/>
      <c r="Q427" s="43" t="inlineStr"/>
      <c r="R427" s="16">
        <f>IF($C427="","",IFERROR(IF(INDEX(Deals!$U$2:$U$355,MATCH($C427,Deals!$A$2:$A$355,0))=0,"",INDEX(Deals!$U$2:$U$355,MATCH($C427,Deals!$A$2:$A$355,0))),""))</f>
        <v/>
      </c>
      <c r="S427" s="34">
        <f>IFERROR(IF($U427="",1,INDEX(Deals!$V$2:$V$355,MATCH($C427,Deals!$A$2:$A$355,0))),1)</f>
        <v/>
      </c>
      <c r="T427" s="34">
        <f>IFERROR(IF($U427="",1,INDEX(Deals!$W$2:$W$355,MATCH($C427,Deals!$A$2:$A$355,0))),1)</f>
        <v/>
      </c>
      <c r="U427" s="22">
        <f>IF($C427="","",IFERROR(IF(INDEX(Deals!$Y$2:$Y$355,MATCH($C427,Deals!$A$2:$A$355,0))=0,"",INDEX(Deals!$Y$2:$Y$355,MATCH($C427,Deals!$A$2:$A$355,0))),""))</f>
        <v/>
      </c>
      <c r="V427" s="35">
        <f>IF($U427="",DATE(1900,1,1),$N427)</f>
        <v/>
      </c>
      <c r="W427" s="35">
        <f>IF($U427="",DATE(2100,12,31),$U427)</f>
        <v/>
      </c>
      <c r="X427" s="32">
        <f>IF($U427="",$K427,$K427*$S427)</f>
        <v/>
      </c>
      <c r="Y427" s="35">
        <f>IF($U427="",DATE(2100,12,31),$U427+1)</f>
        <v/>
      </c>
      <c r="Z427" s="35">
        <f>IF($U427="",DATE(1900,1,1),$O427)</f>
        <v/>
      </c>
      <c r="AA427" s="32">
        <f>IF($U427="",0,$K427*$T427)</f>
        <v/>
      </c>
      <c r="AB427" s="21">
        <f>IF($C427="",0,IFERROR(INDEX(Deals!$AD$2:$AD$355,MATCH($C427,Deals!$A$2:$A$355,0)),0))</f>
        <v/>
      </c>
      <c r="AC427" s="32">
        <f>IF(Settings!$B$4="Yes",$I427*$AB427,$I427)</f>
        <v/>
      </c>
      <c r="AD427" s="22">
        <f>IF($C427="","",IFERROR(IF(INDEX(Deals!$AE$2:$AE$355,MATCH($C427,Deals!$A$2:$A$355,0))=0,"",INDEX(Deals!$AE$2:$AE$355,MATCH($C427,Deals!$A$2:$A$355,0))),""))</f>
        <v/>
      </c>
      <c r="AE427" s="22">
        <f>IF($C427="","",IFERROR(IF(INDEX(Deals!$AF$2:$AF$355,MATCH($C427,Deals!$A$2:$A$355,0))=0,"",INDEX(Deals!$AF$2:$AF$355,MATCH($C427,Deals!$A$2:$A$355,0))),""))</f>
        <v/>
      </c>
      <c r="AF427" s="35">
        <f>IF($AD427="",DATE(1900,1,1),$AD427)</f>
        <v/>
      </c>
      <c r="AG427" s="35">
        <f>IF($AE427="",DATE(2100,12,31),$AE427)</f>
        <v/>
      </c>
      <c r="AH427" s="22">
        <f>IF($C427="","",IFERROR(IF(INDEX(Deals!$AG$2:$AG$355,MATCH($C427,Deals!$A$2:$A$355,0))=0,"",INDEX(Deals!$AG$2:$AG$355,MATCH($C427,Deals!$A$2:$A$355,0))),""))</f>
        <v/>
      </c>
      <c r="AI427" s="35">
        <f>IF($AH427="",DATE(1900,1,1),$AF427)</f>
        <v/>
      </c>
      <c r="AJ427" s="35">
        <f>IF($AH427="",DATE(2100,12,31),$AH427)</f>
        <v/>
      </c>
      <c r="AK427" s="32">
        <f>IF($AH427="",$AC427,$AC427*$S427)</f>
        <v/>
      </c>
      <c r="AL427" s="35">
        <f>IF($AH427="",DATE(2100,12,31),$AH427+1)</f>
        <v/>
      </c>
      <c r="AM427" s="35">
        <f>IF($AH427="",DATE(1900,1,1),$AG427)</f>
        <v/>
      </c>
      <c r="AN427" s="32">
        <f>IF($AH427="",0,$AC427*$T427)</f>
        <v/>
      </c>
    </row>
    <row r="428">
      <c r="A428" s="28" t="inlineStr">
        <is>
          <t>Vidhi</t>
        </is>
      </c>
      <c r="B428" s="16">
        <f>IF($A428="","",IFERROR(INDEX(Roster!$B$2:$B$40,MATCH($A428,Roster!$A$2:$A$40,0)),"?"))</f>
        <v/>
      </c>
      <c r="C428" s="28" t="inlineStr">
        <is>
          <t>Resenergize_1</t>
        </is>
      </c>
      <c r="D428" s="16">
        <f>IF($C428="","",IFERROR(IF(INDEX(Deals!$C$2:$C$355,MATCH($C428,Deals!$A$2:$A$355,0))=0,"",INDEX(Deals!$C$2:$C$355,MATCH($C428,Deals!$A$2:$A$355,0))),"?"))</f>
        <v/>
      </c>
      <c r="E428" s="16">
        <f>IF($C428="","",IFERROR(INDEX(Deals!$F$2:$F$355,MATCH($C428,Deals!$A$2:$A$355,0)),"?"))</f>
        <v/>
      </c>
      <c r="F428" s="28" t="inlineStr">
        <is>
          <t>Senior Associate</t>
        </is>
      </c>
      <c r="G428" s="28" t="inlineStr">
        <is>
          <t>Active</t>
        </is>
      </c>
      <c r="H428" s="31" t="n"/>
      <c r="I428" s="32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1">
        <f>IF($C428="",0,IFERROR(INDEX(Deals!$H$2:$H$355,MATCH($C428,Deals!$A$2:$A$355,0)),0))</f>
        <v/>
      </c>
      <c r="K428" s="32">
        <f>IF(Settings!$B$4="Yes",$I428*$J428,$I428)</f>
        <v/>
      </c>
      <c r="L428" s="22">
        <f>IF($C428="","",IFERROR(IF(INDEX(Deals!$I$2:$I$355,MATCH($C428,Deals!$A$2:$A$355,0))=0,"",INDEX(Deals!$I$2:$I$355,MATCH($C428,Deals!$A$2:$A$355,0))),""))</f>
        <v/>
      </c>
      <c r="M428" s="22">
        <f>IF($C428="","",IFERROR(IF(INDEX(Deals!$J$2:$J$355,MATCH($C428,Deals!$A$2:$A$355,0))=0,"",INDEX(Deals!$J$2:$J$355,MATCH($C428,Deals!$A$2:$A$355,0))),""))</f>
        <v/>
      </c>
      <c r="N428" s="35">
        <f>IF($L428="",DATE(1900,1,1),$L428)</f>
        <v/>
      </c>
      <c r="O428" s="35">
        <f>IF($M428="",DATE(2100,12,31),$M428)</f>
        <v/>
      </c>
      <c r="P428" s="20" t="inlineStr"/>
      <c r="Q428" s="43" t="inlineStr"/>
      <c r="R428" s="16">
        <f>IF($C428="","",IFERROR(IF(INDEX(Deals!$U$2:$U$355,MATCH($C428,Deals!$A$2:$A$355,0))=0,"",INDEX(Deals!$U$2:$U$355,MATCH($C428,Deals!$A$2:$A$355,0))),""))</f>
        <v/>
      </c>
      <c r="S428" s="34">
        <f>IFERROR(IF($U428="",1,INDEX(Deals!$V$2:$V$355,MATCH($C428,Deals!$A$2:$A$355,0))),1)</f>
        <v/>
      </c>
      <c r="T428" s="34">
        <f>IFERROR(IF($U428="",1,INDEX(Deals!$W$2:$W$355,MATCH($C428,Deals!$A$2:$A$355,0))),1)</f>
        <v/>
      </c>
      <c r="U428" s="22">
        <f>IF($C428="","",IFERROR(IF(INDEX(Deals!$Y$2:$Y$355,MATCH($C428,Deals!$A$2:$A$355,0))=0,"",INDEX(Deals!$Y$2:$Y$355,MATCH($C428,Deals!$A$2:$A$355,0))),""))</f>
        <v/>
      </c>
      <c r="V428" s="35">
        <f>IF($U428="",DATE(1900,1,1),$N428)</f>
        <v/>
      </c>
      <c r="W428" s="35">
        <f>IF($U428="",DATE(2100,12,31),$U428)</f>
        <v/>
      </c>
      <c r="X428" s="32">
        <f>IF($U428="",$K428,$K428*$S428)</f>
        <v/>
      </c>
      <c r="Y428" s="35">
        <f>IF($U428="",DATE(2100,12,31),$U428+1)</f>
        <v/>
      </c>
      <c r="Z428" s="35">
        <f>IF($U428="",DATE(1900,1,1),$O428)</f>
        <v/>
      </c>
      <c r="AA428" s="32">
        <f>IF($U428="",0,$K428*$T428)</f>
        <v/>
      </c>
      <c r="AB428" s="21">
        <f>IF($C428="",0,IFERROR(INDEX(Deals!$AD$2:$AD$355,MATCH($C428,Deals!$A$2:$A$355,0)),0))</f>
        <v/>
      </c>
      <c r="AC428" s="32">
        <f>IF(Settings!$B$4="Yes",$I428*$AB428,$I428)</f>
        <v/>
      </c>
      <c r="AD428" s="22">
        <f>IF($C428="","",IFERROR(IF(INDEX(Deals!$AE$2:$AE$355,MATCH($C428,Deals!$A$2:$A$355,0))=0,"",INDEX(Deals!$AE$2:$AE$355,MATCH($C428,Deals!$A$2:$A$355,0))),""))</f>
        <v/>
      </c>
      <c r="AE428" s="22">
        <f>IF($C428="","",IFERROR(IF(INDEX(Deals!$AF$2:$AF$355,MATCH($C428,Deals!$A$2:$A$355,0))=0,"",INDEX(Deals!$AF$2:$AF$355,MATCH($C428,Deals!$A$2:$A$355,0))),""))</f>
        <v/>
      </c>
      <c r="AF428" s="35">
        <f>IF($AD428="",DATE(1900,1,1),$AD428)</f>
        <v/>
      </c>
      <c r="AG428" s="35">
        <f>IF($AE428="",DATE(2100,12,31),$AE428)</f>
        <v/>
      </c>
      <c r="AH428" s="22">
        <f>IF($C428="","",IFERROR(IF(INDEX(Deals!$AG$2:$AG$355,MATCH($C428,Deals!$A$2:$A$355,0))=0,"",INDEX(Deals!$AG$2:$AG$355,MATCH($C428,Deals!$A$2:$A$355,0))),""))</f>
        <v/>
      </c>
      <c r="AI428" s="35">
        <f>IF($AH428="",DATE(1900,1,1),$AF428)</f>
        <v/>
      </c>
      <c r="AJ428" s="35">
        <f>IF($AH428="",DATE(2100,12,31),$AH428)</f>
        <v/>
      </c>
      <c r="AK428" s="32">
        <f>IF($AH428="",$AC428,$AC428*$S428)</f>
        <v/>
      </c>
      <c r="AL428" s="35">
        <f>IF($AH428="",DATE(2100,12,31),$AH428+1)</f>
        <v/>
      </c>
      <c r="AM428" s="35">
        <f>IF($AH428="",DATE(1900,1,1),$AG428)</f>
        <v/>
      </c>
      <c r="AN428" s="32">
        <f>IF($AH428="",0,$AC428*$T428)</f>
        <v/>
      </c>
    </row>
    <row r="429">
      <c r="A429" s="28" t="inlineStr">
        <is>
          <t>Vidhi</t>
        </is>
      </c>
      <c r="B429" s="16">
        <f>IF($A429="","",IFERROR(INDEX(Roster!$B$2:$B$40,MATCH($A429,Roster!$A$2:$A$40,0)),"?"))</f>
        <v/>
      </c>
      <c r="C429" s="28" t="inlineStr">
        <is>
          <t>Scan_1</t>
        </is>
      </c>
      <c r="D429" s="16">
        <f>IF($C429="","",IFERROR(IF(INDEX(Deals!$C$2:$C$355,MATCH($C429,Deals!$A$2:$A$355,0))=0,"",INDEX(Deals!$C$2:$C$355,MATCH($C429,Deals!$A$2:$A$355,0))),"?"))</f>
        <v/>
      </c>
      <c r="E429" s="16">
        <f>IF($C429="","",IFERROR(INDEX(Deals!$F$2:$F$355,MATCH($C429,Deals!$A$2:$A$355,0)),"?"))</f>
        <v/>
      </c>
      <c r="F429" s="28" t="inlineStr">
        <is>
          <t>Senior Associate</t>
        </is>
      </c>
      <c r="G429" s="28" t="inlineStr">
        <is>
          <t>Active</t>
        </is>
      </c>
      <c r="H429" s="31" t="n"/>
      <c r="I429" s="32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1">
        <f>IF($C429="",0,IFERROR(INDEX(Deals!$H$2:$H$355,MATCH($C429,Deals!$A$2:$A$355,0)),0))</f>
        <v/>
      </c>
      <c r="K429" s="32">
        <f>IF(Settings!$B$4="Yes",$I429*$J429,$I429)</f>
        <v/>
      </c>
      <c r="L429" s="22">
        <f>IF($C429="","",IFERROR(IF(INDEX(Deals!$I$2:$I$355,MATCH($C429,Deals!$A$2:$A$355,0))=0,"",INDEX(Deals!$I$2:$I$355,MATCH($C429,Deals!$A$2:$A$355,0))),""))</f>
        <v/>
      </c>
      <c r="M429" s="22">
        <f>IF($C429="","",IFERROR(IF(INDEX(Deals!$J$2:$J$355,MATCH($C429,Deals!$A$2:$A$355,0))=0,"",INDEX(Deals!$J$2:$J$355,MATCH($C429,Deals!$A$2:$A$355,0))),""))</f>
        <v/>
      </c>
      <c r="N429" s="35">
        <f>IF($L429="",DATE(1900,1,1),$L429)</f>
        <v/>
      </c>
      <c r="O429" s="35">
        <f>IF($M429="",DATE(2100,12,31),$M429)</f>
        <v/>
      </c>
      <c r="P429" s="20" t="inlineStr"/>
      <c r="Q429" s="43" t="inlineStr"/>
      <c r="R429" s="16">
        <f>IF($C429="","",IFERROR(IF(INDEX(Deals!$U$2:$U$355,MATCH($C429,Deals!$A$2:$A$355,0))=0,"",INDEX(Deals!$U$2:$U$355,MATCH($C429,Deals!$A$2:$A$355,0))),""))</f>
        <v/>
      </c>
      <c r="S429" s="34">
        <f>IFERROR(IF($U429="",1,INDEX(Deals!$V$2:$V$355,MATCH($C429,Deals!$A$2:$A$355,0))),1)</f>
        <v/>
      </c>
      <c r="T429" s="34">
        <f>IFERROR(IF($U429="",1,INDEX(Deals!$W$2:$W$355,MATCH($C429,Deals!$A$2:$A$355,0))),1)</f>
        <v/>
      </c>
      <c r="U429" s="22">
        <f>IF($C429="","",IFERROR(IF(INDEX(Deals!$Y$2:$Y$355,MATCH($C429,Deals!$A$2:$A$355,0))=0,"",INDEX(Deals!$Y$2:$Y$355,MATCH($C429,Deals!$A$2:$A$355,0))),""))</f>
        <v/>
      </c>
      <c r="V429" s="35">
        <f>IF($U429="",DATE(1900,1,1),$N429)</f>
        <v/>
      </c>
      <c r="W429" s="35">
        <f>IF($U429="",DATE(2100,12,31),$U429)</f>
        <v/>
      </c>
      <c r="X429" s="32">
        <f>IF($U429="",$K429,$K429*$S429)</f>
        <v/>
      </c>
      <c r="Y429" s="35">
        <f>IF($U429="",DATE(2100,12,31),$U429+1)</f>
        <v/>
      </c>
      <c r="Z429" s="35">
        <f>IF($U429="",DATE(1900,1,1),$O429)</f>
        <v/>
      </c>
      <c r="AA429" s="32">
        <f>IF($U429="",0,$K429*$T429)</f>
        <v/>
      </c>
      <c r="AB429" s="21">
        <f>IF($C429="",0,IFERROR(INDEX(Deals!$AD$2:$AD$355,MATCH($C429,Deals!$A$2:$A$355,0)),0))</f>
        <v/>
      </c>
      <c r="AC429" s="32">
        <f>IF(Settings!$B$4="Yes",$I429*$AB429,$I429)</f>
        <v/>
      </c>
      <c r="AD429" s="22">
        <f>IF($C429="","",IFERROR(IF(INDEX(Deals!$AE$2:$AE$355,MATCH($C429,Deals!$A$2:$A$355,0))=0,"",INDEX(Deals!$AE$2:$AE$355,MATCH($C429,Deals!$A$2:$A$355,0))),""))</f>
        <v/>
      </c>
      <c r="AE429" s="22">
        <f>IF($C429="","",IFERROR(IF(INDEX(Deals!$AF$2:$AF$355,MATCH($C429,Deals!$A$2:$A$355,0))=0,"",INDEX(Deals!$AF$2:$AF$355,MATCH($C429,Deals!$A$2:$A$355,0))),""))</f>
        <v/>
      </c>
      <c r="AF429" s="35">
        <f>IF($AD429="",DATE(1900,1,1),$AD429)</f>
        <v/>
      </c>
      <c r="AG429" s="35">
        <f>IF($AE429="",DATE(2100,12,31),$AE429)</f>
        <v/>
      </c>
      <c r="AH429" s="22">
        <f>IF($C429="","",IFERROR(IF(INDEX(Deals!$AG$2:$AG$355,MATCH($C429,Deals!$A$2:$A$355,0))=0,"",INDEX(Deals!$AG$2:$AG$355,MATCH($C429,Deals!$A$2:$A$355,0))),""))</f>
        <v/>
      </c>
      <c r="AI429" s="35">
        <f>IF($AH429="",DATE(1900,1,1),$AF429)</f>
        <v/>
      </c>
      <c r="AJ429" s="35">
        <f>IF($AH429="",DATE(2100,12,31),$AH429)</f>
        <v/>
      </c>
      <c r="AK429" s="32">
        <f>IF($AH429="",$AC429,$AC429*$S429)</f>
        <v/>
      </c>
      <c r="AL429" s="35">
        <f>IF($AH429="",DATE(2100,12,31),$AH429+1)</f>
        <v/>
      </c>
      <c r="AM429" s="35">
        <f>IF($AH429="",DATE(1900,1,1),$AG429)</f>
        <v/>
      </c>
      <c r="AN429" s="32">
        <f>IF($AH429="",0,$AC429*$T429)</f>
        <v/>
      </c>
    </row>
    <row r="430">
      <c r="A430" s="28" t="inlineStr">
        <is>
          <t>Vidhi</t>
        </is>
      </c>
      <c r="B430" s="16">
        <f>IF($A430="","",IFERROR(INDEX(Roster!$B$2:$B$40,MATCH($A430,Roster!$A$2:$A$40,0)),"?"))</f>
        <v/>
      </c>
      <c r="C430" s="28" t="inlineStr">
        <is>
          <t>Scion_1</t>
        </is>
      </c>
      <c r="D430" s="16">
        <f>IF($C430="","",IFERROR(IF(INDEX(Deals!$C$2:$C$355,MATCH($C430,Deals!$A$2:$A$355,0))=0,"",INDEX(Deals!$C$2:$C$355,MATCH($C430,Deals!$A$2:$A$355,0))),"?"))</f>
        <v/>
      </c>
      <c r="E430" s="16">
        <f>IF($C430="","",IFERROR(INDEX(Deals!$F$2:$F$355,MATCH($C430,Deals!$A$2:$A$355,0)),"?"))</f>
        <v/>
      </c>
      <c r="F430" s="28" t="inlineStr">
        <is>
          <t>Senior Associate</t>
        </is>
      </c>
      <c r="G430" s="28" t="inlineStr">
        <is>
          <t>Active</t>
        </is>
      </c>
      <c r="H430" s="31" t="n"/>
      <c r="I430" s="32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1">
        <f>IF($C430="",0,IFERROR(INDEX(Deals!$H$2:$H$355,MATCH($C430,Deals!$A$2:$A$355,0)),0))</f>
        <v/>
      </c>
      <c r="K430" s="32">
        <f>IF(Settings!$B$4="Yes",$I430*$J430,$I430)</f>
        <v/>
      </c>
      <c r="L430" s="22">
        <f>IF($C430="","",IFERROR(IF(INDEX(Deals!$I$2:$I$355,MATCH($C430,Deals!$A$2:$A$355,0))=0,"",INDEX(Deals!$I$2:$I$355,MATCH($C430,Deals!$A$2:$A$355,0))),""))</f>
        <v/>
      </c>
      <c r="M430" s="22">
        <f>IF($C430="","",IFERROR(IF(INDEX(Deals!$J$2:$J$355,MATCH($C430,Deals!$A$2:$A$355,0))=0,"",INDEX(Deals!$J$2:$J$355,MATCH($C430,Deals!$A$2:$A$355,0))),""))</f>
        <v/>
      </c>
      <c r="N430" s="35">
        <f>IF($L430="",DATE(1900,1,1),$L430)</f>
        <v/>
      </c>
      <c r="O430" s="35">
        <f>IF($M430="",DATE(2100,12,31),$M430)</f>
        <v/>
      </c>
      <c r="P430" s="20" t="inlineStr"/>
      <c r="Q430" s="43" t="inlineStr"/>
      <c r="R430" s="16">
        <f>IF($C430="","",IFERROR(IF(INDEX(Deals!$U$2:$U$355,MATCH($C430,Deals!$A$2:$A$355,0))=0,"",INDEX(Deals!$U$2:$U$355,MATCH($C430,Deals!$A$2:$A$355,0))),""))</f>
        <v/>
      </c>
      <c r="S430" s="34">
        <f>IFERROR(IF($U430="",1,INDEX(Deals!$V$2:$V$355,MATCH($C430,Deals!$A$2:$A$355,0))),1)</f>
        <v/>
      </c>
      <c r="T430" s="34">
        <f>IFERROR(IF($U430="",1,INDEX(Deals!$W$2:$W$355,MATCH($C430,Deals!$A$2:$A$355,0))),1)</f>
        <v/>
      </c>
      <c r="U430" s="22">
        <f>IF($C430="","",IFERROR(IF(INDEX(Deals!$Y$2:$Y$355,MATCH($C430,Deals!$A$2:$A$355,0))=0,"",INDEX(Deals!$Y$2:$Y$355,MATCH($C430,Deals!$A$2:$A$355,0))),""))</f>
        <v/>
      </c>
      <c r="V430" s="35">
        <f>IF($U430="",DATE(1900,1,1),$N430)</f>
        <v/>
      </c>
      <c r="W430" s="35">
        <f>IF($U430="",DATE(2100,12,31),$U430)</f>
        <v/>
      </c>
      <c r="X430" s="32">
        <f>IF($U430="",$K430,$K430*$S430)</f>
        <v/>
      </c>
      <c r="Y430" s="35">
        <f>IF($U430="",DATE(2100,12,31),$U430+1)</f>
        <v/>
      </c>
      <c r="Z430" s="35">
        <f>IF($U430="",DATE(1900,1,1),$O430)</f>
        <v/>
      </c>
      <c r="AA430" s="32">
        <f>IF($U430="",0,$K430*$T430)</f>
        <v/>
      </c>
      <c r="AB430" s="21">
        <f>IF($C430="",0,IFERROR(INDEX(Deals!$AD$2:$AD$355,MATCH($C430,Deals!$A$2:$A$355,0)),0))</f>
        <v/>
      </c>
      <c r="AC430" s="32">
        <f>IF(Settings!$B$4="Yes",$I430*$AB430,$I430)</f>
        <v/>
      </c>
      <c r="AD430" s="22">
        <f>IF($C430="","",IFERROR(IF(INDEX(Deals!$AE$2:$AE$355,MATCH($C430,Deals!$A$2:$A$355,0))=0,"",INDEX(Deals!$AE$2:$AE$355,MATCH($C430,Deals!$A$2:$A$355,0))),""))</f>
        <v/>
      </c>
      <c r="AE430" s="22">
        <f>IF($C430="","",IFERROR(IF(INDEX(Deals!$AF$2:$AF$355,MATCH($C430,Deals!$A$2:$A$355,0))=0,"",INDEX(Deals!$AF$2:$AF$355,MATCH($C430,Deals!$A$2:$A$355,0))),""))</f>
        <v/>
      </c>
      <c r="AF430" s="35">
        <f>IF($AD430="",DATE(1900,1,1),$AD430)</f>
        <v/>
      </c>
      <c r="AG430" s="35">
        <f>IF($AE430="",DATE(2100,12,31),$AE430)</f>
        <v/>
      </c>
      <c r="AH430" s="22">
        <f>IF($C430="","",IFERROR(IF(INDEX(Deals!$AG$2:$AG$355,MATCH($C430,Deals!$A$2:$A$355,0))=0,"",INDEX(Deals!$AG$2:$AG$355,MATCH($C430,Deals!$A$2:$A$355,0))),""))</f>
        <v/>
      </c>
      <c r="AI430" s="35">
        <f>IF($AH430="",DATE(1900,1,1),$AF430)</f>
        <v/>
      </c>
      <c r="AJ430" s="35">
        <f>IF($AH430="",DATE(2100,12,31),$AH430)</f>
        <v/>
      </c>
      <c r="AK430" s="32">
        <f>IF($AH430="",$AC430,$AC430*$S430)</f>
        <v/>
      </c>
      <c r="AL430" s="35">
        <f>IF($AH430="",DATE(2100,12,31),$AH430+1)</f>
        <v/>
      </c>
      <c r="AM430" s="35">
        <f>IF($AH430="",DATE(1900,1,1),$AG430)</f>
        <v/>
      </c>
      <c r="AN430" s="32">
        <f>IF($AH430="",0,$AC430*$T430)</f>
        <v/>
      </c>
    </row>
    <row r="431">
      <c r="A431" s="28" t="inlineStr">
        <is>
          <t>Vidhi</t>
        </is>
      </c>
      <c r="B431" s="16">
        <f>IF($A431="","",IFERROR(INDEX(Roster!$B$2:$B$40,MATCH($A431,Roster!$A$2:$A$40,0)),"?"))</f>
        <v/>
      </c>
      <c r="C431" s="28" t="inlineStr">
        <is>
          <t>Sunrise_5</t>
        </is>
      </c>
      <c r="D431" s="16">
        <f>IF($C431="","",IFERROR(IF(INDEX(Deals!$C$2:$C$355,MATCH($C431,Deals!$A$2:$A$355,0))=0,"",INDEX(Deals!$C$2:$C$355,MATCH($C431,Deals!$A$2:$A$355,0))),"?"))</f>
        <v/>
      </c>
      <c r="E431" s="16">
        <f>IF($C431="","",IFERROR(INDEX(Deals!$F$2:$F$355,MATCH($C431,Deals!$A$2:$A$355,0)),"?"))</f>
        <v/>
      </c>
      <c r="F431" s="28" t="inlineStr">
        <is>
          <t>Senior Associate</t>
        </is>
      </c>
      <c r="G431" s="28" t="inlineStr">
        <is>
          <t>Active</t>
        </is>
      </c>
      <c r="H431" s="31" t="n"/>
      <c r="I431" s="32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1">
        <f>IF($C431="",0,IFERROR(INDEX(Deals!$H$2:$H$355,MATCH($C431,Deals!$A$2:$A$355,0)),0))</f>
        <v/>
      </c>
      <c r="K431" s="32">
        <f>IF(Settings!$B$4="Yes",$I431*$J431,$I431)</f>
        <v/>
      </c>
      <c r="L431" s="22">
        <f>IF($C431="","",IFERROR(IF(INDEX(Deals!$I$2:$I$355,MATCH($C431,Deals!$A$2:$A$355,0))=0,"",INDEX(Deals!$I$2:$I$355,MATCH($C431,Deals!$A$2:$A$355,0))),""))</f>
        <v/>
      </c>
      <c r="M431" s="22">
        <f>IF($C431="","",IFERROR(IF(INDEX(Deals!$J$2:$J$355,MATCH($C431,Deals!$A$2:$A$355,0))=0,"",INDEX(Deals!$J$2:$J$355,MATCH($C431,Deals!$A$2:$A$355,0))),""))</f>
        <v/>
      </c>
      <c r="N431" s="35">
        <f>IF($L431="",DATE(1900,1,1),$L431)</f>
        <v/>
      </c>
      <c r="O431" s="35">
        <f>IF($M431="",DATE(2100,12,31),$M431)</f>
        <v/>
      </c>
      <c r="P431" s="20" t="inlineStr"/>
      <c r="Q431" s="43" t="inlineStr"/>
      <c r="R431" s="16">
        <f>IF($C431="","",IFERROR(IF(INDEX(Deals!$U$2:$U$355,MATCH($C431,Deals!$A$2:$A$355,0))=0,"",INDEX(Deals!$U$2:$U$355,MATCH($C431,Deals!$A$2:$A$355,0))),""))</f>
        <v/>
      </c>
      <c r="S431" s="34">
        <f>IFERROR(IF($U431="",1,INDEX(Deals!$V$2:$V$355,MATCH($C431,Deals!$A$2:$A$355,0))),1)</f>
        <v/>
      </c>
      <c r="T431" s="34">
        <f>IFERROR(IF($U431="",1,INDEX(Deals!$W$2:$W$355,MATCH($C431,Deals!$A$2:$A$355,0))),1)</f>
        <v/>
      </c>
      <c r="U431" s="22">
        <f>IF($C431="","",IFERROR(IF(INDEX(Deals!$Y$2:$Y$355,MATCH($C431,Deals!$A$2:$A$355,0))=0,"",INDEX(Deals!$Y$2:$Y$355,MATCH($C431,Deals!$A$2:$A$355,0))),""))</f>
        <v/>
      </c>
      <c r="V431" s="35">
        <f>IF($U431="",DATE(1900,1,1),$N431)</f>
        <v/>
      </c>
      <c r="W431" s="35">
        <f>IF($U431="",DATE(2100,12,31),$U431)</f>
        <v/>
      </c>
      <c r="X431" s="32">
        <f>IF($U431="",$K431,$K431*$S431)</f>
        <v/>
      </c>
      <c r="Y431" s="35">
        <f>IF($U431="",DATE(2100,12,31),$U431+1)</f>
        <v/>
      </c>
      <c r="Z431" s="35">
        <f>IF($U431="",DATE(1900,1,1),$O431)</f>
        <v/>
      </c>
      <c r="AA431" s="32">
        <f>IF($U431="",0,$K431*$T431)</f>
        <v/>
      </c>
      <c r="AB431" s="21">
        <f>IF($C431="",0,IFERROR(INDEX(Deals!$AD$2:$AD$355,MATCH($C431,Deals!$A$2:$A$355,0)),0))</f>
        <v/>
      </c>
      <c r="AC431" s="32">
        <f>IF(Settings!$B$4="Yes",$I431*$AB431,$I431)</f>
        <v/>
      </c>
      <c r="AD431" s="22">
        <f>IF($C431="","",IFERROR(IF(INDEX(Deals!$AE$2:$AE$355,MATCH($C431,Deals!$A$2:$A$355,0))=0,"",INDEX(Deals!$AE$2:$AE$355,MATCH($C431,Deals!$A$2:$A$355,0))),""))</f>
        <v/>
      </c>
      <c r="AE431" s="22">
        <f>IF($C431="","",IFERROR(IF(INDEX(Deals!$AF$2:$AF$355,MATCH($C431,Deals!$A$2:$A$355,0))=0,"",INDEX(Deals!$AF$2:$AF$355,MATCH($C431,Deals!$A$2:$A$355,0))),""))</f>
        <v/>
      </c>
      <c r="AF431" s="35">
        <f>IF($AD431="",DATE(1900,1,1),$AD431)</f>
        <v/>
      </c>
      <c r="AG431" s="35">
        <f>IF($AE431="",DATE(2100,12,31),$AE431)</f>
        <v/>
      </c>
      <c r="AH431" s="22">
        <f>IF($C431="","",IFERROR(IF(INDEX(Deals!$AG$2:$AG$355,MATCH($C431,Deals!$A$2:$A$355,0))=0,"",INDEX(Deals!$AG$2:$AG$355,MATCH($C431,Deals!$A$2:$A$355,0))),""))</f>
        <v/>
      </c>
      <c r="AI431" s="35">
        <f>IF($AH431="",DATE(1900,1,1),$AF431)</f>
        <v/>
      </c>
      <c r="AJ431" s="35">
        <f>IF($AH431="",DATE(2100,12,31),$AH431)</f>
        <v/>
      </c>
      <c r="AK431" s="32">
        <f>IF($AH431="",$AC431,$AC431*$S431)</f>
        <v/>
      </c>
      <c r="AL431" s="35">
        <f>IF($AH431="",DATE(2100,12,31),$AH431+1)</f>
        <v/>
      </c>
      <c r="AM431" s="35">
        <f>IF($AH431="",DATE(1900,1,1),$AG431)</f>
        <v/>
      </c>
      <c r="AN431" s="32">
        <f>IF($AH431="",0,$AC431*$T431)</f>
        <v/>
      </c>
    </row>
    <row r="432">
      <c r="A432" s="28" t="inlineStr">
        <is>
          <t>Vidhi</t>
        </is>
      </c>
      <c r="B432" s="16">
        <f>IF($A432="","",IFERROR(INDEX(Roster!$B$2:$B$40,MATCH($A432,Roster!$A$2:$A$40,0)),"?"))</f>
        <v/>
      </c>
      <c r="C432" s="28" t="inlineStr">
        <is>
          <t>WASP_2</t>
        </is>
      </c>
      <c r="D432" s="16">
        <f>IF($C432="","",IFERROR(IF(INDEX(Deals!$C$2:$C$355,MATCH($C432,Deals!$A$2:$A$355,0))=0,"",INDEX(Deals!$C$2:$C$355,MATCH($C432,Deals!$A$2:$A$355,0))),"?"))</f>
        <v/>
      </c>
      <c r="E432" s="16">
        <f>IF($C432="","",IFERROR(INDEX(Deals!$F$2:$F$355,MATCH($C432,Deals!$A$2:$A$355,0)),"?"))</f>
        <v/>
      </c>
      <c r="F432" s="28" t="inlineStr">
        <is>
          <t>Senior Associate</t>
        </is>
      </c>
      <c r="G432" s="28" t="inlineStr">
        <is>
          <t>Active</t>
        </is>
      </c>
      <c r="H432" s="31" t="n"/>
      <c r="I432" s="32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1">
        <f>IF($C432="",0,IFERROR(INDEX(Deals!$H$2:$H$355,MATCH($C432,Deals!$A$2:$A$355,0)),0))</f>
        <v/>
      </c>
      <c r="K432" s="32">
        <f>IF(Settings!$B$4="Yes",$I432*$J432,$I432)</f>
        <v/>
      </c>
      <c r="L432" s="22">
        <f>IF($C432="","",IFERROR(IF(INDEX(Deals!$I$2:$I$355,MATCH($C432,Deals!$A$2:$A$355,0))=0,"",INDEX(Deals!$I$2:$I$355,MATCH($C432,Deals!$A$2:$A$355,0))),""))</f>
        <v/>
      </c>
      <c r="M432" s="22">
        <f>IF($C432="","",IFERROR(IF(INDEX(Deals!$J$2:$J$355,MATCH($C432,Deals!$A$2:$A$355,0))=0,"",INDEX(Deals!$J$2:$J$355,MATCH($C432,Deals!$A$2:$A$355,0))),""))</f>
        <v/>
      </c>
      <c r="N432" s="35">
        <f>IF($L432="",DATE(1900,1,1),$L432)</f>
        <v/>
      </c>
      <c r="O432" s="35">
        <f>IF($M432="",DATE(2100,12,31),$M432)</f>
        <v/>
      </c>
      <c r="P432" s="20" t="inlineStr"/>
      <c r="Q432" s="43" t="inlineStr"/>
      <c r="R432" s="16">
        <f>IF($C432="","",IFERROR(IF(INDEX(Deals!$U$2:$U$355,MATCH($C432,Deals!$A$2:$A$355,0))=0,"",INDEX(Deals!$U$2:$U$355,MATCH($C432,Deals!$A$2:$A$355,0))),""))</f>
        <v/>
      </c>
      <c r="S432" s="34">
        <f>IFERROR(IF($U432="",1,INDEX(Deals!$V$2:$V$355,MATCH($C432,Deals!$A$2:$A$355,0))),1)</f>
        <v/>
      </c>
      <c r="T432" s="34">
        <f>IFERROR(IF($U432="",1,INDEX(Deals!$W$2:$W$355,MATCH($C432,Deals!$A$2:$A$355,0))),1)</f>
        <v/>
      </c>
      <c r="U432" s="22">
        <f>IF($C432="","",IFERROR(IF(INDEX(Deals!$Y$2:$Y$355,MATCH($C432,Deals!$A$2:$A$355,0))=0,"",INDEX(Deals!$Y$2:$Y$355,MATCH($C432,Deals!$A$2:$A$355,0))),""))</f>
        <v/>
      </c>
      <c r="V432" s="35">
        <f>IF($U432="",DATE(1900,1,1),$N432)</f>
        <v/>
      </c>
      <c r="W432" s="35">
        <f>IF($U432="",DATE(2100,12,31),$U432)</f>
        <v/>
      </c>
      <c r="X432" s="32">
        <f>IF($U432="",$K432,$K432*$S432)</f>
        <v/>
      </c>
      <c r="Y432" s="35">
        <f>IF($U432="",DATE(2100,12,31),$U432+1)</f>
        <v/>
      </c>
      <c r="Z432" s="35">
        <f>IF($U432="",DATE(1900,1,1),$O432)</f>
        <v/>
      </c>
      <c r="AA432" s="32">
        <f>IF($U432="",0,$K432*$T432)</f>
        <v/>
      </c>
      <c r="AB432" s="21">
        <f>IF($C432="",0,IFERROR(INDEX(Deals!$AD$2:$AD$355,MATCH($C432,Deals!$A$2:$A$355,0)),0))</f>
        <v/>
      </c>
      <c r="AC432" s="32">
        <f>IF(Settings!$B$4="Yes",$I432*$AB432,$I432)</f>
        <v/>
      </c>
      <c r="AD432" s="22">
        <f>IF($C432="","",IFERROR(IF(INDEX(Deals!$AE$2:$AE$355,MATCH($C432,Deals!$A$2:$A$355,0))=0,"",INDEX(Deals!$AE$2:$AE$355,MATCH($C432,Deals!$A$2:$A$355,0))),""))</f>
        <v/>
      </c>
      <c r="AE432" s="22">
        <f>IF($C432="","",IFERROR(IF(INDEX(Deals!$AF$2:$AF$355,MATCH($C432,Deals!$A$2:$A$355,0))=0,"",INDEX(Deals!$AF$2:$AF$355,MATCH($C432,Deals!$A$2:$A$355,0))),""))</f>
        <v/>
      </c>
      <c r="AF432" s="35">
        <f>IF($AD432="",DATE(1900,1,1),$AD432)</f>
        <v/>
      </c>
      <c r="AG432" s="35">
        <f>IF($AE432="",DATE(2100,12,31),$AE432)</f>
        <v/>
      </c>
      <c r="AH432" s="22">
        <f>IF($C432="","",IFERROR(IF(INDEX(Deals!$AG$2:$AG$355,MATCH($C432,Deals!$A$2:$A$355,0))=0,"",INDEX(Deals!$AG$2:$AG$355,MATCH($C432,Deals!$A$2:$A$355,0))),""))</f>
        <v/>
      </c>
      <c r="AI432" s="35">
        <f>IF($AH432="",DATE(1900,1,1),$AF432)</f>
        <v/>
      </c>
      <c r="AJ432" s="35">
        <f>IF($AH432="",DATE(2100,12,31),$AH432)</f>
        <v/>
      </c>
      <c r="AK432" s="32">
        <f>IF($AH432="",$AC432,$AC432*$S432)</f>
        <v/>
      </c>
      <c r="AL432" s="35">
        <f>IF($AH432="",DATE(2100,12,31),$AH432+1)</f>
        <v/>
      </c>
      <c r="AM432" s="35">
        <f>IF($AH432="",DATE(1900,1,1),$AG432)</f>
        <v/>
      </c>
      <c r="AN432" s="32">
        <f>IF($AH432="",0,$AC432*$T432)</f>
        <v/>
      </c>
    </row>
    <row r="433">
      <c r="A433" s="28" t="inlineStr">
        <is>
          <t>Vidhi</t>
        </is>
      </c>
      <c r="B433" s="16">
        <f>IF($A433="","",IFERROR(INDEX(Roster!$B$2:$B$40,MATCH($A433,Roster!$A$2:$A$40,0)),"?"))</f>
        <v/>
      </c>
      <c r="C433" s="28" t="inlineStr">
        <is>
          <t>Zeus_2</t>
        </is>
      </c>
      <c r="D433" s="16">
        <f>IF($C433="","",IFERROR(IF(INDEX(Deals!$C$2:$C$355,MATCH($C433,Deals!$A$2:$A$355,0))=0,"",INDEX(Deals!$C$2:$C$355,MATCH($C433,Deals!$A$2:$A$355,0))),"?"))</f>
        <v/>
      </c>
      <c r="E433" s="16">
        <f>IF($C433="","",IFERROR(INDEX(Deals!$F$2:$F$355,MATCH($C433,Deals!$A$2:$A$355,0)),"?"))</f>
        <v/>
      </c>
      <c r="F433" s="28" t="inlineStr">
        <is>
          <t>Senior Associate</t>
        </is>
      </c>
      <c r="G433" s="28" t="inlineStr">
        <is>
          <t>Active</t>
        </is>
      </c>
      <c r="H433" s="31" t="n"/>
      <c r="I433" s="32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1">
        <f>IF($C433="",0,IFERROR(INDEX(Deals!$H$2:$H$355,MATCH($C433,Deals!$A$2:$A$355,0)),0))</f>
        <v/>
      </c>
      <c r="K433" s="32">
        <f>IF(Settings!$B$4="Yes",$I433*$J433,$I433)</f>
        <v/>
      </c>
      <c r="L433" s="22">
        <f>IF($C433="","",IFERROR(IF(INDEX(Deals!$I$2:$I$355,MATCH($C433,Deals!$A$2:$A$355,0))=0,"",INDEX(Deals!$I$2:$I$355,MATCH($C433,Deals!$A$2:$A$355,0))),""))</f>
        <v/>
      </c>
      <c r="M433" s="22">
        <f>IF($C433="","",IFERROR(IF(INDEX(Deals!$J$2:$J$355,MATCH($C433,Deals!$A$2:$A$355,0))=0,"",INDEX(Deals!$J$2:$J$355,MATCH($C433,Deals!$A$2:$A$355,0))),""))</f>
        <v/>
      </c>
      <c r="N433" s="35">
        <f>IF($L433="",DATE(1900,1,1),$L433)</f>
        <v/>
      </c>
      <c r="O433" s="35">
        <f>IF($M433="",DATE(2100,12,31),$M433)</f>
        <v/>
      </c>
      <c r="P433" s="20" t="inlineStr"/>
      <c r="Q433" s="43" t="inlineStr"/>
      <c r="R433" s="16">
        <f>IF($C433="","",IFERROR(IF(INDEX(Deals!$U$2:$U$355,MATCH($C433,Deals!$A$2:$A$355,0))=0,"",INDEX(Deals!$U$2:$U$355,MATCH($C433,Deals!$A$2:$A$355,0))),""))</f>
        <v/>
      </c>
      <c r="S433" s="34">
        <f>IFERROR(IF($U433="",1,INDEX(Deals!$V$2:$V$355,MATCH($C433,Deals!$A$2:$A$355,0))),1)</f>
        <v/>
      </c>
      <c r="T433" s="34">
        <f>IFERROR(IF($U433="",1,INDEX(Deals!$W$2:$W$355,MATCH($C433,Deals!$A$2:$A$355,0))),1)</f>
        <v/>
      </c>
      <c r="U433" s="22">
        <f>IF($C433="","",IFERROR(IF(INDEX(Deals!$Y$2:$Y$355,MATCH($C433,Deals!$A$2:$A$355,0))=0,"",INDEX(Deals!$Y$2:$Y$355,MATCH($C433,Deals!$A$2:$A$355,0))),""))</f>
        <v/>
      </c>
      <c r="V433" s="35">
        <f>IF($U433="",DATE(1900,1,1),$N433)</f>
        <v/>
      </c>
      <c r="W433" s="35">
        <f>IF($U433="",DATE(2100,12,31),$U433)</f>
        <v/>
      </c>
      <c r="X433" s="32">
        <f>IF($U433="",$K433,$K433*$S433)</f>
        <v/>
      </c>
      <c r="Y433" s="35">
        <f>IF($U433="",DATE(2100,12,31),$U433+1)</f>
        <v/>
      </c>
      <c r="Z433" s="35">
        <f>IF($U433="",DATE(1900,1,1),$O433)</f>
        <v/>
      </c>
      <c r="AA433" s="32">
        <f>IF($U433="",0,$K433*$T433)</f>
        <v/>
      </c>
      <c r="AB433" s="21">
        <f>IF($C433="",0,IFERROR(INDEX(Deals!$AD$2:$AD$355,MATCH($C433,Deals!$A$2:$A$355,0)),0))</f>
        <v/>
      </c>
      <c r="AC433" s="32">
        <f>IF(Settings!$B$4="Yes",$I433*$AB433,$I433)</f>
        <v/>
      </c>
      <c r="AD433" s="22">
        <f>IF($C433="","",IFERROR(IF(INDEX(Deals!$AE$2:$AE$355,MATCH($C433,Deals!$A$2:$A$355,0))=0,"",INDEX(Deals!$AE$2:$AE$355,MATCH($C433,Deals!$A$2:$A$355,0))),""))</f>
        <v/>
      </c>
      <c r="AE433" s="22">
        <f>IF($C433="","",IFERROR(IF(INDEX(Deals!$AF$2:$AF$355,MATCH($C433,Deals!$A$2:$A$355,0))=0,"",INDEX(Deals!$AF$2:$AF$355,MATCH($C433,Deals!$A$2:$A$355,0))),""))</f>
        <v/>
      </c>
      <c r="AF433" s="35">
        <f>IF($AD433="",DATE(1900,1,1),$AD433)</f>
        <v/>
      </c>
      <c r="AG433" s="35">
        <f>IF($AE433="",DATE(2100,12,31),$AE433)</f>
        <v/>
      </c>
      <c r="AH433" s="22">
        <f>IF($C433="","",IFERROR(IF(INDEX(Deals!$AG$2:$AG$355,MATCH($C433,Deals!$A$2:$A$355,0))=0,"",INDEX(Deals!$AG$2:$AG$355,MATCH($C433,Deals!$A$2:$A$355,0))),""))</f>
        <v/>
      </c>
      <c r="AI433" s="35">
        <f>IF($AH433="",DATE(1900,1,1),$AF433)</f>
        <v/>
      </c>
      <c r="AJ433" s="35">
        <f>IF($AH433="",DATE(2100,12,31),$AH433)</f>
        <v/>
      </c>
      <c r="AK433" s="32">
        <f>IF($AH433="",$AC433,$AC433*$S433)</f>
        <v/>
      </c>
      <c r="AL433" s="35">
        <f>IF($AH433="",DATE(2100,12,31),$AH433+1)</f>
        <v/>
      </c>
      <c r="AM433" s="35">
        <f>IF($AH433="",DATE(1900,1,1),$AG433)</f>
        <v/>
      </c>
      <c r="AN433" s="32">
        <f>IF($AH433="",0,$AC433*$T433)</f>
        <v/>
      </c>
    </row>
    <row r="434">
      <c r="A434" s="28" t="inlineStr">
        <is>
          <t>Nina</t>
        </is>
      </c>
      <c r="B434" s="16">
        <f>IF($A434="","",IFERROR(INDEX(Roster!$B$2:$B$40,MATCH($A434,Roster!$A$2:$A$40,0)),"?"))</f>
        <v/>
      </c>
      <c r="C434" s="28" t="inlineStr">
        <is>
          <t>Adanac_1</t>
        </is>
      </c>
      <c r="D434" s="16">
        <f>IF($C434="","",IFERROR(IF(INDEX(Deals!$C$2:$C$355,MATCH($C434,Deals!$A$2:$A$355,0))=0,"",INDEX(Deals!$C$2:$C$355,MATCH($C434,Deals!$A$2:$A$355,0))),"?"))</f>
        <v/>
      </c>
      <c r="E434" s="16">
        <f>IF($C434="","",IFERROR(INDEX(Deals!$F$2:$F$355,MATCH($C434,Deals!$A$2:$A$355,0)),"?"))</f>
        <v/>
      </c>
      <c r="F434" s="28" t="inlineStr">
        <is>
          <t>Senior Associate</t>
        </is>
      </c>
      <c r="G434" s="28" t="inlineStr">
        <is>
          <t>Inactive</t>
        </is>
      </c>
      <c r="H434" s="31" t="n"/>
      <c r="I434" s="32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1">
        <f>IF($C434="",0,IFERROR(INDEX(Deals!$H$2:$H$355,MATCH($C434,Deals!$A$2:$A$355,0)),0))</f>
        <v/>
      </c>
      <c r="K434" s="32">
        <f>IF(Settings!$B$4="Yes",$I434*$J434,$I434)</f>
        <v/>
      </c>
      <c r="L434" s="22">
        <f>IF($C434="","",IFERROR(IF(INDEX(Deals!$I$2:$I$355,MATCH($C434,Deals!$A$2:$A$355,0))=0,"",INDEX(Deals!$I$2:$I$355,MATCH($C434,Deals!$A$2:$A$355,0))),""))</f>
        <v/>
      </c>
      <c r="M434" s="22">
        <f>IF($C434="","",IFERROR(IF(INDEX(Deals!$J$2:$J$355,MATCH($C434,Deals!$A$2:$A$355,0))=0,"",INDEX(Deals!$J$2:$J$355,MATCH($C434,Deals!$A$2:$A$355,0))),""))</f>
        <v/>
      </c>
      <c r="N434" s="35">
        <f>IF($L434="",DATE(1900,1,1),$L434)</f>
        <v/>
      </c>
      <c r="O434" s="35">
        <f>IF($M434="",DATE(2100,12,31),$M434)</f>
        <v/>
      </c>
      <c r="P434" s="20" t="inlineStr">
        <is>
          <t>Invoiced</t>
        </is>
      </c>
      <c r="Q434" s="43" t="inlineStr"/>
      <c r="R434" s="16">
        <f>IF($C434="","",IFERROR(IF(INDEX(Deals!$U$2:$U$355,MATCH($C434,Deals!$A$2:$A$355,0))=0,"",INDEX(Deals!$U$2:$U$355,MATCH($C434,Deals!$A$2:$A$355,0))),""))</f>
        <v/>
      </c>
      <c r="S434" s="34">
        <f>IFERROR(IF($U434="",1,INDEX(Deals!$V$2:$V$355,MATCH($C434,Deals!$A$2:$A$355,0))),1)</f>
        <v/>
      </c>
      <c r="T434" s="34">
        <f>IFERROR(IF($U434="",1,INDEX(Deals!$W$2:$W$355,MATCH($C434,Deals!$A$2:$A$355,0))),1)</f>
        <v/>
      </c>
      <c r="U434" s="22">
        <f>IF($C434="","",IFERROR(IF(INDEX(Deals!$Y$2:$Y$355,MATCH($C434,Deals!$A$2:$A$355,0))=0,"",INDEX(Deals!$Y$2:$Y$355,MATCH($C434,Deals!$A$2:$A$355,0))),""))</f>
        <v/>
      </c>
      <c r="V434" s="35">
        <f>IF($U434="",DATE(1900,1,1),$N434)</f>
        <v/>
      </c>
      <c r="W434" s="35">
        <f>IF($U434="",DATE(2100,12,31),$U434)</f>
        <v/>
      </c>
      <c r="X434" s="32">
        <f>IF($U434="",$K434,$K434*$S434)</f>
        <v/>
      </c>
      <c r="Y434" s="35">
        <f>IF($U434="",DATE(2100,12,31),$U434+1)</f>
        <v/>
      </c>
      <c r="Z434" s="35">
        <f>IF($U434="",DATE(1900,1,1),$O434)</f>
        <v/>
      </c>
      <c r="AA434" s="32">
        <f>IF($U434="",0,$K434*$T434)</f>
        <v/>
      </c>
      <c r="AB434" s="21">
        <f>IF($C434="",0,IFERROR(INDEX(Deals!$AD$2:$AD$355,MATCH($C434,Deals!$A$2:$A$355,0)),0))</f>
        <v/>
      </c>
      <c r="AC434" s="32">
        <f>IF(Settings!$B$4="Yes",$I434*$AB434,$I434)</f>
        <v/>
      </c>
      <c r="AD434" s="22">
        <f>IF($C434="","",IFERROR(IF(INDEX(Deals!$AE$2:$AE$355,MATCH($C434,Deals!$A$2:$A$355,0))=0,"",INDEX(Deals!$AE$2:$AE$355,MATCH($C434,Deals!$A$2:$A$355,0))),""))</f>
        <v/>
      </c>
      <c r="AE434" s="22">
        <f>IF($C434="","",IFERROR(IF(INDEX(Deals!$AF$2:$AF$355,MATCH($C434,Deals!$A$2:$A$355,0))=0,"",INDEX(Deals!$AF$2:$AF$355,MATCH($C434,Deals!$A$2:$A$355,0))),""))</f>
        <v/>
      </c>
      <c r="AF434" s="35">
        <f>IF($AD434="",DATE(1900,1,1),$AD434)</f>
        <v/>
      </c>
      <c r="AG434" s="35">
        <f>IF($AE434="",DATE(2100,12,31),$AE434)</f>
        <v/>
      </c>
      <c r="AH434" s="22">
        <f>IF($C434="","",IFERROR(IF(INDEX(Deals!$AG$2:$AG$355,MATCH($C434,Deals!$A$2:$A$355,0))=0,"",INDEX(Deals!$AG$2:$AG$355,MATCH($C434,Deals!$A$2:$A$355,0))),""))</f>
        <v/>
      </c>
      <c r="AI434" s="35">
        <f>IF($AH434="",DATE(1900,1,1),$AF434)</f>
        <v/>
      </c>
      <c r="AJ434" s="35">
        <f>IF($AH434="",DATE(2100,12,31),$AH434)</f>
        <v/>
      </c>
      <c r="AK434" s="32">
        <f>IF($AH434="",$AC434,$AC434*$S434)</f>
        <v/>
      </c>
      <c r="AL434" s="35">
        <f>IF($AH434="",DATE(2100,12,31),$AH434+1)</f>
        <v/>
      </c>
      <c r="AM434" s="35">
        <f>IF($AH434="",DATE(1900,1,1),$AG434)</f>
        <v/>
      </c>
      <c r="AN434" s="32">
        <f>IF($AH434="",0,$AC434*$T434)</f>
        <v/>
      </c>
    </row>
    <row r="435">
      <c r="A435" s="28" t="inlineStr">
        <is>
          <t>Nina</t>
        </is>
      </c>
      <c r="B435" s="16">
        <f>IF($A435="","",IFERROR(INDEX(Roster!$B$2:$B$40,MATCH($A435,Roster!$A$2:$A$40,0)),"?"))</f>
        <v/>
      </c>
      <c r="C435" s="28" t="inlineStr">
        <is>
          <t>AIM_5</t>
        </is>
      </c>
      <c r="D435" s="16">
        <f>IF($C435="","",IFERROR(IF(INDEX(Deals!$C$2:$C$355,MATCH($C435,Deals!$A$2:$A$355,0))=0,"",INDEX(Deals!$C$2:$C$355,MATCH($C435,Deals!$A$2:$A$355,0))),"?"))</f>
        <v/>
      </c>
      <c r="E435" s="16">
        <f>IF($C435="","",IFERROR(INDEX(Deals!$F$2:$F$355,MATCH($C435,Deals!$A$2:$A$355,0)),"?"))</f>
        <v/>
      </c>
      <c r="F435" s="28" t="inlineStr">
        <is>
          <t>Senior Associate</t>
        </is>
      </c>
      <c r="G435" s="28" t="inlineStr">
        <is>
          <t>Inactive</t>
        </is>
      </c>
      <c r="H435" s="31" t="n"/>
      <c r="I435" s="32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1">
        <f>IF($C435="",0,IFERROR(INDEX(Deals!$H$2:$H$355,MATCH($C435,Deals!$A$2:$A$355,0)),0))</f>
        <v/>
      </c>
      <c r="K435" s="32">
        <f>IF(Settings!$B$4="Yes",$I435*$J435,$I435)</f>
        <v/>
      </c>
      <c r="L435" s="22">
        <f>IF($C435="","",IFERROR(IF(INDEX(Deals!$I$2:$I$355,MATCH($C435,Deals!$A$2:$A$355,0))=0,"",INDEX(Deals!$I$2:$I$355,MATCH($C435,Deals!$A$2:$A$355,0))),""))</f>
        <v/>
      </c>
      <c r="M435" s="22">
        <f>IF($C435="","",IFERROR(IF(INDEX(Deals!$J$2:$J$355,MATCH($C435,Deals!$A$2:$A$355,0))=0,"",INDEX(Deals!$J$2:$J$355,MATCH($C435,Deals!$A$2:$A$355,0))),""))</f>
        <v/>
      </c>
      <c r="N435" s="35">
        <f>IF($L435="",DATE(1900,1,1),$L435)</f>
        <v/>
      </c>
      <c r="O435" s="35">
        <f>IF($M435="",DATE(2100,12,31),$M435)</f>
        <v/>
      </c>
      <c r="P435" s="20" t="inlineStr">
        <is>
          <t>Client stopped responding to us re: invoicing.</t>
        </is>
      </c>
      <c r="Q435" s="43" t="inlineStr"/>
      <c r="R435" s="16">
        <f>IF($C435="","",IFERROR(IF(INDEX(Deals!$U$2:$U$355,MATCH($C435,Deals!$A$2:$A$355,0))=0,"",INDEX(Deals!$U$2:$U$355,MATCH($C435,Deals!$A$2:$A$355,0))),""))</f>
        <v/>
      </c>
      <c r="S435" s="34">
        <f>IFERROR(IF($U435="",1,INDEX(Deals!$V$2:$V$355,MATCH($C435,Deals!$A$2:$A$355,0))),1)</f>
        <v/>
      </c>
      <c r="T435" s="34">
        <f>IFERROR(IF($U435="",1,INDEX(Deals!$W$2:$W$355,MATCH($C435,Deals!$A$2:$A$355,0))),1)</f>
        <v/>
      </c>
      <c r="U435" s="22">
        <f>IF($C435="","",IFERROR(IF(INDEX(Deals!$Y$2:$Y$355,MATCH($C435,Deals!$A$2:$A$355,0))=0,"",INDEX(Deals!$Y$2:$Y$355,MATCH($C435,Deals!$A$2:$A$355,0))),""))</f>
        <v/>
      </c>
      <c r="V435" s="35">
        <f>IF($U435="",DATE(1900,1,1),$N435)</f>
        <v/>
      </c>
      <c r="W435" s="35">
        <f>IF($U435="",DATE(2100,12,31),$U435)</f>
        <v/>
      </c>
      <c r="X435" s="32">
        <f>IF($U435="",$K435,$K435*$S435)</f>
        <v/>
      </c>
      <c r="Y435" s="35">
        <f>IF($U435="",DATE(2100,12,31),$U435+1)</f>
        <v/>
      </c>
      <c r="Z435" s="35">
        <f>IF($U435="",DATE(1900,1,1),$O435)</f>
        <v/>
      </c>
      <c r="AA435" s="32">
        <f>IF($U435="",0,$K435*$T435)</f>
        <v/>
      </c>
      <c r="AB435" s="21">
        <f>IF($C435="",0,IFERROR(INDEX(Deals!$AD$2:$AD$355,MATCH($C435,Deals!$A$2:$A$355,0)),0))</f>
        <v/>
      </c>
      <c r="AC435" s="32">
        <f>IF(Settings!$B$4="Yes",$I435*$AB435,$I435)</f>
        <v/>
      </c>
      <c r="AD435" s="22">
        <f>IF($C435="","",IFERROR(IF(INDEX(Deals!$AE$2:$AE$355,MATCH($C435,Deals!$A$2:$A$355,0))=0,"",INDEX(Deals!$AE$2:$AE$355,MATCH($C435,Deals!$A$2:$A$355,0))),""))</f>
        <v/>
      </c>
      <c r="AE435" s="22">
        <f>IF($C435="","",IFERROR(IF(INDEX(Deals!$AF$2:$AF$355,MATCH($C435,Deals!$A$2:$A$355,0))=0,"",INDEX(Deals!$AF$2:$AF$355,MATCH($C435,Deals!$A$2:$A$355,0))),""))</f>
        <v/>
      </c>
      <c r="AF435" s="35">
        <f>IF($AD435="",DATE(1900,1,1),$AD435)</f>
        <v/>
      </c>
      <c r="AG435" s="35">
        <f>IF($AE435="",DATE(2100,12,31),$AE435)</f>
        <v/>
      </c>
      <c r="AH435" s="22">
        <f>IF($C435="","",IFERROR(IF(INDEX(Deals!$AG$2:$AG$355,MATCH($C435,Deals!$A$2:$A$355,0))=0,"",INDEX(Deals!$AG$2:$AG$355,MATCH($C435,Deals!$A$2:$A$355,0))),""))</f>
        <v/>
      </c>
      <c r="AI435" s="35">
        <f>IF($AH435="",DATE(1900,1,1),$AF435)</f>
        <v/>
      </c>
      <c r="AJ435" s="35">
        <f>IF($AH435="",DATE(2100,12,31),$AH435)</f>
        <v/>
      </c>
      <c r="AK435" s="32">
        <f>IF($AH435="",$AC435,$AC435*$S435)</f>
        <v/>
      </c>
      <c r="AL435" s="35">
        <f>IF($AH435="",DATE(2100,12,31),$AH435+1)</f>
        <v/>
      </c>
      <c r="AM435" s="35">
        <f>IF($AH435="",DATE(1900,1,1),$AG435)</f>
        <v/>
      </c>
      <c r="AN435" s="32">
        <f>IF($AH435="",0,$AC435*$T435)</f>
        <v/>
      </c>
    </row>
    <row r="436">
      <c r="A436" s="28" t="inlineStr">
        <is>
          <t>Nina</t>
        </is>
      </c>
      <c r="B436" s="16">
        <f>IF($A436="","",IFERROR(INDEX(Roster!$B$2:$B$40,MATCH($A436,Roster!$A$2:$A$40,0)),"?"))</f>
        <v/>
      </c>
      <c r="C436" s="28" t="inlineStr">
        <is>
          <t>Alliance_1</t>
        </is>
      </c>
      <c r="D436" s="16">
        <f>IF($C436="","",IFERROR(IF(INDEX(Deals!$C$2:$C$355,MATCH($C436,Deals!$A$2:$A$355,0))=0,"",INDEX(Deals!$C$2:$C$355,MATCH($C436,Deals!$A$2:$A$355,0))),"?"))</f>
        <v/>
      </c>
      <c r="E436" s="16">
        <f>IF($C436="","",IFERROR(INDEX(Deals!$F$2:$F$355,MATCH($C436,Deals!$A$2:$A$355,0)),"?"))</f>
        <v/>
      </c>
      <c r="F436" s="28" t="inlineStr">
        <is>
          <t>Senior Associate</t>
        </is>
      </c>
      <c r="G436" s="28" t="inlineStr">
        <is>
          <t>Inactive</t>
        </is>
      </c>
      <c r="H436" s="31" t="n"/>
      <c r="I436" s="32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1">
        <f>IF($C436="",0,IFERROR(INDEX(Deals!$H$2:$H$355,MATCH($C436,Deals!$A$2:$A$355,0)),0))</f>
        <v/>
      </c>
      <c r="K436" s="32">
        <f>IF(Settings!$B$4="Yes",$I436*$J436,$I436)</f>
        <v/>
      </c>
      <c r="L436" s="22">
        <f>IF($C436="","",IFERROR(IF(INDEX(Deals!$I$2:$I$355,MATCH($C436,Deals!$A$2:$A$355,0))=0,"",INDEX(Deals!$I$2:$I$355,MATCH($C436,Deals!$A$2:$A$355,0))),""))</f>
        <v/>
      </c>
      <c r="M436" s="22">
        <f>IF($C436="","",IFERROR(IF(INDEX(Deals!$J$2:$J$355,MATCH($C436,Deals!$A$2:$A$355,0))=0,"",INDEX(Deals!$J$2:$J$355,MATCH($C436,Deals!$A$2:$A$355,0))),""))</f>
        <v/>
      </c>
      <c r="N436" s="35">
        <f>IF($L436="",DATE(1900,1,1),$L436)</f>
        <v/>
      </c>
      <c r="O436" s="35">
        <f>IF($M436="",DATE(2100,12,31),$M436)</f>
        <v/>
      </c>
      <c r="P436" s="20" t="inlineStr">
        <is>
          <t>Pencils down</t>
        </is>
      </c>
      <c r="Q436" s="43" t="inlineStr"/>
      <c r="R436" s="16">
        <f>IF($C436="","",IFERROR(IF(INDEX(Deals!$U$2:$U$355,MATCH($C436,Deals!$A$2:$A$355,0))=0,"",INDEX(Deals!$U$2:$U$355,MATCH($C436,Deals!$A$2:$A$355,0))),""))</f>
        <v/>
      </c>
      <c r="S436" s="34">
        <f>IFERROR(IF($U436="",1,INDEX(Deals!$V$2:$V$355,MATCH($C436,Deals!$A$2:$A$355,0))),1)</f>
        <v/>
      </c>
      <c r="T436" s="34">
        <f>IFERROR(IF($U436="",1,INDEX(Deals!$W$2:$W$355,MATCH($C436,Deals!$A$2:$A$355,0))),1)</f>
        <v/>
      </c>
      <c r="U436" s="22">
        <f>IF($C436="","",IFERROR(IF(INDEX(Deals!$Y$2:$Y$355,MATCH($C436,Deals!$A$2:$A$355,0))=0,"",INDEX(Deals!$Y$2:$Y$355,MATCH($C436,Deals!$A$2:$A$355,0))),""))</f>
        <v/>
      </c>
      <c r="V436" s="35">
        <f>IF($U436="",DATE(1900,1,1),$N436)</f>
        <v/>
      </c>
      <c r="W436" s="35">
        <f>IF($U436="",DATE(2100,12,31),$U436)</f>
        <v/>
      </c>
      <c r="X436" s="32">
        <f>IF($U436="",$K436,$K436*$S436)</f>
        <v/>
      </c>
      <c r="Y436" s="35">
        <f>IF($U436="",DATE(2100,12,31),$U436+1)</f>
        <v/>
      </c>
      <c r="Z436" s="35">
        <f>IF($U436="",DATE(1900,1,1),$O436)</f>
        <v/>
      </c>
      <c r="AA436" s="32">
        <f>IF($U436="",0,$K436*$T436)</f>
        <v/>
      </c>
      <c r="AB436" s="21">
        <f>IF($C436="",0,IFERROR(INDEX(Deals!$AD$2:$AD$355,MATCH($C436,Deals!$A$2:$A$355,0)),0))</f>
        <v/>
      </c>
      <c r="AC436" s="32">
        <f>IF(Settings!$B$4="Yes",$I436*$AB436,$I436)</f>
        <v/>
      </c>
      <c r="AD436" s="22">
        <f>IF($C436="","",IFERROR(IF(INDEX(Deals!$AE$2:$AE$355,MATCH($C436,Deals!$A$2:$A$355,0))=0,"",INDEX(Deals!$AE$2:$AE$355,MATCH($C436,Deals!$A$2:$A$355,0))),""))</f>
        <v/>
      </c>
      <c r="AE436" s="22">
        <f>IF($C436="","",IFERROR(IF(INDEX(Deals!$AF$2:$AF$355,MATCH($C436,Deals!$A$2:$A$355,0))=0,"",INDEX(Deals!$AF$2:$AF$355,MATCH($C436,Deals!$A$2:$A$355,0))),""))</f>
        <v/>
      </c>
      <c r="AF436" s="35">
        <f>IF($AD436="",DATE(1900,1,1),$AD436)</f>
        <v/>
      </c>
      <c r="AG436" s="35">
        <f>IF($AE436="",DATE(2100,12,31),$AE436)</f>
        <v/>
      </c>
      <c r="AH436" s="22">
        <f>IF($C436="","",IFERROR(IF(INDEX(Deals!$AG$2:$AG$355,MATCH($C436,Deals!$A$2:$A$355,0))=0,"",INDEX(Deals!$AG$2:$AG$355,MATCH($C436,Deals!$A$2:$A$355,0))),""))</f>
        <v/>
      </c>
      <c r="AI436" s="35">
        <f>IF($AH436="",DATE(1900,1,1),$AF436)</f>
        <v/>
      </c>
      <c r="AJ436" s="35">
        <f>IF($AH436="",DATE(2100,12,31),$AH436)</f>
        <v/>
      </c>
      <c r="AK436" s="32">
        <f>IF($AH436="",$AC436,$AC436*$S436)</f>
        <v/>
      </c>
      <c r="AL436" s="35">
        <f>IF($AH436="",DATE(2100,12,31),$AH436+1)</f>
        <v/>
      </c>
      <c r="AM436" s="35">
        <f>IF($AH436="",DATE(1900,1,1),$AG436)</f>
        <v/>
      </c>
      <c r="AN436" s="32">
        <f>IF($AH436="",0,$AC436*$T436)</f>
        <v/>
      </c>
    </row>
    <row r="437">
      <c r="A437" s="28" t="inlineStr">
        <is>
          <t>Nina</t>
        </is>
      </c>
      <c r="B437" s="16">
        <f>IF($A437="","",IFERROR(INDEX(Roster!$B$2:$B$40,MATCH($A437,Roster!$A$2:$A$40,0)),"?"))</f>
        <v/>
      </c>
      <c r="C437" s="28" t="inlineStr">
        <is>
          <t>Atlas_4</t>
        </is>
      </c>
      <c r="D437" s="16">
        <f>IF($C437="","",IFERROR(IF(INDEX(Deals!$C$2:$C$355,MATCH($C437,Deals!$A$2:$A$355,0))=0,"",INDEX(Deals!$C$2:$C$355,MATCH($C437,Deals!$A$2:$A$355,0))),"?"))</f>
        <v/>
      </c>
      <c r="E437" s="16">
        <f>IF($C437="","",IFERROR(INDEX(Deals!$F$2:$F$355,MATCH($C437,Deals!$A$2:$A$355,0)),"?"))</f>
        <v/>
      </c>
      <c r="F437" s="28" t="inlineStr">
        <is>
          <t>Senior Associate</t>
        </is>
      </c>
      <c r="G437" s="28" t="inlineStr">
        <is>
          <t>Inactive</t>
        </is>
      </c>
      <c r="H437" s="31" t="n"/>
      <c r="I437" s="32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1">
        <f>IF($C437="",0,IFERROR(INDEX(Deals!$H$2:$H$355,MATCH($C437,Deals!$A$2:$A$355,0)),0))</f>
        <v/>
      </c>
      <c r="K437" s="32">
        <f>IF(Settings!$B$4="Yes",$I437*$J437,$I437)</f>
        <v/>
      </c>
      <c r="L437" s="22">
        <f>IF($C437="","",IFERROR(IF(INDEX(Deals!$I$2:$I$355,MATCH($C437,Deals!$A$2:$A$355,0))=0,"",INDEX(Deals!$I$2:$I$355,MATCH($C437,Deals!$A$2:$A$355,0))),""))</f>
        <v/>
      </c>
      <c r="M437" s="22">
        <f>IF($C437="","",IFERROR(IF(INDEX(Deals!$J$2:$J$355,MATCH($C437,Deals!$A$2:$A$355,0))=0,"",INDEX(Deals!$J$2:$J$355,MATCH($C437,Deals!$A$2:$A$355,0))),""))</f>
        <v/>
      </c>
      <c r="N437" s="35">
        <f>IF($L437="",DATE(1900,1,1),$L437)</f>
        <v/>
      </c>
      <c r="O437" s="35">
        <f>IF($M437="",DATE(2100,12,31),$M437)</f>
        <v/>
      </c>
      <c r="P437" s="20" t="inlineStr">
        <is>
          <t>Closed</t>
        </is>
      </c>
      <c r="Q437" s="43" t="inlineStr"/>
      <c r="R437" s="16">
        <f>IF($C437="","",IFERROR(IF(INDEX(Deals!$U$2:$U$355,MATCH($C437,Deals!$A$2:$A$355,0))=0,"",INDEX(Deals!$U$2:$U$355,MATCH($C437,Deals!$A$2:$A$355,0))),""))</f>
        <v/>
      </c>
      <c r="S437" s="34">
        <f>IFERROR(IF($U437="",1,INDEX(Deals!$V$2:$V$355,MATCH($C437,Deals!$A$2:$A$355,0))),1)</f>
        <v/>
      </c>
      <c r="T437" s="34">
        <f>IFERROR(IF($U437="",1,INDEX(Deals!$W$2:$W$355,MATCH($C437,Deals!$A$2:$A$355,0))),1)</f>
        <v/>
      </c>
      <c r="U437" s="22">
        <f>IF($C437="","",IFERROR(IF(INDEX(Deals!$Y$2:$Y$355,MATCH($C437,Deals!$A$2:$A$355,0))=0,"",INDEX(Deals!$Y$2:$Y$355,MATCH($C437,Deals!$A$2:$A$355,0))),""))</f>
        <v/>
      </c>
      <c r="V437" s="35">
        <f>IF($U437="",DATE(1900,1,1),$N437)</f>
        <v/>
      </c>
      <c r="W437" s="35">
        <f>IF($U437="",DATE(2100,12,31),$U437)</f>
        <v/>
      </c>
      <c r="X437" s="32">
        <f>IF($U437="",$K437,$K437*$S437)</f>
        <v/>
      </c>
      <c r="Y437" s="35">
        <f>IF($U437="",DATE(2100,12,31),$U437+1)</f>
        <v/>
      </c>
      <c r="Z437" s="35">
        <f>IF($U437="",DATE(1900,1,1),$O437)</f>
        <v/>
      </c>
      <c r="AA437" s="32">
        <f>IF($U437="",0,$K437*$T437)</f>
        <v/>
      </c>
      <c r="AB437" s="21">
        <f>IF($C437="",0,IFERROR(INDEX(Deals!$AD$2:$AD$355,MATCH($C437,Deals!$A$2:$A$355,0)),0))</f>
        <v/>
      </c>
      <c r="AC437" s="32">
        <f>IF(Settings!$B$4="Yes",$I437*$AB437,$I437)</f>
        <v/>
      </c>
      <c r="AD437" s="22">
        <f>IF($C437="","",IFERROR(IF(INDEX(Deals!$AE$2:$AE$355,MATCH($C437,Deals!$A$2:$A$355,0))=0,"",INDEX(Deals!$AE$2:$AE$355,MATCH($C437,Deals!$A$2:$A$355,0))),""))</f>
        <v/>
      </c>
      <c r="AE437" s="22">
        <f>IF($C437="","",IFERROR(IF(INDEX(Deals!$AF$2:$AF$355,MATCH($C437,Deals!$A$2:$A$355,0))=0,"",INDEX(Deals!$AF$2:$AF$355,MATCH($C437,Deals!$A$2:$A$355,0))),""))</f>
        <v/>
      </c>
      <c r="AF437" s="35">
        <f>IF($AD437="",DATE(1900,1,1),$AD437)</f>
        <v/>
      </c>
      <c r="AG437" s="35">
        <f>IF($AE437="",DATE(2100,12,31),$AE437)</f>
        <v/>
      </c>
      <c r="AH437" s="22">
        <f>IF($C437="","",IFERROR(IF(INDEX(Deals!$AG$2:$AG$355,MATCH($C437,Deals!$A$2:$A$355,0))=0,"",INDEX(Deals!$AG$2:$AG$355,MATCH($C437,Deals!$A$2:$A$355,0))),""))</f>
        <v/>
      </c>
      <c r="AI437" s="35">
        <f>IF($AH437="",DATE(1900,1,1),$AF437)</f>
        <v/>
      </c>
      <c r="AJ437" s="35">
        <f>IF($AH437="",DATE(2100,12,31),$AH437)</f>
        <v/>
      </c>
      <c r="AK437" s="32">
        <f>IF($AH437="",$AC437,$AC437*$S437)</f>
        <v/>
      </c>
      <c r="AL437" s="35">
        <f>IF($AH437="",DATE(2100,12,31),$AH437+1)</f>
        <v/>
      </c>
      <c r="AM437" s="35">
        <f>IF($AH437="",DATE(1900,1,1),$AG437)</f>
        <v/>
      </c>
      <c r="AN437" s="32">
        <f>IF($AH437="",0,$AC437*$T437)</f>
        <v/>
      </c>
    </row>
    <row r="438">
      <c r="A438" s="28" t="inlineStr">
        <is>
          <t>Nina</t>
        </is>
      </c>
      <c r="B438" s="16">
        <f>IF($A438="","",IFERROR(INDEX(Roster!$B$2:$B$40,MATCH($A438,Roster!$A$2:$A$40,0)),"?"))</f>
        <v/>
      </c>
      <c r="C438" s="28" t="inlineStr">
        <is>
          <t>Avlino_1</t>
        </is>
      </c>
      <c r="D438" s="16">
        <f>IF($C438="","",IFERROR(IF(INDEX(Deals!$C$2:$C$355,MATCH($C438,Deals!$A$2:$A$355,0))=0,"",INDEX(Deals!$C$2:$C$355,MATCH($C438,Deals!$A$2:$A$355,0))),"?"))</f>
        <v/>
      </c>
      <c r="E438" s="16">
        <f>IF($C438="","",IFERROR(INDEX(Deals!$F$2:$F$355,MATCH($C438,Deals!$A$2:$A$355,0)),"?"))</f>
        <v/>
      </c>
      <c r="F438" s="28" t="inlineStr">
        <is>
          <t>Senior Associate</t>
        </is>
      </c>
      <c r="G438" s="28" t="inlineStr">
        <is>
          <t>Active</t>
        </is>
      </c>
      <c r="H438" s="31" t="n"/>
      <c r="I438" s="32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1">
        <f>IF($C438="",0,IFERROR(INDEX(Deals!$H$2:$H$355,MATCH($C438,Deals!$A$2:$A$355,0)),0))</f>
        <v/>
      </c>
      <c r="K438" s="32">
        <f>IF(Settings!$B$4="Yes",$I438*$J438,$I438)</f>
        <v/>
      </c>
      <c r="L438" s="22">
        <f>IF($C438="","",IFERROR(IF(INDEX(Deals!$I$2:$I$355,MATCH($C438,Deals!$A$2:$A$355,0))=0,"",INDEX(Deals!$I$2:$I$355,MATCH($C438,Deals!$A$2:$A$355,0))),""))</f>
        <v/>
      </c>
      <c r="M438" s="22">
        <f>IF($C438="","",IFERROR(IF(INDEX(Deals!$J$2:$J$355,MATCH($C438,Deals!$A$2:$A$355,0))=0,"",INDEX(Deals!$J$2:$J$355,MATCH($C438,Deals!$A$2:$A$355,0))),""))</f>
        <v/>
      </c>
      <c r="N438" s="35">
        <f>IF($L438="",DATE(1900,1,1),$L438)</f>
        <v/>
      </c>
      <c r="O438" s="35">
        <f>IF($M438="",DATE(2100,12,31),$M438)</f>
        <v/>
      </c>
      <c r="P438" s="20" t="inlineStr">
        <is>
          <t>Ongoing</t>
        </is>
      </c>
      <c r="Q438" s="43" t="inlineStr">
        <is>
          <t>Added from Summary tab</t>
        </is>
      </c>
      <c r="R438" s="16">
        <f>IF($C438="","",IFERROR(IF(INDEX(Deals!$U$2:$U$355,MATCH($C438,Deals!$A$2:$A$355,0))=0,"",INDEX(Deals!$U$2:$U$355,MATCH($C438,Deals!$A$2:$A$355,0))),""))</f>
        <v/>
      </c>
      <c r="S438" s="34">
        <f>IFERROR(IF($U438="",1,INDEX(Deals!$V$2:$V$355,MATCH($C438,Deals!$A$2:$A$355,0))),1)</f>
        <v/>
      </c>
      <c r="T438" s="34">
        <f>IFERROR(IF($U438="",1,INDEX(Deals!$W$2:$W$355,MATCH($C438,Deals!$A$2:$A$355,0))),1)</f>
        <v/>
      </c>
      <c r="U438" s="22">
        <f>IF($C438="","",IFERROR(IF(INDEX(Deals!$Y$2:$Y$355,MATCH($C438,Deals!$A$2:$A$355,0))=0,"",INDEX(Deals!$Y$2:$Y$355,MATCH($C438,Deals!$A$2:$A$355,0))),""))</f>
        <v/>
      </c>
      <c r="V438" s="35">
        <f>IF($U438="",DATE(1900,1,1),$N438)</f>
        <v/>
      </c>
      <c r="W438" s="35">
        <f>IF($U438="",DATE(2100,12,31),$U438)</f>
        <v/>
      </c>
      <c r="X438" s="32">
        <f>IF($U438="",$K438,$K438*$S438)</f>
        <v/>
      </c>
      <c r="Y438" s="35">
        <f>IF($U438="",DATE(2100,12,31),$U438+1)</f>
        <v/>
      </c>
      <c r="Z438" s="35">
        <f>IF($U438="",DATE(1900,1,1),$O438)</f>
        <v/>
      </c>
      <c r="AA438" s="32">
        <f>IF($U438="",0,$K438*$T438)</f>
        <v/>
      </c>
      <c r="AB438" s="21">
        <f>IF($C438="",0,IFERROR(INDEX(Deals!$AD$2:$AD$355,MATCH($C438,Deals!$A$2:$A$355,0)),0))</f>
        <v/>
      </c>
      <c r="AC438" s="32">
        <f>IF(Settings!$B$4="Yes",$I438*$AB438,$I438)</f>
        <v/>
      </c>
      <c r="AD438" s="22">
        <f>IF($C438="","",IFERROR(IF(INDEX(Deals!$AE$2:$AE$355,MATCH($C438,Deals!$A$2:$A$355,0))=0,"",INDEX(Deals!$AE$2:$AE$355,MATCH($C438,Deals!$A$2:$A$355,0))),""))</f>
        <v/>
      </c>
      <c r="AE438" s="22">
        <f>IF($C438="","",IFERROR(IF(INDEX(Deals!$AF$2:$AF$355,MATCH($C438,Deals!$A$2:$A$355,0))=0,"",INDEX(Deals!$AF$2:$AF$355,MATCH($C438,Deals!$A$2:$A$355,0))),""))</f>
        <v/>
      </c>
      <c r="AF438" s="35">
        <f>IF($AD438="",DATE(1900,1,1),$AD438)</f>
        <v/>
      </c>
      <c r="AG438" s="35">
        <f>IF($AE438="",DATE(2100,12,31),$AE438)</f>
        <v/>
      </c>
      <c r="AH438" s="22">
        <f>IF($C438="","",IFERROR(IF(INDEX(Deals!$AG$2:$AG$355,MATCH($C438,Deals!$A$2:$A$355,0))=0,"",INDEX(Deals!$AG$2:$AG$355,MATCH($C438,Deals!$A$2:$A$355,0))),""))</f>
        <v/>
      </c>
      <c r="AI438" s="35">
        <f>IF($AH438="",DATE(1900,1,1),$AF438)</f>
        <v/>
      </c>
      <c r="AJ438" s="35">
        <f>IF($AH438="",DATE(2100,12,31),$AH438)</f>
        <v/>
      </c>
      <c r="AK438" s="32">
        <f>IF($AH438="",$AC438,$AC438*$S438)</f>
        <v/>
      </c>
      <c r="AL438" s="35">
        <f>IF($AH438="",DATE(2100,12,31),$AH438+1)</f>
        <v/>
      </c>
      <c r="AM438" s="35">
        <f>IF($AH438="",DATE(1900,1,1),$AG438)</f>
        <v/>
      </c>
      <c r="AN438" s="32">
        <f>IF($AH438="",0,$AC438*$T438)</f>
        <v/>
      </c>
    </row>
    <row r="439">
      <c r="A439" s="28" t="inlineStr">
        <is>
          <t>Nina</t>
        </is>
      </c>
      <c r="B439" s="16">
        <f>IF($A439="","",IFERROR(INDEX(Roster!$B$2:$B$40,MATCH($A439,Roster!$A$2:$A$40,0)),"?"))</f>
        <v/>
      </c>
      <c r="C439" s="28" t="inlineStr">
        <is>
          <t>Bishopville_1</t>
        </is>
      </c>
      <c r="D439" s="16">
        <f>IF($C439="","",IFERROR(IF(INDEX(Deals!$C$2:$C$355,MATCH($C439,Deals!$A$2:$A$355,0))=0,"",INDEX(Deals!$C$2:$C$355,MATCH($C439,Deals!$A$2:$A$355,0))),"?"))</f>
        <v/>
      </c>
      <c r="E439" s="16">
        <f>IF($C439="","",IFERROR(INDEX(Deals!$F$2:$F$355,MATCH($C439,Deals!$A$2:$A$355,0)),"?"))</f>
        <v/>
      </c>
      <c r="F439" s="28" t="inlineStr">
        <is>
          <t>Senior Associate</t>
        </is>
      </c>
      <c r="G439" s="28" t="inlineStr">
        <is>
          <t>Active</t>
        </is>
      </c>
      <c r="H439" s="31" t="n"/>
      <c r="I439" s="32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1">
        <f>IF($C439="",0,IFERROR(INDEX(Deals!$H$2:$H$355,MATCH($C439,Deals!$A$2:$A$355,0)),0))</f>
        <v/>
      </c>
      <c r="K439" s="32">
        <f>IF(Settings!$B$4="Yes",$I439*$J439,$I439)</f>
        <v/>
      </c>
      <c r="L439" s="22">
        <f>IF($C439="","",IFERROR(IF(INDEX(Deals!$I$2:$I$355,MATCH($C439,Deals!$A$2:$A$355,0))=0,"",INDEX(Deals!$I$2:$I$355,MATCH($C439,Deals!$A$2:$A$355,0))),""))</f>
        <v/>
      </c>
      <c r="M439" s="22">
        <f>IF($C439="","",IFERROR(IF(INDEX(Deals!$J$2:$J$355,MATCH($C439,Deals!$A$2:$A$355,0))=0,"",INDEX(Deals!$J$2:$J$355,MATCH($C439,Deals!$A$2:$A$355,0))),""))</f>
        <v/>
      </c>
      <c r="N439" s="35">
        <f>IF($L439="",DATE(1900,1,1),$L439)</f>
        <v/>
      </c>
      <c r="O439" s="35">
        <f>IF($M439="",DATE(2100,12,31),$M439)</f>
        <v/>
      </c>
      <c r="P439" s="20" t="inlineStr"/>
      <c r="Q439" s="43" t="inlineStr"/>
      <c r="R439" s="16">
        <f>IF($C439="","",IFERROR(IF(INDEX(Deals!$U$2:$U$355,MATCH($C439,Deals!$A$2:$A$355,0))=0,"",INDEX(Deals!$U$2:$U$355,MATCH($C439,Deals!$A$2:$A$355,0))),""))</f>
        <v/>
      </c>
      <c r="S439" s="34">
        <f>IFERROR(IF($U439="",1,INDEX(Deals!$V$2:$V$355,MATCH($C439,Deals!$A$2:$A$355,0))),1)</f>
        <v/>
      </c>
      <c r="T439" s="34">
        <f>IFERROR(IF($U439="",1,INDEX(Deals!$W$2:$W$355,MATCH($C439,Deals!$A$2:$A$355,0))),1)</f>
        <v/>
      </c>
      <c r="U439" s="22">
        <f>IF($C439="","",IFERROR(IF(INDEX(Deals!$Y$2:$Y$355,MATCH($C439,Deals!$A$2:$A$355,0))=0,"",INDEX(Deals!$Y$2:$Y$355,MATCH($C439,Deals!$A$2:$A$355,0))),""))</f>
        <v/>
      </c>
      <c r="V439" s="35">
        <f>IF($U439="",DATE(1900,1,1),$N439)</f>
        <v/>
      </c>
      <c r="W439" s="35">
        <f>IF($U439="",DATE(2100,12,31),$U439)</f>
        <v/>
      </c>
      <c r="X439" s="32">
        <f>IF($U439="",$K439,$K439*$S439)</f>
        <v/>
      </c>
      <c r="Y439" s="35">
        <f>IF($U439="",DATE(2100,12,31),$U439+1)</f>
        <v/>
      </c>
      <c r="Z439" s="35">
        <f>IF($U439="",DATE(1900,1,1),$O439)</f>
        <v/>
      </c>
      <c r="AA439" s="32">
        <f>IF($U439="",0,$K439*$T439)</f>
        <v/>
      </c>
      <c r="AB439" s="21">
        <f>IF($C439="",0,IFERROR(INDEX(Deals!$AD$2:$AD$355,MATCH($C439,Deals!$A$2:$A$355,0)),0))</f>
        <v/>
      </c>
      <c r="AC439" s="32">
        <f>IF(Settings!$B$4="Yes",$I439*$AB439,$I439)</f>
        <v/>
      </c>
      <c r="AD439" s="22">
        <f>IF($C439="","",IFERROR(IF(INDEX(Deals!$AE$2:$AE$355,MATCH($C439,Deals!$A$2:$A$355,0))=0,"",INDEX(Deals!$AE$2:$AE$355,MATCH($C439,Deals!$A$2:$A$355,0))),""))</f>
        <v/>
      </c>
      <c r="AE439" s="22">
        <f>IF($C439="","",IFERROR(IF(INDEX(Deals!$AF$2:$AF$355,MATCH($C439,Deals!$A$2:$A$355,0))=0,"",INDEX(Deals!$AF$2:$AF$355,MATCH($C439,Deals!$A$2:$A$355,0))),""))</f>
        <v/>
      </c>
      <c r="AF439" s="35">
        <f>IF($AD439="",DATE(1900,1,1),$AD439)</f>
        <v/>
      </c>
      <c r="AG439" s="35">
        <f>IF($AE439="",DATE(2100,12,31),$AE439)</f>
        <v/>
      </c>
      <c r="AH439" s="22">
        <f>IF($C439="","",IFERROR(IF(INDEX(Deals!$AG$2:$AG$355,MATCH($C439,Deals!$A$2:$A$355,0))=0,"",INDEX(Deals!$AG$2:$AG$355,MATCH($C439,Deals!$A$2:$A$355,0))),""))</f>
        <v/>
      </c>
      <c r="AI439" s="35">
        <f>IF($AH439="",DATE(1900,1,1),$AF439)</f>
        <v/>
      </c>
      <c r="AJ439" s="35">
        <f>IF($AH439="",DATE(2100,12,31),$AH439)</f>
        <v/>
      </c>
      <c r="AK439" s="32">
        <f>IF($AH439="",$AC439,$AC439*$S439)</f>
        <v/>
      </c>
      <c r="AL439" s="35">
        <f>IF($AH439="",DATE(2100,12,31),$AH439+1)</f>
        <v/>
      </c>
      <c r="AM439" s="35">
        <f>IF($AH439="",DATE(1900,1,1),$AG439)</f>
        <v/>
      </c>
      <c r="AN439" s="32">
        <f>IF($AH439="",0,$AC439*$T439)</f>
        <v/>
      </c>
    </row>
    <row r="440">
      <c r="A440" s="28" t="inlineStr">
        <is>
          <t>Nina</t>
        </is>
      </c>
      <c r="B440" s="16">
        <f>IF($A440="","",IFERROR(INDEX(Roster!$B$2:$B$40,MATCH($A440,Roster!$A$2:$A$40,0)),"?"))</f>
        <v/>
      </c>
      <c r="C440" s="28" t="inlineStr">
        <is>
          <t>Bledsoe_1</t>
        </is>
      </c>
      <c r="D440" s="16">
        <f>IF($C440="","",IFERROR(IF(INDEX(Deals!$C$2:$C$355,MATCH($C440,Deals!$A$2:$A$355,0))=0,"",INDEX(Deals!$C$2:$C$355,MATCH($C440,Deals!$A$2:$A$355,0))),"?"))</f>
        <v/>
      </c>
      <c r="E440" s="16">
        <f>IF($C440="","",IFERROR(INDEX(Deals!$F$2:$F$355,MATCH($C440,Deals!$A$2:$A$355,0)),"?"))</f>
        <v/>
      </c>
      <c r="F440" s="28" t="inlineStr">
        <is>
          <t>Senior Associate</t>
        </is>
      </c>
      <c r="G440" s="28" t="inlineStr">
        <is>
          <t>Active</t>
        </is>
      </c>
      <c r="H440" s="31" t="n"/>
      <c r="I440" s="32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1">
        <f>IF($C440="",0,IFERROR(INDEX(Deals!$H$2:$H$355,MATCH($C440,Deals!$A$2:$A$355,0)),0))</f>
        <v/>
      </c>
      <c r="K440" s="32">
        <f>IF(Settings!$B$4="Yes",$I440*$J440,$I440)</f>
        <v/>
      </c>
      <c r="L440" s="22">
        <f>IF($C440="","",IFERROR(IF(INDEX(Deals!$I$2:$I$355,MATCH($C440,Deals!$A$2:$A$355,0))=0,"",INDEX(Deals!$I$2:$I$355,MATCH($C440,Deals!$A$2:$A$355,0))),""))</f>
        <v/>
      </c>
      <c r="M440" s="22">
        <f>IF($C440="","",IFERROR(IF(INDEX(Deals!$J$2:$J$355,MATCH($C440,Deals!$A$2:$A$355,0))=0,"",INDEX(Deals!$J$2:$J$355,MATCH($C440,Deals!$A$2:$A$355,0))),""))</f>
        <v/>
      </c>
      <c r="N440" s="35">
        <f>IF($L440="",DATE(1900,1,1),$L440)</f>
        <v/>
      </c>
      <c r="O440" s="35">
        <f>IF($M440="",DATE(2100,12,31),$M440)</f>
        <v/>
      </c>
      <c r="P440" s="20" t="inlineStr">
        <is>
          <t>Ongoing</t>
        </is>
      </c>
      <c r="Q440" s="43" t="inlineStr"/>
      <c r="R440" s="16">
        <f>IF($C440="","",IFERROR(IF(INDEX(Deals!$U$2:$U$355,MATCH($C440,Deals!$A$2:$A$355,0))=0,"",INDEX(Deals!$U$2:$U$355,MATCH($C440,Deals!$A$2:$A$355,0))),""))</f>
        <v/>
      </c>
      <c r="S440" s="34">
        <f>IFERROR(IF($U440="",1,INDEX(Deals!$V$2:$V$355,MATCH($C440,Deals!$A$2:$A$355,0))),1)</f>
        <v/>
      </c>
      <c r="T440" s="34">
        <f>IFERROR(IF($U440="",1,INDEX(Deals!$W$2:$W$355,MATCH($C440,Deals!$A$2:$A$355,0))),1)</f>
        <v/>
      </c>
      <c r="U440" s="22">
        <f>IF($C440="","",IFERROR(IF(INDEX(Deals!$Y$2:$Y$355,MATCH($C440,Deals!$A$2:$A$355,0))=0,"",INDEX(Deals!$Y$2:$Y$355,MATCH($C440,Deals!$A$2:$A$355,0))),""))</f>
        <v/>
      </c>
      <c r="V440" s="35">
        <f>IF($U440="",DATE(1900,1,1),$N440)</f>
        <v/>
      </c>
      <c r="W440" s="35">
        <f>IF($U440="",DATE(2100,12,31),$U440)</f>
        <v/>
      </c>
      <c r="X440" s="32">
        <f>IF($U440="",$K440,$K440*$S440)</f>
        <v/>
      </c>
      <c r="Y440" s="35">
        <f>IF($U440="",DATE(2100,12,31),$U440+1)</f>
        <v/>
      </c>
      <c r="Z440" s="35">
        <f>IF($U440="",DATE(1900,1,1),$O440)</f>
        <v/>
      </c>
      <c r="AA440" s="32">
        <f>IF($U440="",0,$K440*$T440)</f>
        <v/>
      </c>
      <c r="AB440" s="21">
        <f>IF($C440="",0,IFERROR(INDEX(Deals!$AD$2:$AD$355,MATCH($C440,Deals!$A$2:$A$355,0)),0))</f>
        <v/>
      </c>
      <c r="AC440" s="32">
        <f>IF(Settings!$B$4="Yes",$I440*$AB440,$I440)</f>
        <v/>
      </c>
      <c r="AD440" s="22">
        <f>IF($C440="","",IFERROR(IF(INDEX(Deals!$AE$2:$AE$355,MATCH($C440,Deals!$A$2:$A$355,0))=0,"",INDEX(Deals!$AE$2:$AE$355,MATCH($C440,Deals!$A$2:$A$355,0))),""))</f>
        <v/>
      </c>
      <c r="AE440" s="22">
        <f>IF($C440="","",IFERROR(IF(INDEX(Deals!$AF$2:$AF$355,MATCH($C440,Deals!$A$2:$A$355,0))=0,"",INDEX(Deals!$AF$2:$AF$355,MATCH($C440,Deals!$A$2:$A$355,0))),""))</f>
        <v/>
      </c>
      <c r="AF440" s="35">
        <f>IF($AD440="",DATE(1900,1,1),$AD440)</f>
        <v/>
      </c>
      <c r="AG440" s="35">
        <f>IF($AE440="",DATE(2100,12,31),$AE440)</f>
        <v/>
      </c>
      <c r="AH440" s="22">
        <f>IF($C440="","",IFERROR(IF(INDEX(Deals!$AG$2:$AG$355,MATCH($C440,Deals!$A$2:$A$355,0))=0,"",INDEX(Deals!$AG$2:$AG$355,MATCH($C440,Deals!$A$2:$A$355,0))),""))</f>
        <v/>
      </c>
      <c r="AI440" s="35">
        <f>IF($AH440="",DATE(1900,1,1),$AF440)</f>
        <v/>
      </c>
      <c r="AJ440" s="35">
        <f>IF($AH440="",DATE(2100,12,31),$AH440)</f>
        <v/>
      </c>
      <c r="AK440" s="32">
        <f>IF($AH440="",$AC440,$AC440*$S440)</f>
        <v/>
      </c>
      <c r="AL440" s="35">
        <f>IF($AH440="",DATE(2100,12,31),$AH440+1)</f>
        <v/>
      </c>
      <c r="AM440" s="35">
        <f>IF($AH440="",DATE(1900,1,1),$AG440)</f>
        <v/>
      </c>
      <c r="AN440" s="32">
        <f>IF($AH440="",0,$AC440*$T440)</f>
        <v/>
      </c>
    </row>
    <row r="441">
      <c r="A441" s="28" t="inlineStr">
        <is>
          <t>Nina</t>
        </is>
      </c>
      <c r="B441" s="16">
        <f>IF($A441="","",IFERROR(INDEX(Roster!$B$2:$B$40,MATCH($A441,Roster!$A$2:$A$40,0)),"?"))</f>
        <v/>
      </c>
      <c r="C441" s="28" t="inlineStr">
        <is>
          <t>Brass_2</t>
        </is>
      </c>
      <c r="D441" s="16">
        <f>IF($C441="","",IFERROR(IF(INDEX(Deals!$C$2:$C$355,MATCH($C441,Deals!$A$2:$A$355,0))=0,"",INDEX(Deals!$C$2:$C$355,MATCH($C441,Deals!$A$2:$A$355,0))),"?"))</f>
        <v/>
      </c>
      <c r="E441" s="16">
        <f>IF($C441="","",IFERROR(INDEX(Deals!$F$2:$F$355,MATCH($C441,Deals!$A$2:$A$355,0)),"?"))</f>
        <v/>
      </c>
      <c r="F441" s="28" t="inlineStr">
        <is>
          <t>Senior Associate</t>
        </is>
      </c>
      <c r="G441" s="28" t="inlineStr">
        <is>
          <t>Active</t>
        </is>
      </c>
      <c r="H441" s="31" t="n"/>
      <c r="I441" s="32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1">
        <f>IF($C441="",0,IFERROR(INDEX(Deals!$H$2:$H$355,MATCH($C441,Deals!$A$2:$A$355,0)),0))</f>
        <v/>
      </c>
      <c r="K441" s="32">
        <f>IF(Settings!$B$4="Yes",$I441*$J441,$I441)</f>
        <v/>
      </c>
      <c r="L441" s="22">
        <f>IF($C441="","",IFERROR(IF(INDEX(Deals!$I$2:$I$355,MATCH($C441,Deals!$A$2:$A$355,0))=0,"",INDEX(Deals!$I$2:$I$355,MATCH($C441,Deals!$A$2:$A$355,0))),""))</f>
        <v/>
      </c>
      <c r="M441" s="22">
        <f>IF($C441="","",IFERROR(IF(INDEX(Deals!$J$2:$J$355,MATCH($C441,Deals!$A$2:$A$355,0))=0,"",INDEX(Deals!$J$2:$J$355,MATCH($C441,Deals!$A$2:$A$355,0))),""))</f>
        <v/>
      </c>
      <c r="N441" s="35">
        <f>IF($L441="",DATE(1900,1,1),$L441)</f>
        <v/>
      </c>
      <c r="O441" s="35">
        <f>IF($M441="",DATE(2100,12,31),$M441)</f>
        <v/>
      </c>
      <c r="P441" s="20" t="inlineStr"/>
      <c r="Q441" s="43" t="inlineStr"/>
      <c r="R441" s="16">
        <f>IF($C441="","",IFERROR(IF(INDEX(Deals!$U$2:$U$355,MATCH($C441,Deals!$A$2:$A$355,0))=0,"",INDEX(Deals!$U$2:$U$355,MATCH($C441,Deals!$A$2:$A$355,0))),""))</f>
        <v/>
      </c>
      <c r="S441" s="34">
        <f>IFERROR(IF($U441="",1,INDEX(Deals!$V$2:$V$355,MATCH($C441,Deals!$A$2:$A$355,0))),1)</f>
        <v/>
      </c>
      <c r="T441" s="34">
        <f>IFERROR(IF($U441="",1,INDEX(Deals!$W$2:$W$355,MATCH($C441,Deals!$A$2:$A$355,0))),1)</f>
        <v/>
      </c>
      <c r="U441" s="22">
        <f>IF($C441="","",IFERROR(IF(INDEX(Deals!$Y$2:$Y$355,MATCH($C441,Deals!$A$2:$A$355,0))=0,"",INDEX(Deals!$Y$2:$Y$355,MATCH($C441,Deals!$A$2:$A$355,0))),""))</f>
        <v/>
      </c>
      <c r="V441" s="35">
        <f>IF($U441="",DATE(1900,1,1),$N441)</f>
        <v/>
      </c>
      <c r="W441" s="35">
        <f>IF($U441="",DATE(2100,12,31),$U441)</f>
        <v/>
      </c>
      <c r="X441" s="32">
        <f>IF($U441="",$K441,$K441*$S441)</f>
        <v/>
      </c>
      <c r="Y441" s="35">
        <f>IF($U441="",DATE(2100,12,31),$U441+1)</f>
        <v/>
      </c>
      <c r="Z441" s="35">
        <f>IF($U441="",DATE(1900,1,1),$O441)</f>
        <v/>
      </c>
      <c r="AA441" s="32">
        <f>IF($U441="",0,$K441*$T441)</f>
        <v/>
      </c>
      <c r="AB441" s="21">
        <f>IF($C441="",0,IFERROR(INDEX(Deals!$AD$2:$AD$355,MATCH($C441,Deals!$A$2:$A$355,0)),0))</f>
        <v/>
      </c>
      <c r="AC441" s="32">
        <f>IF(Settings!$B$4="Yes",$I441*$AB441,$I441)</f>
        <v/>
      </c>
      <c r="AD441" s="22">
        <f>IF($C441="","",IFERROR(IF(INDEX(Deals!$AE$2:$AE$355,MATCH($C441,Deals!$A$2:$A$355,0))=0,"",INDEX(Deals!$AE$2:$AE$355,MATCH($C441,Deals!$A$2:$A$355,0))),""))</f>
        <v/>
      </c>
      <c r="AE441" s="22">
        <f>IF($C441="","",IFERROR(IF(INDEX(Deals!$AF$2:$AF$355,MATCH($C441,Deals!$A$2:$A$355,0))=0,"",INDEX(Deals!$AF$2:$AF$355,MATCH($C441,Deals!$A$2:$A$355,0))),""))</f>
        <v/>
      </c>
      <c r="AF441" s="35">
        <f>IF($AD441="",DATE(1900,1,1),$AD441)</f>
        <v/>
      </c>
      <c r="AG441" s="35">
        <f>IF($AE441="",DATE(2100,12,31),$AE441)</f>
        <v/>
      </c>
      <c r="AH441" s="22">
        <f>IF($C441="","",IFERROR(IF(INDEX(Deals!$AG$2:$AG$355,MATCH($C441,Deals!$A$2:$A$355,0))=0,"",INDEX(Deals!$AG$2:$AG$355,MATCH($C441,Deals!$A$2:$A$355,0))),""))</f>
        <v/>
      </c>
      <c r="AI441" s="35">
        <f>IF($AH441="",DATE(1900,1,1),$AF441)</f>
        <v/>
      </c>
      <c r="AJ441" s="35">
        <f>IF($AH441="",DATE(2100,12,31),$AH441)</f>
        <v/>
      </c>
      <c r="AK441" s="32">
        <f>IF($AH441="",$AC441,$AC441*$S441)</f>
        <v/>
      </c>
      <c r="AL441" s="35">
        <f>IF($AH441="",DATE(2100,12,31),$AH441+1)</f>
        <v/>
      </c>
      <c r="AM441" s="35">
        <f>IF($AH441="",DATE(1900,1,1),$AG441)</f>
        <v/>
      </c>
      <c r="AN441" s="32">
        <f>IF($AH441="",0,$AC441*$T441)</f>
        <v/>
      </c>
    </row>
    <row r="442">
      <c r="A442" s="28" t="inlineStr">
        <is>
          <t>Nina</t>
        </is>
      </c>
      <c r="B442" s="16">
        <f>IF($A442="","",IFERROR(INDEX(Roster!$B$2:$B$40,MATCH($A442,Roster!$A$2:$A$40,0)),"?"))</f>
        <v/>
      </c>
      <c r="C442" s="28" t="inlineStr">
        <is>
          <t>Broadway_1</t>
        </is>
      </c>
      <c r="D442" s="16">
        <f>IF($C442="","",IFERROR(IF(INDEX(Deals!$C$2:$C$355,MATCH($C442,Deals!$A$2:$A$355,0))=0,"",INDEX(Deals!$C$2:$C$355,MATCH($C442,Deals!$A$2:$A$355,0))),"?"))</f>
        <v/>
      </c>
      <c r="E442" s="16">
        <f>IF($C442="","",IFERROR(INDEX(Deals!$F$2:$F$355,MATCH($C442,Deals!$A$2:$A$355,0)),"?"))</f>
        <v/>
      </c>
      <c r="F442" s="28" t="inlineStr">
        <is>
          <t>Senior Associate</t>
        </is>
      </c>
      <c r="G442" s="28" t="inlineStr">
        <is>
          <t>Inactive</t>
        </is>
      </c>
      <c r="H442" s="31" t="n"/>
      <c r="I442" s="32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1">
        <f>IF($C442="",0,IFERROR(INDEX(Deals!$H$2:$H$355,MATCH($C442,Deals!$A$2:$A$355,0)),0))</f>
        <v/>
      </c>
      <c r="K442" s="32">
        <f>IF(Settings!$B$4="Yes",$I442*$J442,$I442)</f>
        <v/>
      </c>
      <c r="L442" s="22">
        <f>IF($C442="","",IFERROR(IF(INDEX(Deals!$I$2:$I$355,MATCH($C442,Deals!$A$2:$A$355,0))=0,"",INDEX(Deals!$I$2:$I$355,MATCH($C442,Deals!$A$2:$A$355,0))),""))</f>
        <v/>
      </c>
      <c r="M442" s="22">
        <f>IF($C442="","",IFERROR(IF(INDEX(Deals!$J$2:$J$355,MATCH($C442,Deals!$A$2:$A$355,0))=0,"",INDEX(Deals!$J$2:$J$355,MATCH($C442,Deals!$A$2:$A$355,0))),""))</f>
        <v/>
      </c>
      <c r="N442" s="35">
        <f>IF($L442="",DATE(1900,1,1),$L442)</f>
        <v/>
      </c>
      <c r="O442" s="35">
        <f>IF($M442="",DATE(2100,12,31),$M442)</f>
        <v/>
      </c>
      <c r="P442" s="20" t="inlineStr">
        <is>
          <t>Not involved in ongoing work</t>
        </is>
      </c>
      <c r="Q442" s="43" t="inlineStr"/>
      <c r="R442" s="16">
        <f>IF($C442="","",IFERROR(IF(INDEX(Deals!$U$2:$U$355,MATCH($C442,Deals!$A$2:$A$355,0))=0,"",INDEX(Deals!$U$2:$U$355,MATCH($C442,Deals!$A$2:$A$355,0))),""))</f>
        <v/>
      </c>
      <c r="S442" s="34">
        <f>IFERROR(IF($U442="",1,INDEX(Deals!$V$2:$V$355,MATCH($C442,Deals!$A$2:$A$355,0))),1)</f>
        <v/>
      </c>
      <c r="T442" s="34">
        <f>IFERROR(IF($U442="",1,INDEX(Deals!$W$2:$W$355,MATCH($C442,Deals!$A$2:$A$355,0))),1)</f>
        <v/>
      </c>
      <c r="U442" s="22">
        <f>IF($C442="","",IFERROR(IF(INDEX(Deals!$Y$2:$Y$355,MATCH($C442,Deals!$A$2:$A$355,0))=0,"",INDEX(Deals!$Y$2:$Y$355,MATCH($C442,Deals!$A$2:$A$355,0))),""))</f>
        <v/>
      </c>
      <c r="V442" s="35">
        <f>IF($U442="",DATE(1900,1,1),$N442)</f>
        <v/>
      </c>
      <c r="W442" s="35">
        <f>IF($U442="",DATE(2100,12,31),$U442)</f>
        <v/>
      </c>
      <c r="X442" s="32">
        <f>IF($U442="",$K442,$K442*$S442)</f>
        <v/>
      </c>
      <c r="Y442" s="35">
        <f>IF($U442="",DATE(2100,12,31),$U442+1)</f>
        <v/>
      </c>
      <c r="Z442" s="35">
        <f>IF($U442="",DATE(1900,1,1),$O442)</f>
        <v/>
      </c>
      <c r="AA442" s="32">
        <f>IF($U442="",0,$K442*$T442)</f>
        <v/>
      </c>
      <c r="AB442" s="21">
        <f>IF($C442="",0,IFERROR(INDEX(Deals!$AD$2:$AD$355,MATCH($C442,Deals!$A$2:$A$355,0)),0))</f>
        <v/>
      </c>
      <c r="AC442" s="32">
        <f>IF(Settings!$B$4="Yes",$I442*$AB442,$I442)</f>
        <v/>
      </c>
      <c r="AD442" s="22">
        <f>IF($C442="","",IFERROR(IF(INDEX(Deals!$AE$2:$AE$355,MATCH($C442,Deals!$A$2:$A$355,0))=0,"",INDEX(Deals!$AE$2:$AE$355,MATCH($C442,Deals!$A$2:$A$355,0))),""))</f>
        <v/>
      </c>
      <c r="AE442" s="22">
        <f>IF($C442="","",IFERROR(IF(INDEX(Deals!$AF$2:$AF$355,MATCH($C442,Deals!$A$2:$A$355,0))=0,"",INDEX(Deals!$AF$2:$AF$355,MATCH($C442,Deals!$A$2:$A$355,0))),""))</f>
        <v/>
      </c>
      <c r="AF442" s="35">
        <f>IF($AD442="",DATE(1900,1,1),$AD442)</f>
        <v/>
      </c>
      <c r="AG442" s="35">
        <f>IF($AE442="",DATE(2100,12,31),$AE442)</f>
        <v/>
      </c>
      <c r="AH442" s="22">
        <f>IF($C442="","",IFERROR(IF(INDEX(Deals!$AG$2:$AG$355,MATCH($C442,Deals!$A$2:$A$355,0))=0,"",INDEX(Deals!$AG$2:$AG$355,MATCH($C442,Deals!$A$2:$A$355,0))),""))</f>
        <v/>
      </c>
      <c r="AI442" s="35">
        <f>IF($AH442="",DATE(1900,1,1),$AF442)</f>
        <v/>
      </c>
      <c r="AJ442" s="35">
        <f>IF($AH442="",DATE(2100,12,31),$AH442)</f>
        <v/>
      </c>
      <c r="AK442" s="32">
        <f>IF($AH442="",$AC442,$AC442*$S442)</f>
        <v/>
      </c>
      <c r="AL442" s="35">
        <f>IF($AH442="",DATE(2100,12,31),$AH442+1)</f>
        <v/>
      </c>
      <c r="AM442" s="35">
        <f>IF($AH442="",DATE(1900,1,1),$AG442)</f>
        <v/>
      </c>
      <c r="AN442" s="32">
        <f>IF($AH442="",0,$AC442*$T442)</f>
        <v/>
      </c>
    </row>
    <row r="443">
      <c r="A443" s="28" t="inlineStr">
        <is>
          <t>Nina</t>
        </is>
      </c>
      <c r="B443" s="16">
        <f>IF($A443="","",IFERROR(INDEX(Roster!$B$2:$B$40,MATCH($A443,Roster!$A$2:$A$40,0)),"?"))</f>
        <v/>
      </c>
      <c r="C443" s="28" t="inlineStr">
        <is>
          <t>Canyon_1</t>
        </is>
      </c>
      <c r="D443" s="16">
        <f>IF($C443="","",IFERROR(IF(INDEX(Deals!$C$2:$C$355,MATCH($C443,Deals!$A$2:$A$355,0))=0,"",INDEX(Deals!$C$2:$C$355,MATCH($C443,Deals!$A$2:$A$355,0))),"?"))</f>
        <v/>
      </c>
      <c r="E443" s="16">
        <f>IF($C443="","",IFERROR(INDEX(Deals!$F$2:$F$355,MATCH($C443,Deals!$A$2:$A$355,0)),"?"))</f>
        <v/>
      </c>
      <c r="F443" s="28" t="inlineStr">
        <is>
          <t>Senior Associate</t>
        </is>
      </c>
      <c r="G443" s="28" t="inlineStr">
        <is>
          <t>Inactive</t>
        </is>
      </c>
      <c r="H443" s="31" t="n"/>
      <c r="I443" s="32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1">
        <f>IF($C443="",0,IFERROR(INDEX(Deals!$H$2:$H$355,MATCH($C443,Deals!$A$2:$A$355,0)),0))</f>
        <v/>
      </c>
      <c r="K443" s="32">
        <f>IF(Settings!$B$4="Yes",$I443*$J443,$I443)</f>
        <v/>
      </c>
      <c r="L443" s="22">
        <f>IF($C443="","",IFERROR(IF(INDEX(Deals!$I$2:$I$355,MATCH($C443,Deals!$A$2:$A$355,0))=0,"",INDEX(Deals!$I$2:$I$355,MATCH($C443,Deals!$A$2:$A$355,0))),""))</f>
        <v/>
      </c>
      <c r="M443" s="22">
        <f>IF($C443="","",IFERROR(IF(INDEX(Deals!$J$2:$J$355,MATCH($C443,Deals!$A$2:$A$355,0))=0,"",INDEX(Deals!$J$2:$J$355,MATCH($C443,Deals!$A$2:$A$355,0))),""))</f>
        <v/>
      </c>
      <c r="N443" s="35">
        <f>IF($L443="",DATE(1900,1,1),$L443)</f>
        <v/>
      </c>
      <c r="O443" s="35">
        <f>IF($M443="",DATE(2100,12,31),$M443)</f>
        <v/>
      </c>
      <c r="P443" s="20" t="inlineStr">
        <is>
          <t>Closed</t>
        </is>
      </c>
      <c r="Q443" s="43" t="inlineStr"/>
      <c r="R443" s="16">
        <f>IF($C443="","",IFERROR(IF(INDEX(Deals!$U$2:$U$355,MATCH($C443,Deals!$A$2:$A$355,0))=0,"",INDEX(Deals!$U$2:$U$355,MATCH($C443,Deals!$A$2:$A$355,0))),""))</f>
        <v/>
      </c>
      <c r="S443" s="34">
        <f>IFERROR(IF($U443="",1,INDEX(Deals!$V$2:$V$355,MATCH($C443,Deals!$A$2:$A$355,0))),1)</f>
        <v/>
      </c>
      <c r="T443" s="34">
        <f>IFERROR(IF($U443="",1,INDEX(Deals!$W$2:$W$355,MATCH($C443,Deals!$A$2:$A$355,0))),1)</f>
        <v/>
      </c>
      <c r="U443" s="22">
        <f>IF($C443="","",IFERROR(IF(INDEX(Deals!$Y$2:$Y$355,MATCH($C443,Deals!$A$2:$A$355,0))=0,"",INDEX(Deals!$Y$2:$Y$355,MATCH($C443,Deals!$A$2:$A$355,0))),""))</f>
        <v/>
      </c>
      <c r="V443" s="35">
        <f>IF($U443="",DATE(1900,1,1),$N443)</f>
        <v/>
      </c>
      <c r="W443" s="35">
        <f>IF($U443="",DATE(2100,12,31),$U443)</f>
        <v/>
      </c>
      <c r="X443" s="32">
        <f>IF($U443="",$K443,$K443*$S443)</f>
        <v/>
      </c>
      <c r="Y443" s="35">
        <f>IF($U443="",DATE(2100,12,31),$U443+1)</f>
        <v/>
      </c>
      <c r="Z443" s="35">
        <f>IF($U443="",DATE(1900,1,1),$O443)</f>
        <v/>
      </c>
      <c r="AA443" s="32">
        <f>IF($U443="",0,$K443*$T443)</f>
        <v/>
      </c>
      <c r="AB443" s="21">
        <f>IF($C443="",0,IFERROR(INDEX(Deals!$AD$2:$AD$355,MATCH($C443,Deals!$A$2:$A$355,0)),0))</f>
        <v/>
      </c>
      <c r="AC443" s="32">
        <f>IF(Settings!$B$4="Yes",$I443*$AB443,$I443)</f>
        <v/>
      </c>
      <c r="AD443" s="22">
        <f>IF($C443="","",IFERROR(IF(INDEX(Deals!$AE$2:$AE$355,MATCH($C443,Deals!$A$2:$A$355,0))=0,"",INDEX(Deals!$AE$2:$AE$355,MATCH($C443,Deals!$A$2:$A$355,0))),""))</f>
        <v/>
      </c>
      <c r="AE443" s="22">
        <f>IF($C443="","",IFERROR(IF(INDEX(Deals!$AF$2:$AF$355,MATCH($C443,Deals!$A$2:$A$355,0))=0,"",INDEX(Deals!$AF$2:$AF$355,MATCH($C443,Deals!$A$2:$A$355,0))),""))</f>
        <v/>
      </c>
      <c r="AF443" s="35">
        <f>IF($AD443="",DATE(1900,1,1),$AD443)</f>
        <v/>
      </c>
      <c r="AG443" s="35">
        <f>IF($AE443="",DATE(2100,12,31),$AE443)</f>
        <v/>
      </c>
      <c r="AH443" s="22">
        <f>IF($C443="","",IFERROR(IF(INDEX(Deals!$AG$2:$AG$355,MATCH($C443,Deals!$A$2:$A$355,0))=0,"",INDEX(Deals!$AG$2:$AG$355,MATCH($C443,Deals!$A$2:$A$355,0))),""))</f>
        <v/>
      </c>
      <c r="AI443" s="35">
        <f>IF($AH443="",DATE(1900,1,1),$AF443)</f>
        <v/>
      </c>
      <c r="AJ443" s="35">
        <f>IF($AH443="",DATE(2100,12,31),$AH443)</f>
        <v/>
      </c>
      <c r="AK443" s="32">
        <f>IF($AH443="",$AC443,$AC443*$S443)</f>
        <v/>
      </c>
      <c r="AL443" s="35">
        <f>IF($AH443="",DATE(2100,12,31),$AH443+1)</f>
        <v/>
      </c>
      <c r="AM443" s="35">
        <f>IF($AH443="",DATE(1900,1,1),$AG443)</f>
        <v/>
      </c>
      <c r="AN443" s="32">
        <f>IF($AH443="",0,$AC443*$T443)</f>
        <v/>
      </c>
    </row>
    <row r="444">
      <c r="A444" s="28" t="inlineStr">
        <is>
          <t>Nina</t>
        </is>
      </c>
      <c r="B444" s="16">
        <f>IF($A444="","",IFERROR(INDEX(Roster!$B$2:$B$40,MATCH($A444,Roster!$A$2:$A$40,0)),"?"))</f>
        <v/>
      </c>
      <c r="C444" s="28" t="inlineStr">
        <is>
          <t>Celestial_1</t>
        </is>
      </c>
      <c r="D444" s="16">
        <f>IF($C444="","",IFERROR(IF(INDEX(Deals!$C$2:$C$355,MATCH($C444,Deals!$A$2:$A$355,0))=0,"",INDEX(Deals!$C$2:$C$355,MATCH($C444,Deals!$A$2:$A$355,0))),"?"))</f>
        <v/>
      </c>
      <c r="E444" s="16">
        <f>IF($C444="","",IFERROR(INDEX(Deals!$F$2:$F$355,MATCH($C444,Deals!$A$2:$A$355,0)),"?"))</f>
        <v/>
      </c>
      <c r="F444" s="28" t="inlineStr">
        <is>
          <t>Senior Associate</t>
        </is>
      </c>
      <c r="G444" s="28" t="inlineStr">
        <is>
          <t>Inactive</t>
        </is>
      </c>
      <c r="H444" s="31" t="n"/>
      <c r="I444" s="32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1">
        <f>IF($C444="",0,IFERROR(INDEX(Deals!$H$2:$H$355,MATCH($C444,Deals!$A$2:$A$355,0)),0))</f>
        <v/>
      </c>
      <c r="K444" s="32">
        <f>IF(Settings!$B$4="Yes",$I444*$J444,$I444)</f>
        <v/>
      </c>
      <c r="L444" s="22">
        <f>IF($C444="","",IFERROR(IF(INDEX(Deals!$I$2:$I$355,MATCH($C444,Deals!$A$2:$A$355,0))=0,"",INDEX(Deals!$I$2:$I$355,MATCH($C444,Deals!$A$2:$A$355,0))),""))</f>
        <v/>
      </c>
      <c r="M444" s="22">
        <f>IF($C444="","",IFERROR(IF(INDEX(Deals!$J$2:$J$355,MATCH($C444,Deals!$A$2:$A$355,0))=0,"",INDEX(Deals!$J$2:$J$355,MATCH($C444,Deals!$A$2:$A$355,0))),""))</f>
        <v/>
      </c>
      <c r="N444" s="35">
        <f>IF($L444="",DATE(1900,1,1),$L444)</f>
        <v/>
      </c>
      <c r="O444" s="35">
        <f>IF($M444="",DATE(2100,12,31),$M444)</f>
        <v/>
      </c>
      <c r="P444" s="20" t="inlineStr">
        <is>
          <t>Closed</t>
        </is>
      </c>
      <c r="Q444" s="43" t="inlineStr"/>
      <c r="R444" s="16">
        <f>IF($C444="","",IFERROR(IF(INDEX(Deals!$U$2:$U$355,MATCH($C444,Deals!$A$2:$A$355,0))=0,"",INDEX(Deals!$U$2:$U$355,MATCH($C444,Deals!$A$2:$A$355,0))),""))</f>
        <v/>
      </c>
      <c r="S444" s="34">
        <f>IFERROR(IF($U444="",1,INDEX(Deals!$V$2:$V$355,MATCH($C444,Deals!$A$2:$A$355,0))),1)</f>
        <v/>
      </c>
      <c r="T444" s="34">
        <f>IFERROR(IF($U444="",1,INDEX(Deals!$W$2:$W$355,MATCH($C444,Deals!$A$2:$A$355,0))),1)</f>
        <v/>
      </c>
      <c r="U444" s="22">
        <f>IF($C444="","",IFERROR(IF(INDEX(Deals!$Y$2:$Y$355,MATCH($C444,Deals!$A$2:$A$355,0))=0,"",INDEX(Deals!$Y$2:$Y$355,MATCH($C444,Deals!$A$2:$A$355,0))),""))</f>
        <v/>
      </c>
      <c r="V444" s="35">
        <f>IF($U444="",DATE(1900,1,1),$N444)</f>
        <v/>
      </c>
      <c r="W444" s="35">
        <f>IF($U444="",DATE(2100,12,31),$U444)</f>
        <v/>
      </c>
      <c r="X444" s="32">
        <f>IF($U444="",$K444,$K444*$S444)</f>
        <v/>
      </c>
      <c r="Y444" s="35">
        <f>IF($U444="",DATE(2100,12,31),$U444+1)</f>
        <v/>
      </c>
      <c r="Z444" s="35">
        <f>IF($U444="",DATE(1900,1,1),$O444)</f>
        <v/>
      </c>
      <c r="AA444" s="32">
        <f>IF($U444="",0,$K444*$T444)</f>
        <v/>
      </c>
      <c r="AB444" s="21">
        <f>IF($C444="",0,IFERROR(INDEX(Deals!$AD$2:$AD$355,MATCH($C444,Deals!$A$2:$A$355,0)),0))</f>
        <v/>
      </c>
      <c r="AC444" s="32">
        <f>IF(Settings!$B$4="Yes",$I444*$AB444,$I444)</f>
        <v/>
      </c>
      <c r="AD444" s="22">
        <f>IF($C444="","",IFERROR(IF(INDEX(Deals!$AE$2:$AE$355,MATCH($C444,Deals!$A$2:$A$355,0))=0,"",INDEX(Deals!$AE$2:$AE$355,MATCH($C444,Deals!$A$2:$A$355,0))),""))</f>
        <v/>
      </c>
      <c r="AE444" s="22">
        <f>IF($C444="","",IFERROR(IF(INDEX(Deals!$AF$2:$AF$355,MATCH($C444,Deals!$A$2:$A$355,0))=0,"",INDEX(Deals!$AF$2:$AF$355,MATCH($C444,Deals!$A$2:$A$355,0))),""))</f>
        <v/>
      </c>
      <c r="AF444" s="35">
        <f>IF($AD444="",DATE(1900,1,1),$AD444)</f>
        <v/>
      </c>
      <c r="AG444" s="35">
        <f>IF($AE444="",DATE(2100,12,31),$AE444)</f>
        <v/>
      </c>
      <c r="AH444" s="22">
        <f>IF($C444="","",IFERROR(IF(INDEX(Deals!$AG$2:$AG$355,MATCH($C444,Deals!$A$2:$A$355,0))=0,"",INDEX(Deals!$AG$2:$AG$355,MATCH($C444,Deals!$A$2:$A$355,0))),""))</f>
        <v/>
      </c>
      <c r="AI444" s="35">
        <f>IF($AH444="",DATE(1900,1,1),$AF444)</f>
        <v/>
      </c>
      <c r="AJ444" s="35">
        <f>IF($AH444="",DATE(2100,12,31),$AH444)</f>
        <v/>
      </c>
      <c r="AK444" s="32">
        <f>IF($AH444="",$AC444,$AC444*$S444)</f>
        <v/>
      </c>
      <c r="AL444" s="35">
        <f>IF($AH444="",DATE(2100,12,31),$AH444+1)</f>
        <v/>
      </c>
      <c r="AM444" s="35">
        <f>IF($AH444="",DATE(1900,1,1),$AG444)</f>
        <v/>
      </c>
      <c r="AN444" s="32">
        <f>IF($AH444="",0,$AC444*$T444)</f>
        <v/>
      </c>
    </row>
    <row r="445">
      <c r="A445" s="28" t="inlineStr">
        <is>
          <t>Nina</t>
        </is>
      </c>
      <c r="B445" s="16">
        <f>IF($A445="","",IFERROR(INDEX(Roster!$B$2:$B$40,MATCH($A445,Roster!$A$2:$A$40,0)),"?"))</f>
        <v/>
      </c>
      <c r="C445" s="28" t="inlineStr">
        <is>
          <t>Chile_1</t>
        </is>
      </c>
      <c r="D445" s="16">
        <f>IF($C445="","",IFERROR(IF(INDEX(Deals!$C$2:$C$355,MATCH($C445,Deals!$A$2:$A$355,0))=0,"",INDEX(Deals!$C$2:$C$355,MATCH($C445,Deals!$A$2:$A$355,0))),"?"))</f>
        <v/>
      </c>
      <c r="E445" s="16">
        <f>IF($C445="","",IFERROR(INDEX(Deals!$F$2:$F$355,MATCH($C445,Deals!$A$2:$A$355,0)),"?"))</f>
        <v/>
      </c>
      <c r="F445" s="28" t="inlineStr">
        <is>
          <t>Senior Associate</t>
        </is>
      </c>
      <c r="G445" s="28" t="inlineStr">
        <is>
          <t>Active</t>
        </is>
      </c>
      <c r="H445" s="31" t="n"/>
      <c r="I445" s="32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1">
        <f>IF($C445="",0,IFERROR(INDEX(Deals!$H$2:$H$355,MATCH($C445,Deals!$A$2:$A$355,0)),0))</f>
        <v/>
      </c>
      <c r="K445" s="32">
        <f>IF(Settings!$B$4="Yes",$I445*$J445,$I445)</f>
        <v/>
      </c>
      <c r="L445" s="22">
        <f>IF($C445="","",IFERROR(IF(INDEX(Deals!$I$2:$I$355,MATCH($C445,Deals!$A$2:$A$355,0))=0,"",INDEX(Deals!$I$2:$I$355,MATCH($C445,Deals!$A$2:$A$355,0))),""))</f>
        <v/>
      </c>
      <c r="M445" s="22">
        <f>IF($C445="","",IFERROR(IF(INDEX(Deals!$J$2:$J$355,MATCH($C445,Deals!$A$2:$A$355,0))=0,"",INDEX(Deals!$J$2:$J$355,MATCH($C445,Deals!$A$2:$A$355,0))),""))</f>
        <v/>
      </c>
      <c r="N445" s="35">
        <f>IF($L445="",DATE(1900,1,1),$L445)</f>
        <v/>
      </c>
      <c r="O445" s="35">
        <f>IF($M445="",DATE(2100,12,31),$M445)</f>
        <v/>
      </c>
      <c r="P445" s="20" t="inlineStr">
        <is>
          <t>Ongoing</t>
        </is>
      </c>
      <c r="Q445" s="43" t="inlineStr">
        <is>
          <t>Added from Summary tab</t>
        </is>
      </c>
      <c r="R445" s="16">
        <f>IF($C445="","",IFERROR(IF(INDEX(Deals!$U$2:$U$355,MATCH($C445,Deals!$A$2:$A$355,0))=0,"",INDEX(Deals!$U$2:$U$355,MATCH($C445,Deals!$A$2:$A$355,0))),""))</f>
        <v/>
      </c>
      <c r="S445" s="34">
        <f>IFERROR(IF($U445="",1,INDEX(Deals!$V$2:$V$355,MATCH($C445,Deals!$A$2:$A$355,0))),1)</f>
        <v/>
      </c>
      <c r="T445" s="34">
        <f>IFERROR(IF($U445="",1,INDEX(Deals!$W$2:$W$355,MATCH($C445,Deals!$A$2:$A$355,0))),1)</f>
        <v/>
      </c>
      <c r="U445" s="22">
        <f>IF($C445="","",IFERROR(IF(INDEX(Deals!$Y$2:$Y$355,MATCH($C445,Deals!$A$2:$A$355,0))=0,"",INDEX(Deals!$Y$2:$Y$355,MATCH($C445,Deals!$A$2:$A$355,0))),""))</f>
        <v/>
      </c>
      <c r="V445" s="35">
        <f>IF($U445="",DATE(1900,1,1),$N445)</f>
        <v/>
      </c>
      <c r="W445" s="35">
        <f>IF($U445="",DATE(2100,12,31),$U445)</f>
        <v/>
      </c>
      <c r="X445" s="32">
        <f>IF($U445="",$K445,$K445*$S445)</f>
        <v/>
      </c>
      <c r="Y445" s="35">
        <f>IF($U445="",DATE(2100,12,31),$U445+1)</f>
        <v/>
      </c>
      <c r="Z445" s="35">
        <f>IF($U445="",DATE(1900,1,1),$O445)</f>
        <v/>
      </c>
      <c r="AA445" s="32">
        <f>IF($U445="",0,$K445*$T445)</f>
        <v/>
      </c>
      <c r="AB445" s="21">
        <f>IF($C445="",0,IFERROR(INDEX(Deals!$AD$2:$AD$355,MATCH($C445,Deals!$A$2:$A$355,0)),0))</f>
        <v/>
      </c>
      <c r="AC445" s="32">
        <f>IF(Settings!$B$4="Yes",$I445*$AB445,$I445)</f>
        <v/>
      </c>
      <c r="AD445" s="22">
        <f>IF($C445="","",IFERROR(IF(INDEX(Deals!$AE$2:$AE$355,MATCH($C445,Deals!$A$2:$A$355,0))=0,"",INDEX(Deals!$AE$2:$AE$355,MATCH($C445,Deals!$A$2:$A$355,0))),""))</f>
        <v/>
      </c>
      <c r="AE445" s="22">
        <f>IF($C445="","",IFERROR(IF(INDEX(Deals!$AF$2:$AF$355,MATCH($C445,Deals!$A$2:$A$355,0))=0,"",INDEX(Deals!$AF$2:$AF$355,MATCH($C445,Deals!$A$2:$A$355,0))),""))</f>
        <v/>
      </c>
      <c r="AF445" s="35">
        <f>IF($AD445="",DATE(1900,1,1),$AD445)</f>
        <v/>
      </c>
      <c r="AG445" s="35">
        <f>IF($AE445="",DATE(2100,12,31),$AE445)</f>
        <v/>
      </c>
      <c r="AH445" s="22">
        <f>IF($C445="","",IFERROR(IF(INDEX(Deals!$AG$2:$AG$355,MATCH($C445,Deals!$A$2:$A$355,0))=0,"",INDEX(Deals!$AG$2:$AG$355,MATCH($C445,Deals!$A$2:$A$355,0))),""))</f>
        <v/>
      </c>
      <c r="AI445" s="35">
        <f>IF($AH445="",DATE(1900,1,1),$AF445)</f>
        <v/>
      </c>
      <c r="AJ445" s="35">
        <f>IF($AH445="",DATE(2100,12,31),$AH445)</f>
        <v/>
      </c>
      <c r="AK445" s="32">
        <f>IF($AH445="",$AC445,$AC445*$S445)</f>
        <v/>
      </c>
      <c r="AL445" s="35">
        <f>IF($AH445="",DATE(2100,12,31),$AH445+1)</f>
        <v/>
      </c>
      <c r="AM445" s="35">
        <f>IF($AH445="",DATE(1900,1,1),$AG445)</f>
        <v/>
      </c>
      <c r="AN445" s="32">
        <f>IF($AH445="",0,$AC445*$T445)</f>
        <v/>
      </c>
    </row>
    <row r="446">
      <c r="A446" s="28" t="inlineStr">
        <is>
          <t>Nina</t>
        </is>
      </c>
      <c r="B446" s="16">
        <f>IF($A446="","",IFERROR(INDEX(Roster!$B$2:$B$40,MATCH($A446,Roster!$A$2:$A$40,0)),"?"))</f>
        <v/>
      </c>
      <c r="C446" s="28" t="inlineStr">
        <is>
          <t>Cirque</t>
        </is>
      </c>
      <c r="D446" s="16">
        <f>IF($C446="","",IFERROR(IF(INDEX(Deals!$C$2:$C$355,MATCH($C446,Deals!$A$2:$A$355,0))=0,"",INDEX(Deals!$C$2:$C$355,MATCH($C446,Deals!$A$2:$A$355,0))),"?"))</f>
        <v/>
      </c>
      <c r="E446" s="16">
        <f>IF($C446="","",IFERROR(INDEX(Deals!$F$2:$F$355,MATCH($C446,Deals!$A$2:$A$355,0)),"?"))</f>
        <v/>
      </c>
      <c r="F446" s="28" t="inlineStr">
        <is>
          <t>Senior Associate</t>
        </is>
      </c>
      <c r="G446" s="28" t="inlineStr">
        <is>
          <t>Active</t>
        </is>
      </c>
      <c r="H446" s="31" t="n"/>
      <c r="I446" s="32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1">
        <f>IF($C446="",0,IFERROR(INDEX(Deals!$H$2:$H$355,MATCH($C446,Deals!$A$2:$A$355,0)),0))</f>
        <v/>
      </c>
      <c r="K446" s="32">
        <f>IF(Settings!$B$4="Yes",$I446*$J446,$I446)</f>
        <v/>
      </c>
      <c r="L446" s="22">
        <f>IF($C446="","",IFERROR(IF(INDEX(Deals!$I$2:$I$355,MATCH($C446,Deals!$A$2:$A$355,0))=0,"",INDEX(Deals!$I$2:$I$355,MATCH($C446,Deals!$A$2:$A$355,0))),""))</f>
        <v/>
      </c>
      <c r="M446" s="22">
        <f>IF($C446="","",IFERROR(IF(INDEX(Deals!$J$2:$J$355,MATCH($C446,Deals!$A$2:$A$355,0))=0,"",INDEX(Deals!$J$2:$J$355,MATCH($C446,Deals!$A$2:$A$355,0))),""))</f>
        <v/>
      </c>
      <c r="N446" s="35">
        <f>IF($L446="",DATE(1900,1,1),$L446)</f>
        <v/>
      </c>
      <c r="O446" s="35">
        <f>IF($M446="",DATE(2100,12,31),$M446)</f>
        <v/>
      </c>
      <c r="P446" s="20" t="inlineStr">
        <is>
          <t>Proposal sent</t>
        </is>
      </c>
      <c r="Q446" s="43" t="inlineStr">
        <is>
          <t>Added from Summary tab</t>
        </is>
      </c>
      <c r="R446" s="16">
        <f>IF($C446="","",IFERROR(IF(INDEX(Deals!$U$2:$U$355,MATCH($C446,Deals!$A$2:$A$355,0))=0,"",INDEX(Deals!$U$2:$U$355,MATCH($C446,Deals!$A$2:$A$355,0))),""))</f>
        <v/>
      </c>
      <c r="S446" s="34">
        <f>IFERROR(IF($U446="",1,INDEX(Deals!$V$2:$V$355,MATCH($C446,Deals!$A$2:$A$355,0))),1)</f>
        <v/>
      </c>
      <c r="T446" s="34">
        <f>IFERROR(IF($U446="",1,INDEX(Deals!$W$2:$W$355,MATCH($C446,Deals!$A$2:$A$355,0))),1)</f>
        <v/>
      </c>
      <c r="U446" s="22">
        <f>IF($C446="","",IFERROR(IF(INDEX(Deals!$Y$2:$Y$355,MATCH($C446,Deals!$A$2:$A$355,0))=0,"",INDEX(Deals!$Y$2:$Y$355,MATCH($C446,Deals!$A$2:$A$355,0))),""))</f>
        <v/>
      </c>
      <c r="V446" s="35">
        <f>IF($U446="",DATE(1900,1,1),$N446)</f>
        <v/>
      </c>
      <c r="W446" s="35">
        <f>IF($U446="",DATE(2100,12,31),$U446)</f>
        <v/>
      </c>
      <c r="X446" s="32">
        <f>IF($U446="",$K446,$K446*$S446)</f>
        <v/>
      </c>
      <c r="Y446" s="35">
        <f>IF($U446="",DATE(2100,12,31),$U446+1)</f>
        <v/>
      </c>
      <c r="Z446" s="35">
        <f>IF($U446="",DATE(1900,1,1),$O446)</f>
        <v/>
      </c>
      <c r="AA446" s="32">
        <f>IF($U446="",0,$K446*$T446)</f>
        <v/>
      </c>
      <c r="AB446" s="21">
        <f>IF($C446="",0,IFERROR(INDEX(Deals!$AD$2:$AD$355,MATCH($C446,Deals!$A$2:$A$355,0)),0))</f>
        <v/>
      </c>
      <c r="AC446" s="32">
        <f>IF(Settings!$B$4="Yes",$I446*$AB446,$I446)</f>
        <v/>
      </c>
      <c r="AD446" s="22">
        <f>IF($C446="","",IFERROR(IF(INDEX(Deals!$AE$2:$AE$355,MATCH($C446,Deals!$A$2:$A$355,0))=0,"",INDEX(Deals!$AE$2:$AE$355,MATCH($C446,Deals!$A$2:$A$355,0))),""))</f>
        <v/>
      </c>
      <c r="AE446" s="22">
        <f>IF($C446="","",IFERROR(IF(INDEX(Deals!$AF$2:$AF$355,MATCH($C446,Deals!$A$2:$A$355,0))=0,"",INDEX(Deals!$AF$2:$AF$355,MATCH($C446,Deals!$A$2:$A$355,0))),""))</f>
        <v/>
      </c>
      <c r="AF446" s="35">
        <f>IF($AD446="",DATE(1900,1,1),$AD446)</f>
        <v/>
      </c>
      <c r="AG446" s="35">
        <f>IF($AE446="",DATE(2100,12,31),$AE446)</f>
        <v/>
      </c>
      <c r="AH446" s="22">
        <f>IF($C446="","",IFERROR(IF(INDEX(Deals!$AG$2:$AG$355,MATCH($C446,Deals!$A$2:$A$355,0))=0,"",INDEX(Deals!$AG$2:$AG$355,MATCH($C446,Deals!$A$2:$A$355,0))),""))</f>
        <v/>
      </c>
      <c r="AI446" s="35">
        <f>IF($AH446="",DATE(1900,1,1),$AF446)</f>
        <v/>
      </c>
      <c r="AJ446" s="35">
        <f>IF($AH446="",DATE(2100,12,31),$AH446)</f>
        <v/>
      </c>
      <c r="AK446" s="32">
        <f>IF($AH446="",$AC446,$AC446*$S446)</f>
        <v/>
      </c>
      <c r="AL446" s="35">
        <f>IF($AH446="",DATE(2100,12,31),$AH446+1)</f>
        <v/>
      </c>
      <c r="AM446" s="35">
        <f>IF($AH446="",DATE(1900,1,1),$AG446)</f>
        <v/>
      </c>
      <c r="AN446" s="32">
        <f>IF($AH446="",0,$AC446*$T446)</f>
        <v/>
      </c>
    </row>
    <row r="447">
      <c r="A447" s="28" t="inlineStr">
        <is>
          <t>Nina</t>
        </is>
      </c>
      <c r="B447" s="16">
        <f>IF($A447="","",IFERROR(INDEX(Roster!$B$2:$B$40,MATCH($A447,Roster!$A$2:$A$40,0)),"?"))</f>
        <v/>
      </c>
      <c r="C447" s="28" t="inlineStr">
        <is>
          <t>code not yet requested</t>
        </is>
      </c>
      <c r="D447" s="16">
        <f>IF($C447="","",IFERROR(IF(INDEX(Deals!$C$2:$C$355,MATCH($C447,Deals!$A$2:$A$355,0))=0,"",INDEX(Deals!$C$2:$C$355,MATCH($C447,Deals!$A$2:$A$355,0))),"?"))</f>
        <v/>
      </c>
      <c r="E447" s="16">
        <f>IF($C447="","",IFERROR(INDEX(Deals!$F$2:$F$355,MATCH($C447,Deals!$A$2:$A$355,0)),"?"))</f>
        <v/>
      </c>
      <c r="F447" s="28" t="inlineStr">
        <is>
          <t>Senior Associate</t>
        </is>
      </c>
      <c r="G447" s="28" t="inlineStr">
        <is>
          <t>Active</t>
        </is>
      </c>
      <c r="H447" s="31" t="n"/>
      <c r="I447" s="32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1">
        <f>IF($C447="",0,IFERROR(INDEX(Deals!$H$2:$H$355,MATCH($C447,Deals!$A$2:$A$355,0)),0))</f>
        <v/>
      </c>
      <c r="K447" s="32">
        <f>IF(Settings!$B$4="Yes",$I447*$J447,$I447)</f>
        <v/>
      </c>
      <c r="L447" s="22">
        <f>IF($C447="","",IFERROR(IF(INDEX(Deals!$I$2:$I$355,MATCH($C447,Deals!$A$2:$A$355,0))=0,"",INDEX(Deals!$I$2:$I$355,MATCH($C447,Deals!$A$2:$A$355,0))),""))</f>
        <v/>
      </c>
      <c r="M447" s="22">
        <f>IF($C447="","",IFERROR(IF(INDEX(Deals!$J$2:$J$355,MATCH($C447,Deals!$A$2:$A$355,0))=0,"",INDEX(Deals!$J$2:$J$355,MATCH($C447,Deals!$A$2:$A$355,0))),""))</f>
        <v/>
      </c>
      <c r="N447" s="35">
        <f>IF($L447="",DATE(1900,1,1),$L447)</f>
        <v/>
      </c>
      <c r="O447" s="35">
        <f>IF($M447="",DATE(2100,12,31),$M447)</f>
        <v/>
      </c>
      <c r="P447" s="20" t="inlineStr">
        <is>
          <t>Proposal</t>
        </is>
      </c>
      <c r="Q447" s="43" t="inlineStr">
        <is>
          <t>Added from Summary tab</t>
        </is>
      </c>
      <c r="R447" s="16">
        <f>IF($C447="","",IFERROR(IF(INDEX(Deals!$U$2:$U$355,MATCH($C447,Deals!$A$2:$A$355,0))=0,"",INDEX(Deals!$U$2:$U$355,MATCH($C447,Deals!$A$2:$A$355,0))),""))</f>
        <v/>
      </c>
      <c r="S447" s="34">
        <f>IFERROR(IF($U447="",1,INDEX(Deals!$V$2:$V$355,MATCH($C447,Deals!$A$2:$A$355,0))),1)</f>
        <v/>
      </c>
      <c r="T447" s="34">
        <f>IFERROR(IF($U447="",1,INDEX(Deals!$W$2:$W$355,MATCH($C447,Deals!$A$2:$A$355,0))),1)</f>
        <v/>
      </c>
      <c r="U447" s="22">
        <f>IF($C447="","",IFERROR(IF(INDEX(Deals!$Y$2:$Y$355,MATCH($C447,Deals!$A$2:$A$355,0))=0,"",INDEX(Deals!$Y$2:$Y$355,MATCH($C447,Deals!$A$2:$A$355,0))),""))</f>
        <v/>
      </c>
      <c r="V447" s="35">
        <f>IF($U447="",DATE(1900,1,1),$N447)</f>
        <v/>
      </c>
      <c r="W447" s="35">
        <f>IF($U447="",DATE(2100,12,31),$U447)</f>
        <v/>
      </c>
      <c r="X447" s="32">
        <f>IF($U447="",$K447,$K447*$S447)</f>
        <v/>
      </c>
      <c r="Y447" s="35">
        <f>IF($U447="",DATE(2100,12,31),$U447+1)</f>
        <v/>
      </c>
      <c r="Z447" s="35">
        <f>IF($U447="",DATE(1900,1,1),$O447)</f>
        <v/>
      </c>
      <c r="AA447" s="32">
        <f>IF($U447="",0,$K447*$T447)</f>
        <v/>
      </c>
      <c r="AB447" s="21">
        <f>IF($C447="",0,IFERROR(INDEX(Deals!$AD$2:$AD$355,MATCH($C447,Deals!$A$2:$A$355,0)),0))</f>
        <v/>
      </c>
      <c r="AC447" s="32">
        <f>IF(Settings!$B$4="Yes",$I447*$AB447,$I447)</f>
        <v/>
      </c>
      <c r="AD447" s="22">
        <f>IF($C447="","",IFERROR(IF(INDEX(Deals!$AE$2:$AE$355,MATCH($C447,Deals!$A$2:$A$355,0))=0,"",INDEX(Deals!$AE$2:$AE$355,MATCH($C447,Deals!$A$2:$A$355,0))),""))</f>
        <v/>
      </c>
      <c r="AE447" s="22">
        <f>IF($C447="","",IFERROR(IF(INDEX(Deals!$AF$2:$AF$355,MATCH($C447,Deals!$A$2:$A$355,0))=0,"",INDEX(Deals!$AF$2:$AF$355,MATCH($C447,Deals!$A$2:$A$355,0))),""))</f>
        <v/>
      </c>
      <c r="AF447" s="35">
        <f>IF($AD447="",DATE(1900,1,1),$AD447)</f>
        <v/>
      </c>
      <c r="AG447" s="35">
        <f>IF($AE447="",DATE(2100,12,31),$AE447)</f>
        <v/>
      </c>
      <c r="AH447" s="22">
        <f>IF($C447="","",IFERROR(IF(INDEX(Deals!$AG$2:$AG$355,MATCH($C447,Deals!$A$2:$A$355,0))=0,"",INDEX(Deals!$AG$2:$AG$355,MATCH($C447,Deals!$A$2:$A$355,0))),""))</f>
        <v/>
      </c>
      <c r="AI447" s="35">
        <f>IF($AH447="",DATE(1900,1,1),$AF447)</f>
        <v/>
      </c>
      <c r="AJ447" s="35">
        <f>IF($AH447="",DATE(2100,12,31),$AH447)</f>
        <v/>
      </c>
      <c r="AK447" s="32">
        <f>IF($AH447="",$AC447,$AC447*$S447)</f>
        <v/>
      </c>
      <c r="AL447" s="35">
        <f>IF($AH447="",DATE(2100,12,31),$AH447+1)</f>
        <v/>
      </c>
      <c r="AM447" s="35">
        <f>IF($AH447="",DATE(1900,1,1),$AG447)</f>
        <v/>
      </c>
      <c r="AN447" s="32">
        <f>IF($AH447="",0,$AC447*$T447)</f>
        <v/>
      </c>
    </row>
    <row r="448">
      <c r="A448" s="28" t="inlineStr">
        <is>
          <t>Nina</t>
        </is>
      </c>
      <c r="B448" s="16">
        <f>IF($A448="","",IFERROR(INDEX(Roster!$B$2:$B$40,MATCH($A448,Roster!$A$2:$A$40,0)),"?"))</f>
        <v/>
      </c>
      <c r="C448" s="28" t="inlineStr">
        <is>
          <t>Denali_3</t>
        </is>
      </c>
      <c r="D448" s="16">
        <f>IF($C448="","",IFERROR(IF(INDEX(Deals!$C$2:$C$355,MATCH($C448,Deals!$A$2:$A$355,0))=0,"",INDEX(Deals!$C$2:$C$355,MATCH($C448,Deals!$A$2:$A$355,0))),"?"))</f>
        <v/>
      </c>
      <c r="E448" s="16">
        <f>IF($C448="","",IFERROR(INDEX(Deals!$F$2:$F$355,MATCH($C448,Deals!$A$2:$A$355,0)),"?"))</f>
        <v/>
      </c>
      <c r="F448" s="28" t="inlineStr">
        <is>
          <t>Senior Associate</t>
        </is>
      </c>
      <c r="G448" s="28" t="inlineStr">
        <is>
          <t>Active</t>
        </is>
      </c>
      <c r="H448" s="31" t="n"/>
      <c r="I448" s="32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1">
        <f>IF($C448="",0,IFERROR(INDEX(Deals!$H$2:$H$355,MATCH($C448,Deals!$A$2:$A$355,0)),0))</f>
        <v/>
      </c>
      <c r="K448" s="32">
        <f>IF(Settings!$B$4="Yes",$I448*$J448,$I448)</f>
        <v/>
      </c>
      <c r="L448" s="22">
        <f>IF($C448="","",IFERROR(IF(INDEX(Deals!$I$2:$I$355,MATCH($C448,Deals!$A$2:$A$355,0))=0,"",INDEX(Deals!$I$2:$I$355,MATCH($C448,Deals!$A$2:$A$355,0))),""))</f>
        <v/>
      </c>
      <c r="M448" s="22">
        <f>IF($C448="","",IFERROR(IF(INDEX(Deals!$J$2:$J$355,MATCH($C448,Deals!$A$2:$A$355,0))=0,"",INDEX(Deals!$J$2:$J$355,MATCH($C448,Deals!$A$2:$A$355,0))),""))</f>
        <v/>
      </c>
      <c r="N448" s="35">
        <f>IF($L448="",DATE(1900,1,1),$L448)</f>
        <v/>
      </c>
      <c r="O448" s="35">
        <f>IF($M448="",DATE(2100,12,31),$M448)</f>
        <v/>
      </c>
      <c r="P448" s="20" t="inlineStr"/>
      <c r="Q448" s="43" t="inlineStr"/>
      <c r="R448" s="16">
        <f>IF($C448="","",IFERROR(IF(INDEX(Deals!$U$2:$U$355,MATCH($C448,Deals!$A$2:$A$355,0))=0,"",INDEX(Deals!$U$2:$U$355,MATCH($C448,Deals!$A$2:$A$355,0))),""))</f>
        <v/>
      </c>
      <c r="S448" s="34">
        <f>IFERROR(IF($U448="",1,INDEX(Deals!$V$2:$V$355,MATCH($C448,Deals!$A$2:$A$355,0))),1)</f>
        <v/>
      </c>
      <c r="T448" s="34">
        <f>IFERROR(IF($U448="",1,INDEX(Deals!$W$2:$W$355,MATCH($C448,Deals!$A$2:$A$355,0))),1)</f>
        <v/>
      </c>
      <c r="U448" s="22">
        <f>IF($C448="","",IFERROR(IF(INDEX(Deals!$Y$2:$Y$355,MATCH($C448,Deals!$A$2:$A$355,0))=0,"",INDEX(Deals!$Y$2:$Y$355,MATCH($C448,Deals!$A$2:$A$355,0))),""))</f>
        <v/>
      </c>
      <c r="V448" s="35">
        <f>IF($U448="",DATE(1900,1,1),$N448)</f>
        <v/>
      </c>
      <c r="W448" s="35">
        <f>IF($U448="",DATE(2100,12,31),$U448)</f>
        <v/>
      </c>
      <c r="X448" s="32">
        <f>IF($U448="",$K448,$K448*$S448)</f>
        <v/>
      </c>
      <c r="Y448" s="35">
        <f>IF($U448="",DATE(2100,12,31),$U448+1)</f>
        <v/>
      </c>
      <c r="Z448" s="35">
        <f>IF($U448="",DATE(1900,1,1),$O448)</f>
        <v/>
      </c>
      <c r="AA448" s="32">
        <f>IF($U448="",0,$K448*$T448)</f>
        <v/>
      </c>
      <c r="AB448" s="21">
        <f>IF($C448="",0,IFERROR(INDEX(Deals!$AD$2:$AD$355,MATCH($C448,Deals!$A$2:$A$355,0)),0))</f>
        <v/>
      </c>
      <c r="AC448" s="32">
        <f>IF(Settings!$B$4="Yes",$I448*$AB448,$I448)</f>
        <v/>
      </c>
      <c r="AD448" s="22">
        <f>IF($C448="","",IFERROR(IF(INDEX(Deals!$AE$2:$AE$355,MATCH($C448,Deals!$A$2:$A$355,0))=0,"",INDEX(Deals!$AE$2:$AE$355,MATCH($C448,Deals!$A$2:$A$355,0))),""))</f>
        <v/>
      </c>
      <c r="AE448" s="22">
        <f>IF($C448="","",IFERROR(IF(INDEX(Deals!$AF$2:$AF$355,MATCH($C448,Deals!$A$2:$A$355,0))=0,"",INDEX(Deals!$AF$2:$AF$355,MATCH($C448,Deals!$A$2:$A$355,0))),""))</f>
        <v/>
      </c>
      <c r="AF448" s="35">
        <f>IF($AD448="",DATE(1900,1,1),$AD448)</f>
        <v/>
      </c>
      <c r="AG448" s="35">
        <f>IF($AE448="",DATE(2100,12,31),$AE448)</f>
        <v/>
      </c>
      <c r="AH448" s="22">
        <f>IF($C448="","",IFERROR(IF(INDEX(Deals!$AG$2:$AG$355,MATCH($C448,Deals!$A$2:$A$355,0))=0,"",INDEX(Deals!$AG$2:$AG$355,MATCH($C448,Deals!$A$2:$A$355,0))),""))</f>
        <v/>
      </c>
      <c r="AI448" s="35">
        <f>IF($AH448="",DATE(1900,1,1),$AF448)</f>
        <v/>
      </c>
      <c r="AJ448" s="35">
        <f>IF($AH448="",DATE(2100,12,31),$AH448)</f>
        <v/>
      </c>
      <c r="AK448" s="32">
        <f>IF($AH448="",$AC448,$AC448*$S448)</f>
        <v/>
      </c>
      <c r="AL448" s="35">
        <f>IF($AH448="",DATE(2100,12,31),$AH448+1)</f>
        <v/>
      </c>
      <c r="AM448" s="35">
        <f>IF($AH448="",DATE(1900,1,1),$AG448)</f>
        <v/>
      </c>
      <c r="AN448" s="32">
        <f>IF($AH448="",0,$AC448*$T448)</f>
        <v/>
      </c>
    </row>
    <row r="449">
      <c r="A449" s="28" t="inlineStr">
        <is>
          <t>Nina</t>
        </is>
      </c>
      <c r="B449" s="16">
        <f>IF($A449="","",IFERROR(INDEX(Roster!$B$2:$B$40,MATCH($A449,Roster!$A$2:$A$40,0)),"?"))</f>
        <v/>
      </c>
      <c r="C449" s="28" t="inlineStr">
        <is>
          <t>Destiny_1</t>
        </is>
      </c>
      <c r="D449" s="16">
        <f>IF($C449="","",IFERROR(IF(INDEX(Deals!$C$2:$C$355,MATCH($C449,Deals!$A$2:$A$355,0))=0,"",INDEX(Deals!$C$2:$C$355,MATCH($C449,Deals!$A$2:$A$355,0))),"?"))</f>
        <v/>
      </c>
      <c r="E449" s="16">
        <f>IF($C449="","",IFERROR(INDEX(Deals!$F$2:$F$355,MATCH($C449,Deals!$A$2:$A$355,0)),"?"))</f>
        <v/>
      </c>
      <c r="F449" s="28" t="inlineStr">
        <is>
          <t>Senior Associate</t>
        </is>
      </c>
      <c r="G449" s="28" t="inlineStr">
        <is>
          <t>Active</t>
        </is>
      </c>
      <c r="H449" s="31" t="n"/>
      <c r="I449" s="32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1">
        <f>IF($C449="",0,IFERROR(INDEX(Deals!$H$2:$H$355,MATCH($C449,Deals!$A$2:$A$355,0)),0))</f>
        <v/>
      </c>
      <c r="K449" s="32">
        <f>IF(Settings!$B$4="Yes",$I449*$J449,$I449)</f>
        <v/>
      </c>
      <c r="L449" s="22">
        <f>IF($C449="","",IFERROR(IF(INDEX(Deals!$I$2:$I$355,MATCH($C449,Deals!$A$2:$A$355,0))=0,"",INDEX(Deals!$I$2:$I$355,MATCH($C449,Deals!$A$2:$A$355,0))),""))</f>
        <v/>
      </c>
      <c r="M449" s="22">
        <f>IF($C449="","",IFERROR(IF(INDEX(Deals!$J$2:$J$355,MATCH($C449,Deals!$A$2:$A$355,0))=0,"",INDEX(Deals!$J$2:$J$355,MATCH($C449,Deals!$A$2:$A$355,0))),""))</f>
        <v/>
      </c>
      <c r="N449" s="35">
        <f>IF($L449="",DATE(1900,1,1),$L449)</f>
        <v/>
      </c>
      <c r="O449" s="35">
        <f>IF($M449="",DATE(2100,12,31),$M449)</f>
        <v/>
      </c>
      <c r="P449" s="20" t="inlineStr"/>
      <c r="Q449" s="43" t="inlineStr"/>
      <c r="R449" s="16">
        <f>IF($C449="","",IFERROR(IF(INDEX(Deals!$U$2:$U$355,MATCH($C449,Deals!$A$2:$A$355,0))=0,"",INDEX(Deals!$U$2:$U$355,MATCH($C449,Deals!$A$2:$A$355,0))),""))</f>
        <v/>
      </c>
      <c r="S449" s="34">
        <f>IFERROR(IF($U449="",1,INDEX(Deals!$V$2:$V$355,MATCH($C449,Deals!$A$2:$A$355,0))),1)</f>
        <v/>
      </c>
      <c r="T449" s="34">
        <f>IFERROR(IF($U449="",1,INDEX(Deals!$W$2:$W$355,MATCH($C449,Deals!$A$2:$A$355,0))),1)</f>
        <v/>
      </c>
      <c r="U449" s="22">
        <f>IF($C449="","",IFERROR(IF(INDEX(Deals!$Y$2:$Y$355,MATCH($C449,Deals!$A$2:$A$355,0))=0,"",INDEX(Deals!$Y$2:$Y$355,MATCH($C449,Deals!$A$2:$A$355,0))),""))</f>
        <v/>
      </c>
      <c r="V449" s="35">
        <f>IF($U449="",DATE(1900,1,1),$N449)</f>
        <v/>
      </c>
      <c r="W449" s="35">
        <f>IF($U449="",DATE(2100,12,31),$U449)</f>
        <v/>
      </c>
      <c r="X449" s="32">
        <f>IF($U449="",$K449,$K449*$S449)</f>
        <v/>
      </c>
      <c r="Y449" s="35">
        <f>IF($U449="",DATE(2100,12,31),$U449+1)</f>
        <v/>
      </c>
      <c r="Z449" s="35">
        <f>IF($U449="",DATE(1900,1,1),$O449)</f>
        <v/>
      </c>
      <c r="AA449" s="32">
        <f>IF($U449="",0,$K449*$T449)</f>
        <v/>
      </c>
      <c r="AB449" s="21">
        <f>IF($C449="",0,IFERROR(INDEX(Deals!$AD$2:$AD$355,MATCH($C449,Deals!$A$2:$A$355,0)),0))</f>
        <v/>
      </c>
      <c r="AC449" s="32">
        <f>IF(Settings!$B$4="Yes",$I449*$AB449,$I449)</f>
        <v/>
      </c>
      <c r="AD449" s="22">
        <f>IF($C449="","",IFERROR(IF(INDEX(Deals!$AE$2:$AE$355,MATCH($C449,Deals!$A$2:$A$355,0))=0,"",INDEX(Deals!$AE$2:$AE$355,MATCH($C449,Deals!$A$2:$A$355,0))),""))</f>
        <v/>
      </c>
      <c r="AE449" s="22">
        <f>IF($C449="","",IFERROR(IF(INDEX(Deals!$AF$2:$AF$355,MATCH($C449,Deals!$A$2:$A$355,0))=0,"",INDEX(Deals!$AF$2:$AF$355,MATCH($C449,Deals!$A$2:$A$355,0))),""))</f>
        <v/>
      </c>
      <c r="AF449" s="35">
        <f>IF($AD449="",DATE(1900,1,1),$AD449)</f>
        <v/>
      </c>
      <c r="AG449" s="35">
        <f>IF($AE449="",DATE(2100,12,31),$AE449)</f>
        <v/>
      </c>
      <c r="AH449" s="22">
        <f>IF($C449="","",IFERROR(IF(INDEX(Deals!$AG$2:$AG$355,MATCH($C449,Deals!$A$2:$A$355,0))=0,"",INDEX(Deals!$AG$2:$AG$355,MATCH($C449,Deals!$A$2:$A$355,0))),""))</f>
        <v/>
      </c>
      <c r="AI449" s="35">
        <f>IF($AH449="",DATE(1900,1,1),$AF449)</f>
        <v/>
      </c>
      <c r="AJ449" s="35">
        <f>IF($AH449="",DATE(2100,12,31),$AH449)</f>
        <v/>
      </c>
      <c r="AK449" s="32">
        <f>IF($AH449="",$AC449,$AC449*$S449)</f>
        <v/>
      </c>
      <c r="AL449" s="35">
        <f>IF($AH449="",DATE(2100,12,31),$AH449+1)</f>
        <v/>
      </c>
      <c r="AM449" s="35">
        <f>IF($AH449="",DATE(1900,1,1),$AG449)</f>
        <v/>
      </c>
      <c r="AN449" s="32">
        <f>IF($AH449="",0,$AC449*$T449)</f>
        <v/>
      </c>
    </row>
    <row r="450">
      <c r="A450" s="28" t="inlineStr">
        <is>
          <t>Nina</t>
        </is>
      </c>
      <c r="B450" s="16">
        <f>IF($A450="","",IFERROR(INDEX(Roster!$B$2:$B$40,MATCH($A450,Roster!$A$2:$A$40,0)),"?"))</f>
        <v/>
      </c>
      <c r="C450" s="28" t="inlineStr">
        <is>
          <t>Eagle_5</t>
        </is>
      </c>
      <c r="D450" s="16">
        <f>IF($C450="","",IFERROR(IF(INDEX(Deals!$C$2:$C$355,MATCH($C450,Deals!$A$2:$A$355,0))=0,"",INDEX(Deals!$C$2:$C$355,MATCH($C450,Deals!$A$2:$A$355,0))),"?"))</f>
        <v/>
      </c>
      <c r="E450" s="16">
        <f>IF($C450="","",IFERROR(INDEX(Deals!$F$2:$F$355,MATCH($C450,Deals!$A$2:$A$355,0)),"?"))</f>
        <v/>
      </c>
      <c r="F450" s="28" t="inlineStr">
        <is>
          <t>Senior Associate</t>
        </is>
      </c>
      <c r="G450" s="28" t="inlineStr">
        <is>
          <t>Active</t>
        </is>
      </c>
      <c r="H450" s="31" t="n"/>
      <c r="I450" s="32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1">
        <f>IF($C450="",0,IFERROR(INDEX(Deals!$H$2:$H$355,MATCH($C450,Deals!$A$2:$A$355,0)),0))</f>
        <v/>
      </c>
      <c r="K450" s="32">
        <f>IF(Settings!$B$4="Yes",$I450*$J450,$I450)</f>
        <v/>
      </c>
      <c r="L450" s="22">
        <f>IF($C450="","",IFERROR(IF(INDEX(Deals!$I$2:$I$355,MATCH($C450,Deals!$A$2:$A$355,0))=0,"",INDEX(Deals!$I$2:$I$355,MATCH($C450,Deals!$A$2:$A$355,0))),""))</f>
        <v/>
      </c>
      <c r="M450" s="22">
        <f>IF($C450="","",IFERROR(IF(INDEX(Deals!$J$2:$J$355,MATCH($C450,Deals!$A$2:$A$355,0))=0,"",INDEX(Deals!$J$2:$J$355,MATCH($C450,Deals!$A$2:$A$355,0))),""))</f>
        <v/>
      </c>
      <c r="N450" s="35">
        <f>IF($L450="",DATE(1900,1,1),$L450)</f>
        <v/>
      </c>
      <c r="O450" s="35">
        <f>IF($M450="",DATE(2100,12,31),$M450)</f>
        <v/>
      </c>
      <c r="P450" s="20" t="inlineStr">
        <is>
          <t>Ongoing</t>
        </is>
      </c>
      <c r="Q450" s="43" t="inlineStr"/>
      <c r="R450" s="16">
        <f>IF($C450="","",IFERROR(IF(INDEX(Deals!$U$2:$U$355,MATCH($C450,Deals!$A$2:$A$355,0))=0,"",INDEX(Deals!$U$2:$U$355,MATCH($C450,Deals!$A$2:$A$355,0))),""))</f>
        <v/>
      </c>
      <c r="S450" s="34">
        <f>IFERROR(IF($U450="",1,INDEX(Deals!$V$2:$V$355,MATCH($C450,Deals!$A$2:$A$355,0))),1)</f>
        <v/>
      </c>
      <c r="T450" s="34">
        <f>IFERROR(IF($U450="",1,INDEX(Deals!$W$2:$W$355,MATCH($C450,Deals!$A$2:$A$355,0))),1)</f>
        <v/>
      </c>
      <c r="U450" s="22">
        <f>IF($C450="","",IFERROR(IF(INDEX(Deals!$Y$2:$Y$355,MATCH($C450,Deals!$A$2:$A$355,0))=0,"",INDEX(Deals!$Y$2:$Y$355,MATCH($C450,Deals!$A$2:$A$355,0))),""))</f>
        <v/>
      </c>
      <c r="V450" s="35">
        <f>IF($U450="",DATE(1900,1,1),$N450)</f>
        <v/>
      </c>
      <c r="W450" s="35">
        <f>IF($U450="",DATE(2100,12,31),$U450)</f>
        <v/>
      </c>
      <c r="X450" s="32">
        <f>IF($U450="",$K450,$K450*$S450)</f>
        <v/>
      </c>
      <c r="Y450" s="35">
        <f>IF($U450="",DATE(2100,12,31),$U450+1)</f>
        <v/>
      </c>
      <c r="Z450" s="35">
        <f>IF($U450="",DATE(1900,1,1),$O450)</f>
        <v/>
      </c>
      <c r="AA450" s="32">
        <f>IF($U450="",0,$K450*$T450)</f>
        <v/>
      </c>
      <c r="AB450" s="21">
        <f>IF($C450="",0,IFERROR(INDEX(Deals!$AD$2:$AD$355,MATCH($C450,Deals!$A$2:$A$355,0)),0))</f>
        <v/>
      </c>
      <c r="AC450" s="32">
        <f>IF(Settings!$B$4="Yes",$I450*$AB450,$I450)</f>
        <v/>
      </c>
      <c r="AD450" s="22">
        <f>IF($C450="","",IFERROR(IF(INDEX(Deals!$AE$2:$AE$355,MATCH($C450,Deals!$A$2:$A$355,0))=0,"",INDEX(Deals!$AE$2:$AE$355,MATCH($C450,Deals!$A$2:$A$355,0))),""))</f>
        <v/>
      </c>
      <c r="AE450" s="22">
        <f>IF($C450="","",IFERROR(IF(INDEX(Deals!$AF$2:$AF$355,MATCH($C450,Deals!$A$2:$A$355,0))=0,"",INDEX(Deals!$AF$2:$AF$355,MATCH($C450,Deals!$A$2:$A$355,0))),""))</f>
        <v/>
      </c>
      <c r="AF450" s="35">
        <f>IF($AD450="",DATE(1900,1,1),$AD450)</f>
        <v/>
      </c>
      <c r="AG450" s="35">
        <f>IF($AE450="",DATE(2100,12,31),$AE450)</f>
        <v/>
      </c>
      <c r="AH450" s="22">
        <f>IF($C450="","",IFERROR(IF(INDEX(Deals!$AG$2:$AG$355,MATCH($C450,Deals!$A$2:$A$355,0))=0,"",INDEX(Deals!$AG$2:$AG$355,MATCH($C450,Deals!$A$2:$A$355,0))),""))</f>
        <v/>
      </c>
      <c r="AI450" s="35">
        <f>IF($AH450="",DATE(1900,1,1),$AF450)</f>
        <v/>
      </c>
      <c r="AJ450" s="35">
        <f>IF($AH450="",DATE(2100,12,31),$AH450)</f>
        <v/>
      </c>
      <c r="AK450" s="32">
        <f>IF($AH450="",$AC450,$AC450*$S450)</f>
        <v/>
      </c>
      <c r="AL450" s="35">
        <f>IF($AH450="",DATE(2100,12,31),$AH450+1)</f>
        <v/>
      </c>
      <c r="AM450" s="35">
        <f>IF($AH450="",DATE(1900,1,1),$AG450)</f>
        <v/>
      </c>
      <c r="AN450" s="32">
        <f>IF($AH450="",0,$AC450*$T450)</f>
        <v/>
      </c>
    </row>
    <row r="451">
      <c r="A451" s="28" t="inlineStr">
        <is>
          <t>Nina</t>
        </is>
      </c>
      <c r="B451" s="16">
        <f>IF($A451="","",IFERROR(INDEX(Roster!$B$2:$B$40,MATCH($A451,Roster!$A$2:$A$40,0)),"?"))</f>
        <v/>
      </c>
      <c r="C451" s="28" t="inlineStr">
        <is>
          <t>Earthshine_2</t>
        </is>
      </c>
      <c r="D451" s="16">
        <f>IF($C451="","",IFERROR(IF(INDEX(Deals!$C$2:$C$355,MATCH($C451,Deals!$A$2:$A$355,0))=0,"",INDEX(Deals!$C$2:$C$355,MATCH($C451,Deals!$A$2:$A$355,0))),"?"))</f>
        <v/>
      </c>
      <c r="E451" s="16">
        <f>IF($C451="","",IFERROR(INDEX(Deals!$F$2:$F$355,MATCH($C451,Deals!$A$2:$A$355,0)),"?"))</f>
        <v/>
      </c>
      <c r="F451" s="28" t="inlineStr">
        <is>
          <t>Senior Associate</t>
        </is>
      </c>
      <c r="G451" s="28" t="inlineStr">
        <is>
          <t>Active</t>
        </is>
      </c>
      <c r="H451" s="31" t="n"/>
      <c r="I451" s="32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1">
        <f>IF($C451="",0,IFERROR(INDEX(Deals!$H$2:$H$355,MATCH($C451,Deals!$A$2:$A$355,0)),0))</f>
        <v/>
      </c>
      <c r="K451" s="32">
        <f>IF(Settings!$B$4="Yes",$I451*$J451,$I451)</f>
        <v/>
      </c>
      <c r="L451" s="22">
        <f>IF($C451="","",IFERROR(IF(INDEX(Deals!$I$2:$I$355,MATCH($C451,Deals!$A$2:$A$355,0))=0,"",INDEX(Deals!$I$2:$I$355,MATCH($C451,Deals!$A$2:$A$355,0))),""))</f>
        <v/>
      </c>
      <c r="M451" s="22">
        <f>IF($C451="","",IFERROR(IF(INDEX(Deals!$J$2:$J$355,MATCH($C451,Deals!$A$2:$A$355,0))=0,"",INDEX(Deals!$J$2:$J$355,MATCH($C451,Deals!$A$2:$A$355,0))),""))</f>
        <v/>
      </c>
      <c r="N451" s="35">
        <f>IF($L451="",DATE(1900,1,1),$L451)</f>
        <v/>
      </c>
      <c r="O451" s="35">
        <f>IF($M451="",DATE(2100,12,31),$M451)</f>
        <v/>
      </c>
      <c r="P451" s="20" t="inlineStr"/>
      <c r="Q451" s="43" t="inlineStr"/>
      <c r="R451" s="16">
        <f>IF($C451="","",IFERROR(IF(INDEX(Deals!$U$2:$U$355,MATCH($C451,Deals!$A$2:$A$355,0))=0,"",INDEX(Deals!$U$2:$U$355,MATCH($C451,Deals!$A$2:$A$355,0))),""))</f>
        <v/>
      </c>
      <c r="S451" s="34">
        <f>IFERROR(IF($U451="",1,INDEX(Deals!$V$2:$V$355,MATCH($C451,Deals!$A$2:$A$355,0))),1)</f>
        <v/>
      </c>
      <c r="T451" s="34">
        <f>IFERROR(IF($U451="",1,INDEX(Deals!$W$2:$W$355,MATCH($C451,Deals!$A$2:$A$355,0))),1)</f>
        <v/>
      </c>
      <c r="U451" s="22">
        <f>IF($C451="","",IFERROR(IF(INDEX(Deals!$Y$2:$Y$355,MATCH($C451,Deals!$A$2:$A$355,0))=0,"",INDEX(Deals!$Y$2:$Y$355,MATCH($C451,Deals!$A$2:$A$355,0))),""))</f>
        <v/>
      </c>
      <c r="V451" s="35">
        <f>IF($U451="",DATE(1900,1,1),$N451)</f>
        <v/>
      </c>
      <c r="W451" s="35">
        <f>IF($U451="",DATE(2100,12,31),$U451)</f>
        <v/>
      </c>
      <c r="X451" s="32">
        <f>IF($U451="",$K451,$K451*$S451)</f>
        <v/>
      </c>
      <c r="Y451" s="35">
        <f>IF($U451="",DATE(2100,12,31),$U451+1)</f>
        <v/>
      </c>
      <c r="Z451" s="35">
        <f>IF($U451="",DATE(1900,1,1),$O451)</f>
        <v/>
      </c>
      <c r="AA451" s="32">
        <f>IF($U451="",0,$K451*$T451)</f>
        <v/>
      </c>
      <c r="AB451" s="21">
        <f>IF($C451="",0,IFERROR(INDEX(Deals!$AD$2:$AD$355,MATCH($C451,Deals!$A$2:$A$355,0)),0))</f>
        <v/>
      </c>
      <c r="AC451" s="32">
        <f>IF(Settings!$B$4="Yes",$I451*$AB451,$I451)</f>
        <v/>
      </c>
      <c r="AD451" s="22">
        <f>IF($C451="","",IFERROR(IF(INDEX(Deals!$AE$2:$AE$355,MATCH($C451,Deals!$A$2:$A$355,0))=0,"",INDEX(Deals!$AE$2:$AE$355,MATCH($C451,Deals!$A$2:$A$355,0))),""))</f>
        <v/>
      </c>
      <c r="AE451" s="22">
        <f>IF($C451="","",IFERROR(IF(INDEX(Deals!$AF$2:$AF$355,MATCH($C451,Deals!$A$2:$A$355,0))=0,"",INDEX(Deals!$AF$2:$AF$355,MATCH($C451,Deals!$A$2:$A$355,0))),""))</f>
        <v/>
      </c>
      <c r="AF451" s="35">
        <f>IF($AD451="",DATE(1900,1,1),$AD451)</f>
        <v/>
      </c>
      <c r="AG451" s="35">
        <f>IF($AE451="",DATE(2100,12,31),$AE451)</f>
        <v/>
      </c>
      <c r="AH451" s="22">
        <f>IF($C451="","",IFERROR(IF(INDEX(Deals!$AG$2:$AG$355,MATCH($C451,Deals!$A$2:$A$355,0))=0,"",INDEX(Deals!$AG$2:$AG$355,MATCH($C451,Deals!$A$2:$A$355,0))),""))</f>
        <v/>
      </c>
      <c r="AI451" s="35">
        <f>IF($AH451="",DATE(1900,1,1),$AF451)</f>
        <v/>
      </c>
      <c r="AJ451" s="35">
        <f>IF($AH451="",DATE(2100,12,31),$AH451)</f>
        <v/>
      </c>
      <c r="AK451" s="32">
        <f>IF($AH451="",$AC451,$AC451*$S451)</f>
        <v/>
      </c>
      <c r="AL451" s="35">
        <f>IF($AH451="",DATE(2100,12,31),$AH451+1)</f>
        <v/>
      </c>
      <c r="AM451" s="35">
        <f>IF($AH451="",DATE(1900,1,1),$AG451)</f>
        <v/>
      </c>
      <c r="AN451" s="32">
        <f>IF($AH451="",0,$AC451*$T451)</f>
        <v/>
      </c>
    </row>
    <row r="452">
      <c r="A452" s="28" t="inlineStr">
        <is>
          <t>Nina</t>
        </is>
      </c>
      <c r="B452" s="16">
        <f>IF($A452="","",IFERROR(INDEX(Roster!$B$2:$B$40,MATCH($A452,Roster!$A$2:$A$40,0)),"?"))</f>
        <v/>
      </c>
      <c r="C452" s="28" t="inlineStr">
        <is>
          <t>Elm_2</t>
        </is>
      </c>
      <c r="D452" s="16">
        <f>IF($C452="","",IFERROR(IF(INDEX(Deals!$C$2:$C$355,MATCH($C452,Deals!$A$2:$A$355,0))=0,"",INDEX(Deals!$C$2:$C$355,MATCH($C452,Deals!$A$2:$A$355,0))),"?"))</f>
        <v/>
      </c>
      <c r="E452" s="16">
        <f>IF($C452="","",IFERROR(INDEX(Deals!$F$2:$F$355,MATCH($C452,Deals!$A$2:$A$355,0)),"?"))</f>
        <v/>
      </c>
      <c r="F452" s="28" t="inlineStr">
        <is>
          <t>Senior Associate</t>
        </is>
      </c>
      <c r="G452" s="28" t="inlineStr">
        <is>
          <t>Active</t>
        </is>
      </c>
      <c r="H452" s="31" t="n"/>
      <c r="I452" s="32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1">
        <f>IF($C452="",0,IFERROR(INDEX(Deals!$H$2:$H$355,MATCH($C452,Deals!$A$2:$A$355,0)),0))</f>
        <v/>
      </c>
      <c r="K452" s="32">
        <f>IF(Settings!$B$4="Yes",$I452*$J452,$I452)</f>
        <v/>
      </c>
      <c r="L452" s="22">
        <f>IF($C452="","",IFERROR(IF(INDEX(Deals!$I$2:$I$355,MATCH($C452,Deals!$A$2:$A$355,0))=0,"",INDEX(Deals!$I$2:$I$355,MATCH($C452,Deals!$A$2:$A$355,0))),""))</f>
        <v/>
      </c>
      <c r="M452" s="22">
        <f>IF($C452="","",IFERROR(IF(INDEX(Deals!$J$2:$J$355,MATCH($C452,Deals!$A$2:$A$355,0))=0,"",INDEX(Deals!$J$2:$J$355,MATCH($C452,Deals!$A$2:$A$355,0))),""))</f>
        <v/>
      </c>
      <c r="N452" s="35">
        <f>IF($L452="",DATE(1900,1,1),$L452)</f>
        <v/>
      </c>
      <c r="O452" s="35">
        <f>IF($M452="",DATE(2100,12,31),$M452)</f>
        <v/>
      </c>
      <c r="P452" s="20" t="inlineStr">
        <is>
          <t>Ongoing</t>
        </is>
      </c>
      <c r="Q452" s="43" t="inlineStr"/>
      <c r="R452" s="16">
        <f>IF($C452="","",IFERROR(IF(INDEX(Deals!$U$2:$U$355,MATCH($C452,Deals!$A$2:$A$355,0))=0,"",INDEX(Deals!$U$2:$U$355,MATCH($C452,Deals!$A$2:$A$355,0))),""))</f>
        <v/>
      </c>
      <c r="S452" s="34">
        <f>IFERROR(IF($U452="",1,INDEX(Deals!$V$2:$V$355,MATCH($C452,Deals!$A$2:$A$355,0))),1)</f>
        <v/>
      </c>
      <c r="T452" s="34">
        <f>IFERROR(IF($U452="",1,INDEX(Deals!$W$2:$W$355,MATCH($C452,Deals!$A$2:$A$355,0))),1)</f>
        <v/>
      </c>
      <c r="U452" s="22">
        <f>IF($C452="","",IFERROR(IF(INDEX(Deals!$Y$2:$Y$355,MATCH($C452,Deals!$A$2:$A$355,0))=0,"",INDEX(Deals!$Y$2:$Y$355,MATCH($C452,Deals!$A$2:$A$355,0))),""))</f>
        <v/>
      </c>
      <c r="V452" s="35">
        <f>IF($U452="",DATE(1900,1,1),$N452)</f>
        <v/>
      </c>
      <c r="W452" s="35">
        <f>IF($U452="",DATE(2100,12,31),$U452)</f>
        <v/>
      </c>
      <c r="X452" s="32">
        <f>IF($U452="",$K452,$K452*$S452)</f>
        <v/>
      </c>
      <c r="Y452" s="35">
        <f>IF($U452="",DATE(2100,12,31),$U452+1)</f>
        <v/>
      </c>
      <c r="Z452" s="35">
        <f>IF($U452="",DATE(1900,1,1),$O452)</f>
        <v/>
      </c>
      <c r="AA452" s="32">
        <f>IF($U452="",0,$K452*$T452)</f>
        <v/>
      </c>
      <c r="AB452" s="21">
        <f>IF($C452="",0,IFERROR(INDEX(Deals!$AD$2:$AD$355,MATCH($C452,Deals!$A$2:$A$355,0)),0))</f>
        <v/>
      </c>
      <c r="AC452" s="32">
        <f>IF(Settings!$B$4="Yes",$I452*$AB452,$I452)</f>
        <v/>
      </c>
      <c r="AD452" s="22">
        <f>IF($C452="","",IFERROR(IF(INDEX(Deals!$AE$2:$AE$355,MATCH($C452,Deals!$A$2:$A$355,0))=0,"",INDEX(Deals!$AE$2:$AE$355,MATCH($C452,Deals!$A$2:$A$355,0))),""))</f>
        <v/>
      </c>
      <c r="AE452" s="22">
        <f>IF($C452="","",IFERROR(IF(INDEX(Deals!$AF$2:$AF$355,MATCH($C452,Deals!$A$2:$A$355,0))=0,"",INDEX(Deals!$AF$2:$AF$355,MATCH($C452,Deals!$A$2:$A$355,0))),""))</f>
        <v/>
      </c>
      <c r="AF452" s="35">
        <f>IF($AD452="",DATE(1900,1,1),$AD452)</f>
        <v/>
      </c>
      <c r="AG452" s="35">
        <f>IF($AE452="",DATE(2100,12,31),$AE452)</f>
        <v/>
      </c>
      <c r="AH452" s="22">
        <f>IF($C452="","",IFERROR(IF(INDEX(Deals!$AG$2:$AG$355,MATCH($C452,Deals!$A$2:$A$355,0))=0,"",INDEX(Deals!$AG$2:$AG$355,MATCH($C452,Deals!$A$2:$A$355,0))),""))</f>
        <v/>
      </c>
      <c r="AI452" s="35">
        <f>IF($AH452="",DATE(1900,1,1),$AF452)</f>
        <v/>
      </c>
      <c r="AJ452" s="35">
        <f>IF($AH452="",DATE(2100,12,31),$AH452)</f>
        <v/>
      </c>
      <c r="AK452" s="32">
        <f>IF($AH452="",$AC452,$AC452*$S452)</f>
        <v/>
      </c>
      <c r="AL452" s="35">
        <f>IF($AH452="",DATE(2100,12,31),$AH452+1)</f>
        <v/>
      </c>
      <c r="AM452" s="35">
        <f>IF($AH452="",DATE(1900,1,1),$AG452)</f>
        <v/>
      </c>
      <c r="AN452" s="32">
        <f>IF($AH452="",0,$AC452*$T452)</f>
        <v/>
      </c>
    </row>
    <row r="453">
      <c r="A453" s="28" t="inlineStr">
        <is>
          <t>Nina</t>
        </is>
      </c>
      <c r="B453" s="16">
        <f>IF($A453="","",IFERROR(INDEX(Roster!$B$2:$B$40,MATCH($A453,Roster!$A$2:$A$40,0)),"?"))</f>
        <v/>
      </c>
      <c r="C453" s="28" t="inlineStr">
        <is>
          <t>Enterprise_1</t>
        </is>
      </c>
      <c r="D453" s="16">
        <f>IF($C453="","",IFERROR(IF(INDEX(Deals!$C$2:$C$355,MATCH($C453,Deals!$A$2:$A$355,0))=0,"",INDEX(Deals!$C$2:$C$355,MATCH($C453,Deals!$A$2:$A$355,0))),"?"))</f>
        <v/>
      </c>
      <c r="E453" s="16">
        <f>IF($C453="","",IFERROR(INDEX(Deals!$F$2:$F$355,MATCH($C453,Deals!$A$2:$A$355,0)),"?"))</f>
        <v/>
      </c>
      <c r="F453" s="28" t="inlineStr">
        <is>
          <t>Senior Associate</t>
        </is>
      </c>
      <c r="G453" s="28" t="inlineStr">
        <is>
          <t>Inactive</t>
        </is>
      </c>
      <c r="H453" s="31" t="n"/>
      <c r="I453" s="32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1">
        <f>IF($C453="",0,IFERROR(INDEX(Deals!$H$2:$H$355,MATCH($C453,Deals!$A$2:$A$355,0)),0))</f>
        <v/>
      </c>
      <c r="K453" s="32">
        <f>IF(Settings!$B$4="Yes",$I453*$J453,$I453)</f>
        <v/>
      </c>
      <c r="L453" s="22">
        <f>IF($C453="","",IFERROR(IF(INDEX(Deals!$I$2:$I$355,MATCH($C453,Deals!$A$2:$A$355,0))=0,"",INDEX(Deals!$I$2:$I$355,MATCH($C453,Deals!$A$2:$A$355,0))),""))</f>
        <v/>
      </c>
      <c r="M453" s="22">
        <f>IF($C453="","",IFERROR(IF(INDEX(Deals!$J$2:$J$355,MATCH($C453,Deals!$A$2:$A$355,0))=0,"",INDEX(Deals!$J$2:$J$355,MATCH($C453,Deals!$A$2:$A$355,0))),""))</f>
        <v/>
      </c>
      <c r="N453" s="35">
        <f>IF($L453="",DATE(1900,1,1),$L453)</f>
        <v/>
      </c>
      <c r="O453" s="35">
        <f>IF($M453="",DATE(2100,12,31),$M453)</f>
        <v/>
      </c>
      <c r="P453" s="20" t="inlineStr">
        <is>
          <t>Closed</t>
        </is>
      </c>
      <c r="Q453" s="43" t="inlineStr"/>
      <c r="R453" s="16">
        <f>IF($C453="","",IFERROR(IF(INDEX(Deals!$U$2:$U$355,MATCH($C453,Deals!$A$2:$A$355,0))=0,"",INDEX(Deals!$U$2:$U$355,MATCH($C453,Deals!$A$2:$A$355,0))),""))</f>
        <v/>
      </c>
      <c r="S453" s="34">
        <f>IFERROR(IF($U453="",1,INDEX(Deals!$V$2:$V$355,MATCH($C453,Deals!$A$2:$A$355,0))),1)</f>
        <v/>
      </c>
      <c r="T453" s="34">
        <f>IFERROR(IF($U453="",1,INDEX(Deals!$W$2:$W$355,MATCH($C453,Deals!$A$2:$A$355,0))),1)</f>
        <v/>
      </c>
      <c r="U453" s="22">
        <f>IF($C453="","",IFERROR(IF(INDEX(Deals!$Y$2:$Y$355,MATCH($C453,Deals!$A$2:$A$355,0))=0,"",INDEX(Deals!$Y$2:$Y$355,MATCH($C453,Deals!$A$2:$A$355,0))),""))</f>
        <v/>
      </c>
      <c r="V453" s="35">
        <f>IF($U453="",DATE(1900,1,1),$N453)</f>
        <v/>
      </c>
      <c r="W453" s="35">
        <f>IF($U453="",DATE(2100,12,31),$U453)</f>
        <v/>
      </c>
      <c r="X453" s="32">
        <f>IF($U453="",$K453,$K453*$S453)</f>
        <v/>
      </c>
      <c r="Y453" s="35">
        <f>IF($U453="",DATE(2100,12,31),$U453+1)</f>
        <v/>
      </c>
      <c r="Z453" s="35">
        <f>IF($U453="",DATE(1900,1,1),$O453)</f>
        <v/>
      </c>
      <c r="AA453" s="32">
        <f>IF($U453="",0,$K453*$T453)</f>
        <v/>
      </c>
      <c r="AB453" s="21">
        <f>IF($C453="",0,IFERROR(INDEX(Deals!$AD$2:$AD$355,MATCH($C453,Deals!$A$2:$A$355,0)),0))</f>
        <v/>
      </c>
      <c r="AC453" s="32">
        <f>IF(Settings!$B$4="Yes",$I453*$AB453,$I453)</f>
        <v/>
      </c>
      <c r="AD453" s="22">
        <f>IF($C453="","",IFERROR(IF(INDEX(Deals!$AE$2:$AE$355,MATCH($C453,Deals!$A$2:$A$355,0))=0,"",INDEX(Deals!$AE$2:$AE$355,MATCH($C453,Deals!$A$2:$A$355,0))),""))</f>
        <v/>
      </c>
      <c r="AE453" s="22">
        <f>IF($C453="","",IFERROR(IF(INDEX(Deals!$AF$2:$AF$355,MATCH($C453,Deals!$A$2:$A$355,0))=0,"",INDEX(Deals!$AF$2:$AF$355,MATCH($C453,Deals!$A$2:$A$355,0))),""))</f>
        <v/>
      </c>
      <c r="AF453" s="35">
        <f>IF($AD453="",DATE(1900,1,1),$AD453)</f>
        <v/>
      </c>
      <c r="AG453" s="35">
        <f>IF($AE453="",DATE(2100,12,31),$AE453)</f>
        <v/>
      </c>
      <c r="AH453" s="22">
        <f>IF($C453="","",IFERROR(IF(INDEX(Deals!$AG$2:$AG$355,MATCH($C453,Deals!$A$2:$A$355,0))=0,"",INDEX(Deals!$AG$2:$AG$355,MATCH($C453,Deals!$A$2:$A$355,0))),""))</f>
        <v/>
      </c>
      <c r="AI453" s="35">
        <f>IF($AH453="",DATE(1900,1,1),$AF453)</f>
        <v/>
      </c>
      <c r="AJ453" s="35">
        <f>IF($AH453="",DATE(2100,12,31),$AH453)</f>
        <v/>
      </c>
      <c r="AK453" s="32">
        <f>IF($AH453="",$AC453,$AC453*$S453)</f>
        <v/>
      </c>
      <c r="AL453" s="35">
        <f>IF($AH453="",DATE(2100,12,31),$AH453+1)</f>
        <v/>
      </c>
      <c r="AM453" s="35">
        <f>IF($AH453="",DATE(1900,1,1),$AG453)</f>
        <v/>
      </c>
      <c r="AN453" s="32">
        <f>IF($AH453="",0,$AC453*$T453)</f>
        <v/>
      </c>
    </row>
    <row r="454">
      <c r="A454" s="28" t="inlineStr">
        <is>
          <t>Nina</t>
        </is>
      </c>
      <c r="B454" s="16">
        <f>IF($A454="","",IFERROR(INDEX(Roster!$B$2:$B$40,MATCH($A454,Roster!$A$2:$A$40,0)),"?"))</f>
        <v/>
      </c>
      <c r="C454" s="28" t="inlineStr">
        <is>
          <t>EOS VDD_1</t>
        </is>
      </c>
      <c r="D454" s="16">
        <f>IF($C454="","",IFERROR(IF(INDEX(Deals!$C$2:$C$355,MATCH($C454,Deals!$A$2:$A$355,0))=0,"",INDEX(Deals!$C$2:$C$355,MATCH($C454,Deals!$A$2:$A$355,0))),"?"))</f>
        <v/>
      </c>
      <c r="E454" s="16">
        <f>IF($C454="","",IFERROR(INDEX(Deals!$F$2:$F$355,MATCH($C454,Deals!$A$2:$A$355,0)),"?"))</f>
        <v/>
      </c>
      <c r="F454" s="28" t="inlineStr">
        <is>
          <t>Senior Associate</t>
        </is>
      </c>
      <c r="G454" s="28" t="inlineStr">
        <is>
          <t>Active</t>
        </is>
      </c>
      <c r="H454" s="31" t="n"/>
      <c r="I454" s="32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1">
        <f>IF($C454="",0,IFERROR(INDEX(Deals!$H$2:$H$355,MATCH($C454,Deals!$A$2:$A$355,0)),0))</f>
        <v/>
      </c>
      <c r="K454" s="32">
        <f>IF(Settings!$B$4="Yes",$I454*$J454,$I454)</f>
        <v/>
      </c>
      <c r="L454" s="22">
        <f>IF($C454="","",IFERROR(IF(INDEX(Deals!$I$2:$I$355,MATCH($C454,Deals!$A$2:$A$355,0))=0,"",INDEX(Deals!$I$2:$I$355,MATCH($C454,Deals!$A$2:$A$355,0))),""))</f>
        <v/>
      </c>
      <c r="M454" s="22">
        <f>IF($C454="","",IFERROR(IF(INDEX(Deals!$J$2:$J$355,MATCH($C454,Deals!$A$2:$A$355,0))=0,"",INDEX(Deals!$J$2:$J$355,MATCH($C454,Deals!$A$2:$A$355,0))),""))</f>
        <v/>
      </c>
      <c r="N454" s="35">
        <f>IF($L454="",DATE(1900,1,1),$L454)</f>
        <v/>
      </c>
      <c r="O454" s="35">
        <f>IF($M454="",DATE(2100,12,31),$M454)</f>
        <v/>
      </c>
      <c r="P454" s="20" t="inlineStr">
        <is>
          <t>Ongoing</t>
        </is>
      </c>
      <c r="Q454" s="43" t="inlineStr">
        <is>
          <t>Added from Summary tab</t>
        </is>
      </c>
      <c r="R454" s="16">
        <f>IF($C454="","",IFERROR(IF(INDEX(Deals!$U$2:$U$355,MATCH($C454,Deals!$A$2:$A$355,0))=0,"",INDEX(Deals!$U$2:$U$355,MATCH($C454,Deals!$A$2:$A$355,0))),""))</f>
        <v/>
      </c>
      <c r="S454" s="34">
        <f>IFERROR(IF($U454="",1,INDEX(Deals!$V$2:$V$355,MATCH($C454,Deals!$A$2:$A$355,0))),1)</f>
        <v/>
      </c>
      <c r="T454" s="34">
        <f>IFERROR(IF($U454="",1,INDEX(Deals!$W$2:$W$355,MATCH($C454,Deals!$A$2:$A$355,0))),1)</f>
        <v/>
      </c>
      <c r="U454" s="22">
        <f>IF($C454="","",IFERROR(IF(INDEX(Deals!$Y$2:$Y$355,MATCH($C454,Deals!$A$2:$A$355,0))=0,"",INDEX(Deals!$Y$2:$Y$355,MATCH($C454,Deals!$A$2:$A$355,0))),""))</f>
        <v/>
      </c>
      <c r="V454" s="35">
        <f>IF($U454="",DATE(1900,1,1),$N454)</f>
        <v/>
      </c>
      <c r="W454" s="35">
        <f>IF($U454="",DATE(2100,12,31),$U454)</f>
        <v/>
      </c>
      <c r="X454" s="32">
        <f>IF($U454="",$K454,$K454*$S454)</f>
        <v/>
      </c>
      <c r="Y454" s="35">
        <f>IF($U454="",DATE(2100,12,31),$U454+1)</f>
        <v/>
      </c>
      <c r="Z454" s="35">
        <f>IF($U454="",DATE(1900,1,1),$O454)</f>
        <v/>
      </c>
      <c r="AA454" s="32">
        <f>IF($U454="",0,$K454*$T454)</f>
        <v/>
      </c>
      <c r="AB454" s="21">
        <f>IF($C454="",0,IFERROR(INDEX(Deals!$AD$2:$AD$355,MATCH($C454,Deals!$A$2:$A$355,0)),0))</f>
        <v/>
      </c>
      <c r="AC454" s="32">
        <f>IF(Settings!$B$4="Yes",$I454*$AB454,$I454)</f>
        <v/>
      </c>
      <c r="AD454" s="22">
        <f>IF($C454="","",IFERROR(IF(INDEX(Deals!$AE$2:$AE$355,MATCH($C454,Deals!$A$2:$A$355,0))=0,"",INDEX(Deals!$AE$2:$AE$355,MATCH($C454,Deals!$A$2:$A$355,0))),""))</f>
        <v/>
      </c>
      <c r="AE454" s="22">
        <f>IF($C454="","",IFERROR(IF(INDEX(Deals!$AF$2:$AF$355,MATCH($C454,Deals!$A$2:$A$355,0))=0,"",INDEX(Deals!$AF$2:$AF$355,MATCH($C454,Deals!$A$2:$A$355,0))),""))</f>
        <v/>
      </c>
      <c r="AF454" s="35">
        <f>IF($AD454="",DATE(1900,1,1),$AD454)</f>
        <v/>
      </c>
      <c r="AG454" s="35">
        <f>IF($AE454="",DATE(2100,12,31),$AE454)</f>
        <v/>
      </c>
      <c r="AH454" s="22">
        <f>IF($C454="","",IFERROR(IF(INDEX(Deals!$AG$2:$AG$355,MATCH($C454,Deals!$A$2:$A$355,0))=0,"",INDEX(Deals!$AG$2:$AG$355,MATCH($C454,Deals!$A$2:$A$355,0))),""))</f>
        <v/>
      </c>
      <c r="AI454" s="35">
        <f>IF($AH454="",DATE(1900,1,1),$AF454)</f>
        <v/>
      </c>
      <c r="AJ454" s="35">
        <f>IF($AH454="",DATE(2100,12,31),$AH454)</f>
        <v/>
      </c>
      <c r="AK454" s="32">
        <f>IF($AH454="",$AC454,$AC454*$S454)</f>
        <v/>
      </c>
      <c r="AL454" s="35">
        <f>IF($AH454="",DATE(2100,12,31),$AH454+1)</f>
        <v/>
      </c>
      <c r="AM454" s="35">
        <f>IF($AH454="",DATE(1900,1,1),$AG454)</f>
        <v/>
      </c>
      <c r="AN454" s="32">
        <f>IF($AH454="",0,$AC454*$T454)</f>
        <v/>
      </c>
    </row>
    <row r="455">
      <c r="A455" s="28" t="inlineStr">
        <is>
          <t>Nina</t>
        </is>
      </c>
      <c r="B455" s="16">
        <f>IF($A455="","",IFERROR(INDEX(Roster!$B$2:$B$40,MATCH($A455,Roster!$A$2:$A$40,0)),"?"))</f>
        <v/>
      </c>
      <c r="C455" s="28" t="inlineStr">
        <is>
          <t>EV3_1</t>
        </is>
      </c>
      <c r="D455" s="16">
        <f>IF($C455="","",IFERROR(IF(INDEX(Deals!$C$2:$C$355,MATCH($C455,Deals!$A$2:$A$355,0))=0,"",INDEX(Deals!$C$2:$C$355,MATCH($C455,Deals!$A$2:$A$355,0))),"?"))</f>
        <v/>
      </c>
      <c r="E455" s="16">
        <f>IF($C455="","",IFERROR(INDEX(Deals!$F$2:$F$355,MATCH($C455,Deals!$A$2:$A$355,0)),"?"))</f>
        <v/>
      </c>
      <c r="F455" s="28" t="inlineStr">
        <is>
          <t>Senior Associate</t>
        </is>
      </c>
      <c r="G455" s="28" t="inlineStr">
        <is>
          <t>Active</t>
        </is>
      </c>
      <c r="H455" s="31" t="n"/>
      <c r="I455" s="32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1">
        <f>IF($C455="",0,IFERROR(INDEX(Deals!$H$2:$H$355,MATCH($C455,Deals!$A$2:$A$355,0)),0))</f>
        <v/>
      </c>
      <c r="K455" s="32">
        <f>IF(Settings!$B$4="Yes",$I455*$J455,$I455)</f>
        <v/>
      </c>
      <c r="L455" s="22">
        <f>IF($C455="","",IFERROR(IF(INDEX(Deals!$I$2:$I$355,MATCH($C455,Deals!$A$2:$A$355,0))=0,"",INDEX(Deals!$I$2:$I$355,MATCH($C455,Deals!$A$2:$A$355,0))),""))</f>
        <v/>
      </c>
      <c r="M455" s="22">
        <f>IF($C455="","",IFERROR(IF(INDEX(Deals!$J$2:$J$355,MATCH($C455,Deals!$A$2:$A$355,0))=0,"",INDEX(Deals!$J$2:$J$355,MATCH($C455,Deals!$A$2:$A$355,0))),""))</f>
        <v/>
      </c>
      <c r="N455" s="35">
        <f>IF($L455="",DATE(1900,1,1),$L455)</f>
        <v/>
      </c>
      <c r="O455" s="35">
        <f>IF($M455="",DATE(2100,12,31),$M455)</f>
        <v/>
      </c>
      <c r="P455" s="20" t="inlineStr">
        <is>
          <t>Proposal sent</t>
        </is>
      </c>
      <c r="Q455" s="43" t="inlineStr">
        <is>
          <t>Added from Summary tab</t>
        </is>
      </c>
      <c r="R455" s="16">
        <f>IF($C455="","",IFERROR(IF(INDEX(Deals!$U$2:$U$355,MATCH($C455,Deals!$A$2:$A$355,0))=0,"",INDEX(Deals!$U$2:$U$355,MATCH($C455,Deals!$A$2:$A$355,0))),""))</f>
        <v/>
      </c>
      <c r="S455" s="34">
        <f>IFERROR(IF($U455="",1,INDEX(Deals!$V$2:$V$355,MATCH($C455,Deals!$A$2:$A$355,0))),1)</f>
        <v/>
      </c>
      <c r="T455" s="34">
        <f>IFERROR(IF($U455="",1,INDEX(Deals!$W$2:$W$355,MATCH($C455,Deals!$A$2:$A$355,0))),1)</f>
        <v/>
      </c>
      <c r="U455" s="22">
        <f>IF($C455="","",IFERROR(IF(INDEX(Deals!$Y$2:$Y$355,MATCH($C455,Deals!$A$2:$A$355,0))=0,"",INDEX(Deals!$Y$2:$Y$355,MATCH($C455,Deals!$A$2:$A$355,0))),""))</f>
        <v/>
      </c>
      <c r="V455" s="35">
        <f>IF($U455="",DATE(1900,1,1),$N455)</f>
        <v/>
      </c>
      <c r="W455" s="35">
        <f>IF($U455="",DATE(2100,12,31),$U455)</f>
        <v/>
      </c>
      <c r="X455" s="32">
        <f>IF($U455="",$K455,$K455*$S455)</f>
        <v/>
      </c>
      <c r="Y455" s="35">
        <f>IF($U455="",DATE(2100,12,31),$U455+1)</f>
        <v/>
      </c>
      <c r="Z455" s="35">
        <f>IF($U455="",DATE(1900,1,1),$O455)</f>
        <v/>
      </c>
      <c r="AA455" s="32">
        <f>IF($U455="",0,$K455*$T455)</f>
        <v/>
      </c>
      <c r="AB455" s="21">
        <f>IF($C455="",0,IFERROR(INDEX(Deals!$AD$2:$AD$355,MATCH($C455,Deals!$A$2:$A$355,0)),0))</f>
        <v/>
      </c>
      <c r="AC455" s="32">
        <f>IF(Settings!$B$4="Yes",$I455*$AB455,$I455)</f>
        <v/>
      </c>
      <c r="AD455" s="22">
        <f>IF($C455="","",IFERROR(IF(INDEX(Deals!$AE$2:$AE$355,MATCH($C455,Deals!$A$2:$A$355,0))=0,"",INDEX(Deals!$AE$2:$AE$355,MATCH($C455,Deals!$A$2:$A$355,0))),""))</f>
        <v/>
      </c>
      <c r="AE455" s="22">
        <f>IF($C455="","",IFERROR(IF(INDEX(Deals!$AF$2:$AF$355,MATCH($C455,Deals!$A$2:$A$355,0))=0,"",INDEX(Deals!$AF$2:$AF$355,MATCH($C455,Deals!$A$2:$A$355,0))),""))</f>
        <v/>
      </c>
      <c r="AF455" s="35">
        <f>IF($AD455="",DATE(1900,1,1),$AD455)</f>
        <v/>
      </c>
      <c r="AG455" s="35">
        <f>IF($AE455="",DATE(2100,12,31),$AE455)</f>
        <v/>
      </c>
      <c r="AH455" s="22">
        <f>IF($C455="","",IFERROR(IF(INDEX(Deals!$AG$2:$AG$355,MATCH($C455,Deals!$A$2:$A$355,0))=0,"",INDEX(Deals!$AG$2:$AG$355,MATCH($C455,Deals!$A$2:$A$355,0))),""))</f>
        <v/>
      </c>
      <c r="AI455" s="35">
        <f>IF($AH455="",DATE(1900,1,1),$AF455)</f>
        <v/>
      </c>
      <c r="AJ455" s="35">
        <f>IF($AH455="",DATE(2100,12,31),$AH455)</f>
        <v/>
      </c>
      <c r="AK455" s="32">
        <f>IF($AH455="",$AC455,$AC455*$S455)</f>
        <v/>
      </c>
      <c r="AL455" s="35">
        <f>IF($AH455="",DATE(2100,12,31),$AH455+1)</f>
        <v/>
      </c>
      <c r="AM455" s="35">
        <f>IF($AH455="",DATE(1900,1,1),$AG455)</f>
        <v/>
      </c>
      <c r="AN455" s="32">
        <f>IF($AH455="",0,$AC455*$T455)</f>
        <v/>
      </c>
    </row>
    <row r="456">
      <c r="A456" s="28" t="inlineStr">
        <is>
          <t>Nina</t>
        </is>
      </c>
      <c r="B456" s="16">
        <f>IF($A456="","",IFERROR(INDEX(Roster!$B$2:$B$40,MATCH($A456,Roster!$A$2:$A$40,0)),"?"))</f>
        <v/>
      </c>
      <c r="C456" s="28" t="inlineStr">
        <is>
          <t>Hatch_1</t>
        </is>
      </c>
      <c r="D456" s="16">
        <f>IF($C456="","",IFERROR(IF(INDEX(Deals!$C$2:$C$355,MATCH($C456,Deals!$A$2:$A$355,0))=0,"",INDEX(Deals!$C$2:$C$355,MATCH($C456,Deals!$A$2:$A$355,0))),"?"))</f>
        <v/>
      </c>
      <c r="E456" s="16">
        <f>IF($C456="","",IFERROR(INDEX(Deals!$F$2:$F$355,MATCH($C456,Deals!$A$2:$A$355,0)),"?"))</f>
        <v/>
      </c>
      <c r="F456" s="28" t="inlineStr">
        <is>
          <t>Senior Associate</t>
        </is>
      </c>
      <c r="G456" s="28" t="inlineStr">
        <is>
          <t>Active</t>
        </is>
      </c>
      <c r="H456" s="31" t="n"/>
      <c r="I456" s="32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1">
        <f>IF($C456="",0,IFERROR(INDEX(Deals!$H$2:$H$355,MATCH($C456,Deals!$A$2:$A$355,0)),0))</f>
        <v/>
      </c>
      <c r="K456" s="32">
        <f>IF(Settings!$B$4="Yes",$I456*$J456,$I456)</f>
        <v/>
      </c>
      <c r="L456" s="22">
        <f>IF($C456="","",IFERROR(IF(INDEX(Deals!$I$2:$I$355,MATCH($C456,Deals!$A$2:$A$355,0))=0,"",INDEX(Deals!$I$2:$I$355,MATCH($C456,Deals!$A$2:$A$355,0))),""))</f>
        <v/>
      </c>
      <c r="M456" s="22">
        <f>IF($C456="","",IFERROR(IF(INDEX(Deals!$J$2:$J$355,MATCH($C456,Deals!$A$2:$A$355,0))=0,"",INDEX(Deals!$J$2:$J$355,MATCH($C456,Deals!$A$2:$A$355,0))),""))</f>
        <v/>
      </c>
      <c r="N456" s="35">
        <f>IF($L456="",DATE(1900,1,1),$L456)</f>
        <v/>
      </c>
      <c r="O456" s="35">
        <f>IF($M456="",DATE(2100,12,31),$M456)</f>
        <v/>
      </c>
      <c r="P456" s="20" t="inlineStr">
        <is>
          <t>Ongoing</t>
        </is>
      </c>
      <c r="Q456" s="43" t="inlineStr"/>
      <c r="R456" s="16">
        <f>IF($C456="","",IFERROR(IF(INDEX(Deals!$U$2:$U$355,MATCH($C456,Deals!$A$2:$A$355,0))=0,"",INDEX(Deals!$U$2:$U$355,MATCH($C456,Deals!$A$2:$A$355,0))),""))</f>
        <v/>
      </c>
      <c r="S456" s="34">
        <f>IFERROR(IF($U456="",1,INDEX(Deals!$V$2:$V$355,MATCH($C456,Deals!$A$2:$A$355,0))),1)</f>
        <v/>
      </c>
      <c r="T456" s="34">
        <f>IFERROR(IF($U456="",1,INDEX(Deals!$W$2:$W$355,MATCH($C456,Deals!$A$2:$A$355,0))),1)</f>
        <v/>
      </c>
      <c r="U456" s="22">
        <f>IF($C456="","",IFERROR(IF(INDEX(Deals!$Y$2:$Y$355,MATCH($C456,Deals!$A$2:$A$355,0))=0,"",INDEX(Deals!$Y$2:$Y$355,MATCH($C456,Deals!$A$2:$A$355,0))),""))</f>
        <v/>
      </c>
      <c r="V456" s="35">
        <f>IF($U456="",DATE(1900,1,1),$N456)</f>
        <v/>
      </c>
      <c r="W456" s="35">
        <f>IF($U456="",DATE(2100,12,31),$U456)</f>
        <v/>
      </c>
      <c r="X456" s="32">
        <f>IF($U456="",$K456,$K456*$S456)</f>
        <v/>
      </c>
      <c r="Y456" s="35">
        <f>IF($U456="",DATE(2100,12,31),$U456+1)</f>
        <v/>
      </c>
      <c r="Z456" s="35">
        <f>IF($U456="",DATE(1900,1,1),$O456)</f>
        <v/>
      </c>
      <c r="AA456" s="32">
        <f>IF($U456="",0,$K456*$T456)</f>
        <v/>
      </c>
      <c r="AB456" s="21">
        <f>IF($C456="",0,IFERROR(INDEX(Deals!$AD$2:$AD$355,MATCH($C456,Deals!$A$2:$A$355,0)),0))</f>
        <v/>
      </c>
      <c r="AC456" s="32">
        <f>IF(Settings!$B$4="Yes",$I456*$AB456,$I456)</f>
        <v/>
      </c>
      <c r="AD456" s="22">
        <f>IF($C456="","",IFERROR(IF(INDEX(Deals!$AE$2:$AE$355,MATCH($C456,Deals!$A$2:$A$355,0))=0,"",INDEX(Deals!$AE$2:$AE$355,MATCH($C456,Deals!$A$2:$A$355,0))),""))</f>
        <v/>
      </c>
      <c r="AE456" s="22">
        <f>IF($C456="","",IFERROR(IF(INDEX(Deals!$AF$2:$AF$355,MATCH($C456,Deals!$A$2:$A$355,0))=0,"",INDEX(Deals!$AF$2:$AF$355,MATCH($C456,Deals!$A$2:$A$355,0))),""))</f>
        <v/>
      </c>
      <c r="AF456" s="35">
        <f>IF($AD456="",DATE(1900,1,1),$AD456)</f>
        <v/>
      </c>
      <c r="AG456" s="35">
        <f>IF($AE456="",DATE(2100,12,31),$AE456)</f>
        <v/>
      </c>
      <c r="AH456" s="22">
        <f>IF($C456="","",IFERROR(IF(INDEX(Deals!$AG$2:$AG$355,MATCH($C456,Deals!$A$2:$A$355,0))=0,"",INDEX(Deals!$AG$2:$AG$355,MATCH($C456,Deals!$A$2:$A$355,0))),""))</f>
        <v/>
      </c>
      <c r="AI456" s="35">
        <f>IF($AH456="",DATE(1900,1,1),$AF456)</f>
        <v/>
      </c>
      <c r="AJ456" s="35">
        <f>IF($AH456="",DATE(2100,12,31),$AH456)</f>
        <v/>
      </c>
      <c r="AK456" s="32">
        <f>IF($AH456="",$AC456,$AC456*$S456)</f>
        <v/>
      </c>
      <c r="AL456" s="35">
        <f>IF($AH456="",DATE(2100,12,31),$AH456+1)</f>
        <v/>
      </c>
      <c r="AM456" s="35">
        <f>IF($AH456="",DATE(1900,1,1),$AG456)</f>
        <v/>
      </c>
      <c r="AN456" s="32">
        <f>IF($AH456="",0,$AC456*$T456)</f>
        <v/>
      </c>
    </row>
    <row r="457">
      <c r="A457" s="28" t="inlineStr">
        <is>
          <t>Nina</t>
        </is>
      </c>
      <c r="B457" s="16">
        <f>IF($A457="","",IFERROR(INDEX(Roster!$B$2:$B$40,MATCH($A457,Roster!$A$2:$A$40,0)),"?"))</f>
        <v/>
      </c>
      <c r="C457" s="28" t="inlineStr">
        <is>
          <t>Hidden _1</t>
        </is>
      </c>
      <c r="D457" s="16">
        <f>IF($C457="","",IFERROR(IF(INDEX(Deals!$C$2:$C$355,MATCH($C457,Deals!$A$2:$A$355,0))=0,"",INDEX(Deals!$C$2:$C$355,MATCH($C457,Deals!$A$2:$A$355,0))),"?"))</f>
        <v/>
      </c>
      <c r="E457" s="16">
        <f>IF($C457="","",IFERROR(INDEX(Deals!$F$2:$F$355,MATCH($C457,Deals!$A$2:$A$355,0)),"?"))</f>
        <v/>
      </c>
      <c r="F457" s="28" t="inlineStr">
        <is>
          <t>Senior Associate</t>
        </is>
      </c>
      <c r="G457" s="28" t="inlineStr">
        <is>
          <t>Active</t>
        </is>
      </c>
      <c r="H457" s="31" t="n"/>
      <c r="I457" s="32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1">
        <f>IF($C457="",0,IFERROR(INDEX(Deals!$H$2:$H$355,MATCH($C457,Deals!$A$2:$A$355,0)),0))</f>
        <v/>
      </c>
      <c r="K457" s="32">
        <f>IF(Settings!$B$4="Yes",$I457*$J457,$I457)</f>
        <v/>
      </c>
      <c r="L457" s="22">
        <f>IF($C457="","",IFERROR(IF(INDEX(Deals!$I$2:$I$355,MATCH($C457,Deals!$A$2:$A$355,0))=0,"",INDEX(Deals!$I$2:$I$355,MATCH($C457,Deals!$A$2:$A$355,0))),""))</f>
        <v/>
      </c>
      <c r="M457" s="22">
        <f>IF($C457="","",IFERROR(IF(INDEX(Deals!$J$2:$J$355,MATCH($C457,Deals!$A$2:$A$355,0))=0,"",INDEX(Deals!$J$2:$J$355,MATCH($C457,Deals!$A$2:$A$355,0))),""))</f>
        <v/>
      </c>
      <c r="N457" s="35">
        <f>IF($L457="",DATE(1900,1,1),$L457)</f>
        <v/>
      </c>
      <c r="O457" s="35">
        <f>IF($M457="",DATE(2100,12,31),$M457)</f>
        <v/>
      </c>
      <c r="P457" s="20" t="inlineStr"/>
      <c r="Q457" s="43" t="inlineStr"/>
      <c r="R457" s="16">
        <f>IF($C457="","",IFERROR(IF(INDEX(Deals!$U$2:$U$355,MATCH($C457,Deals!$A$2:$A$355,0))=0,"",INDEX(Deals!$U$2:$U$355,MATCH($C457,Deals!$A$2:$A$355,0))),""))</f>
        <v/>
      </c>
      <c r="S457" s="34">
        <f>IFERROR(IF($U457="",1,INDEX(Deals!$V$2:$V$355,MATCH($C457,Deals!$A$2:$A$355,0))),1)</f>
        <v/>
      </c>
      <c r="T457" s="34">
        <f>IFERROR(IF($U457="",1,INDEX(Deals!$W$2:$W$355,MATCH($C457,Deals!$A$2:$A$355,0))),1)</f>
        <v/>
      </c>
      <c r="U457" s="22">
        <f>IF($C457="","",IFERROR(IF(INDEX(Deals!$Y$2:$Y$355,MATCH($C457,Deals!$A$2:$A$355,0))=0,"",INDEX(Deals!$Y$2:$Y$355,MATCH($C457,Deals!$A$2:$A$355,0))),""))</f>
        <v/>
      </c>
      <c r="V457" s="35">
        <f>IF($U457="",DATE(1900,1,1),$N457)</f>
        <v/>
      </c>
      <c r="W457" s="35">
        <f>IF($U457="",DATE(2100,12,31),$U457)</f>
        <v/>
      </c>
      <c r="X457" s="32">
        <f>IF($U457="",$K457,$K457*$S457)</f>
        <v/>
      </c>
      <c r="Y457" s="35">
        <f>IF($U457="",DATE(2100,12,31),$U457+1)</f>
        <v/>
      </c>
      <c r="Z457" s="35">
        <f>IF($U457="",DATE(1900,1,1),$O457)</f>
        <v/>
      </c>
      <c r="AA457" s="32">
        <f>IF($U457="",0,$K457*$T457)</f>
        <v/>
      </c>
      <c r="AB457" s="21">
        <f>IF($C457="",0,IFERROR(INDEX(Deals!$AD$2:$AD$355,MATCH($C457,Deals!$A$2:$A$355,0)),0))</f>
        <v/>
      </c>
      <c r="AC457" s="32">
        <f>IF(Settings!$B$4="Yes",$I457*$AB457,$I457)</f>
        <v/>
      </c>
      <c r="AD457" s="22">
        <f>IF($C457="","",IFERROR(IF(INDEX(Deals!$AE$2:$AE$355,MATCH($C457,Deals!$A$2:$A$355,0))=0,"",INDEX(Deals!$AE$2:$AE$355,MATCH($C457,Deals!$A$2:$A$355,0))),""))</f>
        <v/>
      </c>
      <c r="AE457" s="22">
        <f>IF($C457="","",IFERROR(IF(INDEX(Deals!$AF$2:$AF$355,MATCH($C457,Deals!$A$2:$A$355,0))=0,"",INDEX(Deals!$AF$2:$AF$355,MATCH($C457,Deals!$A$2:$A$355,0))),""))</f>
        <v/>
      </c>
      <c r="AF457" s="35">
        <f>IF($AD457="",DATE(1900,1,1),$AD457)</f>
        <v/>
      </c>
      <c r="AG457" s="35">
        <f>IF($AE457="",DATE(2100,12,31),$AE457)</f>
        <v/>
      </c>
      <c r="AH457" s="22">
        <f>IF($C457="","",IFERROR(IF(INDEX(Deals!$AG$2:$AG$355,MATCH($C457,Deals!$A$2:$A$355,0))=0,"",INDEX(Deals!$AG$2:$AG$355,MATCH($C457,Deals!$A$2:$A$355,0))),""))</f>
        <v/>
      </c>
      <c r="AI457" s="35">
        <f>IF($AH457="",DATE(1900,1,1),$AF457)</f>
        <v/>
      </c>
      <c r="AJ457" s="35">
        <f>IF($AH457="",DATE(2100,12,31),$AH457)</f>
        <v/>
      </c>
      <c r="AK457" s="32">
        <f>IF($AH457="",$AC457,$AC457*$S457)</f>
        <v/>
      </c>
      <c r="AL457" s="35">
        <f>IF($AH457="",DATE(2100,12,31),$AH457+1)</f>
        <v/>
      </c>
      <c r="AM457" s="35">
        <f>IF($AH457="",DATE(1900,1,1),$AG457)</f>
        <v/>
      </c>
      <c r="AN457" s="32">
        <f>IF($AH457="",0,$AC457*$T457)</f>
        <v/>
      </c>
    </row>
    <row r="458">
      <c r="A458" s="28" t="inlineStr">
        <is>
          <t>Nina</t>
        </is>
      </c>
      <c r="B458" s="16">
        <f>IF($A458="","",IFERROR(INDEX(Roster!$B$2:$B$40,MATCH($A458,Roster!$A$2:$A$40,0)),"?"))</f>
        <v/>
      </c>
      <c r="C458" s="28" t="inlineStr">
        <is>
          <t>Hyacinth_1</t>
        </is>
      </c>
      <c r="D458" s="16">
        <f>IF($C458="","",IFERROR(IF(INDEX(Deals!$C$2:$C$355,MATCH($C458,Deals!$A$2:$A$355,0))=0,"",INDEX(Deals!$C$2:$C$355,MATCH($C458,Deals!$A$2:$A$355,0))),"?"))</f>
        <v/>
      </c>
      <c r="E458" s="16">
        <f>IF($C458="","",IFERROR(INDEX(Deals!$F$2:$F$355,MATCH($C458,Deals!$A$2:$A$355,0)),"?"))</f>
        <v/>
      </c>
      <c r="F458" s="28" t="inlineStr">
        <is>
          <t>Senior Associate</t>
        </is>
      </c>
      <c r="G458" s="28" t="inlineStr">
        <is>
          <t>Active</t>
        </is>
      </c>
      <c r="H458" s="31" t="n"/>
      <c r="I458" s="32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1">
        <f>IF($C458="",0,IFERROR(INDEX(Deals!$H$2:$H$355,MATCH($C458,Deals!$A$2:$A$355,0)),0))</f>
        <v/>
      </c>
      <c r="K458" s="32">
        <f>IF(Settings!$B$4="Yes",$I458*$J458,$I458)</f>
        <v/>
      </c>
      <c r="L458" s="22">
        <f>IF($C458="","",IFERROR(IF(INDEX(Deals!$I$2:$I$355,MATCH($C458,Deals!$A$2:$A$355,0))=0,"",INDEX(Deals!$I$2:$I$355,MATCH($C458,Deals!$A$2:$A$355,0))),""))</f>
        <v/>
      </c>
      <c r="M458" s="22">
        <f>IF($C458="","",IFERROR(IF(INDEX(Deals!$J$2:$J$355,MATCH($C458,Deals!$A$2:$A$355,0))=0,"",INDEX(Deals!$J$2:$J$355,MATCH($C458,Deals!$A$2:$A$355,0))),""))</f>
        <v/>
      </c>
      <c r="N458" s="35">
        <f>IF($L458="",DATE(1900,1,1),$L458)</f>
        <v/>
      </c>
      <c r="O458" s="35">
        <f>IF($M458="",DATE(2100,12,31),$M458)</f>
        <v/>
      </c>
      <c r="P458" s="20" t="inlineStr"/>
      <c r="Q458" s="43" t="inlineStr"/>
      <c r="R458" s="16">
        <f>IF($C458="","",IFERROR(IF(INDEX(Deals!$U$2:$U$355,MATCH($C458,Deals!$A$2:$A$355,0))=0,"",INDEX(Deals!$U$2:$U$355,MATCH($C458,Deals!$A$2:$A$355,0))),""))</f>
        <v/>
      </c>
      <c r="S458" s="34">
        <f>IFERROR(IF($U458="",1,INDEX(Deals!$V$2:$V$355,MATCH($C458,Deals!$A$2:$A$355,0))),1)</f>
        <v/>
      </c>
      <c r="T458" s="34">
        <f>IFERROR(IF($U458="",1,INDEX(Deals!$W$2:$W$355,MATCH($C458,Deals!$A$2:$A$355,0))),1)</f>
        <v/>
      </c>
      <c r="U458" s="22">
        <f>IF($C458="","",IFERROR(IF(INDEX(Deals!$Y$2:$Y$355,MATCH($C458,Deals!$A$2:$A$355,0))=0,"",INDEX(Deals!$Y$2:$Y$355,MATCH($C458,Deals!$A$2:$A$355,0))),""))</f>
        <v/>
      </c>
      <c r="V458" s="35">
        <f>IF($U458="",DATE(1900,1,1),$N458)</f>
        <v/>
      </c>
      <c r="W458" s="35">
        <f>IF($U458="",DATE(2100,12,31),$U458)</f>
        <v/>
      </c>
      <c r="X458" s="32">
        <f>IF($U458="",$K458,$K458*$S458)</f>
        <v/>
      </c>
      <c r="Y458" s="35">
        <f>IF($U458="",DATE(2100,12,31),$U458+1)</f>
        <v/>
      </c>
      <c r="Z458" s="35">
        <f>IF($U458="",DATE(1900,1,1),$O458)</f>
        <v/>
      </c>
      <c r="AA458" s="32">
        <f>IF($U458="",0,$K458*$T458)</f>
        <v/>
      </c>
      <c r="AB458" s="21">
        <f>IF($C458="",0,IFERROR(INDEX(Deals!$AD$2:$AD$355,MATCH($C458,Deals!$A$2:$A$355,0)),0))</f>
        <v/>
      </c>
      <c r="AC458" s="32">
        <f>IF(Settings!$B$4="Yes",$I458*$AB458,$I458)</f>
        <v/>
      </c>
      <c r="AD458" s="22">
        <f>IF($C458="","",IFERROR(IF(INDEX(Deals!$AE$2:$AE$355,MATCH($C458,Deals!$A$2:$A$355,0))=0,"",INDEX(Deals!$AE$2:$AE$355,MATCH($C458,Deals!$A$2:$A$355,0))),""))</f>
        <v/>
      </c>
      <c r="AE458" s="22">
        <f>IF($C458="","",IFERROR(IF(INDEX(Deals!$AF$2:$AF$355,MATCH($C458,Deals!$A$2:$A$355,0))=0,"",INDEX(Deals!$AF$2:$AF$355,MATCH($C458,Deals!$A$2:$A$355,0))),""))</f>
        <v/>
      </c>
      <c r="AF458" s="35">
        <f>IF($AD458="",DATE(1900,1,1),$AD458)</f>
        <v/>
      </c>
      <c r="AG458" s="35">
        <f>IF($AE458="",DATE(2100,12,31),$AE458)</f>
        <v/>
      </c>
      <c r="AH458" s="22">
        <f>IF($C458="","",IFERROR(IF(INDEX(Deals!$AG$2:$AG$355,MATCH($C458,Deals!$A$2:$A$355,0))=0,"",INDEX(Deals!$AG$2:$AG$355,MATCH($C458,Deals!$A$2:$A$355,0))),""))</f>
        <v/>
      </c>
      <c r="AI458" s="35">
        <f>IF($AH458="",DATE(1900,1,1),$AF458)</f>
        <v/>
      </c>
      <c r="AJ458" s="35">
        <f>IF($AH458="",DATE(2100,12,31),$AH458)</f>
        <v/>
      </c>
      <c r="AK458" s="32">
        <f>IF($AH458="",$AC458,$AC458*$S458)</f>
        <v/>
      </c>
      <c r="AL458" s="35">
        <f>IF($AH458="",DATE(2100,12,31),$AH458+1)</f>
        <v/>
      </c>
      <c r="AM458" s="35">
        <f>IF($AH458="",DATE(1900,1,1),$AG458)</f>
        <v/>
      </c>
      <c r="AN458" s="32">
        <f>IF($AH458="",0,$AC458*$T458)</f>
        <v/>
      </c>
    </row>
    <row r="459">
      <c r="A459" s="28" t="inlineStr">
        <is>
          <t>Nina</t>
        </is>
      </c>
      <c r="B459" s="16">
        <f>IF($A459="","",IFERROR(INDEX(Roster!$B$2:$B$40,MATCH($A459,Roster!$A$2:$A$40,0)),"?"))</f>
        <v/>
      </c>
      <c r="C459" s="28" t="inlineStr">
        <is>
          <t>Irradiant_ITC_1</t>
        </is>
      </c>
      <c r="D459" s="16">
        <f>IF($C459="","",IFERROR(IF(INDEX(Deals!$C$2:$C$355,MATCH($C459,Deals!$A$2:$A$355,0))=0,"",INDEX(Deals!$C$2:$C$355,MATCH($C459,Deals!$A$2:$A$355,0))),"?"))</f>
        <v/>
      </c>
      <c r="E459" s="16">
        <f>IF($C459="","",IFERROR(INDEX(Deals!$F$2:$F$355,MATCH($C459,Deals!$A$2:$A$355,0)),"?"))</f>
        <v/>
      </c>
      <c r="F459" s="28" t="inlineStr">
        <is>
          <t>Senior Associate</t>
        </is>
      </c>
      <c r="G459" s="28" t="inlineStr">
        <is>
          <t>Active</t>
        </is>
      </c>
      <c r="H459" s="31" t="n"/>
      <c r="I459" s="32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1">
        <f>IF($C459="",0,IFERROR(INDEX(Deals!$H$2:$H$355,MATCH($C459,Deals!$A$2:$A$355,0)),0))</f>
        <v/>
      </c>
      <c r="K459" s="32">
        <f>IF(Settings!$B$4="Yes",$I459*$J459,$I459)</f>
        <v/>
      </c>
      <c r="L459" s="22">
        <f>IF($C459="","",IFERROR(IF(INDEX(Deals!$I$2:$I$355,MATCH($C459,Deals!$A$2:$A$355,0))=0,"",INDEX(Deals!$I$2:$I$355,MATCH($C459,Deals!$A$2:$A$355,0))),""))</f>
        <v/>
      </c>
      <c r="M459" s="22">
        <f>IF($C459="","",IFERROR(IF(INDEX(Deals!$J$2:$J$355,MATCH($C459,Deals!$A$2:$A$355,0))=0,"",INDEX(Deals!$J$2:$J$355,MATCH($C459,Deals!$A$2:$A$355,0))),""))</f>
        <v/>
      </c>
      <c r="N459" s="35">
        <f>IF($L459="",DATE(1900,1,1),$L459)</f>
        <v/>
      </c>
      <c r="O459" s="35">
        <f>IF($M459="",DATE(2100,12,31),$M459)</f>
        <v/>
      </c>
      <c r="P459" s="20" t="inlineStr">
        <is>
          <t>Ongoing</t>
        </is>
      </c>
      <c r="Q459" s="43" t="inlineStr">
        <is>
          <t>Added from Summary tab</t>
        </is>
      </c>
      <c r="R459" s="16">
        <f>IF($C459="","",IFERROR(IF(INDEX(Deals!$U$2:$U$355,MATCH($C459,Deals!$A$2:$A$355,0))=0,"",INDEX(Deals!$U$2:$U$355,MATCH($C459,Deals!$A$2:$A$355,0))),""))</f>
        <v/>
      </c>
      <c r="S459" s="34">
        <f>IFERROR(IF($U459="",1,INDEX(Deals!$V$2:$V$355,MATCH($C459,Deals!$A$2:$A$355,0))),1)</f>
        <v/>
      </c>
      <c r="T459" s="34">
        <f>IFERROR(IF($U459="",1,INDEX(Deals!$W$2:$W$355,MATCH($C459,Deals!$A$2:$A$355,0))),1)</f>
        <v/>
      </c>
      <c r="U459" s="22">
        <f>IF($C459="","",IFERROR(IF(INDEX(Deals!$Y$2:$Y$355,MATCH($C459,Deals!$A$2:$A$355,0))=0,"",INDEX(Deals!$Y$2:$Y$355,MATCH($C459,Deals!$A$2:$A$355,0))),""))</f>
        <v/>
      </c>
      <c r="V459" s="35">
        <f>IF($U459="",DATE(1900,1,1),$N459)</f>
        <v/>
      </c>
      <c r="W459" s="35">
        <f>IF($U459="",DATE(2100,12,31),$U459)</f>
        <v/>
      </c>
      <c r="X459" s="32">
        <f>IF($U459="",$K459,$K459*$S459)</f>
        <v/>
      </c>
      <c r="Y459" s="35">
        <f>IF($U459="",DATE(2100,12,31),$U459+1)</f>
        <v/>
      </c>
      <c r="Z459" s="35">
        <f>IF($U459="",DATE(1900,1,1),$O459)</f>
        <v/>
      </c>
      <c r="AA459" s="32">
        <f>IF($U459="",0,$K459*$T459)</f>
        <v/>
      </c>
      <c r="AB459" s="21">
        <f>IF($C459="",0,IFERROR(INDEX(Deals!$AD$2:$AD$355,MATCH($C459,Deals!$A$2:$A$355,0)),0))</f>
        <v/>
      </c>
      <c r="AC459" s="32">
        <f>IF(Settings!$B$4="Yes",$I459*$AB459,$I459)</f>
        <v/>
      </c>
      <c r="AD459" s="22">
        <f>IF($C459="","",IFERROR(IF(INDEX(Deals!$AE$2:$AE$355,MATCH($C459,Deals!$A$2:$A$355,0))=0,"",INDEX(Deals!$AE$2:$AE$355,MATCH($C459,Deals!$A$2:$A$355,0))),""))</f>
        <v/>
      </c>
      <c r="AE459" s="22">
        <f>IF($C459="","",IFERROR(IF(INDEX(Deals!$AF$2:$AF$355,MATCH($C459,Deals!$A$2:$A$355,0))=0,"",INDEX(Deals!$AF$2:$AF$355,MATCH($C459,Deals!$A$2:$A$355,0))),""))</f>
        <v/>
      </c>
      <c r="AF459" s="35">
        <f>IF($AD459="",DATE(1900,1,1),$AD459)</f>
        <v/>
      </c>
      <c r="AG459" s="35">
        <f>IF($AE459="",DATE(2100,12,31),$AE459)</f>
        <v/>
      </c>
      <c r="AH459" s="22">
        <f>IF($C459="","",IFERROR(IF(INDEX(Deals!$AG$2:$AG$355,MATCH($C459,Deals!$A$2:$A$355,0))=0,"",INDEX(Deals!$AG$2:$AG$355,MATCH($C459,Deals!$A$2:$A$355,0))),""))</f>
        <v/>
      </c>
      <c r="AI459" s="35">
        <f>IF($AH459="",DATE(1900,1,1),$AF459)</f>
        <v/>
      </c>
      <c r="AJ459" s="35">
        <f>IF($AH459="",DATE(2100,12,31),$AH459)</f>
        <v/>
      </c>
      <c r="AK459" s="32">
        <f>IF($AH459="",$AC459,$AC459*$S459)</f>
        <v/>
      </c>
      <c r="AL459" s="35">
        <f>IF($AH459="",DATE(2100,12,31),$AH459+1)</f>
        <v/>
      </c>
      <c r="AM459" s="35">
        <f>IF($AH459="",DATE(1900,1,1),$AG459)</f>
        <v/>
      </c>
      <c r="AN459" s="32">
        <f>IF($AH459="",0,$AC459*$T459)</f>
        <v/>
      </c>
    </row>
    <row r="460">
      <c r="A460" s="28" t="inlineStr">
        <is>
          <t>Nina</t>
        </is>
      </c>
      <c r="B460" s="16">
        <f>IF($A460="","",IFERROR(INDEX(Roster!$B$2:$B$40,MATCH($A460,Roster!$A$2:$A$40,0)),"?"))</f>
        <v/>
      </c>
      <c r="C460" s="28" t="inlineStr">
        <is>
          <t>Justin_2</t>
        </is>
      </c>
      <c r="D460" s="16">
        <f>IF($C460="","",IFERROR(IF(INDEX(Deals!$C$2:$C$355,MATCH($C460,Deals!$A$2:$A$355,0))=0,"",INDEX(Deals!$C$2:$C$355,MATCH($C460,Deals!$A$2:$A$355,0))),"?"))</f>
        <v/>
      </c>
      <c r="E460" s="16">
        <f>IF($C460="","",IFERROR(INDEX(Deals!$F$2:$F$355,MATCH($C460,Deals!$A$2:$A$355,0)),"?"))</f>
        <v/>
      </c>
      <c r="F460" s="28" t="inlineStr">
        <is>
          <t>Senior Associate</t>
        </is>
      </c>
      <c r="G460" s="28" t="inlineStr">
        <is>
          <t>Active</t>
        </is>
      </c>
      <c r="H460" s="31" t="n"/>
      <c r="I460" s="32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1">
        <f>IF($C460="",0,IFERROR(INDEX(Deals!$H$2:$H$355,MATCH($C460,Deals!$A$2:$A$355,0)),0))</f>
        <v/>
      </c>
      <c r="K460" s="32">
        <f>IF(Settings!$B$4="Yes",$I460*$J460,$I460)</f>
        <v/>
      </c>
      <c r="L460" s="22">
        <f>IF($C460="","",IFERROR(IF(INDEX(Deals!$I$2:$I$355,MATCH($C460,Deals!$A$2:$A$355,0))=0,"",INDEX(Deals!$I$2:$I$355,MATCH($C460,Deals!$A$2:$A$355,0))),""))</f>
        <v/>
      </c>
      <c r="M460" s="22">
        <f>IF($C460="","",IFERROR(IF(INDEX(Deals!$J$2:$J$355,MATCH($C460,Deals!$A$2:$A$355,0))=0,"",INDEX(Deals!$J$2:$J$355,MATCH($C460,Deals!$A$2:$A$355,0))),""))</f>
        <v/>
      </c>
      <c r="N460" s="35">
        <f>IF($L460="",DATE(1900,1,1),$L460)</f>
        <v/>
      </c>
      <c r="O460" s="35">
        <f>IF($M460="",DATE(2100,12,31),$M460)</f>
        <v/>
      </c>
      <c r="P460" s="20" t="inlineStr"/>
      <c r="Q460" s="43" t="inlineStr"/>
      <c r="R460" s="16">
        <f>IF($C460="","",IFERROR(IF(INDEX(Deals!$U$2:$U$355,MATCH($C460,Deals!$A$2:$A$355,0))=0,"",INDEX(Deals!$U$2:$U$355,MATCH($C460,Deals!$A$2:$A$355,0))),""))</f>
        <v/>
      </c>
      <c r="S460" s="34">
        <f>IFERROR(IF($U460="",1,INDEX(Deals!$V$2:$V$355,MATCH($C460,Deals!$A$2:$A$355,0))),1)</f>
        <v/>
      </c>
      <c r="T460" s="34">
        <f>IFERROR(IF($U460="",1,INDEX(Deals!$W$2:$W$355,MATCH($C460,Deals!$A$2:$A$355,0))),1)</f>
        <v/>
      </c>
      <c r="U460" s="22">
        <f>IF($C460="","",IFERROR(IF(INDEX(Deals!$Y$2:$Y$355,MATCH($C460,Deals!$A$2:$A$355,0))=0,"",INDEX(Deals!$Y$2:$Y$355,MATCH($C460,Deals!$A$2:$A$355,0))),""))</f>
        <v/>
      </c>
      <c r="V460" s="35">
        <f>IF($U460="",DATE(1900,1,1),$N460)</f>
        <v/>
      </c>
      <c r="W460" s="35">
        <f>IF($U460="",DATE(2100,12,31),$U460)</f>
        <v/>
      </c>
      <c r="X460" s="32">
        <f>IF($U460="",$K460,$K460*$S460)</f>
        <v/>
      </c>
      <c r="Y460" s="35">
        <f>IF($U460="",DATE(2100,12,31),$U460+1)</f>
        <v/>
      </c>
      <c r="Z460" s="35">
        <f>IF($U460="",DATE(1900,1,1),$O460)</f>
        <v/>
      </c>
      <c r="AA460" s="32">
        <f>IF($U460="",0,$K460*$T460)</f>
        <v/>
      </c>
      <c r="AB460" s="21">
        <f>IF($C460="",0,IFERROR(INDEX(Deals!$AD$2:$AD$355,MATCH($C460,Deals!$A$2:$A$355,0)),0))</f>
        <v/>
      </c>
      <c r="AC460" s="32">
        <f>IF(Settings!$B$4="Yes",$I460*$AB460,$I460)</f>
        <v/>
      </c>
      <c r="AD460" s="22">
        <f>IF($C460="","",IFERROR(IF(INDEX(Deals!$AE$2:$AE$355,MATCH($C460,Deals!$A$2:$A$355,0))=0,"",INDEX(Deals!$AE$2:$AE$355,MATCH($C460,Deals!$A$2:$A$355,0))),""))</f>
        <v/>
      </c>
      <c r="AE460" s="22">
        <f>IF($C460="","",IFERROR(IF(INDEX(Deals!$AF$2:$AF$355,MATCH($C460,Deals!$A$2:$A$355,0))=0,"",INDEX(Deals!$AF$2:$AF$355,MATCH($C460,Deals!$A$2:$A$355,0))),""))</f>
        <v/>
      </c>
      <c r="AF460" s="35">
        <f>IF($AD460="",DATE(1900,1,1),$AD460)</f>
        <v/>
      </c>
      <c r="AG460" s="35">
        <f>IF($AE460="",DATE(2100,12,31),$AE460)</f>
        <v/>
      </c>
      <c r="AH460" s="22">
        <f>IF($C460="","",IFERROR(IF(INDEX(Deals!$AG$2:$AG$355,MATCH($C460,Deals!$A$2:$A$355,0))=0,"",INDEX(Deals!$AG$2:$AG$355,MATCH($C460,Deals!$A$2:$A$355,0))),""))</f>
        <v/>
      </c>
      <c r="AI460" s="35">
        <f>IF($AH460="",DATE(1900,1,1),$AF460)</f>
        <v/>
      </c>
      <c r="AJ460" s="35">
        <f>IF($AH460="",DATE(2100,12,31),$AH460)</f>
        <v/>
      </c>
      <c r="AK460" s="32">
        <f>IF($AH460="",$AC460,$AC460*$S460)</f>
        <v/>
      </c>
      <c r="AL460" s="35">
        <f>IF($AH460="",DATE(2100,12,31),$AH460+1)</f>
        <v/>
      </c>
      <c r="AM460" s="35">
        <f>IF($AH460="",DATE(1900,1,1),$AG460)</f>
        <v/>
      </c>
      <c r="AN460" s="32">
        <f>IF($AH460="",0,$AC460*$T460)</f>
        <v/>
      </c>
    </row>
    <row r="461">
      <c r="A461" s="28" t="inlineStr">
        <is>
          <t>Nina</t>
        </is>
      </c>
      <c r="B461" s="16">
        <f>IF($A461="","",IFERROR(INDEX(Roster!$B$2:$B$40,MATCH($A461,Roster!$A$2:$A$40,0)),"?"))</f>
        <v/>
      </c>
      <c r="C461" s="28" t="inlineStr">
        <is>
          <t>kingfisher FIRPTA</t>
        </is>
      </c>
      <c r="D461" s="16">
        <f>IF($C461="","",IFERROR(IF(INDEX(Deals!$C$2:$C$355,MATCH($C461,Deals!$A$2:$A$355,0))=0,"",INDEX(Deals!$C$2:$C$355,MATCH($C461,Deals!$A$2:$A$355,0))),"?"))</f>
        <v/>
      </c>
      <c r="E461" s="16">
        <f>IF($C461="","",IFERROR(INDEX(Deals!$F$2:$F$355,MATCH($C461,Deals!$A$2:$A$355,0)),"?"))</f>
        <v/>
      </c>
      <c r="F461" s="28" t="inlineStr">
        <is>
          <t>Senior Associate</t>
        </is>
      </c>
      <c r="G461" s="28" t="inlineStr">
        <is>
          <t>Active</t>
        </is>
      </c>
      <c r="H461" s="31" t="n"/>
      <c r="I461" s="32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1">
        <f>IF($C461="",0,IFERROR(INDEX(Deals!$H$2:$H$355,MATCH($C461,Deals!$A$2:$A$355,0)),0))</f>
        <v/>
      </c>
      <c r="K461" s="32">
        <f>IF(Settings!$B$4="Yes",$I461*$J461,$I461)</f>
        <v/>
      </c>
      <c r="L461" s="22">
        <f>IF($C461="","",IFERROR(IF(INDEX(Deals!$I$2:$I$355,MATCH($C461,Deals!$A$2:$A$355,0))=0,"",INDEX(Deals!$I$2:$I$355,MATCH($C461,Deals!$A$2:$A$355,0))),""))</f>
        <v/>
      </c>
      <c r="M461" s="22">
        <f>IF($C461="","",IFERROR(IF(INDEX(Deals!$J$2:$J$355,MATCH($C461,Deals!$A$2:$A$355,0))=0,"",INDEX(Deals!$J$2:$J$355,MATCH($C461,Deals!$A$2:$A$355,0))),""))</f>
        <v/>
      </c>
      <c r="N461" s="35">
        <f>IF($L461="",DATE(1900,1,1),$L461)</f>
        <v/>
      </c>
      <c r="O461" s="35">
        <f>IF($M461="",DATE(2100,12,31),$M461)</f>
        <v/>
      </c>
      <c r="P461" s="20" t="inlineStr">
        <is>
          <t>Proposal sent</t>
        </is>
      </c>
      <c r="Q461" s="43" t="inlineStr">
        <is>
          <t>Added from Summary tab</t>
        </is>
      </c>
      <c r="R461" s="16">
        <f>IF($C461="","",IFERROR(IF(INDEX(Deals!$U$2:$U$355,MATCH($C461,Deals!$A$2:$A$355,0))=0,"",INDEX(Deals!$U$2:$U$355,MATCH($C461,Deals!$A$2:$A$355,0))),""))</f>
        <v/>
      </c>
      <c r="S461" s="34">
        <f>IFERROR(IF($U461="",1,INDEX(Deals!$V$2:$V$355,MATCH($C461,Deals!$A$2:$A$355,0))),1)</f>
        <v/>
      </c>
      <c r="T461" s="34">
        <f>IFERROR(IF($U461="",1,INDEX(Deals!$W$2:$W$355,MATCH($C461,Deals!$A$2:$A$355,0))),1)</f>
        <v/>
      </c>
      <c r="U461" s="22">
        <f>IF($C461="","",IFERROR(IF(INDEX(Deals!$Y$2:$Y$355,MATCH($C461,Deals!$A$2:$A$355,0))=0,"",INDEX(Deals!$Y$2:$Y$355,MATCH($C461,Deals!$A$2:$A$355,0))),""))</f>
        <v/>
      </c>
      <c r="V461" s="35">
        <f>IF($U461="",DATE(1900,1,1),$N461)</f>
        <v/>
      </c>
      <c r="W461" s="35">
        <f>IF($U461="",DATE(2100,12,31),$U461)</f>
        <v/>
      </c>
      <c r="X461" s="32">
        <f>IF($U461="",$K461,$K461*$S461)</f>
        <v/>
      </c>
      <c r="Y461" s="35">
        <f>IF($U461="",DATE(2100,12,31),$U461+1)</f>
        <v/>
      </c>
      <c r="Z461" s="35">
        <f>IF($U461="",DATE(1900,1,1),$O461)</f>
        <v/>
      </c>
      <c r="AA461" s="32">
        <f>IF($U461="",0,$K461*$T461)</f>
        <v/>
      </c>
      <c r="AB461" s="21">
        <f>IF($C461="",0,IFERROR(INDEX(Deals!$AD$2:$AD$355,MATCH($C461,Deals!$A$2:$A$355,0)),0))</f>
        <v/>
      </c>
      <c r="AC461" s="32">
        <f>IF(Settings!$B$4="Yes",$I461*$AB461,$I461)</f>
        <v/>
      </c>
      <c r="AD461" s="22">
        <f>IF($C461="","",IFERROR(IF(INDEX(Deals!$AE$2:$AE$355,MATCH($C461,Deals!$A$2:$A$355,0))=0,"",INDEX(Deals!$AE$2:$AE$355,MATCH($C461,Deals!$A$2:$A$355,0))),""))</f>
        <v/>
      </c>
      <c r="AE461" s="22">
        <f>IF($C461="","",IFERROR(IF(INDEX(Deals!$AF$2:$AF$355,MATCH($C461,Deals!$A$2:$A$355,0))=0,"",INDEX(Deals!$AF$2:$AF$355,MATCH($C461,Deals!$A$2:$A$355,0))),""))</f>
        <v/>
      </c>
      <c r="AF461" s="35">
        <f>IF($AD461="",DATE(1900,1,1),$AD461)</f>
        <v/>
      </c>
      <c r="AG461" s="35">
        <f>IF($AE461="",DATE(2100,12,31),$AE461)</f>
        <v/>
      </c>
      <c r="AH461" s="22">
        <f>IF($C461="","",IFERROR(IF(INDEX(Deals!$AG$2:$AG$355,MATCH($C461,Deals!$A$2:$A$355,0))=0,"",INDEX(Deals!$AG$2:$AG$355,MATCH($C461,Deals!$A$2:$A$355,0))),""))</f>
        <v/>
      </c>
      <c r="AI461" s="35">
        <f>IF($AH461="",DATE(1900,1,1),$AF461)</f>
        <v/>
      </c>
      <c r="AJ461" s="35">
        <f>IF($AH461="",DATE(2100,12,31),$AH461)</f>
        <v/>
      </c>
      <c r="AK461" s="32">
        <f>IF($AH461="",$AC461,$AC461*$S461)</f>
        <v/>
      </c>
      <c r="AL461" s="35">
        <f>IF($AH461="",DATE(2100,12,31),$AH461+1)</f>
        <v/>
      </c>
      <c r="AM461" s="35">
        <f>IF($AH461="",DATE(1900,1,1),$AG461)</f>
        <v/>
      </c>
      <c r="AN461" s="32">
        <f>IF($AH461="",0,$AC461*$T461)</f>
        <v/>
      </c>
    </row>
    <row r="462">
      <c r="A462" s="28" t="inlineStr">
        <is>
          <t>Nina</t>
        </is>
      </c>
      <c r="B462" s="16">
        <f>IF($A462="","",IFERROR(INDEX(Roster!$B$2:$B$40,MATCH($A462,Roster!$A$2:$A$40,0)),"?"))</f>
        <v/>
      </c>
      <c r="C462" s="28" t="inlineStr">
        <is>
          <t>Legolas_1</t>
        </is>
      </c>
      <c r="D462" s="16">
        <f>IF($C462="","",IFERROR(IF(INDEX(Deals!$C$2:$C$355,MATCH($C462,Deals!$A$2:$A$355,0))=0,"",INDEX(Deals!$C$2:$C$355,MATCH($C462,Deals!$A$2:$A$355,0))),"?"))</f>
        <v/>
      </c>
      <c r="E462" s="16">
        <f>IF($C462="","",IFERROR(INDEX(Deals!$F$2:$F$355,MATCH($C462,Deals!$A$2:$A$355,0)),"?"))</f>
        <v/>
      </c>
      <c r="F462" s="28" t="inlineStr">
        <is>
          <t>Senior Associate</t>
        </is>
      </c>
      <c r="G462" s="28" t="inlineStr">
        <is>
          <t>Inactive</t>
        </is>
      </c>
      <c r="H462" s="31" t="n"/>
      <c r="I462" s="32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1">
        <f>IF($C462="",0,IFERROR(INDEX(Deals!$H$2:$H$355,MATCH($C462,Deals!$A$2:$A$355,0)),0))</f>
        <v/>
      </c>
      <c r="K462" s="32">
        <f>IF(Settings!$B$4="Yes",$I462*$J462,$I462)</f>
        <v/>
      </c>
      <c r="L462" s="22">
        <f>IF($C462="","",IFERROR(IF(INDEX(Deals!$I$2:$I$355,MATCH($C462,Deals!$A$2:$A$355,0))=0,"",INDEX(Deals!$I$2:$I$355,MATCH($C462,Deals!$A$2:$A$355,0))),""))</f>
        <v/>
      </c>
      <c r="M462" s="22">
        <f>IF($C462="","",IFERROR(IF(INDEX(Deals!$J$2:$J$355,MATCH($C462,Deals!$A$2:$A$355,0))=0,"",INDEX(Deals!$J$2:$J$355,MATCH($C462,Deals!$A$2:$A$355,0))),""))</f>
        <v/>
      </c>
      <c r="N462" s="35">
        <f>IF($L462="",DATE(1900,1,1),$L462)</f>
        <v/>
      </c>
      <c r="O462" s="35">
        <f>IF($M462="",DATE(2100,12,31),$M462)</f>
        <v/>
      </c>
      <c r="P462" s="20" t="inlineStr">
        <is>
          <t>Closed</t>
        </is>
      </c>
      <c r="Q462" s="43" t="inlineStr">
        <is>
          <t>Added from Summary tab</t>
        </is>
      </c>
      <c r="R462" s="16">
        <f>IF($C462="","",IFERROR(IF(INDEX(Deals!$U$2:$U$355,MATCH($C462,Deals!$A$2:$A$355,0))=0,"",INDEX(Deals!$U$2:$U$355,MATCH($C462,Deals!$A$2:$A$355,0))),""))</f>
        <v/>
      </c>
      <c r="S462" s="34">
        <f>IFERROR(IF($U462="",1,INDEX(Deals!$V$2:$V$355,MATCH($C462,Deals!$A$2:$A$355,0))),1)</f>
        <v/>
      </c>
      <c r="T462" s="34">
        <f>IFERROR(IF($U462="",1,INDEX(Deals!$W$2:$W$355,MATCH($C462,Deals!$A$2:$A$355,0))),1)</f>
        <v/>
      </c>
      <c r="U462" s="22">
        <f>IF($C462="","",IFERROR(IF(INDEX(Deals!$Y$2:$Y$355,MATCH($C462,Deals!$A$2:$A$355,0))=0,"",INDEX(Deals!$Y$2:$Y$355,MATCH($C462,Deals!$A$2:$A$355,0))),""))</f>
        <v/>
      </c>
      <c r="V462" s="35">
        <f>IF($U462="",DATE(1900,1,1),$N462)</f>
        <v/>
      </c>
      <c r="W462" s="35">
        <f>IF($U462="",DATE(2100,12,31),$U462)</f>
        <v/>
      </c>
      <c r="X462" s="32">
        <f>IF($U462="",$K462,$K462*$S462)</f>
        <v/>
      </c>
      <c r="Y462" s="35">
        <f>IF($U462="",DATE(2100,12,31),$U462+1)</f>
        <v/>
      </c>
      <c r="Z462" s="35">
        <f>IF($U462="",DATE(1900,1,1),$O462)</f>
        <v/>
      </c>
      <c r="AA462" s="32">
        <f>IF($U462="",0,$K462*$T462)</f>
        <v/>
      </c>
      <c r="AB462" s="21">
        <f>IF($C462="",0,IFERROR(INDEX(Deals!$AD$2:$AD$355,MATCH($C462,Deals!$A$2:$A$355,0)),0))</f>
        <v/>
      </c>
      <c r="AC462" s="32">
        <f>IF(Settings!$B$4="Yes",$I462*$AB462,$I462)</f>
        <v/>
      </c>
      <c r="AD462" s="22">
        <f>IF($C462="","",IFERROR(IF(INDEX(Deals!$AE$2:$AE$355,MATCH($C462,Deals!$A$2:$A$355,0))=0,"",INDEX(Deals!$AE$2:$AE$355,MATCH($C462,Deals!$A$2:$A$355,0))),""))</f>
        <v/>
      </c>
      <c r="AE462" s="22">
        <f>IF($C462="","",IFERROR(IF(INDEX(Deals!$AF$2:$AF$355,MATCH($C462,Deals!$A$2:$A$355,0))=0,"",INDEX(Deals!$AF$2:$AF$355,MATCH($C462,Deals!$A$2:$A$355,0))),""))</f>
        <v/>
      </c>
      <c r="AF462" s="35">
        <f>IF($AD462="",DATE(1900,1,1),$AD462)</f>
        <v/>
      </c>
      <c r="AG462" s="35">
        <f>IF($AE462="",DATE(2100,12,31),$AE462)</f>
        <v/>
      </c>
      <c r="AH462" s="22">
        <f>IF($C462="","",IFERROR(IF(INDEX(Deals!$AG$2:$AG$355,MATCH($C462,Deals!$A$2:$A$355,0))=0,"",INDEX(Deals!$AG$2:$AG$355,MATCH($C462,Deals!$A$2:$A$355,0))),""))</f>
        <v/>
      </c>
      <c r="AI462" s="35">
        <f>IF($AH462="",DATE(1900,1,1),$AF462)</f>
        <v/>
      </c>
      <c r="AJ462" s="35">
        <f>IF($AH462="",DATE(2100,12,31),$AH462)</f>
        <v/>
      </c>
      <c r="AK462" s="32">
        <f>IF($AH462="",$AC462,$AC462*$S462)</f>
        <v/>
      </c>
      <c r="AL462" s="35">
        <f>IF($AH462="",DATE(2100,12,31),$AH462+1)</f>
        <v/>
      </c>
      <c r="AM462" s="35">
        <f>IF($AH462="",DATE(1900,1,1),$AG462)</f>
        <v/>
      </c>
      <c r="AN462" s="32">
        <f>IF($AH462="",0,$AC462*$T462)</f>
        <v/>
      </c>
    </row>
    <row r="463">
      <c r="A463" s="28" t="inlineStr">
        <is>
          <t>Nina</t>
        </is>
      </c>
      <c r="B463" s="16">
        <f>IF($A463="","",IFERROR(INDEX(Roster!$B$2:$B$40,MATCH($A463,Roster!$A$2:$A$40,0)),"?"))</f>
        <v/>
      </c>
      <c r="C463" s="28" t="inlineStr">
        <is>
          <t>Long_2</t>
        </is>
      </c>
      <c r="D463" s="16">
        <f>IF($C463="","",IFERROR(IF(INDEX(Deals!$C$2:$C$355,MATCH($C463,Deals!$A$2:$A$355,0))=0,"",INDEX(Deals!$C$2:$C$355,MATCH($C463,Deals!$A$2:$A$355,0))),"?"))</f>
        <v/>
      </c>
      <c r="E463" s="16">
        <f>IF($C463="","",IFERROR(INDEX(Deals!$F$2:$F$355,MATCH($C463,Deals!$A$2:$A$355,0)),"?"))</f>
        <v/>
      </c>
      <c r="F463" s="28" t="inlineStr">
        <is>
          <t>Senior Associate</t>
        </is>
      </c>
      <c r="G463" s="28" t="inlineStr">
        <is>
          <t>Active</t>
        </is>
      </c>
      <c r="H463" s="31" t="n"/>
      <c r="I463" s="32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1">
        <f>IF($C463="",0,IFERROR(INDEX(Deals!$H$2:$H$355,MATCH($C463,Deals!$A$2:$A$355,0)),0))</f>
        <v/>
      </c>
      <c r="K463" s="32">
        <f>IF(Settings!$B$4="Yes",$I463*$J463,$I463)</f>
        <v/>
      </c>
      <c r="L463" s="22">
        <f>IF($C463="","",IFERROR(IF(INDEX(Deals!$I$2:$I$355,MATCH($C463,Deals!$A$2:$A$355,0))=0,"",INDEX(Deals!$I$2:$I$355,MATCH($C463,Deals!$A$2:$A$355,0))),""))</f>
        <v/>
      </c>
      <c r="M463" s="22">
        <f>IF($C463="","",IFERROR(IF(INDEX(Deals!$J$2:$J$355,MATCH($C463,Deals!$A$2:$A$355,0))=0,"",INDEX(Deals!$J$2:$J$355,MATCH($C463,Deals!$A$2:$A$355,0))),""))</f>
        <v/>
      </c>
      <c r="N463" s="35">
        <f>IF($L463="",DATE(1900,1,1),$L463)</f>
        <v/>
      </c>
      <c r="O463" s="35">
        <f>IF($M463="",DATE(2100,12,31),$M463)</f>
        <v/>
      </c>
      <c r="P463" s="20" t="inlineStr"/>
      <c r="Q463" s="43" t="inlineStr"/>
      <c r="R463" s="16">
        <f>IF($C463="","",IFERROR(IF(INDEX(Deals!$U$2:$U$355,MATCH($C463,Deals!$A$2:$A$355,0))=0,"",INDEX(Deals!$U$2:$U$355,MATCH($C463,Deals!$A$2:$A$355,0))),""))</f>
        <v/>
      </c>
      <c r="S463" s="34">
        <f>IFERROR(IF($U463="",1,INDEX(Deals!$V$2:$V$355,MATCH($C463,Deals!$A$2:$A$355,0))),1)</f>
        <v/>
      </c>
      <c r="T463" s="34">
        <f>IFERROR(IF($U463="",1,INDEX(Deals!$W$2:$W$355,MATCH($C463,Deals!$A$2:$A$355,0))),1)</f>
        <v/>
      </c>
      <c r="U463" s="22">
        <f>IF($C463="","",IFERROR(IF(INDEX(Deals!$Y$2:$Y$355,MATCH($C463,Deals!$A$2:$A$355,0))=0,"",INDEX(Deals!$Y$2:$Y$355,MATCH($C463,Deals!$A$2:$A$355,0))),""))</f>
        <v/>
      </c>
      <c r="V463" s="35">
        <f>IF($U463="",DATE(1900,1,1),$N463)</f>
        <v/>
      </c>
      <c r="W463" s="35">
        <f>IF($U463="",DATE(2100,12,31),$U463)</f>
        <v/>
      </c>
      <c r="X463" s="32">
        <f>IF($U463="",$K463,$K463*$S463)</f>
        <v/>
      </c>
      <c r="Y463" s="35">
        <f>IF($U463="",DATE(2100,12,31),$U463+1)</f>
        <v/>
      </c>
      <c r="Z463" s="35">
        <f>IF($U463="",DATE(1900,1,1),$O463)</f>
        <v/>
      </c>
      <c r="AA463" s="32">
        <f>IF($U463="",0,$K463*$T463)</f>
        <v/>
      </c>
      <c r="AB463" s="21">
        <f>IF($C463="",0,IFERROR(INDEX(Deals!$AD$2:$AD$355,MATCH($C463,Deals!$A$2:$A$355,0)),0))</f>
        <v/>
      </c>
      <c r="AC463" s="32">
        <f>IF(Settings!$B$4="Yes",$I463*$AB463,$I463)</f>
        <v/>
      </c>
      <c r="AD463" s="22">
        <f>IF($C463="","",IFERROR(IF(INDEX(Deals!$AE$2:$AE$355,MATCH($C463,Deals!$A$2:$A$355,0))=0,"",INDEX(Deals!$AE$2:$AE$355,MATCH($C463,Deals!$A$2:$A$355,0))),""))</f>
        <v/>
      </c>
      <c r="AE463" s="22">
        <f>IF($C463="","",IFERROR(IF(INDEX(Deals!$AF$2:$AF$355,MATCH($C463,Deals!$A$2:$A$355,0))=0,"",INDEX(Deals!$AF$2:$AF$355,MATCH($C463,Deals!$A$2:$A$355,0))),""))</f>
        <v/>
      </c>
      <c r="AF463" s="35">
        <f>IF($AD463="",DATE(1900,1,1),$AD463)</f>
        <v/>
      </c>
      <c r="AG463" s="35">
        <f>IF($AE463="",DATE(2100,12,31),$AE463)</f>
        <v/>
      </c>
      <c r="AH463" s="22">
        <f>IF($C463="","",IFERROR(IF(INDEX(Deals!$AG$2:$AG$355,MATCH($C463,Deals!$A$2:$A$355,0))=0,"",INDEX(Deals!$AG$2:$AG$355,MATCH($C463,Deals!$A$2:$A$355,0))),""))</f>
        <v/>
      </c>
      <c r="AI463" s="35">
        <f>IF($AH463="",DATE(1900,1,1),$AF463)</f>
        <v/>
      </c>
      <c r="AJ463" s="35">
        <f>IF($AH463="",DATE(2100,12,31),$AH463)</f>
        <v/>
      </c>
      <c r="AK463" s="32">
        <f>IF($AH463="",$AC463,$AC463*$S463)</f>
        <v/>
      </c>
      <c r="AL463" s="35">
        <f>IF($AH463="",DATE(2100,12,31),$AH463+1)</f>
        <v/>
      </c>
      <c r="AM463" s="35">
        <f>IF($AH463="",DATE(1900,1,1),$AG463)</f>
        <v/>
      </c>
      <c r="AN463" s="32">
        <f>IF($AH463="",0,$AC463*$T463)</f>
        <v/>
      </c>
    </row>
    <row r="464">
      <c r="A464" s="28" t="inlineStr">
        <is>
          <t>Nina</t>
        </is>
      </c>
      <c r="B464" s="16">
        <f>IF($A464="","",IFERROR(INDEX(Roster!$B$2:$B$40,MATCH($A464,Roster!$A$2:$A$40,0)),"?"))</f>
        <v/>
      </c>
      <c r="C464" s="28" t="inlineStr">
        <is>
          <t>Maple_4</t>
        </is>
      </c>
      <c r="D464" s="16">
        <f>IF($C464="","",IFERROR(IF(INDEX(Deals!$C$2:$C$355,MATCH($C464,Deals!$A$2:$A$355,0))=0,"",INDEX(Deals!$C$2:$C$355,MATCH($C464,Deals!$A$2:$A$355,0))),"?"))</f>
        <v/>
      </c>
      <c r="E464" s="16">
        <f>IF($C464="","",IFERROR(INDEX(Deals!$F$2:$F$355,MATCH($C464,Deals!$A$2:$A$355,0)),"?"))</f>
        <v/>
      </c>
      <c r="F464" s="28" t="inlineStr">
        <is>
          <t>Senior Associate</t>
        </is>
      </c>
      <c r="G464" s="28" t="inlineStr">
        <is>
          <t>Inactive</t>
        </is>
      </c>
      <c r="H464" s="31" t="n"/>
      <c r="I464" s="32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1">
        <f>IF($C464="",0,IFERROR(INDEX(Deals!$H$2:$H$355,MATCH($C464,Deals!$A$2:$A$355,0)),0))</f>
        <v/>
      </c>
      <c r="K464" s="32">
        <f>IF(Settings!$B$4="Yes",$I464*$J464,$I464)</f>
        <v/>
      </c>
      <c r="L464" s="22">
        <f>IF($C464="","",IFERROR(IF(INDEX(Deals!$I$2:$I$355,MATCH($C464,Deals!$A$2:$A$355,0))=0,"",INDEX(Deals!$I$2:$I$355,MATCH($C464,Deals!$A$2:$A$355,0))),""))</f>
        <v/>
      </c>
      <c r="M464" s="22">
        <f>IF($C464="","",IFERROR(IF(INDEX(Deals!$J$2:$J$355,MATCH($C464,Deals!$A$2:$A$355,0))=0,"",INDEX(Deals!$J$2:$J$355,MATCH($C464,Deals!$A$2:$A$355,0))),""))</f>
        <v/>
      </c>
      <c r="N464" s="35">
        <f>IF($L464="",DATE(1900,1,1),$L464)</f>
        <v/>
      </c>
      <c r="O464" s="35">
        <f>IF($M464="",DATE(2100,12,31),$M464)</f>
        <v/>
      </c>
      <c r="P464" s="20" t="inlineStr">
        <is>
          <t>Closed</t>
        </is>
      </c>
      <c r="Q464" s="43" t="inlineStr"/>
      <c r="R464" s="16">
        <f>IF($C464="","",IFERROR(IF(INDEX(Deals!$U$2:$U$355,MATCH($C464,Deals!$A$2:$A$355,0))=0,"",INDEX(Deals!$U$2:$U$355,MATCH($C464,Deals!$A$2:$A$355,0))),""))</f>
        <v/>
      </c>
      <c r="S464" s="34">
        <f>IFERROR(IF($U464="",1,INDEX(Deals!$V$2:$V$355,MATCH($C464,Deals!$A$2:$A$355,0))),1)</f>
        <v/>
      </c>
      <c r="T464" s="34">
        <f>IFERROR(IF($U464="",1,INDEX(Deals!$W$2:$W$355,MATCH($C464,Deals!$A$2:$A$355,0))),1)</f>
        <v/>
      </c>
      <c r="U464" s="22">
        <f>IF($C464="","",IFERROR(IF(INDEX(Deals!$Y$2:$Y$355,MATCH($C464,Deals!$A$2:$A$355,0))=0,"",INDEX(Deals!$Y$2:$Y$355,MATCH($C464,Deals!$A$2:$A$355,0))),""))</f>
        <v/>
      </c>
      <c r="V464" s="35">
        <f>IF($U464="",DATE(1900,1,1),$N464)</f>
        <v/>
      </c>
      <c r="W464" s="35">
        <f>IF($U464="",DATE(2100,12,31),$U464)</f>
        <v/>
      </c>
      <c r="X464" s="32">
        <f>IF($U464="",$K464,$K464*$S464)</f>
        <v/>
      </c>
      <c r="Y464" s="35">
        <f>IF($U464="",DATE(2100,12,31),$U464+1)</f>
        <v/>
      </c>
      <c r="Z464" s="35">
        <f>IF($U464="",DATE(1900,1,1),$O464)</f>
        <v/>
      </c>
      <c r="AA464" s="32">
        <f>IF($U464="",0,$K464*$T464)</f>
        <v/>
      </c>
      <c r="AB464" s="21">
        <f>IF($C464="",0,IFERROR(INDEX(Deals!$AD$2:$AD$355,MATCH($C464,Deals!$A$2:$A$355,0)),0))</f>
        <v/>
      </c>
      <c r="AC464" s="32">
        <f>IF(Settings!$B$4="Yes",$I464*$AB464,$I464)</f>
        <v/>
      </c>
      <c r="AD464" s="22">
        <f>IF($C464="","",IFERROR(IF(INDEX(Deals!$AE$2:$AE$355,MATCH($C464,Deals!$A$2:$A$355,0))=0,"",INDEX(Deals!$AE$2:$AE$355,MATCH($C464,Deals!$A$2:$A$355,0))),""))</f>
        <v/>
      </c>
      <c r="AE464" s="22">
        <f>IF($C464="","",IFERROR(IF(INDEX(Deals!$AF$2:$AF$355,MATCH($C464,Deals!$A$2:$A$355,0))=0,"",INDEX(Deals!$AF$2:$AF$355,MATCH($C464,Deals!$A$2:$A$355,0))),""))</f>
        <v/>
      </c>
      <c r="AF464" s="35">
        <f>IF($AD464="",DATE(1900,1,1),$AD464)</f>
        <v/>
      </c>
      <c r="AG464" s="35">
        <f>IF($AE464="",DATE(2100,12,31),$AE464)</f>
        <v/>
      </c>
      <c r="AH464" s="22">
        <f>IF($C464="","",IFERROR(IF(INDEX(Deals!$AG$2:$AG$355,MATCH($C464,Deals!$A$2:$A$355,0))=0,"",INDEX(Deals!$AG$2:$AG$355,MATCH($C464,Deals!$A$2:$A$355,0))),""))</f>
        <v/>
      </c>
      <c r="AI464" s="35">
        <f>IF($AH464="",DATE(1900,1,1),$AF464)</f>
        <v/>
      </c>
      <c r="AJ464" s="35">
        <f>IF($AH464="",DATE(2100,12,31),$AH464)</f>
        <v/>
      </c>
      <c r="AK464" s="32">
        <f>IF($AH464="",$AC464,$AC464*$S464)</f>
        <v/>
      </c>
      <c r="AL464" s="35">
        <f>IF($AH464="",DATE(2100,12,31),$AH464+1)</f>
        <v/>
      </c>
      <c r="AM464" s="35">
        <f>IF($AH464="",DATE(1900,1,1),$AG464)</f>
        <v/>
      </c>
      <c r="AN464" s="32">
        <f>IF($AH464="",0,$AC464*$T464)</f>
        <v/>
      </c>
    </row>
    <row r="465">
      <c r="A465" s="28" t="inlineStr">
        <is>
          <t>Nina</t>
        </is>
      </c>
      <c r="B465" s="16">
        <f>IF($A465="","",IFERROR(INDEX(Roster!$B$2:$B$40,MATCH($A465,Roster!$A$2:$A$40,0)),"?"))</f>
        <v/>
      </c>
      <c r="C465" s="28" t="inlineStr">
        <is>
          <t>Mozart_2</t>
        </is>
      </c>
      <c r="D465" s="16">
        <f>IF($C465="","",IFERROR(IF(INDEX(Deals!$C$2:$C$355,MATCH($C465,Deals!$A$2:$A$355,0))=0,"",INDEX(Deals!$C$2:$C$355,MATCH($C465,Deals!$A$2:$A$355,0))),"?"))</f>
        <v/>
      </c>
      <c r="E465" s="16">
        <f>IF($C465="","",IFERROR(INDEX(Deals!$F$2:$F$355,MATCH($C465,Deals!$A$2:$A$355,0)),"?"))</f>
        <v/>
      </c>
      <c r="F465" s="28" t="inlineStr">
        <is>
          <t>Senior Associate</t>
        </is>
      </c>
      <c r="G465" s="28" t="inlineStr">
        <is>
          <t>Inactive</t>
        </is>
      </c>
      <c r="H465" s="31" t="n"/>
      <c r="I465" s="32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1">
        <f>IF($C465="",0,IFERROR(INDEX(Deals!$H$2:$H$355,MATCH($C465,Deals!$A$2:$A$355,0)),0))</f>
        <v/>
      </c>
      <c r="K465" s="32">
        <f>IF(Settings!$B$4="Yes",$I465*$J465,$I465)</f>
        <v/>
      </c>
      <c r="L465" s="22">
        <f>IF($C465="","",IFERROR(IF(INDEX(Deals!$I$2:$I$355,MATCH($C465,Deals!$A$2:$A$355,0))=0,"",INDEX(Deals!$I$2:$I$355,MATCH($C465,Deals!$A$2:$A$355,0))),""))</f>
        <v/>
      </c>
      <c r="M465" s="22">
        <f>IF($C465="","",IFERROR(IF(INDEX(Deals!$J$2:$J$355,MATCH($C465,Deals!$A$2:$A$355,0))=0,"",INDEX(Deals!$J$2:$J$355,MATCH($C465,Deals!$A$2:$A$355,0))),""))</f>
        <v/>
      </c>
      <c r="N465" s="35">
        <f>IF($L465="",DATE(1900,1,1),$L465)</f>
        <v/>
      </c>
      <c r="O465" s="35">
        <f>IF($M465="",DATE(2100,12,31),$M465)</f>
        <v/>
      </c>
      <c r="P465" s="20" t="inlineStr">
        <is>
          <t>Closed</t>
        </is>
      </c>
      <c r="Q465" s="43" t="inlineStr"/>
      <c r="R465" s="16">
        <f>IF($C465="","",IFERROR(IF(INDEX(Deals!$U$2:$U$355,MATCH($C465,Deals!$A$2:$A$355,0))=0,"",INDEX(Deals!$U$2:$U$355,MATCH($C465,Deals!$A$2:$A$355,0))),""))</f>
        <v/>
      </c>
      <c r="S465" s="34">
        <f>IFERROR(IF($U465="",1,INDEX(Deals!$V$2:$V$355,MATCH($C465,Deals!$A$2:$A$355,0))),1)</f>
        <v/>
      </c>
      <c r="T465" s="34">
        <f>IFERROR(IF($U465="",1,INDEX(Deals!$W$2:$W$355,MATCH($C465,Deals!$A$2:$A$355,0))),1)</f>
        <v/>
      </c>
      <c r="U465" s="22">
        <f>IF($C465="","",IFERROR(IF(INDEX(Deals!$Y$2:$Y$355,MATCH($C465,Deals!$A$2:$A$355,0))=0,"",INDEX(Deals!$Y$2:$Y$355,MATCH($C465,Deals!$A$2:$A$355,0))),""))</f>
        <v/>
      </c>
      <c r="V465" s="35">
        <f>IF($U465="",DATE(1900,1,1),$N465)</f>
        <v/>
      </c>
      <c r="W465" s="35">
        <f>IF($U465="",DATE(2100,12,31),$U465)</f>
        <v/>
      </c>
      <c r="X465" s="32">
        <f>IF($U465="",$K465,$K465*$S465)</f>
        <v/>
      </c>
      <c r="Y465" s="35">
        <f>IF($U465="",DATE(2100,12,31),$U465+1)</f>
        <v/>
      </c>
      <c r="Z465" s="35">
        <f>IF($U465="",DATE(1900,1,1),$O465)</f>
        <v/>
      </c>
      <c r="AA465" s="32">
        <f>IF($U465="",0,$K465*$T465)</f>
        <v/>
      </c>
      <c r="AB465" s="21">
        <f>IF($C465="",0,IFERROR(INDEX(Deals!$AD$2:$AD$355,MATCH($C465,Deals!$A$2:$A$355,0)),0))</f>
        <v/>
      </c>
      <c r="AC465" s="32">
        <f>IF(Settings!$B$4="Yes",$I465*$AB465,$I465)</f>
        <v/>
      </c>
      <c r="AD465" s="22">
        <f>IF($C465="","",IFERROR(IF(INDEX(Deals!$AE$2:$AE$355,MATCH($C465,Deals!$A$2:$A$355,0))=0,"",INDEX(Deals!$AE$2:$AE$355,MATCH($C465,Deals!$A$2:$A$355,0))),""))</f>
        <v/>
      </c>
      <c r="AE465" s="22">
        <f>IF($C465="","",IFERROR(IF(INDEX(Deals!$AF$2:$AF$355,MATCH($C465,Deals!$A$2:$A$355,0))=0,"",INDEX(Deals!$AF$2:$AF$355,MATCH($C465,Deals!$A$2:$A$355,0))),""))</f>
        <v/>
      </c>
      <c r="AF465" s="35">
        <f>IF($AD465="",DATE(1900,1,1),$AD465)</f>
        <v/>
      </c>
      <c r="AG465" s="35">
        <f>IF($AE465="",DATE(2100,12,31),$AE465)</f>
        <v/>
      </c>
      <c r="AH465" s="22">
        <f>IF($C465="","",IFERROR(IF(INDEX(Deals!$AG$2:$AG$355,MATCH($C465,Deals!$A$2:$A$355,0))=0,"",INDEX(Deals!$AG$2:$AG$355,MATCH($C465,Deals!$A$2:$A$355,0))),""))</f>
        <v/>
      </c>
      <c r="AI465" s="35">
        <f>IF($AH465="",DATE(1900,1,1),$AF465)</f>
        <v/>
      </c>
      <c r="AJ465" s="35">
        <f>IF($AH465="",DATE(2100,12,31),$AH465)</f>
        <v/>
      </c>
      <c r="AK465" s="32">
        <f>IF($AH465="",$AC465,$AC465*$S465)</f>
        <v/>
      </c>
      <c r="AL465" s="35">
        <f>IF($AH465="",DATE(2100,12,31),$AH465+1)</f>
        <v/>
      </c>
      <c r="AM465" s="35">
        <f>IF($AH465="",DATE(1900,1,1),$AG465)</f>
        <v/>
      </c>
      <c r="AN465" s="32">
        <f>IF($AH465="",0,$AC465*$T465)</f>
        <v/>
      </c>
    </row>
    <row r="466">
      <c r="A466" s="28" t="inlineStr">
        <is>
          <t>Nina</t>
        </is>
      </c>
      <c r="B466" s="16">
        <f>IF($A466="","",IFERROR(INDEX(Roster!$B$2:$B$40,MATCH($A466,Roster!$A$2:$A$40,0)),"?"))</f>
        <v/>
      </c>
      <c r="C466" s="28" t="inlineStr">
        <is>
          <t>Ninedot_3</t>
        </is>
      </c>
      <c r="D466" s="16">
        <f>IF($C466="","",IFERROR(IF(INDEX(Deals!$C$2:$C$355,MATCH($C466,Deals!$A$2:$A$355,0))=0,"",INDEX(Deals!$C$2:$C$355,MATCH($C466,Deals!$A$2:$A$355,0))),"?"))</f>
        <v/>
      </c>
      <c r="E466" s="16">
        <f>IF($C466="","",IFERROR(INDEX(Deals!$F$2:$F$355,MATCH($C466,Deals!$A$2:$A$355,0)),"?"))</f>
        <v/>
      </c>
      <c r="F466" s="28" t="inlineStr">
        <is>
          <t>Senior Associate</t>
        </is>
      </c>
      <c r="G466" s="28" t="inlineStr">
        <is>
          <t>Inactive</t>
        </is>
      </c>
      <c r="H466" s="31" t="n"/>
      <c r="I466" s="32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1">
        <f>IF($C466="",0,IFERROR(INDEX(Deals!$H$2:$H$355,MATCH($C466,Deals!$A$2:$A$355,0)),0))</f>
        <v/>
      </c>
      <c r="K466" s="32">
        <f>IF(Settings!$B$4="Yes",$I466*$J466,$I466)</f>
        <v/>
      </c>
      <c r="L466" s="22">
        <f>IF($C466="","",IFERROR(IF(INDEX(Deals!$I$2:$I$355,MATCH($C466,Deals!$A$2:$A$355,0))=0,"",INDEX(Deals!$I$2:$I$355,MATCH($C466,Deals!$A$2:$A$355,0))),""))</f>
        <v/>
      </c>
      <c r="M466" s="22">
        <f>IF($C466="","",IFERROR(IF(INDEX(Deals!$J$2:$J$355,MATCH($C466,Deals!$A$2:$A$355,0))=0,"",INDEX(Deals!$J$2:$J$355,MATCH($C466,Deals!$A$2:$A$355,0))),""))</f>
        <v/>
      </c>
      <c r="N466" s="35">
        <f>IF($L466="",DATE(1900,1,1),$L466)</f>
        <v/>
      </c>
      <c r="O466" s="35">
        <f>IF($M466="",DATE(2100,12,31),$M466)</f>
        <v/>
      </c>
      <c r="P466" s="20" t="inlineStr">
        <is>
          <t>Closed</t>
        </is>
      </c>
      <c r="Q466" s="43" t="inlineStr"/>
      <c r="R466" s="16">
        <f>IF($C466="","",IFERROR(IF(INDEX(Deals!$U$2:$U$355,MATCH($C466,Deals!$A$2:$A$355,0))=0,"",INDEX(Deals!$U$2:$U$355,MATCH($C466,Deals!$A$2:$A$355,0))),""))</f>
        <v/>
      </c>
      <c r="S466" s="34">
        <f>IFERROR(IF($U466="",1,INDEX(Deals!$V$2:$V$355,MATCH($C466,Deals!$A$2:$A$355,0))),1)</f>
        <v/>
      </c>
      <c r="T466" s="34">
        <f>IFERROR(IF($U466="",1,INDEX(Deals!$W$2:$W$355,MATCH($C466,Deals!$A$2:$A$355,0))),1)</f>
        <v/>
      </c>
      <c r="U466" s="22">
        <f>IF($C466="","",IFERROR(IF(INDEX(Deals!$Y$2:$Y$355,MATCH($C466,Deals!$A$2:$A$355,0))=0,"",INDEX(Deals!$Y$2:$Y$355,MATCH($C466,Deals!$A$2:$A$355,0))),""))</f>
        <v/>
      </c>
      <c r="V466" s="35">
        <f>IF($U466="",DATE(1900,1,1),$N466)</f>
        <v/>
      </c>
      <c r="W466" s="35">
        <f>IF($U466="",DATE(2100,12,31),$U466)</f>
        <v/>
      </c>
      <c r="X466" s="32">
        <f>IF($U466="",$K466,$K466*$S466)</f>
        <v/>
      </c>
      <c r="Y466" s="35">
        <f>IF($U466="",DATE(2100,12,31),$U466+1)</f>
        <v/>
      </c>
      <c r="Z466" s="35">
        <f>IF($U466="",DATE(1900,1,1),$O466)</f>
        <v/>
      </c>
      <c r="AA466" s="32">
        <f>IF($U466="",0,$K466*$T466)</f>
        <v/>
      </c>
      <c r="AB466" s="21">
        <f>IF($C466="",0,IFERROR(INDEX(Deals!$AD$2:$AD$355,MATCH($C466,Deals!$A$2:$A$355,0)),0))</f>
        <v/>
      </c>
      <c r="AC466" s="32">
        <f>IF(Settings!$B$4="Yes",$I466*$AB466,$I466)</f>
        <v/>
      </c>
      <c r="AD466" s="22">
        <f>IF($C466="","",IFERROR(IF(INDEX(Deals!$AE$2:$AE$355,MATCH($C466,Deals!$A$2:$A$355,0))=0,"",INDEX(Deals!$AE$2:$AE$355,MATCH($C466,Deals!$A$2:$A$355,0))),""))</f>
        <v/>
      </c>
      <c r="AE466" s="22">
        <f>IF($C466="","",IFERROR(IF(INDEX(Deals!$AF$2:$AF$355,MATCH($C466,Deals!$A$2:$A$355,0))=0,"",INDEX(Deals!$AF$2:$AF$355,MATCH($C466,Deals!$A$2:$A$355,0))),""))</f>
        <v/>
      </c>
      <c r="AF466" s="35">
        <f>IF($AD466="",DATE(1900,1,1),$AD466)</f>
        <v/>
      </c>
      <c r="AG466" s="35">
        <f>IF($AE466="",DATE(2100,12,31),$AE466)</f>
        <v/>
      </c>
      <c r="AH466" s="22">
        <f>IF($C466="","",IFERROR(IF(INDEX(Deals!$AG$2:$AG$355,MATCH($C466,Deals!$A$2:$A$355,0))=0,"",INDEX(Deals!$AG$2:$AG$355,MATCH($C466,Deals!$A$2:$A$355,0))),""))</f>
        <v/>
      </c>
      <c r="AI466" s="35">
        <f>IF($AH466="",DATE(1900,1,1),$AF466)</f>
        <v/>
      </c>
      <c r="AJ466" s="35">
        <f>IF($AH466="",DATE(2100,12,31),$AH466)</f>
        <v/>
      </c>
      <c r="AK466" s="32">
        <f>IF($AH466="",$AC466,$AC466*$S466)</f>
        <v/>
      </c>
      <c r="AL466" s="35">
        <f>IF($AH466="",DATE(2100,12,31),$AH466+1)</f>
        <v/>
      </c>
      <c r="AM466" s="35">
        <f>IF($AH466="",DATE(1900,1,1),$AG466)</f>
        <v/>
      </c>
      <c r="AN466" s="32">
        <f>IF($AH466="",0,$AC466*$T466)</f>
        <v/>
      </c>
    </row>
    <row r="467">
      <c r="A467" s="28" t="inlineStr">
        <is>
          <t>Nina</t>
        </is>
      </c>
      <c r="B467" s="16">
        <f>IF($A467="","",IFERROR(INDEX(Roster!$B$2:$B$40,MATCH($A467,Roster!$A$2:$A$40,0)),"?"))</f>
        <v/>
      </c>
      <c r="C467" s="28" t="inlineStr">
        <is>
          <t>Odysee/Atlas_2</t>
        </is>
      </c>
      <c r="D467" s="16">
        <f>IF($C467="","",IFERROR(IF(INDEX(Deals!$C$2:$C$355,MATCH($C467,Deals!$A$2:$A$355,0))=0,"",INDEX(Deals!$C$2:$C$355,MATCH($C467,Deals!$A$2:$A$355,0))),"?"))</f>
        <v/>
      </c>
      <c r="E467" s="16">
        <f>IF($C467="","",IFERROR(INDEX(Deals!$F$2:$F$355,MATCH($C467,Deals!$A$2:$A$355,0)),"?"))</f>
        <v/>
      </c>
      <c r="F467" s="28" t="inlineStr">
        <is>
          <t>Senior Associate</t>
        </is>
      </c>
      <c r="G467" s="28" t="inlineStr">
        <is>
          <t>Inactive</t>
        </is>
      </c>
      <c r="H467" s="31" t="n"/>
      <c r="I467" s="32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1">
        <f>IF($C467="",0,IFERROR(INDEX(Deals!$H$2:$H$355,MATCH($C467,Deals!$A$2:$A$355,0)),0))</f>
        <v/>
      </c>
      <c r="K467" s="32">
        <f>IF(Settings!$B$4="Yes",$I467*$J467,$I467)</f>
        <v/>
      </c>
      <c r="L467" s="22">
        <f>IF($C467="","",IFERROR(IF(INDEX(Deals!$I$2:$I$355,MATCH($C467,Deals!$A$2:$A$355,0))=0,"",INDEX(Deals!$I$2:$I$355,MATCH($C467,Deals!$A$2:$A$355,0))),""))</f>
        <v/>
      </c>
      <c r="M467" s="22">
        <f>IF($C467="","",IFERROR(IF(INDEX(Deals!$J$2:$J$355,MATCH($C467,Deals!$A$2:$A$355,0))=0,"",INDEX(Deals!$J$2:$J$355,MATCH($C467,Deals!$A$2:$A$355,0))),""))</f>
        <v/>
      </c>
      <c r="N467" s="35">
        <f>IF($L467="",DATE(1900,1,1),$L467)</f>
        <v/>
      </c>
      <c r="O467" s="35">
        <f>IF($M467="",DATE(2100,12,31),$M467)</f>
        <v/>
      </c>
      <c r="P467" s="20" t="inlineStr">
        <is>
          <t>Closed</t>
        </is>
      </c>
      <c r="Q467" s="43" t="inlineStr"/>
      <c r="R467" s="16">
        <f>IF($C467="","",IFERROR(IF(INDEX(Deals!$U$2:$U$355,MATCH($C467,Deals!$A$2:$A$355,0))=0,"",INDEX(Deals!$U$2:$U$355,MATCH($C467,Deals!$A$2:$A$355,0))),""))</f>
        <v/>
      </c>
      <c r="S467" s="34">
        <f>IFERROR(IF($U467="",1,INDEX(Deals!$V$2:$V$355,MATCH($C467,Deals!$A$2:$A$355,0))),1)</f>
        <v/>
      </c>
      <c r="T467" s="34">
        <f>IFERROR(IF($U467="",1,INDEX(Deals!$W$2:$W$355,MATCH($C467,Deals!$A$2:$A$355,0))),1)</f>
        <v/>
      </c>
      <c r="U467" s="22">
        <f>IF($C467="","",IFERROR(IF(INDEX(Deals!$Y$2:$Y$355,MATCH($C467,Deals!$A$2:$A$355,0))=0,"",INDEX(Deals!$Y$2:$Y$355,MATCH($C467,Deals!$A$2:$A$355,0))),""))</f>
        <v/>
      </c>
      <c r="V467" s="35">
        <f>IF($U467="",DATE(1900,1,1),$N467)</f>
        <v/>
      </c>
      <c r="W467" s="35">
        <f>IF($U467="",DATE(2100,12,31),$U467)</f>
        <v/>
      </c>
      <c r="X467" s="32">
        <f>IF($U467="",$K467,$K467*$S467)</f>
        <v/>
      </c>
      <c r="Y467" s="35">
        <f>IF($U467="",DATE(2100,12,31),$U467+1)</f>
        <v/>
      </c>
      <c r="Z467" s="35">
        <f>IF($U467="",DATE(1900,1,1),$O467)</f>
        <v/>
      </c>
      <c r="AA467" s="32">
        <f>IF($U467="",0,$K467*$T467)</f>
        <v/>
      </c>
      <c r="AB467" s="21">
        <f>IF($C467="",0,IFERROR(INDEX(Deals!$AD$2:$AD$355,MATCH($C467,Deals!$A$2:$A$355,0)),0))</f>
        <v/>
      </c>
      <c r="AC467" s="32">
        <f>IF(Settings!$B$4="Yes",$I467*$AB467,$I467)</f>
        <v/>
      </c>
      <c r="AD467" s="22">
        <f>IF($C467="","",IFERROR(IF(INDEX(Deals!$AE$2:$AE$355,MATCH($C467,Deals!$A$2:$A$355,0))=0,"",INDEX(Deals!$AE$2:$AE$355,MATCH($C467,Deals!$A$2:$A$355,0))),""))</f>
        <v/>
      </c>
      <c r="AE467" s="22">
        <f>IF($C467="","",IFERROR(IF(INDEX(Deals!$AF$2:$AF$355,MATCH($C467,Deals!$A$2:$A$355,0))=0,"",INDEX(Deals!$AF$2:$AF$355,MATCH($C467,Deals!$A$2:$A$355,0))),""))</f>
        <v/>
      </c>
      <c r="AF467" s="35">
        <f>IF($AD467="",DATE(1900,1,1),$AD467)</f>
        <v/>
      </c>
      <c r="AG467" s="35">
        <f>IF($AE467="",DATE(2100,12,31),$AE467)</f>
        <v/>
      </c>
      <c r="AH467" s="22">
        <f>IF($C467="","",IFERROR(IF(INDEX(Deals!$AG$2:$AG$355,MATCH($C467,Deals!$A$2:$A$355,0))=0,"",INDEX(Deals!$AG$2:$AG$355,MATCH($C467,Deals!$A$2:$A$355,0))),""))</f>
        <v/>
      </c>
      <c r="AI467" s="35">
        <f>IF($AH467="",DATE(1900,1,1),$AF467)</f>
        <v/>
      </c>
      <c r="AJ467" s="35">
        <f>IF($AH467="",DATE(2100,12,31),$AH467)</f>
        <v/>
      </c>
      <c r="AK467" s="32">
        <f>IF($AH467="",$AC467,$AC467*$S467)</f>
        <v/>
      </c>
      <c r="AL467" s="35">
        <f>IF($AH467="",DATE(2100,12,31),$AH467+1)</f>
        <v/>
      </c>
      <c r="AM467" s="35">
        <f>IF($AH467="",DATE(1900,1,1),$AG467)</f>
        <v/>
      </c>
      <c r="AN467" s="32">
        <f>IF($AH467="",0,$AC467*$T467)</f>
        <v/>
      </c>
    </row>
    <row r="468">
      <c r="A468" s="28" t="inlineStr">
        <is>
          <t>Nina</t>
        </is>
      </c>
      <c r="B468" s="16">
        <f>IF($A468="","",IFERROR(INDEX(Roster!$B$2:$B$40,MATCH($A468,Roster!$A$2:$A$40,0)),"?"))</f>
        <v/>
      </c>
      <c r="C468" s="28" t="inlineStr">
        <is>
          <t>Offtake_1</t>
        </is>
      </c>
      <c r="D468" s="16">
        <f>IF($C468="","",IFERROR(IF(INDEX(Deals!$C$2:$C$355,MATCH($C468,Deals!$A$2:$A$355,0))=0,"",INDEX(Deals!$C$2:$C$355,MATCH($C468,Deals!$A$2:$A$355,0))),"?"))</f>
        <v/>
      </c>
      <c r="E468" s="16">
        <f>IF($C468="","",IFERROR(INDEX(Deals!$F$2:$F$355,MATCH($C468,Deals!$A$2:$A$355,0)),"?"))</f>
        <v/>
      </c>
      <c r="F468" s="28" t="inlineStr">
        <is>
          <t>Senior Associate</t>
        </is>
      </c>
      <c r="G468" s="28" t="inlineStr">
        <is>
          <t>Active</t>
        </is>
      </c>
      <c r="H468" s="31" t="n"/>
      <c r="I468" s="32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1">
        <f>IF($C468="",0,IFERROR(INDEX(Deals!$H$2:$H$355,MATCH($C468,Deals!$A$2:$A$355,0)),0))</f>
        <v/>
      </c>
      <c r="K468" s="32">
        <f>IF(Settings!$B$4="Yes",$I468*$J468,$I468)</f>
        <v/>
      </c>
      <c r="L468" s="22">
        <f>IF($C468="","",IFERROR(IF(INDEX(Deals!$I$2:$I$355,MATCH($C468,Deals!$A$2:$A$355,0))=0,"",INDEX(Deals!$I$2:$I$355,MATCH($C468,Deals!$A$2:$A$355,0))),""))</f>
        <v/>
      </c>
      <c r="M468" s="22">
        <f>IF($C468="","",IFERROR(IF(INDEX(Deals!$J$2:$J$355,MATCH($C468,Deals!$A$2:$A$355,0))=0,"",INDEX(Deals!$J$2:$J$355,MATCH($C468,Deals!$A$2:$A$355,0))),""))</f>
        <v/>
      </c>
      <c r="N468" s="35">
        <f>IF($L468="",DATE(1900,1,1),$L468)</f>
        <v/>
      </c>
      <c r="O468" s="35">
        <f>IF($M468="",DATE(2100,12,31),$M468)</f>
        <v/>
      </c>
      <c r="P468" s="20" t="inlineStr">
        <is>
          <t>Proposal</t>
        </is>
      </c>
      <c r="Q468" s="43" t="inlineStr"/>
      <c r="R468" s="16">
        <f>IF($C468="","",IFERROR(IF(INDEX(Deals!$U$2:$U$355,MATCH($C468,Deals!$A$2:$A$355,0))=0,"",INDEX(Deals!$U$2:$U$355,MATCH($C468,Deals!$A$2:$A$355,0))),""))</f>
        <v/>
      </c>
      <c r="S468" s="34">
        <f>IFERROR(IF($U468="",1,INDEX(Deals!$V$2:$V$355,MATCH($C468,Deals!$A$2:$A$355,0))),1)</f>
        <v/>
      </c>
      <c r="T468" s="34">
        <f>IFERROR(IF($U468="",1,INDEX(Deals!$W$2:$W$355,MATCH($C468,Deals!$A$2:$A$355,0))),1)</f>
        <v/>
      </c>
      <c r="U468" s="22">
        <f>IF($C468="","",IFERROR(IF(INDEX(Deals!$Y$2:$Y$355,MATCH($C468,Deals!$A$2:$A$355,0))=0,"",INDEX(Deals!$Y$2:$Y$355,MATCH($C468,Deals!$A$2:$A$355,0))),""))</f>
        <v/>
      </c>
      <c r="V468" s="35">
        <f>IF($U468="",DATE(1900,1,1),$N468)</f>
        <v/>
      </c>
      <c r="W468" s="35">
        <f>IF($U468="",DATE(2100,12,31),$U468)</f>
        <v/>
      </c>
      <c r="X468" s="32">
        <f>IF($U468="",$K468,$K468*$S468)</f>
        <v/>
      </c>
      <c r="Y468" s="35">
        <f>IF($U468="",DATE(2100,12,31),$U468+1)</f>
        <v/>
      </c>
      <c r="Z468" s="35">
        <f>IF($U468="",DATE(1900,1,1),$O468)</f>
        <v/>
      </c>
      <c r="AA468" s="32">
        <f>IF($U468="",0,$K468*$T468)</f>
        <v/>
      </c>
      <c r="AB468" s="21">
        <f>IF($C468="",0,IFERROR(INDEX(Deals!$AD$2:$AD$355,MATCH($C468,Deals!$A$2:$A$355,0)),0))</f>
        <v/>
      </c>
      <c r="AC468" s="32">
        <f>IF(Settings!$B$4="Yes",$I468*$AB468,$I468)</f>
        <v/>
      </c>
      <c r="AD468" s="22">
        <f>IF($C468="","",IFERROR(IF(INDEX(Deals!$AE$2:$AE$355,MATCH($C468,Deals!$A$2:$A$355,0))=0,"",INDEX(Deals!$AE$2:$AE$355,MATCH($C468,Deals!$A$2:$A$355,0))),""))</f>
        <v/>
      </c>
      <c r="AE468" s="22">
        <f>IF($C468="","",IFERROR(IF(INDEX(Deals!$AF$2:$AF$355,MATCH($C468,Deals!$A$2:$A$355,0))=0,"",INDEX(Deals!$AF$2:$AF$355,MATCH($C468,Deals!$A$2:$A$355,0))),""))</f>
        <v/>
      </c>
      <c r="AF468" s="35">
        <f>IF($AD468="",DATE(1900,1,1),$AD468)</f>
        <v/>
      </c>
      <c r="AG468" s="35">
        <f>IF($AE468="",DATE(2100,12,31),$AE468)</f>
        <v/>
      </c>
      <c r="AH468" s="22">
        <f>IF($C468="","",IFERROR(IF(INDEX(Deals!$AG$2:$AG$355,MATCH($C468,Deals!$A$2:$A$355,0))=0,"",INDEX(Deals!$AG$2:$AG$355,MATCH($C468,Deals!$A$2:$A$355,0))),""))</f>
        <v/>
      </c>
      <c r="AI468" s="35">
        <f>IF($AH468="",DATE(1900,1,1),$AF468)</f>
        <v/>
      </c>
      <c r="AJ468" s="35">
        <f>IF($AH468="",DATE(2100,12,31),$AH468)</f>
        <v/>
      </c>
      <c r="AK468" s="32">
        <f>IF($AH468="",$AC468,$AC468*$S468)</f>
        <v/>
      </c>
      <c r="AL468" s="35">
        <f>IF($AH468="",DATE(2100,12,31),$AH468+1)</f>
        <v/>
      </c>
      <c r="AM468" s="35">
        <f>IF($AH468="",DATE(1900,1,1),$AG468)</f>
        <v/>
      </c>
      <c r="AN468" s="32">
        <f>IF($AH468="",0,$AC468*$T468)</f>
        <v/>
      </c>
    </row>
    <row r="469">
      <c r="A469" s="28" t="inlineStr">
        <is>
          <t>Nina</t>
        </is>
      </c>
      <c r="B469" s="16">
        <f>IF($A469="","",IFERROR(INDEX(Roster!$B$2:$B$40,MATCH($A469,Roster!$A$2:$A$40,0)),"?"))</f>
        <v/>
      </c>
      <c r="C469" s="28" t="inlineStr">
        <is>
          <t>Orange_4</t>
        </is>
      </c>
      <c r="D469" s="16">
        <f>IF($C469="","",IFERROR(IF(INDEX(Deals!$C$2:$C$355,MATCH($C469,Deals!$A$2:$A$355,0))=0,"",INDEX(Deals!$C$2:$C$355,MATCH($C469,Deals!$A$2:$A$355,0))),"?"))</f>
        <v/>
      </c>
      <c r="E469" s="16">
        <f>IF($C469="","",IFERROR(INDEX(Deals!$F$2:$F$355,MATCH($C469,Deals!$A$2:$A$355,0)),"?"))</f>
        <v/>
      </c>
      <c r="F469" s="28" t="inlineStr">
        <is>
          <t>Senior Associate</t>
        </is>
      </c>
      <c r="G469" s="28" t="inlineStr">
        <is>
          <t>Active</t>
        </is>
      </c>
      <c r="H469" s="31" t="n"/>
      <c r="I469" s="32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1">
        <f>IF($C469="",0,IFERROR(INDEX(Deals!$H$2:$H$355,MATCH($C469,Deals!$A$2:$A$355,0)),0))</f>
        <v/>
      </c>
      <c r="K469" s="32">
        <f>IF(Settings!$B$4="Yes",$I469*$J469,$I469)</f>
        <v/>
      </c>
      <c r="L469" s="22">
        <f>IF($C469="","",IFERROR(IF(INDEX(Deals!$I$2:$I$355,MATCH($C469,Deals!$A$2:$A$355,0))=0,"",INDEX(Deals!$I$2:$I$355,MATCH($C469,Deals!$A$2:$A$355,0))),""))</f>
        <v/>
      </c>
      <c r="M469" s="22">
        <f>IF($C469="","",IFERROR(IF(INDEX(Deals!$J$2:$J$355,MATCH($C469,Deals!$A$2:$A$355,0))=0,"",INDEX(Deals!$J$2:$J$355,MATCH($C469,Deals!$A$2:$A$355,0))),""))</f>
        <v/>
      </c>
      <c r="N469" s="35">
        <f>IF($L469="",DATE(1900,1,1),$L469)</f>
        <v/>
      </c>
      <c r="O469" s="35">
        <f>IF($M469="",DATE(2100,12,31),$M469)</f>
        <v/>
      </c>
      <c r="P469" s="20" t="inlineStr">
        <is>
          <t>Ongoing</t>
        </is>
      </c>
      <c r="Q469" s="43" t="inlineStr"/>
      <c r="R469" s="16">
        <f>IF($C469="","",IFERROR(IF(INDEX(Deals!$U$2:$U$355,MATCH($C469,Deals!$A$2:$A$355,0))=0,"",INDEX(Deals!$U$2:$U$355,MATCH($C469,Deals!$A$2:$A$355,0))),""))</f>
        <v/>
      </c>
      <c r="S469" s="34">
        <f>IFERROR(IF($U469="",1,INDEX(Deals!$V$2:$V$355,MATCH($C469,Deals!$A$2:$A$355,0))),1)</f>
        <v/>
      </c>
      <c r="T469" s="34">
        <f>IFERROR(IF($U469="",1,INDEX(Deals!$W$2:$W$355,MATCH($C469,Deals!$A$2:$A$355,0))),1)</f>
        <v/>
      </c>
      <c r="U469" s="22">
        <f>IF($C469="","",IFERROR(IF(INDEX(Deals!$Y$2:$Y$355,MATCH($C469,Deals!$A$2:$A$355,0))=0,"",INDEX(Deals!$Y$2:$Y$355,MATCH($C469,Deals!$A$2:$A$355,0))),""))</f>
        <v/>
      </c>
      <c r="V469" s="35">
        <f>IF($U469="",DATE(1900,1,1),$N469)</f>
        <v/>
      </c>
      <c r="W469" s="35">
        <f>IF($U469="",DATE(2100,12,31),$U469)</f>
        <v/>
      </c>
      <c r="X469" s="32">
        <f>IF($U469="",$K469,$K469*$S469)</f>
        <v/>
      </c>
      <c r="Y469" s="35">
        <f>IF($U469="",DATE(2100,12,31),$U469+1)</f>
        <v/>
      </c>
      <c r="Z469" s="35">
        <f>IF($U469="",DATE(1900,1,1),$O469)</f>
        <v/>
      </c>
      <c r="AA469" s="32">
        <f>IF($U469="",0,$K469*$T469)</f>
        <v/>
      </c>
      <c r="AB469" s="21">
        <f>IF($C469="",0,IFERROR(INDEX(Deals!$AD$2:$AD$355,MATCH($C469,Deals!$A$2:$A$355,0)),0))</f>
        <v/>
      </c>
      <c r="AC469" s="32">
        <f>IF(Settings!$B$4="Yes",$I469*$AB469,$I469)</f>
        <v/>
      </c>
      <c r="AD469" s="22">
        <f>IF($C469="","",IFERROR(IF(INDEX(Deals!$AE$2:$AE$355,MATCH($C469,Deals!$A$2:$A$355,0))=0,"",INDEX(Deals!$AE$2:$AE$355,MATCH($C469,Deals!$A$2:$A$355,0))),""))</f>
        <v/>
      </c>
      <c r="AE469" s="22">
        <f>IF($C469="","",IFERROR(IF(INDEX(Deals!$AF$2:$AF$355,MATCH($C469,Deals!$A$2:$A$355,0))=0,"",INDEX(Deals!$AF$2:$AF$355,MATCH($C469,Deals!$A$2:$A$355,0))),""))</f>
        <v/>
      </c>
      <c r="AF469" s="35">
        <f>IF($AD469="",DATE(1900,1,1),$AD469)</f>
        <v/>
      </c>
      <c r="AG469" s="35">
        <f>IF($AE469="",DATE(2100,12,31),$AE469)</f>
        <v/>
      </c>
      <c r="AH469" s="22">
        <f>IF($C469="","",IFERROR(IF(INDEX(Deals!$AG$2:$AG$355,MATCH($C469,Deals!$A$2:$A$355,0))=0,"",INDEX(Deals!$AG$2:$AG$355,MATCH($C469,Deals!$A$2:$A$355,0))),""))</f>
        <v/>
      </c>
      <c r="AI469" s="35">
        <f>IF($AH469="",DATE(1900,1,1),$AF469)</f>
        <v/>
      </c>
      <c r="AJ469" s="35">
        <f>IF($AH469="",DATE(2100,12,31),$AH469)</f>
        <v/>
      </c>
      <c r="AK469" s="32">
        <f>IF($AH469="",$AC469,$AC469*$S469)</f>
        <v/>
      </c>
      <c r="AL469" s="35">
        <f>IF($AH469="",DATE(2100,12,31),$AH469+1)</f>
        <v/>
      </c>
      <c r="AM469" s="35">
        <f>IF($AH469="",DATE(1900,1,1),$AG469)</f>
        <v/>
      </c>
      <c r="AN469" s="32">
        <f>IF($AH469="",0,$AC469*$T469)</f>
        <v/>
      </c>
    </row>
    <row r="470">
      <c r="A470" s="28" t="inlineStr">
        <is>
          <t>Nina</t>
        </is>
      </c>
      <c r="B470" s="16">
        <f>IF($A470="","",IFERROR(INDEX(Roster!$B$2:$B$40,MATCH($A470,Roster!$A$2:$A$40,0)),"?"))</f>
        <v/>
      </c>
      <c r="C470" s="28" t="inlineStr">
        <is>
          <t>Orca_1</t>
        </is>
      </c>
      <c r="D470" s="16">
        <f>IF($C470="","",IFERROR(IF(INDEX(Deals!$C$2:$C$355,MATCH($C470,Deals!$A$2:$A$355,0))=0,"",INDEX(Deals!$C$2:$C$355,MATCH($C470,Deals!$A$2:$A$355,0))),"?"))</f>
        <v/>
      </c>
      <c r="E470" s="16">
        <f>IF($C470="","",IFERROR(INDEX(Deals!$F$2:$F$355,MATCH($C470,Deals!$A$2:$A$355,0)),"?"))</f>
        <v/>
      </c>
      <c r="F470" s="28" t="inlineStr">
        <is>
          <t>Senior Associate</t>
        </is>
      </c>
      <c r="G470" s="28" t="inlineStr">
        <is>
          <t>Inactive</t>
        </is>
      </c>
      <c r="H470" s="31" t="n"/>
      <c r="I470" s="32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1">
        <f>IF($C470="",0,IFERROR(INDEX(Deals!$H$2:$H$355,MATCH($C470,Deals!$A$2:$A$355,0)),0))</f>
        <v/>
      </c>
      <c r="K470" s="32">
        <f>IF(Settings!$B$4="Yes",$I470*$J470,$I470)</f>
        <v/>
      </c>
      <c r="L470" s="22">
        <f>IF($C470="","",IFERROR(IF(INDEX(Deals!$I$2:$I$355,MATCH($C470,Deals!$A$2:$A$355,0))=0,"",INDEX(Deals!$I$2:$I$355,MATCH($C470,Deals!$A$2:$A$355,0))),""))</f>
        <v/>
      </c>
      <c r="M470" s="22">
        <f>IF($C470="","",IFERROR(IF(INDEX(Deals!$J$2:$J$355,MATCH($C470,Deals!$A$2:$A$355,0))=0,"",INDEX(Deals!$J$2:$J$355,MATCH($C470,Deals!$A$2:$A$355,0))),""))</f>
        <v/>
      </c>
      <c r="N470" s="35">
        <f>IF($L470="",DATE(1900,1,1),$L470)</f>
        <v/>
      </c>
      <c r="O470" s="35">
        <f>IF($M470="",DATE(2100,12,31),$M470)</f>
        <v/>
      </c>
      <c r="P470" s="20" t="inlineStr">
        <is>
          <t>Not involved in ongoing work</t>
        </is>
      </c>
      <c r="Q470" s="43" t="inlineStr"/>
      <c r="R470" s="16">
        <f>IF($C470="","",IFERROR(IF(INDEX(Deals!$U$2:$U$355,MATCH($C470,Deals!$A$2:$A$355,0))=0,"",INDEX(Deals!$U$2:$U$355,MATCH($C470,Deals!$A$2:$A$355,0))),""))</f>
        <v/>
      </c>
      <c r="S470" s="34">
        <f>IFERROR(IF($U470="",1,INDEX(Deals!$V$2:$V$355,MATCH($C470,Deals!$A$2:$A$355,0))),1)</f>
        <v/>
      </c>
      <c r="T470" s="34">
        <f>IFERROR(IF($U470="",1,INDEX(Deals!$W$2:$W$355,MATCH($C470,Deals!$A$2:$A$355,0))),1)</f>
        <v/>
      </c>
      <c r="U470" s="22">
        <f>IF($C470="","",IFERROR(IF(INDEX(Deals!$Y$2:$Y$355,MATCH($C470,Deals!$A$2:$A$355,0))=0,"",INDEX(Deals!$Y$2:$Y$355,MATCH($C470,Deals!$A$2:$A$355,0))),""))</f>
        <v/>
      </c>
      <c r="V470" s="35">
        <f>IF($U470="",DATE(1900,1,1),$N470)</f>
        <v/>
      </c>
      <c r="W470" s="35">
        <f>IF($U470="",DATE(2100,12,31),$U470)</f>
        <v/>
      </c>
      <c r="X470" s="32">
        <f>IF($U470="",$K470,$K470*$S470)</f>
        <v/>
      </c>
      <c r="Y470" s="35">
        <f>IF($U470="",DATE(2100,12,31),$U470+1)</f>
        <v/>
      </c>
      <c r="Z470" s="35">
        <f>IF($U470="",DATE(1900,1,1),$O470)</f>
        <v/>
      </c>
      <c r="AA470" s="32">
        <f>IF($U470="",0,$K470*$T470)</f>
        <v/>
      </c>
      <c r="AB470" s="21">
        <f>IF($C470="",0,IFERROR(INDEX(Deals!$AD$2:$AD$355,MATCH($C470,Deals!$A$2:$A$355,0)),0))</f>
        <v/>
      </c>
      <c r="AC470" s="32">
        <f>IF(Settings!$B$4="Yes",$I470*$AB470,$I470)</f>
        <v/>
      </c>
      <c r="AD470" s="22">
        <f>IF($C470="","",IFERROR(IF(INDEX(Deals!$AE$2:$AE$355,MATCH($C470,Deals!$A$2:$A$355,0))=0,"",INDEX(Deals!$AE$2:$AE$355,MATCH($C470,Deals!$A$2:$A$355,0))),""))</f>
        <v/>
      </c>
      <c r="AE470" s="22">
        <f>IF($C470="","",IFERROR(IF(INDEX(Deals!$AF$2:$AF$355,MATCH($C470,Deals!$A$2:$A$355,0))=0,"",INDEX(Deals!$AF$2:$AF$355,MATCH($C470,Deals!$A$2:$A$355,0))),""))</f>
        <v/>
      </c>
      <c r="AF470" s="35">
        <f>IF($AD470="",DATE(1900,1,1),$AD470)</f>
        <v/>
      </c>
      <c r="AG470" s="35">
        <f>IF($AE470="",DATE(2100,12,31),$AE470)</f>
        <v/>
      </c>
      <c r="AH470" s="22">
        <f>IF($C470="","",IFERROR(IF(INDEX(Deals!$AG$2:$AG$355,MATCH($C470,Deals!$A$2:$A$355,0))=0,"",INDEX(Deals!$AG$2:$AG$355,MATCH($C470,Deals!$A$2:$A$355,0))),""))</f>
        <v/>
      </c>
      <c r="AI470" s="35">
        <f>IF($AH470="",DATE(1900,1,1),$AF470)</f>
        <v/>
      </c>
      <c r="AJ470" s="35">
        <f>IF($AH470="",DATE(2100,12,31),$AH470)</f>
        <v/>
      </c>
      <c r="AK470" s="32">
        <f>IF($AH470="",$AC470,$AC470*$S470)</f>
        <v/>
      </c>
      <c r="AL470" s="35">
        <f>IF($AH470="",DATE(2100,12,31),$AH470+1)</f>
        <v/>
      </c>
      <c r="AM470" s="35">
        <f>IF($AH470="",DATE(1900,1,1),$AG470)</f>
        <v/>
      </c>
      <c r="AN470" s="32">
        <f>IF($AH470="",0,$AC470*$T470)</f>
        <v/>
      </c>
    </row>
    <row r="471">
      <c r="A471" s="28" t="inlineStr">
        <is>
          <t>Nina</t>
        </is>
      </c>
      <c r="B471" s="16">
        <f>IF($A471="","",IFERROR(INDEX(Roster!$B$2:$B$40,MATCH($A471,Roster!$A$2:$A$40,0)),"?"))</f>
        <v/>
      </c>
      <c r="C471" s="28" t="inlineStr">
        <is>
          <t>Orion_3</t>
        </is>
      </c>
      <c r="D471" s="16">
        <f>IF($C471="","",IFERROR(IF(INDEX(Deals!$C$2:$C$355,MATCH($C471,Deals!$A$2:$A$355,0))=0,"",INDEX(Deals!$C$2:$C$355,MATCH($C471,Deals!$A$2:$A$355,0))),"?"))</f>
        <v/>
      </c>
      <c r="E471" s="16">
        <f>IF($C471="","",IFERROR(INDEX(Deals!$F$2:$F$355,MATCH($C471,Deals!$A$2:$A$355,0)),"?"))</f>
        <v/>
      </c>
      <c r="F471" s="28" t="inlineStr">
        <is>
          <t>Senior Associate</t>
        </is>
      </c>
      <c r="G471" s="28" t="inlineStr">
        <is>
          <t>Inactive</t>
        </is>
      </c>
      <c r="H471" s="31" t="n"/>
      <c r="I471" s="32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1">
        <f>IF($C471="",0,IFERROR(INDEX(Deals!$H$2:$H$355,MATCH($C471,Deals!$A$2:$A$355,0)),0))</f>
        <v/>
      </c>
      <c r="K471" s="32">
        <f>IF(Settings!$B$4="Yes",$I471*$J471,$I471)</f>
        <v/>
      </c>
      <c r="L471" s="22">
        <f>IF($C471="","",IFERROR(IF(INDEX(Deals!$I$2:$I$355,MATCH($C471,Deals!$A$2:$A$355,0))=0,"",INDEX(Deals!$I$2:$I$355,MATCH($C471,Deals!$A$2:$A$355,0))),""))</f>
        <v/>
      </c>
      <c r="M471" s="22">
        <f>IF($C471="","",IFERROR(IF(INDEX(Deals!$J$2:$J$355,MATCH($C471,Deals!$A$2:$A$355,0))=0,"",INDEX(Deals!$J$2:$J$355,MATCH($C471,Deals!$A$2:$A$355,0))),""))</f>
        <v/>
      </c>
      <c r="N471" s="35">
        <f>IF($L471="",DATE(1900,1,1),$L471)</f>
        <v/>
      </c>
      <c r="O471" s="35">
        <f>IF($M471="",DATE(2100,12,31),$M471)</f>
        <v/>
      </c>
      <c r="P471" s="20" t="inlineStr">
        <is>
          <t>Not involved in ongoing work</t>
        </is>
      </c>
      <c r="Q471" s="43" t="inlineStr"/>
      <c r="R471" s="16">
        <f>IF($C471="","",IFERROR(IF(INDEX(Deals!$U$2:$U$355,MATCH($C471,Deals!$A$2:$A$355,0))=0,"",INDEX(Deals!$U$2:$U$355,MATCH($C471,Deals!$A$2:$A$355,0))),""))</f>
        <v/>
      </c>
      <c r="S471" s="34">
        <f>IFERROR(IF($U471="",1,INDEX(Deals!$V$2:$V$355,MATCH($C471,Deals!$A$2:$A$355,0))),1)</f>
        <v/>
      </c>
      <c r="T471" s="34">
        <f>IFERROR(IF($U471="",1,INDEX(Deals!$W$2:$W$355,MATCH($C471,Deals!$A$2:$A$355,0))),1)</f>
        <v/>
      </c>
      <c r="U471" s="22">
        <f>IF($C471="","",IFERROR(IF(INDEX(Deals!$Y$2:$Y$355,MATCH($C471,Deals!$A$2:$A$355,0))=0,"",INDEX(Deals!$Y$2:$Y$355,MATCH($C471,Deals!$A$2:$A$355,0))),""))</f>
        <v/>
      </c>
      <c r="V471" s="35">
        <f>IF($U471="",DATE(1900,1,1),$N471)</f>
        <v/>
      </c>
      <c r="W471" s="35">
        <f>IF($U471="",DATE(2100,12,31),$U471)</f>
        <v/>
      </c>
      <c r="X471" s="32">
        <f>IF($U471="",$K471,$K471*$S471)</f>
        <v/>
      </c>
      <c r="Y471" s="35">
        <f>IF($U471="",DATE(2100,12,31),$U471+1)</f>
        <v/>
      </c>
      <c r="Z471" s="35">
        <f>IF($U471="",DATE(1900,1,1),$O471)</f>
        <v/>
      </c>
      <c r="AA471" s="32">
        <f>IF($U471="",0,$K471*$T471)</f>
        <v/>
      </c>
      <c r="AB471" s="21">
        <f>IF($C471="",0,IFERROR(INDEX(Deals!$AD$2:$AD$355,MATCH($C471,Deals!$A$2:$A$355,0)),0))</f>
        <v/>
      </c>
      <c r="AC471" s="32">
        <f>IF(Settings!$B$4="Yes",$I471*$AB471,$I471)</f>
        <v/>
      </c>
      <c r="AD471" s="22">
        <f>IF($C471="","",IFERROR(IF(INDEX(Deals!$AE$2:$AE$355,MATCH($C471,Deals!$A$2:$A$355,0))=0,"",INDEX(Deals!$AE$2:$AE$355,MATCH($C471,Deals!$A$2:$A$355,0))),""))</f>
        <v/>
      </c>
      <c r="AE471" s="22">
        <f>IF($C471="","",IFERROR(IF(INDEX(Deals!$AF$2:$AF$355,MATCH($C471,Deals!$A$2:$A$355,0))=0,"",INDEX(Deals!$AF$2:$AF$355,MATCH($C471,Deals!$A$2:$A$355,0))),""))</f>
        <v/>
      </c>
      <c r="AF471" s="35">
        <f>IF($AD471="",DATE(1900,1,1),$AD471)</f>
        <v/>
      </c>
      <c r="AG471" s="35">
        <f>IF($AE471="",DATE(2100,12,31),$AE471)</f>
        <v/>
      </c>
      <c r="AH471" s="22">
        <f>IF($C471="","",IFERROR(IF(INDEX(Deals!$AG$2:$AG$355,MATCH($C471,Deals!$A$2:$A$355,0))=0,"",INDEX(Deals!$AG$2:$AG$355,MATCH($C471,Deals!$A$2:$A$355,0))),""))</f>
        <v/>
      </c>
      <c r="AI471" s="35">
        <f>IF($AH471="",DATE(1900,1,1),$AF471)</f>
        <v/>
      </c>
      <c r="AJ471" s="35">
        <f>IF($AH471="",DATE(2100,12,31),$AH471)</f>
        <v/>
      </c>
      <c r="AK471" s="32">
        <f>IF($AH471="",$AC471,$AC471*$S471)</f>
        <v/>
      </c>
      <c r="AL471" s="35">
        <f>IF($AH471="",DATE(2100,12,31),$AH471+1)</f>
        <v/>
      </c>
      <c r="AM471" s="35">
        <f>IF($AH471="",DATE(1900,1,1),$AG471)</f>
        <v/>
      </c>
      <c r="AN471" s="32">
        <f>IF($AH471="",0,$AC471*$T471)</f>
        <v/>
      </c>
    </row>
    <row r="472">
      <c r="A472" s="28" t="inlineStr">
        <is>
          <t>Nina</t>
        </is>
      </c>
      <c r="B472" s="16">
        <f>IF($A472="","",IFERROR(INDEX(Roster!$B$2:$B$40,MATCH($A472,Roster!$A$2:$A$40,0)),"?"))</f>
        <v/>
      </c>
      <c r="C472" s="28" t="inlineStr">
        <is>
          <t>Papago_1</t>
        </is>
      </c>
      <c r="D472" s="16">
        <f>IF($C472="","",IFERROR(IF(INDEX(Deals!$C$2:$C$355,MATCH($C472,Deals!$A$2:$A$355,0))=0,"",INDEX(Deals!$C$2:$C$355,MATCH($C472,Deals!$A$2:$A$355,0))),"?"))</f>
        <v/>
      </c>
      <c r="E472" s="16">
        <f>IF($C472="","",IFERROR(INDEX(Deals!$F$2:$F$355,MATCH($C472,Deals!$A$2:$A$355,0)),"?"))</f>
        <v/>
      </c>
      <c r="F472" s="28" t="inlineStr">
        <is>
          <t>Senior Associate</t>
        </is>
      </c>
      <c r="G472" s="28" t="inlineStr">
        <is>
          <t>Inactive</t>
        </is>
      </c>
      <c r="H472" s="31" t="n"/>
      <c r="I472" s="32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1">
        <f>IF($C472="",0,IFERROR(INDEX(Deals!$H$2:$H$355,MATCH($C472,Deals!$A$2:$A$355,0)),0))</f>
        <v/>
      </c>
      <c r="K472" s="32">
        <f>IF(Settings!$B$4="Yes",$I472*$J472,$I472)</f>
        <v/>
      </c>
      <c r="L472" s="22">
        <f>IF($C472="","",IFERROR(IF(INDEX(Deals!$I$2:$I$355,MATCH($C472,Deals!$A$2:$A$355,0))=0,"",INDEX(Deals!$I$2:$I$355,MATCH($C472,Deals!$A$2:$A$355,0))),""))</f>
        <v/>
      </c>
      <c r="M472" s="22">
        <f>IF($C472="","",IFERROR(IF(INDEX(Deals!$J$2:$J$355,MATCH($C472,Deals!$A$2:$A$355,0))=0,"",INDEX(Deals!$J$2:$J$355,MATCH($C472,Deals!$A$2:$A$355,0))),""))</f>
        <v/>
      </c>
      <c r="N472" s="35">
        <f>IF($L472="",DATE(1900,1,1),$L472)</f>
        <v/>
      </c>
      <c r="O472" s="35">
        <f>IF($M472="",DATE(2100,12,31),$M472)</f>
        <v/>
      </c>
      <c r="P472" s="20" t="inlineStr">
        <is>
          <t>Closed</t>
        </is>
      </c>
      <c r="Q472" s="43" t="inlineStr"/>
      <c r="R472" s="16">
        <f>IF($C472="","",IFERROR(IF(INDEX(Deals!$U$2:$U$355,MATCH($C472,Deals!$A$2:$A$355,0))=0,"",INDEX(Deals!$U$2:$U$355,MATCH($C472,Deals!$A$2:$A$355,0))),""))</f>
        <v/>
      </c>
      <c r="S472" s="34">
        <f>IFERROR(IF($U472="",1,INDEX(Deals!$V$2:$V$355,MATCH($C472,Deals!$A$2:$A$355,0))),1)</f>
        <v/>
      </c>
      <c r="T472" s="34">
        <f>IFERROR(IF($U472="",1,INDEX(Deals!$W$2:$W$355,MATCH($C472,Deals!$A$2:$A$355,0))),1)</f>
        <v/>
      </c>
      <c r="U472" s="22">
        <f>IF($C472="","",IFERROR(IF(INDEX(Deals!$Y$2:$Y$355,MATCH($C472,Deals!$A$2:$A$355,0))=0,"",INDEX(Deals!$Y$2:$Y$355,MATCH($C472,Deals!$A$2:$A$355,0))),""))</f>
        <v/>
      </c>
      <c r="V472" s="35">
        <f>IF($U472="",DATE(1900,1,1),$N472)</f>
        <v/>
      </c>
      <c r="W472" s="35">
        <f>IF($U472="",DATE(2100,12,31),$U472)</f>
        <v/>
      </c>
      <c r="X472" s="32">
        <f>IF($U472="",$K472,$K472*$S472)</f>
        <v/>
      </c>
      <c r="Y472" s="35">
        <f>IF($U472="",DATE(2100,12,31),$U472+1)</f>
        <v/>
      </c>
      <c r="Z472" s="35">
        <f>IF($U472="",DATE(1900,1,1),$O472)</f>
        <v/>
      </c>
      <c r="AA472" s="32">
        <f>IF($U472="",0,$K472*$T472)</f>
        <v/>
      </c>
      <c r="AB472" s="21">
        <f>IF($C472="",0,IFERROR(INDEX(Deals!$AD$2:$AD$355,MATCH($C472,Deals!$A$2:$A$355,0)),0))</f>
        <v/>
      </c>
      <c r="AC472" s="32">
        <f>IF(Settings!$B$4="Yes",$I472*$AB472,$I472)</f>
        <v/>
      </c>
      <c r="AD472" s="22">
        <f>IF($C472="","",IFERROR(IF(INDEX(Deals!$AE$2:$AE$355,MATCH($C472,Deals!$A$2:$A$355,0))=0,"",INDEX(Deals!$AE$2:$AE$355,MATCH($C472,Deals!$A$2:$A$355,0))),""))</f>
        <v/>
      </c>
      <c r="AE472" s="22">
        <f>IF($C472="","",IFERROR(IF(INDEX(Deals!$AF$2:$AF$355,MATCH($C472,Deals!$A$2:$A$355,0))=0,"",INDEX(Deals!$AF$2:$AF$355,MATCH($C472,Deals!$A$2:$A$355,0))),""))</f>
        <v/>
      </c>
      <c r="AF472" s="35">
        <f>IF($AD472="",DATE(1900,1,1),$AD472)</f>
        <v/>
      </c>
      <c r="AG472" s="35">
        <f>IF($AE472="",DATE(2100,12,31),$AE472)</f>
        <v/>
      </c>
      <c r="AH472" s="22">
        <f>IF($C472="","",IFERROR(IF(INDEX(Deals!$AG$2:$AG$355,MATCH($C472,Deals!$A$2:$A$355,0))=0,"",INDEX(Deals!$AG$2:$AG$355,MATCH($C472,Deals!$A$2:$A$355,0))),""))</f>
        <v/>
      </c>
      <c r="AI472" s="35">
        <f>IF($AH472="",DATE(1900,1,1),$AF472)</f>
        <v/>
      </c>
      <c r="AJ472" s="35">
        <f>IF($AH472="",DATE(2100,12,31),$AH472)</f>
        <v/>
      </c>
      <c r="AK472" s="32">
        <f>IF($AH472="",$AC472,$AC472*$S472)</f>
        <v/>
      </c>
      <c r="AL472" s="35">
        <f>IF($AH472="",DATE(2100,12,31),$AH472+1)</f>
        <v/>
      </c>
      <c r="AM472" s="35">
        <f>IF($AH472="",DATE(1900,1,1),$AG472)</f>
        <v/>
      </c>
      <c r="AN472" s="32">
        <f>IF($AH472="",0,$AC472*$T472)</f>
        <v/>
      </c>
    </row>
    <row r="473">
      <c r="A473" s="28" t="inlineStr">
        <is>
          <t>Nina</t>
        </is>
      </c>
      <c r="B473" s="16">
        <f>IF($A473="","",IFERROR(INDEX(Roster!$B$2:$B$40,MATCH($A473,Roster!$A$2:$A$40,0)),"?"))</f>
        <v/>
      </c>
      <c r="C473" s="28" t="inlineStr">
        <is>
          <t>Pennsylvania_1</t>
        </is>
      </c>
      <c r="D473" s="16">
        <f>IF($C473="","",IFERROR(IF(INDEX(Deals!$C$2:$C$355,MATCH($C473,Deals!$A$2:$A$355,0))=0,"",INDEX(Deals!$C$2:$C$355,MATCH($C473,Deals!$A$2:$A$355,0))),"?"))</f>
        <v/>
      </c>
      <c r="E473" s="16">
        <f>IF($C473="","",IFERROR(INDEX(Deals!$F$2:$F$355,MATCH($C473,Deals!$A$2:$A$355,0)),"?"))</f>
        <v/>
      </c>
      <c r="F473" s="28" t="inlineStr">
        <is>
          <t>Senior Associate</t>
        </is>
      </c>
      <c r="G473" s="28" t="inlineStr">
        <is>
          <t>Inactive</t>
        </is>
      </c>
      <c r="H473" s="31" t="n"/>
      <c r="I473" s="32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1">
        <f>IF($C473="",0,IFERROR(INDEX(Deals!$H$2:$H$355,MATCH($C473,Deals!$A$2:$A$355,0)),0))</f>
        <v/>
      </c>
      <c r="K473" s="32">
        <f>IF(Settings!$B$4="Yes",$I473*$J473,$I473)</f>
        <v/>
      </c>
      <c r="L473" s="22">
        <f>IF($C473="","",IFERROR(IF(INDEX(Deals!$I$2:$I$355,MATCH($C473,Deals!$A$2:$A$355,0))=0,"",INDEX(Deals!$I$2:$I$355,MATCH($C473,Deals!$A$2:$A$355,0))),""))</f>
        <v/>
      </c>
      <c r="M473" s="22">
        <f>IF($C473="","",IFERROR(IF(INDEX(Deals!$J$2:$J$355,MATCH($C473,Deals!$A$2:$A$355,0))=0,"",INDEX(Deals!$J$2:$J$355,MATCH($C473,Deals!$A$2:$A$355,0))),""))</f>
        <v/>
      </c>
      <c r="N473" s="35">
        <f>IF($L473="",DATE(1900,1,1),$L473)</f>
        <v/>
      </c>
      <c r="O473" s="35">
        <f>IF($M473="",DATE(2100,12,31),$M473)</f>
        <v/>
      </c>
      <c r="P473" s="20" t="inlineStr">
        <is>
          <t>Not involved in ongoing work</t>
        </is>
      </c>
      <c r="Q473" s="43" t="inlineStr"/>
      <c r="R473" s="16">
        <f>IF($C473="","",IFERROR(IF(INDEX(Deals!$U$2:$U$355,MATCH($C473,Deals!$A$2:$A$355,0))=0,"",INDEX(Deals!$U$2:$U$355,MATCH($C473,Deals!$A$2:$A$355,0))),""))</f>
        <v/>
      </c>
      <c r="S473" s="34">
        <f>IFERROR(IF($U473="",1,INDEX(Deals!$V$2:$V$355,MATCH($C473,Deals!$A$2:$A$355,0))),1)</f>
        <v/>
      </c>
      <c r="T473" s="34">
        <f>IFERROR(IF($U473="",1,INDEX(Deals!$W$2:$W$355,MATCH($C473,Deals!$A$2:$A$355,0))),1)</f>
        <v/>
      </c>
      <c r="U473" s="22">
        <f>IF($C473="","",IFERROR(IF(INDEX(Deals!$Y$2:$Y$355,MATCH($C473,Deals!$A$2:$A$355,0))=0,"",INDEX(Deals!$Y$2:$Y$355,MATCH($C473,Deals!$A$2:$A$355,0))),""))</f>
        <v/>
      </c>
      <c r="V473" s="35">
        <f>IF($U473="",DATE(1900,1,1),$N473)</f>
        <v/>
      </c>
      <c r="W473" s="35">
        <f>IF($U473="",DATE(2100,12,31),$U473)</f>
        <v/>
      </c>
      <c r="X473" s="32">
        <f>IF($U473="",$K473,$K473*$S473)</f>
        <v/>
      </c>
      <c r="Y473" s="35">
        <f>IF($U473="",DATE(2100,12,31),$U473+1)</f>
        <v/>
      </c>
      <c r="Z473" s="35">
        <f>IF($U473="",DATE(1900,1,1),$O473)</f>
        <v/>
      </c>
      <c r="AA473" s="32">
        <f>IF($U473="",0,$K473*$T473)</f>
        <v/>
      </c>
      <c r="AB473" s="21">
        <f>IF($C473="",0,IFERROR(INDEX(Deals!$AD$2:$AD$355,MATCH($C473,Deals!$A$2:$A$355,0)),0))</f>
        <v/>
      </c>
      <c r="AC473" s="32">
        <f>IF(Settings!$B$4="Yes",$I473*$AB473,$I473)</f>
        <v/>
      </c>
      <c r="AD473" s="22">
        <f>IF($C473="","",IFERROR(IF(INDEX(Deals!$AE$2:$AE$355,MATCH($C473,Deals!$A$2:$A$355,0))=0,"",INDEX(Deals!$AE$2:$AE$355,MATCH($C473,Deals!$A$2:$A$355,0))),""))</f>
        <v/>
      </c>
      <c r="AE473" s="22">
        <f>IF($C473="","",IFERROR(IF(INDEX(Deals!$AF$2:$AF$355,MATCH($C473,Deals!$A$2:$A$355,0))=0,"",INDEX(Deals!$AF$2:$AF$355,MATCH($C473,Deals!$A$2:$A$355,0))),""))</f>
        <v/>
      </c>
      <c r="AF473" s="35">
        <f>IF($AD473="",DATE(1900,1,1),$AD473)</f>
        <v/>
      </c>
      <c r="AG473" s="35">
        <f>IF($AE473="",DATE(2100,12,31),$AE473)</f>
        <v/>
      </c>
      <c r="AH473" s="22">
        <f>IF($C473="","",IFERROR(IF(INDEX(Deals!$AG$2:$AG$355,MATCH($C473,Deals!$A$2:$A$355,0))=0,"",INDEX(Deals!$AG$2:$AG$355,MATCH($C473,Deals!$A$2:$A$355,0))),""))</f>
        <v/>
      </c>
      <c r="AI473" s="35">
        <f>IF($AH473="",DATE(1900,1,1),$AF473)</f>
        <v/>
      </c>
      <c r="AJ473" s="35">
        <f>IF($AH473="",DATE(2100,12,31),$AH473)</f>
        <v/>
      </c>
      <c r="AK473" s="32">
        <f>IF($AH473="",$AC473,$AC473*$S473)</f>
        <v/>
      </c>
      <c r="AL473" s="35">
        <f>IF($AH473="",DATE(2100,12,31),$AH473+1)</f>
        <v/>
      </c>
      <c r="AM473" s="35">
        <f>IF($AH473="",DATE(1900,1,1),$AG473)</f>
        <v/>
      </c>
      <c r="AN473" s="32">
        <f>IF($AH473="",0,$AC473*$T473)</f>
        <v/>
      </c>
    </row>
    <row r="474">
      <c r="A474" s="28" t="inlineStr">
        <is>
          <t>Nina</t>
        </is>
      </c>
      <c r="B474" s="16">
        <f>IF($A474="","",IFERROR(INDEX(Roster!$B$2:$B$40,MATCH($A474,Roster!$A$2:$A$40,0)),"?"))</f>
        <v/>
      </c>
      <c r="C474" s="28" t="inlineStr">
        <is>
          <t>Pine_1</t>
        </is>
      </c>
      <c r="D474" s="16">
        <f>IF($C474="","",IFERROR(IF(INDEX(Deals!$C$2:$C$355,MATCH($C474,Deals!$A$2:$A$355,0))=0,"",INDEX(Deals!$C$2:$C$355,MATCH($C474,Deals!$A$2:$A$355,0))),"?"))</f>
        <v/>
      </c>
      <c r="E474" s="16">
        <f>IF($C474="","",IFERROR(INDEX(Deals!$F$2:$F$355,MATCH($C474,Deals!$A$2:$A$355,0)),"?"))</f>
        <v/>
      </c>
      <c r="F474" s="28" t="inlineStr">
        <is>
          <t>Senior Associate</t>
        </is>
      </c>
      <c r="G474" s="28" t="inlineStr">
        <is>
          <t>Active</t>
        </is>
      </c>
      <c r="H474" s="31" t="n"/>
      <c r="I474" s="32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1">
        <f>IF($C474="",0,IFERROR(INDEX(Deals!$H$2:$H$355,MATCH($C474,Deals!$A$2:$A$355,0)),0))</f>
        <v/>
      </c>
      <c r="K474" s="32">
        <f>IF(Settings!$B$4="Yes",$I474*$J474,$I474)</f>
        <v/>
      </c>
      <c r="L474" s="22">
        <f>IF($C474="","",IFERROR(IF(INDEX(Deals!$I$2:$I$355,MATCH($C474,Deals!$A$2:$A$355,0))=0,"",INDEX(Deals!$I$2:$I$355,MATCH($C474,Deals!$A$2:$A$355,0))),""))</f>
        <v/>
      </c>
      <c r="M474" s="22">
        <f>IF($C474="","",IFERROR(IF(INDEX(Deals!$J$2:$J$355,MATCH($C474,Deals!$A$2:$A$355,0))=0,"",INDEX(Deals!$J$2:$J$355,MATCH($C474,Deals!$A$2:$A$355,0))),""))</f>
        <v/>
      </c>
      <c r="N474" s="35">
        <f>IF($L474="",DATE(1900,1,1),$L474)</f>
        <v/>
      </c>
      <c r="O474" s="35">
        <f>IF($M474="",DATE(2100,12,31),$M474)</f>
        <v/>
      </c>
      <c r="P474" s="20" t="inlineStr"/>
      <c r="Q474" s="43" t="inlineStr"/>
      <c r="R474" s="16">
        <f>IF($C474="","",IFERROR(IF(INDEX(Deals!$U$2:$U$355,MATCH($C474,Deals!$A$2:$A$355,0))=0,"",INDEX(Deals!$U$2:$U$355,MATCH($C474,Deals!$A$2:$A$355,0))),""))</f>
        <v/>
      </c>
      <c r="S474" s="34">
        <f>IFERROR(IF($U474="",1,INDEX(Deals!$V$2:$V$355,MATCH($C474,Deals!$A$2:$A$355,0))),1)</f>
        <v/>
      </c>
      <c r="T474" s="34">
        <f>IFERROR(IF($U474="",1,INDEX(Deals!$W$2:$W$355,MATCH($C474,Deals!$A$2:$A$355,0))),1)</f>
        <v/>
      </c>
      <c r="U474" s="22">
        <f>IF($C474="","",IFERROR(IF(INDEX(Deals!$Y$2:$Y$355,MATCH($C474,Deals!$A$2:$A$355,0))=0,"",INDEX(Deals!$Y$2:$Y$355,MATCH($C474,Deals!$A$2:$A$355,0))),""))</f>
        <v/>
      </c>
      <c r="V474" s="35">
        <f>IF($U474="",DATE(1900,1,1),$N474)</f>
        <v/>
      </c>
      <c r="W474" s="35">
        <f>IF($U474="",DATE(2100,12,31),$U474)</f>
        <v/>
      </c>
      <c r="X474" s="32">
        <f>IF($U474="",$K474,$K474*$S474)</f>
        <v/>
      </c>
      <c r="Y474" s="35">
        <f>IF($U474="",DATE(2100,12,31),$U474+1)</f>
        <v/>
      </c>
      <c r="Z474" s="35">
        <f>IF($U474="",DATE(1900,1,1),$O474)</f>
        <v/>
      </c>
      <c r="AA474" s="32">
        <f>IF($U474="",0,$K474*$T474)</f>
        <v/>
      </c>
      <c r="AB474" s="21">
        <f>IF($C474="",0,IFERROR(INDEX(Deals!$AD$2:$AD$355,MATCH($C474,Deals!$A$2:$A$355,0)),0))</f>
        <v/>
      </c>
      <c r="AC474" s="32">
        <f>IF(Settings!$B$4="Yes",$I474*$AB474,$I474)</f>
        <v/>
      </c>
      <c r="AD474" s="22">
        <f>IF($C474="","",IFERROR(IF(INDEX(Deals!$AE$2:$AE$355,MATCH($C474,Deals!$A$2:$A$355,0))=0,"",INDEX(Deals!$AE$2:$AE$355,MATCH($C474,Deals!$A$2:$A$355,0))),""))</f>
        <v/>
      </c>
      <c r="AE474" s="22">
        <f>IF($C474="","",IFERROR(IF(INDEX(Deals!$AF$2:$AF$355,MATCH($C474,Deals!$A$2:$A$355,0))=0,"",INDEX(Deals!$AF$2:$AF$355,MATCH($C474,Deals!$A$2:$A$355,0))),""))</f>
        <v/>
      </c>
      <c r="AF474" s="35">
        <f>IF($AD474="",DATE(1900,1,1),$AD474)</f>
        <v/>
      </c>
      <c r="AG474" s="35">
        <f>IF($AE474="",DATE(2100,12,31),$AE474)</f>
        <v/>
      </c>
      <c r="AH474" s="22">
        <f>IF($C474="","",IFERROR(IF(INDEX(Deals!$AG$2:$AG$355,MATCH($C474,Deals!$A$2:$A$355,0))=0,"",INDEX(Deals!$AG$2:$AG$355,MATCH($C474,Deals!$A$2:$A$355,0))),""))</f>
        <v/>
      </c>
      <c r="AI474" s="35">
        <f>IF($AH474="",DATE(1900,1,1),$AF474)</f>
        <v/>
      </c>
      <c r="AJ474" s="35">
        <f>IF($AH474="",DATE(2100,12,31),$AH474)</f>
        <v/>
      </c>
      <c r="AK474" s="32">
        <f>IF($AH474="",$AC474,$AC474*$S474)</f>
        <v/>
      </c>
      <c r="AL474" s="35">
        <f>IF($AH474="",DATE(2100,12,31),$AH474+1)</f>
        <v/>
      </c>
      <c r="AM474" s="35">
        <f>IF($AH474="",DATE(1900,1,1),$AG474)</f>
        <v/>
      </c>
      <c r="AN474" s="32">
        <f>IF($AH474="",0,$AC474*$T474)</f>
        <v/>
      </c>
    </row>
    <row r="475">
      <c r="A475" s="28" t="inlineStr">
        <is>
          <t>Nina</t>
        </is>
      </c>
      <c r="B475" s="16">
        <f>IF($A475="","",IFERROR(INDEX(Roster!$B$2:$B$40,MATCH($A475,Roster!$A$2:$A$40,0)),"?"))</f>
        <v/>
      </c>
      <c r="C475" s="28" t="inlineStr">
        <is>
          <t>Pinecreek_1</t>
        </is>
      </c>
      <c r="D475" s="16">
        <f>IF($C475="","",IFERROR(IF(INDEX(Deals!$C$2:$C$355,MATCH($C475,Deals!$A$2:$A$355,0))=0,"",INDEX(Deals!$C$2:$C$355,MATCH($C475,Deals!$A$2:$A$355,0))),"?"))</f>
        <v/>
      </c>
      <c r="E475" s="16">
        <f>IF($C475="","",IFERROR(INDEX(Deals!$F$2:$F$355,MATCH($C475,Deals!$A$2:$A$355,0)),"?"))</f>
        <v/>
      </c>
      <c r="F475" s="28" t="inlineStr">
        <is>
          <t>Senior Associate</t>
        </is>
      </c>
      <c r="G475" s="28" t="inlineStr">
        <is>
          <t>Active</t>
        </is>
      </c>
      <c r="H475" s="31" t="n"/>
      <c r="I475" s="32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1">
        <f>IF($C475="",0,IFERROR(INDEX(Deals!$H$2:$H$355,MATCH($C475,Deals!$A$2:$A$355,0)),0))</f>
        <v/>
      </c>
      <c r="K475" s="32">
        <f>IF(Settings!$B$4="Yes",$I475*$J475,$I475)</f>
        <v/>
      </c>
      <c r="L475" s="22">
        <f>IF($C475="","",IFERROR(IF(INDEX(Deals!$I$2:$I$355,MATCH($C475,Deals!$A$2:$A$355,0))=0,"",INDEX(Deals!$I$2:$I$355,MATCH($C475,Deals!$A$2:$A$355,0))),""))</f>
        <v/>
      </c>
      <c r="M475" s="22">
        <f>IF($C475="","",IFERROR(IF(INDEX(Deals!$J$2:$J$355,MATCH($C475,Deals!$A$2:$A$355,0))=0,"",INDEX(Deals!$J$2:$J$355,MATCH($C475,Deals!$A$2:$A$355,0))),""))</f>
        <v/>
      </c>
      <c r="N475" s="35">
        <f>IF($L475="",DATE(1900,1,1),$L475)</f>
        <v/>
      </c>
      <c r="O475" s="35">
        <f>IF($M475="",DATE(2100,12,31),$M475)</f>
        <v/>
      </c>
      <c r="P475" s="20" t="inlineStr"/>
      <c r="Q475" s="43" t="inlineStr"/>
      <c r="R475" s="16">
        <f>IF($C475="","",IFERROR(IF(INDEX(Deals!$U$2:$U$355,MATCH($C475,Deals!$A$2:$A$355,0))=0,"",INDEX(Deals!$U$2:$U$355,MATCH($C475,Deals!$A$2:$A$355,0))),""))</f>
        <v/>
      </c>
      <c r="S475" s="34">
        <f>IFERROR(IF($U475="",1,INDEX(Deals!$V$2:$V$355,MATCH($C475,Deals!$A$2:$A$355,0))),1)</f>
        <v/>
      </c>
      <c r="T475" s="34">
        <f>IFERROR(IF($U475="",1,INDEX(Deals!$W$2:$W$355,MATCH($C475,Deals!$A$2:$A$355,0))),1)</f>
        <v/>
      </c>
      <c r="U475" s="22">
        <f>IF($C475="","",IFERROR(IF(INDEX(Deals!$Y$2:$Y$355,MATCH($C475,Deals!$A$2:$A$355,0))=0,"",INDEX(Deals!$Y$2:$Y$355,MATCH($C475,Deals!$A$2:$A$355,0))),""))</f>
        <v/>
      </c>
      <c r="V475" s="35">
        <f>IF($U475="",DATE(1900,1,1),$N475)</f>
        <v/>
      </c>
      <c r="W475" s="35">
        <f>IF($U475="",DATE(2100,12,31),$U475)</f>
        <v/>
      </c>
      <c r="X475" s="32">
        <f>IF($U475="",$K475,$K475*$S475)</f>
        <v/>
      </c>
      <c r="Y475" s="35">
        <f>IF($U475="",DATE(2100,12,31),$U475+1)</f>
        <v/>
      </c>
      <c r="Z475" s="35">
        <f>IF($U475="",DATE(1900,1,1),$O475)</f>
        <v/>
      </c>
      <c r="AA475" s="32">
        <f>IF($U475="",0,$K475*$T475)</f>
        <v/>
      </c>
      <c r="AB475" s="21">
        <f>IF($C475="",0,IFERROR(INDEX(Deals!$AD$2:$AD$355,MATCH($C475,Deals!$A$2:$A$355,0)),0))</f>
        <v/>
      </c>
      <c r="AC475" s="32">
        <f>IF(Settings!$B$4="Yes",$I475*$AB475,$I475)</f>
        <v/>
      </c>
      <c r="AD475" s="22">
        <f>IF($C475="","",IFERROR(IF(INDEX(Deals!$AE$2:$AE$355,MATCH($C475,Deals!$A$2:$A$355,0))=0,"",INDEX(Deals!$AE$2:$AE$355,MATCH($C475,Deals!$A$2:$A$355,0))),""))</f>
        <v/>
      </c>
      <c r="AE475" s="22">
        <f>IF($C475="","",IFERROR(IF(INDEX(Deals!$AF$2:$AF$355,MATCH($C475,Deals!$A$2:$A$355,0))=0,"",INDEX(Deals!$AF$2:$AF$355,MATCH($C475,Deals!$A$2:$A$355,0))),""))</f>
        <v/>
      </c>
      <c r="AF475" s="35">
        <f>IF($AD475="",DATE(1900,1,1),$AD475)</f>
        <v/>
      </c>
      <c r="AG475" s="35">
        <f>IF($AE475="",DATE(2100,12,31),$AE475)</f>
        <v/>
      </c>
      <c r="AH475" s="22">
        <f>IF($C475="","",IFERROR(IF(INDEX(Deals!$AG$2:$AG$355,MATCH($C475,Deals!$A$2:$A$355,0))=0,"",INDEX(Deals!$AG$2:$AG$355,MATCH($C475,Deals!$A$2:$A$355,0))),""))</f>
        <v/>
      </c>
      <c r="AI475" s="35">
        <f>IF($AH475="",DATE(1900,1,1),$AF475)</f>
        <v/>
      </c>
      <c r="AJ475" s="35">
        <f>IF($AH475="",DATE(2100,12,31),$AH475)</f>
        <v/>
      </c>
      <c r="AK475" s="32">
        <f>IF($AH475="",$AC475,$AC475*$S475)</f>
        <v/>
      </c>
      <c r="AL475" s="35">
        <f>IF($AH475="",DATE(2100,12,31),$AH475+1)</f>
        <v/>
      </c>
      <c r="AM475" s="35">
        <f>IF($AH475="",DATE(1900,1,1),$AG475)</f>
        <v/>
      </c>
      <c r="AN475" s="32">
        <f>IF($AH475="",0,$AC475*$T475)</f>
        <v/>
      </c>
    </row>
    <row r="476">
      <c r="A476" s="28" t="inlineStr">
        <is>
          <t>Nina</t>
        </is>
      </c>
      <c r="B476" s="16">
        <f>IF($A476="","",IFERROR(INDEX(Roster!$B$2:$B$40,MATCH($A476,Roster!$A$2:$A$40,0)),"?"))</f>
        <v/>
      </c>
      <c r="C476" s="28" t="inlineStr">
        <is>
          <t>Pinnacel</t>
        </is>
      </c>
      <c r="D476" s="16">
        <f>IF($C476="","",IFERROR(IF(INDEX(Deals!$C$2:$C$355,MATCH($C476,Deals!$A$2:$A$355,0))=0,"",INDEX(Deals!$C$2:$C$355,MATCH($C476,Deals!$A$2:$A$355,0))),"?"))</f>
        <v/>
      </c>
      <c r="E476" s="16">
        <f>IF($C476="","",IFERROR(INDEX(Deals!$F$2:$F$355,MATCH($C476,Deals!$A$2:$A$355,0)),"?"))</f>
        <v/>
      </c>
      <c r="F476" s="28" t="inlineStr">
        <is>
          <t>Senior Associate</t>
        </is>
      </c>
      <c r="G476" s="28" t="inlineStr">
        <is>
          <t>Active</t>
        </is>
      </c>
      <c r="H476" s="31" t="n"/>
      <c r="I476" s="32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1">
        <f>IF($C476="",0,IFERROR(INDEX(Deals!$H$2:$H$355,MATCH($C476,Deals!$A$2:$A$355,0)),0))</f>
        <v/>
      </c>
      <c r="K476" s="32">
        <f>IF(Settings!$B$4="Yes",$I476*$J476,$I476)</f>
        <v/>
      </c>
      <c r="L476" s="22">
        <f>IF($C476="","",IFERROR(IF(INDEX(Deals!$I$2:$I$355,MATCH($C476,Deals!$A$2:$A$355,0))=0,"",INDEX(Deals!$I$2:$I$355,MATCH($C476,Deals!$A$2:$A$355,0))),""))</f>
        <v/>
      </c>
      <c r="M476" s="22">
        <f>IF($C476="","",IFERROR(IF(INDEX(Deals!$J$2:$J$355,MATCH($C476,Deals!$A$2:$A$355,0))=0,"",INDEX(Deals!$J$2:$J$355,MATCH($C476,Deals!$A$2:$A$355,0))),""))</f>
        <v/>
      </c>
      <c r="N476" s="35">
        <f>IF($L476="",DATE(1900,1,1),$L476)</f>
        <v/>
      </c>
      <c r="O476" s="35">
        <f>IF($M476="",DATE(2100,12,31),$M476)</f>
        <v/>
      </c>
      <c r="P476" s="20" t="inlineStr">
        <is>
          <t>Proposal sent</t>
        </is>
      </c>
      <c r="Q476" s="43" t="inlineStr">
        <is>
          <t>Added from Summary tab</t>
        </is>
      </c>
      <c r="R476" s="16">
        <f>IF($C476="","",IFERROR(IF(INDEX(Deals!$U$2:$U$355,MATCH($C476,Deals!$A$2:$A$355,0))=0,"",INDEX(Deals!$U$2:$U$355,MATCH($C476,Deals!$A$2:$A$355,0))),""))</f>
        <v/>
      </c>
      <c r="S476" s="34">
        <f>IFERROR(IF($U476="",1,INDEX(Deals!$V$2:$V$355,MATCH($C476,Deals!$A$2:$A$355,0))),1)</f>
        <v/>
      </c>
      <c r="T476" s="34">
        <f>IFERROR(IF($U476="",1,INDEX(Deals!$W$2:$W$355,MATCH($C476,Deals!$A$2:$A$355,0))),1)</f>
        <v/>
      </c>
      <c r="U476" s="22">
        <f>IF($C476="","",IFERROR(IF(INDEX(Deals!$Y$2:$Y$355,MATCH($C476,Deals!$A$2:$A$355,0))=0,"",INDEX(Deals!$Y$2:$Y$355,MATCH($C476,Deals!$A$2:$A$355,0))),""))</f>
        <v/>
      </c>
      <c r="V476" s="35">
        <f>IF($U476="",DATE(1900,1,1),$N476)</f>
        <v/>
      </c>
      <c r="W476" s="35">
        <f>IF($U476="",DATE(2100,12,31),$U476)</f>
        <v/>
      </c>
      <c r="X476" s="32">
        <f>IF($U476="",$K476,$K476*$S476)</f>
        <v/>
      </c>
      <c r="Y476" s="35">
        <f>IF($U476="",DATE(2100,12,31),$U476+1)</f>
        <v/>
      </c>
      <c r="Z476" s="35">
        <f>IF($U476="",DATE(1900,1,1),$O476)</f>
        <v/>
      </c>
      <c r="AA476" s="32">
        <f>IF($U476="",0,$K476*$T476)</f>
        <v/>
      </c>
      <c r="AB476" s="21">
        <f>IF($C476="",0,IFERROR(INDEX(Deals!$AD$2:$AD$355,MATCH($C476,Deals!$A$2:$A$355,0)),0))</f>
        <v/>
      </c>
      <c r="AC476" s="32">
        <f>IF(Settings!$B$4="Yes",$I476*$AB476,$I476)</f>
        <v/>
      </c>
      <c r="AD476" s="22">
        <f>IF($C476="","",IFERROR(IF(INDEX(Deals!$AE$2:$AE$355,MATCH($C476,Deals!$A$2:$A$355,0))=0,"",INDEX(Deals!$AE$2:$AE$355,MATCH($C476,Deals!$A$2:$A$355,0))),""))</f>
        <v/>
      </c>
      <c r="AE476" s="22">
        <f>IF($C476="","",IFERROR(IF(INDEX(Deals!$AF$2:$AF$355,MATCH($C476,Deals!$A$2:$A$355,0))=0,"",INDEX(Deals!$AF$2:$AF$355,MATCH($C476,Deals!$A$2:$A$355,0))),""))</f>
        <v/>
      </c>
      <c r="AF476" s="35">
        <f>IF($AD476="",DATE(1900,1,1),$AD476)</f>
        <v/>
      </c>
      <c r="AG476" s="35">
        <f>IF($AE476="",DATE(2100,12,31),$AE476)</f>
        <v/>
      </c>
      <c r="AH476" s="22">
        <f>IF($C476="","",IFERROR(IF(INDEX(Deals!$AG$2:$AG$355,MATCH($C476,Deals!$A$2:$A$355,0))=0,"",INDEX(Deals!$AG$2:$AG$355,MATCH($C476,Deals!$A$2:$A$355,0))),""))</f>
        <v/>
      </c>
      <c r="AI476" s="35">
        <f>IF($AH476="",DATE(1900,1,1),$AF476)</f>
        <v/>
      </c>
      <c r="AJ476" s="35">
        <f>IF($AH476="",DATE(2100,12,31),$AH476)</f>
        <v/>
      </c>
      <c r="AK476" s="32">
        <f>IF($AH476="",$AC476,$AC476*$S476)</f>
        <v/>
      </c>
      <c r="AL476" s="35">
        <f>IF($AH476="",DATE(2100,12,31),$AH476+1)</f>
        <v/>
      </c>
      <c r="AM476" s="35">
        <f>IF($AH476="",DATE(1900,1,1),$AG476)</f>
        <v/>
      </c>
      <c r="AN476" s="32">
        <f>IF($AH476="",0,$AC476*$T476)</f>
        <v/>
      </c>
    </row>
    <row r="477">
      <c r="A477" s="28" t="inlineStr">
        <is>
          <t>Nina</t>
        </is>
      </c>
      <c r="B477" s="16">
        <f>IF($A477="","",IFERROR(INDEX(Roster!$B$2:$B$40,MATCH($A477,Roster!$A$2:$A$40,0)),"?"))</f>
        <v/>
      </c>
      <c r="C477" s="28" t="inlineStr">
        <is>
          <t>Pivot_3</t>
        </is>
      </c>
      <c r="D477" s="16">
        <f>IF($C477="","",IFERROR(IF(INDEX(Deals!$C$2:$C$355,MATCH($C477,Deals!$A$2:$A$355,0))=0,"",INDEX(Deals!$C$2:$C$355,MATCH($C477,Deals!$A$2:$A$355,0))),"?"))</f>
        <v/>
      </c>
      <c r="E477" s="16">
        <f>IF($C477="","",IFERROR(INDEX(Deals!$F$2:$F$355,MATCH($C477,Deals!$A$2:$A$355,0)),"?"))</f>
        <v/>
      </c>
      <c r="F477" s="28" t="inlineStr">
        <is>
          <t>Senior Associate</t>
        </is>
      </c>
      <c r="G477" s="28" t="inlineStr">
        <is>
          <t>Active</t>
        </is>
      </c>
      <c r="H477" s="31" t="n"/>
      <c r="I477" s="32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1">
        <f>IF($C477="",0,IFERROR(INDEX(Deals!$H$2:$H$355,MATCH($C477,Deals!$A$2:$A$355,0)),0))</f>
        <v/>
      </c>
      <c r="K477" s="32">
        <f>IF(Settings!$B$4="Yes",$I477*$J477,$I477)</f>
        <v/>
      </c>
      <c r="L477" s="22">
        <f>IF($C477="","",IFERROR(IF(INDEX(Deals!$I$2:$I$355,MATCH($C477,Deals!$A$2:$A$355,0))=0,"",INDEX(Deals!$I$2:$I$355,MATCH($C477,Deals!$A$2:$A$355,0))),""))</f>
        <v/>
      </c>
      <c r="M477" s="22">
        <f>IF($C477="","",IFERROR(IF(INDEX(Deals!$J$2:$J$355,MATCH($C477,Deals!$A$2:$A$355,0))=0,"",INDEX(Deals!$J$2:$J$355,MATCH($C477,Deals!$A$2:$A$355,0))),""))</f>
        <v/>
      </c>
      <c r="N477" s="35">
        <f>IF($L477="",DATE(1900,1,1),$L477)</f>
        <v/>
      </c>
      <c r="O477" s="35">
        <f>IF($M477="",DATE(2100,12,31),$M477)</f>
        <v/>
      </c>
      <c r="P477" s="20" t="inlineStr"/>
      <c r="Q477" s="43" t="inlineStr"/>
      <c r="R477" s="16">
        <f>IF($C477="","",IFERROR(IF(INDEX(Deals!$U$2:$U$355,MATCH($C477,Deals!$A$2:$A$355,0))=0,"",INDEX(Deals!$U$2:$U$355,MATCH($C477,Deals!$A$2:$A$355,0))),""))</f>
        <v/>
      </c>
      <c r="S477" s="34">
        <f>IFERROR(IF($U477="",1,INDEX(Deals!$V$2:$V$355,MATCH($C477,Deals!$A$2:$A$355,0))),1)</f>
        <v/>
      </c>
      <c r="T477" s="34">
        <f>IFERROR(IF($U477="",1,INDEX(Deals!$W$2:$W$355,MATCH($C477,Deals!$A$2:$A$355,0))),1)</f>
        <v/>
      </c>
      <c r="U477" s="22">
        <f>IF($C477="","",IFERROR(IF(INDEX(Deals!$Y$2:$Y$355,MATCH($C477,Deals!$A$2:$A$355,0))=0,"",INDEX(Deals!$Y$2:$Y$355,MATCH($C477,Deals!$A$2:$A$355,0))),""))</f>
        <v/>
      </c>
      <c r="V477" s="35">
        <f>IF($U477="",DATE(1900,1,1),$N477)</f>
        <v/>
      </c>
      <c r="W477" s="35">
        <f>IF($U477="",DATE(2100,12,31),$U477)</f>
        <v/>
      </c>
      <c r="X477" s="32">
        <f>IF($U477="",$K477,$K477*$S477)</f>
        <v/>
      </c>
      <c r="Y477" s="35">
        <f>IF($U477="",DATE(2100,12,31),$U477+1)</f>
        <v/>
      </c>
      <c r="Z477" s="35">
        <f>IF($U477="",DATE(1900,1,1),$O477)</f>
        <v/>
      </c>
      <c r="AA477" s="32">
        <f>IF($U477="",0,$K477*$T477)</f>
        <v/>
      </c>
      <c r="AB477" s="21">
        <f>IF($C477="",0,IFERROR(INDEX(Deals!$AD$2:$AD$355,MATCH($C477,Deals!$A$2:$A$355,0)),0))</f>
        <v/>
      </c>
      <c r="AC477" s="32">
        <f>IF(Settings!$B$4="Yes",$I477*$AB477,$I477)</f>
        <v/>
      </c>
      <c r="AD477" s="22">
        <f>IF($C477="","",IFERROR(IF(INDEX(Deals!$AE$2:$AE$355,MATCH($C477,Deals!$A$2:$A$355,0))=0,"",INDEX(Deals!$AE$2:$AE$355,MATCH($C477,Deals!$A$2:$A$355,0))),""))</f>
        <v/>
      </c>
      <c r="AE477" s="22">
        <f>IF($C477="","",IFERROR(IF(INDEX(Deals!$AF$2:$AF$355,MATCH($C477,Deals!$A$2:$A$355,0))=0,"",INDEX(Deals!$AF$2:$AF$355,MATCH($C477,Deals!$A$2:$A$355,0))),""))</f>
        <v/>
      </c>
      <c r="AF477" s="35">
        <f>IF($AD477="",DATE(1900,1,1),$AD477)</f>
        <v/>
      </c>
      <c r="AG477" s="35">
        <f>IF($AE477="",DATE(2100,12,31),$AE477)</f>
        <v/>
      </c>
      <c r="AH477" s="22">
        <f>IF($C477="","",IFERROR(IF(INDEX(Deals!$AG$2:$AG$355,MATCH($C477,Deals!$A$2:$A$355,0))=0,"",INDEX(Deals!$AG$2:$AG$355,MATCH($C477,Deals!$A$2:$A$355,0))),""))</f>
        <v/>
      </c>
      <c r="AI477" s="35">
        <f>IF($AH477="",DATE(1900,1,1),$AF477)</f>
        <v/>
      </c>
      <c r="AJ477" s="35">
        <f>IF($AH477="",DATE(2100,12,31),$AH477)</f>
        <v/>
      </c>
      <c r="AK477" s="32">
        <f>IF($AH477="",$AC477,$AC477*$S477)</f>
        <v/>
      </c>
      <c r="AL477" s="35">
        <f>IF($AH477="",DATE(2100,12,31),$AH477+1)</f>
        <v/>
      </c>
      <c r="AM477" s="35">
        <f>IF($AH477="",DATE(1900,1,1),$AG477)</f>
        <v/>
      </c>
      <c r="AN477" s="32">
        <f>IF($AH477="",0,$AC477*$T477)</f>
        <v/>
      </c>
    </row>
    <row r="478">
      <c r="A478" s="28" t="inlineStr">
        <is>
          <t>Nina</t>
        </is>
      </c>
      <c r="B478" s="16">
        <f>IF($A478="","",IFERROR(INDEX(Roster!$B$2:$B$40,MATCH($A478,Roster!$A$2:$A$40,0)),"?"))</f>
        <v/>
      </c>
      <c r="C478" s="28" t="inlineStr">
        <is>
          <t>Prince_2</t>
        </is>
      </c>
      <c r="D478" s="16">
        <f>IF($C478="","",IFERROR(IF(INDEX(Deals!$C$2:$C$355,MATCH($C478,Deals!$A$2:$A$355,0))=0,"",INDEX(Deals!$C$2:$C$355,MATCH($C478,Deals!$A$2:$A$355,0))),"?"))</f>
        <v/>
      </c>
      <c r="E478" s="16">
        <f>IF($C478="","",IFERROR(INDEX(Deals!$F$2:$F$355,MATCH($C478,Deals!$A$2:$A$355,0)),"?"))</f>
        <v/>
      </c>
      <c r="F478" s="28" t="inlineStr">
        <is>
          <t>Senior Associate</t>
        </is>
      </c>
      <c r="G478" s="28" t="inlineStr">
        <is>
          <t>Active</t>
        </is>
      </c>
      <c r="H478" s="31" t="n"/>
      <c r="I478" s="32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1">
        <f>IF($C478="",0,IFERROR(INDEX(Deals!$H$2:$H$355,MATCH($C478,Deals!$A$2:$A$355,0)),0))</f>
        <v/>
      </c>
      <c r="K478" s="32">
        <f>IF(Settings!$B$4="Yes",$I478*$J478,$I478)</f>
        <v/>
      </c>
      <c r="L478" s="22">
        <f>IF($C478="","",IFERROR(IF(INDEX(Deals!$I$2:$I$355,MATCH($C478,Deals!$A$2:$A$355,0))=0,"",INDEX(Deals!$I$2:$I$355,MATCH($C478,Deals!$A$2:$A$355,0))),""))</f>
        <v/>
      </c>
      <c r="M478" s="22">
        <f>IF($C478="","",IFERROR(IF(INDEX(Deals!$J$2:$J$355,MATCH($C478,Deals!$A$2:$A$355,0))=0,"",INDEX(Deals!$J$2:$J$355,MATCH($C478,Deals!$A$2:$A$355,0))),""))</f>
        <v/>
      </c>
      <c r="N478" s="35">
        <f>IF($L478="",DATE(1900,1,1),$L478)</f>
        <v/>
      </c>
      <c r="O478" s="35">
        <f>IF($M478="",DATE(2100,12,31),$M478)</f>
        <v/>
      </c>
      <c r="P478" s="20" t="inlineStr"/>
      <c r="Q478" s="43" t="inlineStr"/>
      <c r="R478" s="16">
        <f>IF($C478="","",IFERROR(IF(INDEX(Deals!$U$2:$U$355,MATCH($C478,Deals!$A$2:$A$355,0))=0,"",INDEX(Deals!$U$2:$U$355,MATCH($C478,Deals!$A$2:$A$355,0))),""))</f>
        <v/>
      </c>
      <c r="S478" s="34">
        <f>IFERROR(IF($U478="",1,INDEX(Deals!$V$2:$V$355,MATCH($C478,Deals!$A$2:$A$355,0))),1)</f>
        <v/>
      </c>
      <c r="T478" s="34">
        <f>IFERROR(IF($U478="",1,INDEX(Deals!$W$2:$W$355,MATCH($C478,Deals!$A$2:$A$355,0))),1)</f>
        <v/>
      </c>
      <c r="U478" s="22">
        <f>IF($C478="","",IFERROR(IF(INDEX(Deals!$Y$2:$Y$355,MATCH($C478,Deals!$A$2:$A$355,0))=0,"",INDEX(Deals!$Y$2:$Y$355,MATCH($C478,Deals!$A$2:$A$355,0))),""))</f>
        <v/>
      </c>
      <c r="V478" s="35">
        <f>IF($U478="",DATE(1900,1,1),$N478)</f>
        <v/>
      </c>
      <c r="W478" s="35">
        <f>IF($U478="",DATE(2100,12,31),$U478)</f>
        <v/>
      </c>
      <c r="X478" s="32">
        <f>IF($U478="",$K478,$K478*$S478)</f>
        <v/>
      </c>
      <c r="Y478" s="35">
        <f>IF($U478="",DATE(2100,12,31),$U478+1)</f>
        <v/>
      </c>
      <c r="Z478" s="35">
        <f>IF($U478="",DATE(1900,1,1),$O478)</f>
        <v/>
      </c>
      <c r="AA478" s="32">
        <f>IF($U478="",0,$K478*$T478)</f>
        <v/>
      </c>
      <c r="AB478" s="21">
        <f>IF($C478="",0,IFERROR(INDEX(Deals!$AD$2:$AD$355,MATCH($C478,Deals!$A$2:$A$355,0)),0))</f>
        <v/>
      </c>
      <c r="AC478" s="32">
        <f>IF(Settings!$B$4="Yes",$I478*$AB478,$I478)</f>
        <v/>
      </c>
      <c r="AD478" s="22">
        <f>IF($C478="","",IFERROR(IF(INDEX(Deals!$AE$2:$AE$355,MATCH($C478,Deals!$A$2:$A$355,0))=0,"",INDEX(Deals!$AE$2:$AE$355,MATCH($C478,Deals!$A$2:$A$355,0))),""))</f>
        <v/>
      </c>
      <c r="AE478" s="22">
        <f>IF($C478="","",IFERROR(IF(INDEX(Deals!$AF$2:$AF$355,MATCH($C478,Deals!$A$2:$A$355,0))=0,"",INDEX(Deals!$AF$2:$AF$355,MATCH($C478,Deals!$A$2:$A$355,0))),""))</f>
        <v/>
      </c>
      <c r="AF478" s="35">
        <f>IF($AD478="",DATE(1900,1,1),$AD478)</f>
        <v/>
      </c>
      <c r="AG478" s="35">
        <f>IF($AE478="",DATE(2100,12,31),$AE478)</f>
        <v/>
      </c>
      <c r="AH478" s="22">
        <f>IF($C478="","",IFERROR(IF(INDEX(Deals!$AG$2:$AG$355,MATCH($C478,Deals!$A$2:$A$355,0))=0,"",INDEX(Deals!$AG$2:$AG$355,MATCH($C478,Deals!$A$2:$A$355,0))),""))</f>
        <v/>
      </c>
      <c r="AI478" s="35">
        <f>IF($AH478="",DATE(1900,1,1),$AF478)</f>
        <v/>
      </c>
      <c r="AJ478" s="35">
        <f>IF($AH478="",DATE(2100,12,31),$AH478)</f>
        <v/>
      </c>
      <c r="AK478" s="32">
        <f>IF($AH478="",$AC478,$AC478*$S478)</f>
        <v/>
      </c>
      <c r="AL478" s="35">
        <f>IF($AH478="",DATE(2100,12,31),$AH478+1)</f>
        <v/>
      </c>
      <c r="AM478" s="35">
        <f>IF($AH478="",DATE(1900,1,1),$AG478)</f>
        <v/>
      </c>
      <c r="AN478" s="32">
        <f>IF($AH478="",0,$AC478*$T478)</f>
        <v/>
      </c>
    </row>
    <row r="479">
      <c r="A479" s="28" t="inlineStr">
        <is>
          <t>Nina</t>
        </is>
      </c>
      <c r="B479" s="16">
        <f>IF($A479="","",IFERROR(INDEX(Roster!$B$2:$B$40,MATCH($A479,Roster!$A$2:$A$40,0)),"?"))</f>
        <v/>
      </c>
      <c r="C479" s="28" t="inlineStr">
        <is>
          <t>Redwood_1</t>
        </is>
      </c>
      <c r="D479" s="16">
        <f>IF($C479="","",IFERROR(IF(INDEX(Deals!$C$2:$C$355,MATCH($C479,Deals!$A$2:$A$355,0))=0,"",INDEX(Deals!$C$2:$C$355,MATCH($C479,Deals!$A$2:$A$355,0))),"?"))</f>
        <v/>
      </c>
      <c r="E479" s="16">
        <f>IF($C479="","",IFERROR(INDEX(Deals!$F$2:$F$355,MATCH($C479,Deals!$A$2:$A$355,0)),"?"))</f>
        <v/>
      </c>
      <c r="F479" s="28" t="inlineStr">
        <is>
          <t>Senior Associate</t>
        </is>
      </c>
      <c r="G479" s="28" t="inlineStr">
        <is>
          <t>Active</t>
        </is>
      </c>
      <c r="H479" s="31" t="n"/>
      <c r="I479" s="32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1">
        <f>IF($C479="",0,IFERROR(INDEX(Deals!$H$2:$H$355,MATCH($C479,Deals!$A$2:$A$355,0)),0))</f>
        <v/>
      </c>
      <c r="K479" s="32">
        <f>IF(Settings!$B$4="Yes",$I479*$J479,$I479)</f>
        <v/>
      </c>
      <c r="L479" s="22">
        <f>IF($C479="","",IFERROR(IF(INDEX(Deals!$I$2:$I$355,MATCH($C479,Deals!$A$2:$A$355,0))=0,"",INDEX(Deals!$I$2:$I$355,MATCH($C479,Deals!$A$2:$A$355,0))),""))</f>
        <v/>
      </c>
      <c r="M479" s="22">
        <f>IF($C479="","",IFERROR(IF(INDEX(Deals!$J$2:$J$355,MATCH($C479,Deals!$A$2:$A$355,0))=0,"",INDEX(Deals!$J$2:$J$355,MATCH($C479,Deals!$A$2:$A$355,0))),""))</f>
        <v/>
      </c>
      <c r="N479" s="35">
        <f>IF($L479="",DATE(1900,1,1),$L479)</f>
        <v/>
      </c>
      <c r="O479" s="35">
        <f>IF($M479="",DATE(2100,12,31),$M479)</f>
        <v/>
      </c>
      <c r="P479" s="20" t="inlineStr">
        <is>
          <t>Ongoing</t>
        </is>
      </c>
      <c r="Q479" s="43" t="inlineStr"/>
      <c r="R479" s="16">
        <f>IF($C479="","",IFERROR(IF(INDEX(Deals!$U$2:$U$355,MATCH($C479,Deals!$A$2:$A$355,0))=0,"",INDEX(Deals!$U$2:$U$355,MATCH($C479,Deals!$A$2:$A$355,0))),""))</f>
        <v/>
      </c>
      <c r="S479" s="34">
        <f>IFERROR(IF($U479="",1,INDEX(Deals!$V$2:$V$355,MATCH($C479,Deals!$A$2:$A$355,0))),1)</f>
        <v/>
      </c>
      <c r="T479" s="34">
        <f>IFERROR(IF($U479="",1,INDEX(Deals!$W$2:$W$355,MATCH($C479,Deals!$A$2:$A$355,0))),1)</f>
        <v/>
      </c>
      <c r="U479" s="22">
        <f>IF($C479="","",IFERROR(IF(INDEX(Deals!$Y$2:$Y$355,MATCH($C479,Deals!$A$2:$A$355,0))=0,"",INDEX(Deals!$Y$2:$Y$355,MATCH($C479,Deals!$A$2:$A$355,0))),""))</f>
        <v/>
      </c>
      <c r="V479" s="35">
        <f>IF($U479="",DATE(1900,1,1),$N479)</f>
        <v/>
      </c>
      <c r="W479" s="35">
        <f>IF($U479="",DATE(2100,12,31),$U479)</f>
        <v/>
      </c>
      <c r="X479" s="32">
        <f>IF($U479="",$K479,$K479*$S479)</f>
        <v/>
      </c>
      <c r="Y479" s="35">
        <f>IF($U479="",DATE(2100,12,31),$U479+1)</f>
        <v/>
      </c>
      <c r="Z479" s="35">
        <f>IF($U479="",DATE(1900,1,1),$O479)</f>
        <v/>
      </c>
      <c r="AA479" s="32">
        <f>IF($U479="",0,$K479*$T479)</f>
        <v/>
      </c>
      <c r="AB479" s="21">
        <f>IF($C479="",0,IFERROR(INDEX(Deals!$AD$2:$AD$355,MATCH($C479,Deals!$A$2:$A$355,0)),0))</f>
        <v/>
      </c>
      <c r="AC479" s="32">
        <f>IF(Settings!$B$4="Yes",$I479*$AB479,$I479)</f>
        <v/>
      </c>
      <c r="AD479" s="22">
        <f>IF($C479="","",IFERROR(IF(INDEX(Deals!$AE$2:$AE$355,MATCH($C479,Deals!$A$2:$A$355,0))=0,"",INDEX(Deals!$AE$2:$AE$355,MATCH($C479,Deals!$A$2:$A$355,0))),""))</f>
        <v/>
      </c>
      <c r="AE479" s="22">
        <f>IF($C479="","",IFERROR(IF(INDEX(Deals!$AF$2:$AF$355,MATCH($C479,Deals!$A$2:$A$355,0))=0,"",INDEX(Deals!$AF$2:$AF$355,MATCH($C479,Deals!$A$2:$A$355,0))),""))</f>
        <v/>
      </c>
      <c r="AF479" s="35">
        <f>IF($AD479="",DATE(1900,1,1),$AD479)</f>
        <v/>
      </c>
      <c r="AG479" s="35">
        <f>IF($AE479="",DATE(2100,12,31),$AE479)</f>
        <v/>
      </c>
      <c r="AH479" s="22">
        <f>IF($C479="","",IFERROR(IF(INDEX(Deals!$AG$2:$AG$355,MATCH($C479,Deals!$A$2:$A$355,0))=0,"",INDEX(Deals!$AG$2:$AG$355,MATCH($C479,Deals!$A$2:$A$355,0))),""))</f>
        <v/>
      </c>
      <c r="AI479" s="35">
        <f>IF($AH479="",DATE(1900,1,1),$AF479)</f>
        <v/>
      </c>
      <c r="AJ479" s="35">
        <f>IF($AH479="",DATE(2100,12,31),$AH479)</f>
        <v/>
      </c>
      <c r="AK479" s="32">
        <f>IF($AH479="",$AC479,$AC479*$S479)</f>
        <v/>
      </c>
      <c r="AL479" s="35">
        <f>IF($AH479="",DATE(2100,12,31),$AH479+1)</f>
        <v/>
      </c>
      <c r="AM479" s="35">
        <f>IF($AH479="",DATE(1900,1,1),$AG479)</f>
        <v/>
      </c>
      <c r="AN479" s="32">
        <f>IF($AH479="",0,$AC479*$T479)</f>
        <v/>
      </c>
    </row>
    <row r="480">
      <c r="A480" s="28" t="inlineStr">
        <is>
          <t>Nina</t>
        </is>
      </c>
      <c r="B480" s="16">
        <f>IF($A480="","",IFERROR(INDEX(Roster!$B$2:$B$40,MATCH($A480,Roster!$A$2:$A$40,0)),"?"))</f>
        <v/>
      </c>
      <c r="C480" s="28" t="inlineStr">
        <is>
          <t>Resenergize_1</t>
        </is>
      </c>
      <c r="D480" s="16">
        <f>IF($C480="","",IFERROR(IF(INDEX(Deals!$C$2:$C$355,MATCH($C480,Deals!$A$2:$A$355,0))=0,"",INDEX(Deals!$C$2:$C$355,MATCH($C480,Deals!$A$2:$A$355,0))),"?"))</f>
        <v/>
      </c>
      <c r="E480" s="16">
        <f>IF($C480="","",IFERROR(INDEX(Deals!$F$2:$F$355,MATCH($C480,Deals!$A$2:$A$355,0)),"?"))</f>
        <v/>
      </c>
      <c r="F480" s="28" t="inlineStr">
        <is>
          <t>Senior Associate</t>
        </is>
      </c>
      <c r="G480" s="28" t="inlineStr">
        <is>
          <t>Inactive</t>
        </is>
      </c>
      <c r="H480" s="31" t="n"/>
      <c r="I480" s="32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1">
        <f>IF($C480="",0,IFERROR(INDEX(Deals!$H$2:$H$355,MATCH($C480,Deals!$A$2:$A$355,0)),0))</f>
        <v/>
      </c>
      <c r="K480" s="32">
        <f>IF(Settings!$B$4="Yes",$I480*$J480,$I480)</f>
        <v/>
      </c>
      <c r="L480" s="22">
        <f>IF($C480="","",IFERROR(IF(INDEX(Deals!$I$2:$I$355,MATCH($C480,Deals!$A$2:$A$355,0))=0,"",INDEX(Deals!$I$2:$I$355,MATCH($C480,Deals!$A$2:$A$355,0))),""))</f>
        <v/>
      </c>
      <c r="M480" s="22">
        <f>IF($C480="","",IFERROR(IF(INDEX(Deals!$J$2:$J$355,MATCH($C480,Deals!$A$2:$A$355,0))=0,"",INDEX(Deals!$J$2:$J$355,MATCH($C480,Deals!$A$2:$A$355,0))),""))</f>
        <v/>
      </c>
      <c r="N480" s="35">
        <f>IF($L480="",DATE(1900,1,1),$L480)</f>
        <v/>
      </c>
      <c r="O480" s="35">
        <f>IF($M480="",DATE(2100,12,31),$M480)</f>
        <v/>
      </c>
      <c r="P480" s="20" t="inlineStr">
        <is>
          <t>Not involved in ongoing work</t>
        </is>
      </c>
      <c r="Q480" s="43" t="inlineStr"/>
      <c r="R480" s="16">
        <f>IF($C480="","",IFERROR(IF(INDEX(Deals!$U$2:$U$355,MATCH($C480,Deals!$A$2:$A$355,0))=0,"",INDEX(Deals!$U$2:$U$355,MATCH($C480,Deals!$A$2:$A$355,0))),""))</f>
        <v/>
      </c>
      <c r="S480" s="34">
        <f>IFERROR(IF($U480="",1,INDEX(Deals!$V$2:$V$355,MATCH($C480,Deals!$A$2:$A$355,0))),1)</f>
        <v/>
      </c>
      <c r="T480" s="34">
        <f>IFERROR(IF($U480="",1,INDEX(Deals!$W$2:$W$355,MATCH($C480,Deals!$A$2:$A$355,0))),1)</f>
        <v/>
      </c>
      <c r="U480" s="22">
        <f>IF($C480="","",IFERROR(IF(INDEX(Deals!$Y$2:$Y$355,MATCH($C480,Deals!$A$2:$A$355,0))=0,"",INDEX(Deals!$Y$2:$Y$355,MATCH($C480,Deals!$A$2:$A$355,0))),""))</f>
        <v/>
      </c>
      <c r="V480" s="35">
        <f>IF($U480="",DATE(1900,1,1),$N480)</f>
        <v/>
      </c>
      <c r="W480" s="35">
        <f>IF($U480="",DATE(2100,12,31),$U480)</f>
        <v/>
      </c>
      <c r="X480" s="32">
        <f>IF($U480="",$K480,$K480*$S480)</f>
        <v/>
      </c>
      <c r="Y480" s="35">
        <f>IF($U480="",DATE(2100,12,31),$U480+1)</f>
        <v/>
      </c>
      <c r="Z480" s="35">
        <f>IF($U480="",DATE(1900,1,1),$O480)</f>
        <v/>
      </c>
      <c r="AA480" s="32">
        <f>IF($U480="",0,$K480*$T480)</f>
        <v/>
      </c>
      <c r="AB480" s="21">
        <f>IF($C480="",0,IFERROR(INDEX(Deals!$AD$2:$AD$355,MATCH($C480,Deals!$A$2:$A$355,0)),0))</f>
        <v/>
      </c>
      <c r="AC480" s="32">
        <f>IF(Settings!$B$4="Yes",$I480*$AB480,$I480)</f>
        <v/>
      </c>
      <c r="AD480" s="22">
        <f>IF($C480="","",IFERROR(IF(INDEX(Deals!$AE$2:$AE$355,MATCH($C480,Deals!$A$2:$A$355,0))=0,"",INDEX(Deals!$AE$2:$AE$355,MATCH($C480,Deals!$A$2:$A$355,0))),""))</f>
        <v/>
      </c>
      <c r="AE480" s="22">
        <f>IF($C480="","",IFERROR(IF(INDEX(Deals!$AF$2:$AF$355,MATCH($C480,Deals!$A$2:$A$355,0))=0,"",INDEX(Deals!$AF$2:$AF$355,MATCH($C480,Deals!$A$2:$A$355,0))),""))</f>
        <v/>
      </c>
      <c r="AF480" s="35">
        <f>IF($AD480="",DATE(1900,1,1),$AD480)</f>
        <v/>
      </c>
      <c r="AG480" s="35">
        <f>IF($AE480="",DATE(2100,12,31),$AE480)</f>
        <v/>
      </c>
      <c r="AH480" s="22">
        <f>IF($C480="","",IFERROR(IF(INDEX(Deals!$AG$2:$AG$355,MATCH($C480,Deals!$A$2:$A$355,0))=0,"",INDEX(Deals!$AG$2:$AG$355,MATCH($C480,Deals!$A$2:$A$355,0))),""))</f>
        <v/>
      </c>
      <c r="AI480" s="35">
        <f>IF($AH480="",DATE(1900,1,1),$AF480)</f>
        <v/>
      </c>
      <c r="AJ480" s="35">
        <f>IF($AH480="",DATE(2100,12,31),$AH480)</f>
        <v/>
      </c>
      <c r="AK480" s="32">
        <f>IF($AH480="",$AC480,$AC480*$S480)</f>
        <v/>
      </c>
      <c r="AL480" s="35">
        <f>IF($AH480="",DATE(2100,12,31),$AH480+1)</f>
        <v/>
      </c>
      <c r="AM480" s="35">
        <f>IF($AH480="",DATE(1900,1,1),$AG480)</f>
        <v/>
      </c>
      <c r="AN480" s="32">
        <f>IF($AH480="",0,$AC480*$T480)</f>
        <v/>
      </c>
    </row>
    <row r="481">
      <c r="A481" s="28" t="inlineStr">
        <is>
          <t>Nina</t>
        </is>
      </c>
      <c r="B481" s="16">
        <f>IF($A481="","",IFERROR(INDEX(Roster!$B$2:$B$40,MATCH($A481,Roster!$A$2:$A$40,0)),"?"))</f>
        <v/>
      </c>
      <c r="C481" s="28" t="inlineStr">
        <is>
          <t>Rover_3</t>
        </is>
      </c>
      <c r="D481" s="16">
        <f>IF($C481="","",IFERROR(IF(INDEX(Deals!$C$2:$C$355,MATCH($C481,Deals!$A$2:$A$355,0))=0,"",INDEX(Deals!$C$2:$C$355,MATCH($C481,Deals!$A$2:$A$355,0))),"?"))</f>
        <v/>
      </c>
      <c r="E481" s="16">
        <f>IF($C481="","",IFERROR(INDEX(Deals!$F$2:$F$355,MATCH($C481,Deals!$A$2:$A$355,0)),"?"))</f>
        <v/>
      </c>
      <c r="F481" s="28" t="inlineStr">
        <is>
          <t>Senior Associate</t>
        </is>
      </c>
      <c r="G481" s="28" t="inlineStr">
        <is>
          <t>Active</t>
        </is>
      </c>
      <c r="H481" s="31" t="n"/>
      <c r="I481" s="32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1">
        <f>IF($C481="",0,IFERROR(INDEX(Deals!$H$2:$H$355,MATCH($C481,Deals!$A$2:$A$355,0)),0))</f>
        <v/>
      </c>
      <c r="K481" s="32">
        <f>IF(Settings!$B$4="Yes",$I481*$J481,$I481)</f>
        <v/>
      </c>
      <c r="L481" s="22">
        <f>IF($C481="","",IFERROR(IF(INDEX(Deals!$I$2:$I$355,MATCH($C481,Deals!$A$2:$A$355,0))=0,"",INDEX(Deals!$I$2:$I$355,MATCH($C481,Deals!$A$2:$A$355,0))),""))</f>
        <v/>
      </c>
      <c r="M481" s="22">
        <f>IF($C481="","",IFERROR(IF(INDEX(Deals!$J$2:$J$355,MATCH($C481,Deals!$A$2:$A$355,0))=0,"",INDEX(Deals!$J$2:$J$355,MATCH($C481,Deals!$A$2:$A$355,0))),""))</f>
        <v/>
      </c>
      <c r="N481" s="35">
        <f>IF($L481="",DATE(1900,1,1),$L481)</f>
        <v/>
      </c>
      <c r="O481" s="35">
        <f>IF($M481="",DATE(2100,12,31),$M481)</f>
        <v/>
      </c>
      <c r="P481" s="20" t="inlineStr">
        <is>
          <t>Ongoing</t>
        </is>
      </c>
      <c r="Q481" s="43" t="inlineStr"/>
      <c r="R481" s="16">
        <f>IF($C481="","",IFERROR(IF(INDEX(Deals!$U$2:$U$355,MATCH($C481,Deals!$A$2:$A$355,0))=0,"",INDEX(Deals!$U$2:$U$355,MATCH($C481,Deals!$A$2:$A$355,0))),""))</f>
        <v/>
      </c>
      <c r="S481" s="34">
        <f>IFERROR(IF($U481="",1,INDEX(Deals!$V$2:$V$355,MATCH($C481,Deals!$A$2:$A$355,0))),1)</f>
        <v/>
      </c>
      <c r="T481" s="34">
        <f>IFERROR(IF($U481="",1,INDEX(Deals!$W$2:$W$355,MATCH($C481,Deals!$A$2:$A$355,0))),1)</f>
        <v/>
      </c>
      <c r="U481" s="22">
        <f>IF($C481="","",IFERROR(IF(INDEX(Deals!$Y$2:$Y$355,MATCH($C481,Deals!$A$2:$A$355,0))=0,"",INDEX(Deals!$Y$2:$Y$355,MATCH($C481,Deals!$A$2:$A$355,0))),""))</f>
        <v/>
      </c>
      <c r="V481" s="35">
        <f>IF($U481="",DATE(1900,1,1),$N481)</f>
        <v/>
      </c>
      <c r="W481" s="35">
        <f>IF($U481="",DATE(2100,12,31),$U481)</f>
        <v/>
      </c>
      <c r="X481" s="32">
        <f>IF($U481="",$K481,$K481*$S481)</f>
        <v/>
      </c>
      <c r="Y481" s="35">
        <f>IF($U481="",DATE(2100,12,31),$U481+1)</f>
        <v/>
      </c>
      <c r="Z481" s="35">
        <f>IF($U481="",DATE(1900,1,1),$O481)</f>
        <v/>
      </c>
      <c r="AA481" s="32">
        <f>IF($U481="",0,$K481*$T481)</f>
        <v/>
      </c>
      <c r="AB481" s="21">
        <f>IF($C481="",0,IFERROR(INDEX(Deals!$AD$2:$AD$355,MATCH($C481,Deals!$A$2:$A$355,0)),0))</f>
        <v/>
      </c>
      <c r="AC481" s="32">
        <f>IF(Settings!$B$4="Yes",$I481*$AB481,$I481)</f>
        <v/>
      </c>
      <c r="AD481" s="22">
        <f>IF($C481="","",IFERROR(IF(INDEX(Deals!$AE$2:$AE$355,MATCH($C481,Deals!$A$2:$A$355,0))=0,"",INDEX(Deals!$AE$2:$AE$355,MATCH($C481,Deals!$A$2:$A$355,0))),""))</f>
        <v/>
      </c>
      <c r="AE481" s="22">
        <f>IF($C481="","",IFERROR(IF(INDEX(Deals!$AF$2:$AF$355,MATCH($C481,Deals!$A$2:$A$355,0))=0,"",INDEX(Deals!$AF$2:$AF$355,MATCH($C481,Deals!$A$2:$A$355,0))),""))</f>
        <v/>
      </c>
      <c r="AF481" s="35">
        <f>IF($AD481="",DATE(1900,1,1),$AD481)</f>
        <v/>
      </c>
      <c r="AG481" s="35">
        <f>IF($AE481="",DATE(2100,12,31),$AE481)</f>
        <v/>
      </c>
      <c r="AH481" s="22">
        <f>IF($C481="","",IFERROR(IF(INDEX(Deals!$AG$2:$AG$355,MATCH($C481,Deals!$A$2:$A$355,0))=0,"",INDEX(Deals!$AG$2:$AG$355,MATCH($C481,Deals!$A$2:$A$355,0))),""))</f>
        <v/>
      </c>
      <c r="AI481" s="35">
        <f>IF($AH481="",DATE(1900,1,1),$AF481)</f>
        <v/>
      </c>
      <c r="AJ481" s="35">
        <f>IF($AH481="",DATE(2100,12,31),$AH481)</f>
        <v/>
      </c>
      <c r="AK481" s="32">
        <f>IF($AH481="",$AC481,$AC481*$S481)</f>
        <v/>
      </c>
      <c r="AL481" s="35">
        <f>IF($AH481="",DATE(2100,12,31),$AH481+1)</f>
        <v/>
      </c>
      <c r="AM481" s="35">
        <f>IF($AH481="",DATE(1900,1,1),$AG481)</f>
        <v/>
      </c>
      <c r="AN481" s="32">
        <f>IF($AH481="",0,$AC481*$T481)</f>
        <v/>
      </c>
    </row>
    <row r="482">
      <c r="A482" s="28" t="inlineStr">
        <is>
          <t>Nina</t>
        </is>
      </c>
      <c r="B482" s="16">
        <f>IF($A482="","",IFERROR(INDEX(Roster!$B$2:$B$40,MATCH($A482,Roster!$A$2:$A$40,0)),"?"))</f>
        <v/>
      </c>
      <c r="C482" s="28" t="inlineStr">
        <is>
          <t>Sentinel_2</t>
        </is>
      </c>
      <c r="D482" s="16">
        <f>IF($C482="","",IFERROR(IF(INDEX(Deals!$C$2:$C$355,MATCH($C482,Deals!$A$2:$A$355,0))=0,"",INDEX(Deals!$C$2:$C$355,MATCH($C482,Deals!$A$2:$A$355,0))),"?"))</f>
        <v/>
      </c>
      <c r="E482" s="16">
        <f>IF($C482="","",IFERROR(INDEX(Deals!$F$2:$F$355,MATCH($C482,Deals!$A$2:$A$355,0)),"?"))</f>
        <v/>
      </c>
      <c r="F482" s="28" t="inlineStr">
        <is>
          <t>Senior Associate</t>
        </is>
      </c>
      <c r="G482" s="28" t="inlineStr">
        <is>
          <t>Active</t>
        </is>
      </c>
      <c r="H482" s="31" t="n"/>
      <c r="I482" s="32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1">
        <f>IF($C482="",0,IFERROR(INDEX(Deals!$H$2:$H$355,MATCH($C482,Deals!$A$2:$A$355,0)),0))</f>
        <v/>
      </c>
      <c r="K482" s="32">
        <f>IF(Settings!$B$4="Yes",$I482*$J482,$I482)</f>
        <v/>
      </c>
      <c r="L482" s="22">
        <f>IF($C482="","",IFERROR(IF(INDEX(Deals!$I$2:$I$355,MATCH($C482,Deals!$A$2:$A$355,0))=0,"",INDEX(Deals!$I$2:$I$355,MATCH($C482,Deals!$A$2:$A$355,0))),""))</f>
        <v/>
      </c>
      <c r="M482" s="22">
        <f>IF($C482="","",IFERROR(IF(INDEX(Deals!$J$2:$J$355,MATCH($C482,Deals!$A$2:$A$355,0))=0,"",INDEX(Deals!$J$2:$J$355,MATCH($C482,Deals!$A$2:$A$355,0))),""))</f>
        <v/>
      </c>
      <c r="N482" s="35">
        <f>IF($L482="",DATE(1900,1,1),$L482)</f>
        <v/>
      </c>
      <c r="O482" s="35">
        <f>IF($M482="",DATE(2100,12,31),$M482)</f>
        <v/>
      </c>
      <c r="P482" s="20" t="inlineStr"/>
      <c r="Q482" s="43" t="inlineStr"/>
      <c r="R482" s="16">
        <f>IF($C482="","",IFERROR(IF(INDEX(Deals!$U$2:$U$355,MATCH($C482,Deals!$A$2:$A$355,0))=0,"",INDEX(Deals!$U$2:$U$355,MATCH($C482,Deals!$A$2:$A$355,0))),""))</f>
        <v/>
      </c>
      <c r="S482" s="34">
        <f>IFERROR(IF($U482="",1,INDEX(Deals!$V$2:$V$355,MATCH($C482,Deals!$A$2:$A$355,0))),1)</f>
        <v/>
      </c>
      <c r="T482" s="34">
        <f>IFERROR(IF($U482="",1,INDEX(Deals!$W$2:$W$355,MATCH($C482,Deals!$A$2:$A$355,0))),1)</f>
        <v/>
      </c>
      <c r="U482" s="22">
        <f>IF($C482="","",IFERROR(IF(INDEX(Deals!$Y$2:$Y$355,MATCH($C482,Deals!$A$2:$A$355,0))=0,"",INDEX(Deals!$Y$2:$Y$355,MATCH($C482,Deals!$A$2:$A$355,0))),""))</f>
        <v/>
      </c>
      <c r="V482" s="35">
        <f>IF($U482="",DATE(1900,1,1),$N482)</f>
        <v/>
      </c>
      <c r="W482" s="35">
        <f>IF($U482="",DATE(2100,12,31),$U482)</f>
        <v/>
      </c>
      <c r="X482" s="32">
        <f>IF($U482="",$K482,$K482*$S482)</f>
        <v/>
      </c>
      <c r="Y482" s="35">
        <f>IF($U482="",DATE(2100,12,31),$U482+1)</f>
        <v/>
      </c>
      <c r="Z482" s="35">
        <f>IF($U482="",DATE(1900,1,1),$O482)</f>
        <v/>
      </c>
      <c r="AA482" s="32">
        <f>IF($U482="",0,$K482*$T482)</f>
        <v/>
      </c>
      <c r="AB482" s="21">
        <f>IF($C482="",0,IFERROR(INDEX(Deals!$AD$2:$AD$355,MATCH($C482,Deals!$A$2:$A$355,0)),0))</f>
        <v/>
      </c>
      <c r="AC482" s="32">
        <f>IF(Settings!$B$4="Yes",$I482*$AB482,$I482)</f>
        <v/>
      </c>
      <c r="AD482" s="22">
        <f>IF($C482="","",IFERROR(IF(INDEX(Deals!$AE$2:$AE$355,MATCH($C482,Deals!$A$2:$A$355,0))=0,"",INDEX(Deals!$AE$2:$AE$355,MATCH($C482,Deals!$A$2:$A$355,0))),""))</f>
        <v/>
      </c>
      <c r="AE482" s="22">
        <f>IF($C482="","",IFERROR(IF(INDEX(Deals!$AF$2:$AF$355,MATCH($C482,Deals!$A$2:$A$355,0))=0,"",INDEX(Deals!$AF$2:$AF$355,MATCH($C482,Deals!$A$2:$A$355,0))),""))</f>
        <v/>
      </c>
      <c r="AF482" s="35">
        <f>IF($AD482="",DATE(1900,1,1),$AD482)</f>
        <v/>
      </c>
      <c r="AG482" s="35">
        <f>IF($AE482="",DATE(2100,12,31),$AE482)</f>
        <v/>
      </c>
      <c r="AH482" s="22">
        <f>IF($C482="","",IFERROR(IF(INDEX(Deals!$AG$2:$AG$355,MATCH($C482,Deals!$A$2:$A$355,0))=0,"",INDEX(Deals!$AG$2:$AG$355,MATCH($C482,Deals!$A$2:$A$355,0))),""))</f>
        <v/>
      </c>
      <c r="AI482" s="35">
        <f>IF($AH482="",DATE(1900,1,1),$AF482)</f>
        <v/>
      </c>
      <c r="AJ482" s="35">
        <f>IF($AH482="",DATE(2100,12,31),$AH482)</f>
        <v/>
      </c>
      <c r="AK482" s="32">
        <f>IF($AH482="",$AC482,$AC482*$S482)</f>
        <v/>
      </c>
      <c r="AL482" s="35">
        <f>IF($AH482="",DATE(2100,12,31),$AH482+1)</f>
        <v/>
      </c>
      <c r="AM482" s="35">
        <f>IF($AH482="",DATE(1900,1,1),$AG482)</f>
        <v/>
      </c>
      <c r="AN482" s="32">
        <f>IF($AH482="",0,$AC482*$T482)</f>
        <v/>
      </c>
    </row>
    <row r="483">
      <c r="A483" s="28" t="inlineStr">
        <is>
          <t>Nina</t>
        </is>
      </c>
      <c r="B483" s="16">
        <f>IF($A483="","",IFERROR(INDEX(Roster!$B$2:$B$40,MATCH($A483,Roster!$A$2:$A$40,0)),"?"))</f>
        <v/>
      </c>
      <c r="C483" s="28" t="inlineStr">
        <is>
          <t>shareplan</t>
        </is>
      </c>
      <c r="D483" s="16">
        <f>IF($C483="","",IFERROR(IF(INDEX(Deals!$C$2:$C$355,MATCH($C483,Deals!$A$2:$A$355,0))=0,"",INDEX(Deals!$C$2:$C$355,MATCH($C483,Deals!$A$2:$A$355,0))),"?"))</f>
        <v/>
      </c>
      <c r="E483" s="16">
        <f>IF($C483="","",IFERROR(INDEX(Deals!$F$2:$F$355,MATCH($C483,Deals!$A$2:$A$355,0)),"?"))</f>
        <v/>
      </c>
      <c r="F483" s="28" t="inlineStr">
        <is>
          <t>Senior Associate</t>
        </is>
      </c>
      <c r="G483" s="28" t="inlineStr">
        <is>
          <t>Active</t>
        </is>
      </c>
      <c r="H483" s="31" t="n"/>
      <c r="I483" s="32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1">
        <f>IF($C483="",0,IFERROR(INDEX(Deals!$H$2:$H$355,MATCH($C483,Deals!$A$2:$A$355,0)),0))</f>
        <v/>
      </c>
      <c r="K483" s="32">
        <f>IF(Settings!$B$4="Yes",$I483*$J483,$I483)</f>
        <v/>
      </c>
      <c r="L483" s="22">
        <f>IF($C483="","",IFERROR(IF(INDEX(Deals!$I$2:$I$355,MATCH($C483,Deals!$A$2:$A$355,0))=0,"",INDEX(Deals!$I$2:$I$355,MATCH($C483,Deals!$A$2:$A$355,0))),""))</f>
        <v/>
      </c>
      <c r="M483" s="22">
        <f>IF($C483="","",IFERROR(IF(INDEX(Deals!$J$2:$J$355,MATCH($C483,Deals!$A$2:$A$355,0))=0,"",INDEX(Deals!$J$2:$J$355,MATCH($C483,Deals!$A$2:$A$355,0))),""))</f>
        <v/>
      </c>
      <c r="N483" s="35">
        <f>IF($L483="",DATE(1900,1,1),$L483)</f>
        <v/>
      </c>
      <c r="O483" s="35">
        <f>IF($M483="",DATE(2100,12,31),$M483)</f>
        <v/>
      </c>
      <c r="P483" s="20" t="inlineStr">
        <is>
          <t>Proposal sent</t>
        </is>
      </c>
      <c r="Q483" s="43" t="inlineStr">
        <is>
          <t>Added from Summary tab</t>
        </is>
      </c>
      <c r="R483" s="16">
        <f>IF($C483="","",IFERROR(IF(INDEX(Deals!$U$2:$U$355,MATCH($C483,Deals!$A$2:$A$355,0))=0,"",INDEX(Deals!$U$2:$U$355,MATCH($C483,Deals!$A$2:$A$355,0))),""))</f>
        <v/>
      </c>
      <c r="S483" s="34">
        <f>IFERROR(IF($U483="",1,INDEX(Deals!$V$2:$V$355,MATCH($C483,Deals!$A$2:$A$355,0))),1)</f>
        <v/>
      </c>
      <c r="T483" s="34">
        <f>IFERROR(IF($U483="",1,INDEX(Deals!$W$2:$W$355,MATCH($C483,Deals!$A$2:$A$355,0))),1)</f>
        <v/>
      </c>
      <c r="U483" s="22">
        <f>IF($C483="","",IFERROR(IF(INDEX(Deals!$Y$2:$Y$355,MATCH($C483,Deals!$A$2:$A$355,0))=0,"",INDEX(Deals!$Y$2:$Y$355,MATCH($C483,Deals!$A$2:$A$355,0))),""))</f>
        <v/>
      </c>
      <c r="V483" s="35">
        <f>IF($U483="",DATE(1900,1,1),$N483)</f>
        <v/>
      </c>
      <c r="W483" s="35">
        <f>IF($U483="",DATE(2100,12,31),$U483)</f>
        <v/>
      </c>
      <c r="X483" s="32">
        <f>IF($U483="",$K483,$K483*$S483)</f>
        <v/>
      </c>
      <c r="Y483" s="35">
        <f>IF($U483="",DATE(2100,12,31),$U483+1)</f>
        <v/>
      </c>
      <c r="Z483" s="35">
        <f>IF($U483="",DATE(1900,1,1),$O483)</f>
        <v/>
      </c>
      <c r="AA483" s="32">
        <f>IF($U483="",0,$K483*$T483)</f>
        <v/>
      </c>
      <c r="AB483" s="21">
        <f>IF($C483="",0,IFERROR(INDEX(Deals!$AD$2:$AD$355,MATCH($C483,Deals!$A$2:$A$355,0)),0))</f>
        <v/>
      </c>
      <c r="AC483" s="32">
        <f>IF(Settings!$B$4="Yes",$I483*$AB483,$I483)</f>
        <v/>
      </c>
      <c r="AD483" s="22">
        <f>IF($C483="","",IFERROR(IF(INDEX(Deals!$AE$2:$AE$355,MATCH($C483,Deals!$A$2:$A$355,0))=0,"",INDEX(Deals!$AE$2:$AE$355,MATCH($C483,Deals!$A$2:$A$355,0))),""))</f>
        <v/>
      </c>
      <c r="AE483" s="22">
        <f>IF($C483="","",IFERROR(IF(INDEX(Deals!$AF$2:$AF$355,MATCH($C483,Deals!$A$2:$A$355,0))=0,"",INDEX(Deals!$AF$2:$AF$355,MATCH($C483,Deals!$A$2:$A$355,0))),""))</f>
        <v/>
      </c>
      <c r="AF483" s="35">
        <f>IF($AD483="",DATE(1900,1,1),$AD483)</f>
        <v/>
      </c>
      <c r="AG483" s="35">
        <f>IF($AE483="",DATE(2100,12,31),$AE483)</f>
        <v/>
      </c>
      <c r="AH483" s="22">
        <f>IF($C483="","",IFERROR(IF(INDEX(Deals!$AG$2:$AG$355,MATCH($C483,Deals!$A$2:$A$355,0))=0,"",INDEX(Deals!$AG$2:$AG$355,MATCH($C483,Deals!$A$2:$A$355,0))),""))</f>
        <v/>
      </c>
      <c r="AI483" s="35">
        <f>IF($AH483="",DATE(1900,1,1),$AF483)</f>
        <v/>
      </c>
      <c r="AJ483" s="35">
        <f>IF($AH483="",DATE(2100,12,31),$AH483)</f>
        <v/>
      </c>
      <c r="AK483" s="32">
        <f>IF($AH483="",$AC483,$AC483*$S483)</f>
        <v/>
      </c>
      <c r="AL483" s="35">
        <f>IF($AH483="",DATE(2100,12,31),$AH483+1)</f>
        <v/>
      </c>
      <c r="AM483" s="35">
        <f>IF($AH483="",DATE(1900,1,1),$AG483)</f>
        <v/>
      </c>
      <c r="AN483" s="32">
        <f>IF($AH483="",0,$AC483*$T483)</f>
        <v/>
      </c>
    </row>
    <row r="484">
      <c r="A484" s="28" t="inlineStr">
        <is>
          <t>Nina</t>
        </is>
      </c>
      <c r="B484" s="16">
        <f>IF($A484="","",IFERROR(INDEX(Roster!$B$2:$B$40,MATCH($A484,Roster!$A$2:$A$40,0)),"?"))</f>
        <v/>
      </c>
      <c r="C484" s="28" t="inlineStr">
        <is>
          <t>Sierra_3</t>
        </is>
      </c>
      <c r="D484" s="16">
        <f>IF($C484="","",IFERROR(IF(INDEX(Deals!$C$2:$C$355,MATCH($C484,Deals!$A$2:$A$355,0))=0,"",INDEX(Deals!$C$2:$C$355,MATCH($C484,Deals!$A$2:$A$355,0))),"?"))</f>
        <v/>
      </c>
      <c r="E484" s="16">
        <f>IF($C484="","",IFERROR(INDEX(Deals!$F$2:$F$355,MATCH($C484,Deals!$A$2:$A$355,0)),"?"))</f>
        <v/>
      </c>
      <c r="F484" s="28" t="inlineStr">
        <is>
          <t>Senior Associate</t>
        </is>
      </c>
      <c r="G484" s="28" t="inlineStr">
        <is>
          <t>Inactive</t>
        </is>
      </c>
      <c r="H484" s="31" t="n"/>
      <c r="I484" s="32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1">
        <f>IF($C484="",0,IFERROR(INDEX(Deals!$H$2:$H$355,MATCH($C484,Deals!$A$2:$A$355,0)),0))</f>
        <v/>
      </c>
      <c r="K484" s="32">
        <f>IF(Settings!$B$4="Yes",$I484*$J484,$I484)</f>
        <v/>
      </c>
      <c r="L484" s="22">
        <f>IF($C484="","",IFERROR(IF(INDEX(Deals!$I$2:$I$355,MATCH($C484,Deals!$A$2:$A$355,0))=0,"",INDEX(Deals!$I$2:$I$355,MATCH($C484,Deals!$A$2:$A$355,0))),""))</f>
        <v/>
      </c>
      <c r="M484" s="22">
        <f>IF($C484="","",IFERROR(IF(INDEX(Deals!$J$2:$J$355,MATCH($C484,Deals!$A$2:$A$355,0))=0,"",INDEX(Deals!$J$2:$J$355,MATCH($C484,Deals!$A$2:$A$355,0))),""))</f>
        <v/>
      </c>
      <c r="N484" s="35">
        <f>IF($L484="",DATE(1900,1,1),$L484)</f>
        <v/>
      </c>
      <c r="O484" s="35">
        <f>IF($M484="",DATE(2100,12,31),$M484)</f>
        <v/>
      </c>
      <c r="P484" s="20" t="inlineStr">
        <is>
          <t>Not involved in ongoing work</t>
        </is>
      </c>
      <c r="Q484" s="43" t="inlineStr"/>
      <c r="R484" s="16">
        <f>IF($C484="","",IFERROR(IF(INDEX(Deals!$U$2:$U$355,MATCH($C484,Deals!$A$2:$A$355,0))=0,"",INDEX(Deals!$U$2:$U$355,MATCH($C484,Deals!$A$2:$A$355,0))),""))</f>
        <v/>
      </c>
      <c r="S484" s="34">
        <f>IFERROR(IF($U484="",1,INDEX(Deals!$V$2:$V$355,MATCH($C484,Deals!$A$2:$A$355,0))),1)</f>
        <v/>
      </c>
      <c r="T484" s="34">
        <f>IFERROR(IF($U484="",1,INDEX(Deals!$W$2:$W$355,MATCH($C484,Deals!$A$2:$A$355,0))),1)</f>
        <v/>
      </c>
      <c r="U484" s="22">
        <f>IF($C484="","",IFERROR(IF(INDEX(Deals!$Y$2:$Y$355,MATCH($C484,Deals!$A$2:$A$355,0))=0,"",INDEX(Deals!$Y$2:$Y$355,MATCH($C484,Deals!$A$2:$A$355,0))),""))</f>
        <v/>
      </c>
      <c r="V484" s="35">
        <f>IF($U484="",DATE(1900,1,1),$N484)</f>
        <v/>
      </c>
      <c r="W484" s="35">
        <f>IF($U484="",DATE(2100,12,31),$U484)</f>
        <v/>
      </c>
      <c r="X484" s="32">
        <f>IF($U484="",$K484,$K484*$S484)</f>
        <v/>
      </c>
      <c r="Y484" s="35">
        <f>IF($U484="",DATE(2100,12,31),$U484+1)</f>
        <v/>
      </c>
      <c r="Z484" s="35">
        <f>IF($U484="",DATE(1900,1,1),$O484)</f>
        <v/>
      </c>
      <c r="AA484" s="32">
        <f>IF($U484="",0,$K484*$T484)</f>
        <v/>
      </c>
      <c r="AB484" s="21">
        <f>IF($C484="",0,IFERROR(INDEX(Deals!$AD$2:$AD$355,MATCH($C484,Deals!$A$2:$A$355,0)),0))</f>
        <v/>
      </c>
      <c r="AC484" s="32">
        <f>IF(Settings!$B$4="Yes",$I484*$AB484,$I484)</f>
        <v/>
      </c>
      <c r="AD484" s="22">
        <f>IF($C484="","",IFERROR(IF(INDEX(Deals!$AE$2:$AE$355,MATCH($C484,Deals!$A$2:$A$355,0))=0,"",INDEX(Deals!$AE$2:$AE$355,MATCH($C484,Deals!$A$2:$A$355,0))),""))</f>
        <v/>
      </c>
      <c r="AE484" s="22">
        <f>IF($C484="","",IFERROR(IF(INDEX(Deals!$AF$2:$AF$355,MATCH($C484,Deals!$A$2:$A$355,0))=0,"",INDEX(Deals!$AF$2:$AF$355,MATCH($C484,Deals!$A$2:$A$355,0))),""))</f>
        <v/>
      </c>
      <c r="AF484" s="35">
        <f>IF($AD484="",DATE(1900,1,1),$AD484)</f>
        <v/>
      </c>
      <c r="AG484" s="35">
        <f>IF($AE484="",DATE(2100,12,31),$AE484)</f>
        <v/>
      </c>
      <c r="AH484" s="22">
        <f>IF($C484="","",IFERROR(IF(INDEX(Deals!$AG$2:$AG$355,MATCH($C484,Deals!$A$2:$A$355,0))=0,"",INDEX(Deals!$AG$2:$AG$355,MATCH($C484,Deals!$A$2:$A$355,0))),""))</f>
        <v/>
      </c>
      <c r="AI484" s="35">
        <f>IF($AH484="",DATE(1900,1,1),$AF484)</f>
        <v/>
      </c>
      <c r="AJ484" s="35">
        <f>IF($AH484="",DATE(2100,12,31),$AH484)</f>
        <v/>
      </c>
      <c r="AK484" s="32">
        <f>IF($AH484="",$AC484,$AC484*$S484)</f>
        <v/>
      </c>
      <c r="AL484" s="35">
        <f>IF($AH484="",DATE(2100,12,31),$AH484+1)</f>
        <v/>
      </c>
      <c r="AM484" s="35">
        <f>IF($AH484="",DATE(1900,1,1),$AG484)</f>
        <v/>
      </c>
      <c r="AN484" s="32">
        <f>IF($AH484="",0,$AC484*$T484)</f>
        <v/>
      </c>
    </row>
    <row r="485">
      <c r="A485" s="28" t="inlineStr">
        <is>
          <t>Nina</t>
        </is>
      </c>
      <c r="B485" s="16">
        <f>IF($A485="","",IFERROR(INDEX(Roster!$B$2:$B$40,MATCH($A485,Roster!$A$2:$A$40,0)),"?"))</f>
        <v/>
      </c>
      <c r="C485" s="28" t="inlineStr">
        <is>
          <t>Staffing_1</t>
        </is>
      </c>
      <c r="D485" s="16">
        <f>IF($C485="","",IFERROR(IF(INDEX(Deals!$C$2:$C$355,MATCH($C485,Deals!$A$2:$A$355,0))=0,"",INDEX(Deals!$C$2:$C$355,MATCH($C485,Deals!$A$2:$A$355,0))),"?"))</f>
        <v/>
      </c>
      <c r="E485" s="16">
        <f>IF($C485="","",IFERROR(INDEX(Deals!$F$2:$F$355,MATCH($C485,Deals!$A$2:$A$355,0)),"?"))</f>
        <v/>
      </c>
      <c r="F485" s="28" t="inlineStr">
        <is>
          <t>Senior Associate</t>
        </is>
      </c>
      <c r="G485" s="28" t="inlineStr">
        <is>
          <t>Active</t>
        </is>
      </c>
      <c r="H485" s="31" t="n"/>
      <c r="I485" s="32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1">
        <f>IF($C485="",0,IFERROR(INDEX(Deals!$H$2:$H$355,MATCH($C485,Deals!$A$2:$A$355,0)),0))</f>
        <v/>
      </c>
      <c r="K485" s="32">
        <f>IF(Settings!$B$4="Yes",$I485*$J485,$I485)</f>
        <v/>
      </c>
      <c r="L485" s="22">
        <f>IF($C485="","",IFERROR(IF(INDEX(Deals!$I$2:$I$355,MATCH($C485,Deals!$A$2:$A$355,0))=0,"",INDEX(Deals!$I$2:$I$355,MATCH($C485,Deals!$A$2:$A$355,0))),""))</f>
        <v/>
      </c>
      <c r="M485" s="22">
        <f>IF($C485="","",IFERROR(IF(INDEX(Deals!$J$2:$J$355,MATCH($C485,Deals!$A$2:$A$355,0))=0,"",INDEX(Deals!$J$2:$J$355,MATCH($C485,Deals!$A$2:$A$355,0))),""))</f>
        <v/>
      </c>
      <c r="N485" s="35">
        <f>IF($L485="",DATE(1900,1,1),$L485)</f>
        <v/>
      </c>
      <c r="O485" s="35">
        <f>IF($M485="",DATE(2100,12,31),$M485)</f>
        <v/>
      </c>
      <c r="P485" s="20" t="inlineStr"/>
      <c r="Q485" s="43" t="inlineStr"/>
      <c r="R485" s="16">
        <f>IF($C485="","",IFERROR(IF(INDEX(Deals!$U$2:$U$355,MATCH($C485,Deals!$A$2:$A$355,0))=0,"",INDEX(Deals!$U$2:$U$355,MATCH($C485,Deals!$A$2:$A$355,0))),""))</f>
        <v/>
      </c>
      <c r="S485" s="34">
        <f>IFERROR(IF($U485="",1,INDEX(Deals!$V$2:$V$355,MATCH($C485,Deals!$A$2:$A$355,0))),1)</f>
        <v/>
      </c>
      <c r="T485" s="34">
        <f>IFERROR(IF($U485="",1,INDEX(Deals!$W$2:$W$355,MATCH($C485,Deals!$A$2:$A$355,0))),1)</f>
        <v/>
      </c>
      <c r="U485" s="22">
        <f>IF($C485="","",IFERROR(IF(INDEX(Deals!$Y$2:$Y$355,MATCH($C485,Deals!$A$2:$A$355,0))=0,"",INDEX(Deals!$Y$2:$Y$355,MATCH($C485,Deals!$A$2:$A$355,0))),""))</f>
        <v/>
      </c>
      <c r="V485" s="35">
        <f>IF($U485="",DATE(1900,1,1),$N485)</f>
        <v/>
      </c>
      <c r="W485" s="35">
        <f>IF($U485="",DATE(2100,12,31),$U485)</f>
        <v/>
      </c>
      <c r="X485" s="32">
        <f>IF($U485="",$K485,$K485*$S485)</f>
        <v/>
      </c>
      <c r="Y485" s="35">
        <f>IF($U485="",DATE(2100,12,31),$U485+1)</f>
        <v/>
      </c>
      <c r="Z485" s="35">
        <f>IF($U485="",DATE(1900,1,1),$O485)</f>
        <v/>
      </c>
      <c r="AA485" s="32">
        <f>IF($U485="",0,$K485*$T485)</f>
        <v/>
      </c>
      <c r="AB485" s="21">
        <f>IF($C485="",0,IFERROR(INDEX(Deals!$AD$2:$AD$355,MATCH($C485,Deals!$A$2:$A$355,0)),0))</f>
        <v/>
      </c>
      <c r="AC485" s="32">
        <f>IF(Settings!$B$4="Yes",$I485*$AB485,$I485)</f>
        <v/>
      </c>
      <c r="AD485" s="22">
        <f>IF($C485="","",IFERROR(IF(INDEX(Deals!$AE$2:$AE$355,MATCH($C485,Deals!$A$2:$A$355,0))=0,"",INDEX(Deals!$AE$2:$AE$355,MATCH($C485,Deals!$A$2:$A$355,0))),""))</f>
        <v/>
      </c>
      <c r="AE485" s="22">
        <f>IF($C485="","",IFERROR(IF(INDEX(Deals!$AF$2:$AF$355,MATCH($C485,Deals!$A$2:$A$355,0))=0,"",INDEX(Deals!$AF$2:$AF$355,MATCH($C485,Deals!$A$2:$A$355,0))),""))</f>
        <v/>
      </c>
      <c r="AF485" s="35">
        <f>IF($AD485="",DATE(1900,1,1),$AD485)</f>
        <v/>
      </c>
      <c r="AG485" s="35">
        <f>IF($AE485="",DATE(2100,12,31),$AE485)</f>
        <v/>
      </c>
      <c r="AH485" s="22">
        <f>IF($C485="","",IFERROR(IF(INDEX(Deals!$AG$2:$AG$355,MATCH($C485,Deals!$A$2:$A$355,0))=0,"",INDEX(Deals!$AG$2:$AG$355,MATCH($C485,Deals!$A$2:$A$355,0))),""))</f>
        <v/>
      </c>
      <c r="AI485" s="35">
        <f>IF($AH485="",DATE(1900,1,1),$AF485)</f>
        <v/>
      </c>
      <c r="AJ485" s="35">
        <f>IF($AH485="",DATE(2100,12,31),$AH485)</f>
        <v/>
      </c>
      <c r="AK485" s="32">
        <f>IF($AH485="",$AC485,$AC485*$S485)</f>
        <v/>
      </c>
      <c r="AL485" s="35">
        <f>IF($AH485="",DATE(2100,12,31),$AH485+1)</f>
        <v/>
      </c>
      <c r="AM485" s="35">
        <f>IF($AH485="",DATE(1900,1,1),$AG485)</f>
        <v/>
      </c>
      <c r="AN485" s="32">
        <f>IF($AH485="",0,$AC485*$T485)</f>
        <v/>
      </c>
    </row>
    <row r="486">
      <c r="A486" s="28" t="inlineStr">
        <is>
          <t>Nina</t>
        </is>
      </c>
      <c r="B486" s="16">
        <f>IF($A486="","",IFERROR(INDEX(Roster!$B$2:$B$40,MATCH($A486,Roster!$A$2:$A$40,0)),"?"))</f>
        <v/>
      </c>
      <c r="C486" s="28" t="inlineStr">
        <is>
          <t>Sun Pond_1</t>
        </is>
      </c>
      <c r="D486" s="16">
        <f>IF($C486="","",IFERROR(IF(INDEX(Deals!$C$2:$C$355,MATCH($C486,Deals!$A$2:$A$355,0))=0,"",INDEX(Deals!$C$2:$C$355,MATCH($C486,Deals!$A$2:$A$355,0))),"?"))</f>
        <v/>
      </c>
      <c r="E486" s="16">
        <f>IF($C486="","",IFERROR(INDEX(Deals!$F$2:$F$355,MATCH($C486,Deals!$A$2:$A$355,0)),"?"))</f>
        <v/>
      </c>
      <c r="F486" s="28" t="inlineStr">
        <is>
          <t>Senior Associate</t>
        </is>
      </c>
      <c r="G486" s="28" t="inlineStr">
        <is>
          <t>Active</t>
        </is>
      </c>
      <c r="H486" s="31" t="n"/>
      <c r="I486" s="32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1">
        <f>IF($C486="",0,IFERROR(INDEX(Deals!$H$2:$H$355,MATCH($C486,Deals!$A$2:$A$355,0)),0))</f>
        <v/>
      </c>
      <c r="K486" s="32">
        <f>IF(Settings!$B$4="Yes",$I486*$J486,$I486)</f>
        <v/>
      </c>
      <c r="L486" s="22">
        <f>IF($C486="","",IFERROR(IF(INDEX(Deals!$I$2:$I$355,MATCH($C486,Deals!$A$2:$A$355,0))=0,"",INDEX(Deals!$I$2:$I$355,MATCH($C486,Deals!$A$2:$A$355,0))),""))</f>
        <v/>
      </c>
      <c r="M486" s="22">
        <f>IF($C486="","",IFERROR(IF(INDEX(Deals!$J$2:$J$355,MATCH($C486,Deals!$A$2:$A$355,0))=0,"",INDEX(Deals!$J$2:$J$355,MATCH($C486,Deals!$A$2:$A$355,0))),""))</f>
        <v/>
      </c>
      <c r="N486" s="35">
        <f>IF($L486="",DATE(1900,1,1),$L486)</f>
        <v/>
      </c>
      <c r="O486" s="35">
        <f>IF($M486="",DATE(2100,12,31),$M486)</f>
        <v/>
      </c>
      <c r="P486" s="20" t="inlineStr"/>
      <c r="Q486" s="43" t="inlineStr"/>
      <c r="R486" s="16">
        <f>IF($C486="","",IFERROR(IF(INDEX(Deals!$U$2:$U$355,MATCH($C486,Deals!$A$2:$A$355,0))=0,"",INDEX(Deals!$U$2:$U$355,MATCH($C486,Deals!$A$2:$A$355,0))),""))</f>
        <v/>
      </c>
      <c r="S486" s="34">
        <f>IFERROR(IF($U486="",1,INDEX(Deals!$V$2:$V$355,MATCH($C486,Deals!$A$2:$A$355,0))),1)</f>
        <v/>
      </c>
      <c r="T486" s="34">
        <f>IFERROR(IF($U486="",1,INDEX(Deals!$W$2:$W$355,MATCH($C486,Deals!$A$2:$A$355,0))),1)</f>
        <v/>
      </c>
      <c r="U486" s="22">
        <f>IF($C486="","",IFERROR(IF(INDEX(Deals!$Y$2:$Y$355,MATCH($C486,Deals!$A$2:$A$355,0))=0,"",INDEX(Deals!$Y$2:$Y$355,MATCH($C486,Deals!$A$2:$A$355,0))),""))</f>
        <v/>
      </c>
      <c r="V486" s="35">
        <f>IF($U486="",DATE(1900,1,1),$N486)</f>
        <v/>
      </c>
      <c r="W486" s="35">
        <f>IF($U486="",DATE(2100,12,31),$U486)</f>
        <v/>
      </c>
      <c r="X486" s="32">
        <f>IF($U486="",$K486,$K486*$S486)</f>
        <v/>
      </c>
      <c r="Y486" s="35">
        <f>IF($U486="",DATE(2100,12,31),$U486+1)</f>
        <v/>
      </c>
      <c r="Z486" s="35">
        <f>IF($U486="",DATE(1900,1,1),$O486)</f>
        <v/>
      </c>
      <c r="AA486" s="32">
        <f>IF($U486="",0,$K486*$T486)</f>
        <v/>
      </c>
      <c r="AB486" s="21">
        <f>IF($C486="",0,IFERROR(INDEX(Deals!$AD$2:$AD$355,MATCH($C486,Deals!$A$2:$A$355,0)),0))</f>
        <v/>
      </c>
      <c r="AC486" s="32">
        <f>IF(Settings!$B$4="Yes",$I486*$AB486,$I486)</f>
        <v/>
      </c>
      <c r="AD486" s="22">
        <f>IF($C486="","",IFERROR(IF(INDEX(Deals!$AE$2:$AE$355,MATCH($C486,Deals!$A$2:$A$355,0))=0,"",INDEX(Deals!$AE$2:$AE$355,MATCH($C486,Deals!$A$2:$A$355,0))),""))</f>
        <v/>
      </c>
      <c r="AE486" s="22">
        <f>IF($C486="","",IFERROR(IF(INDEX(Deals!$AF$2:$AF$355,MATCH($C486,Deals!$A$2:$A$355,0))=0,"",INDEX(Deals!$AF$2:$AF$355,MATCH($C486,Deals!$A$2:$A$355,0))),""))</f>
        <v/>
      </c>
      <c r="AF486" s="35">
        <f>IF($AD486="",DATE(1900,1,1),$AD486)</f>
        <v/>
      </c>
      <c r="AG486" s="35">
        <f>IF($AE486="",DATE(2100,12,31),$AE486)</f>
        <v/>
      </c>
      <c r="AH486" s="22">
        <f>IF($C486="","",IFERROR(IF(INDEX(Deals!$AG$2:$AG$355,MATCH($C486,Deals!$A$2:$A$355,0))=0,"",INDEX(Deals!$AG$2:$AG$355,MATCH($C486,Deals!$A$2:$A$355,0))),""))</f>
        <v/>
      </c>
      <c r="AI486" s="35">
        <f>IF($AH486="",DATE(1900,1,1),$AF486)</f>
        <v/>
      </c>
      <c r="AJ486" s="35">
        <f>IF($AH486="",DATE(2100,12,31),$AH486)</f>
        <v/>
      </c>
      <c r="AK486" s="32">
        <f>IF($AH486="",$AC486,$AC486*$S486)</f>
        <v/>
      </c>
      <c r="AL486" s="35">
        <f>IF($AH486="",DATE(2100,12,31),$AH486+1)</f>
        <v/>
      </c>
      <c r="AM486" s="35">
        <f>IF($AH486="",DATE(1900,1,1),$AG486)</f>
        <v/>
      </c>
      <c r="AN486" s="32">
        <f>IF($AH486="",0,$AC486*$T486)</f>
        <v/>
      </c>
    </row>
    <row r="487">
      <c r="A487" s="28" t="inlineStr">
        <is>
          <t>Nina</t>
        </is>
      </c>
      <c r="B487" s="16">
        <f>IF($A487="","",IFERROR(INDEX(Roster!$B$2:$B$40,MATCH($A487,Roster!$A$2:$A$40,0)),"?"))</f>
        <v/>
      </c>
      <c r="C487" s="28" t="inlineStr">
        <is>
          <t>Sunnova - TEP 8-H_1</t>
        </is>
      </c>
      <c r="D487" s="16">
        <f>IF($C487="","",IFERROR(IF(INDEX(Deals!$C$2:$C$355,MATCH($C487,Deals!$A$2:$A$355,0))=0,"",INDEX(Deals!$C$2:$C$355,MATCH($C487,Deals!$A$2:$A$355,0))),"?"))</f>
        <v/>
      </c>
      <c r="E487" s="16">
        <f>IF($C487="","",IFERROR(INDEX(Deals!$F$2:$F$355,MATCH($C487,Deals!$A$2:$A$355,0)),"?"))</f>
        <v/>
      </c>
      <c r="F487" s="28" t="inlineStr">
        <is>
          <t>Senior Associate</t>
        </is>
      </c>
      <c r="G487" s="28" t="inlineStr">
        <is>
          <t>Active</t>
        </is>
      </c>
      <c r="H487" s="31" t="n"/>
      <c r="I487" s="32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1">
        <f>IF($C487="",0,IFERROR(INDEX(Deals!$H$2:$H$355,MATCH($C487,Deals!$A$2:$A$355,0)),0))</f>
        <v/>
      </c>
      <c r="K487" s="32">
        <f>IF(Settings!$B$4="Yes",$I487*$J487,$I487)</f>
        <v/>
      </c>
      <c r="L487" s="22">
        <f>IF($C487="","",IFERROR(IF(INDEX(Deals!$I$2:$I$355,MATCH($C487,Deals!$A$2:$A$355,0))=0,"",INDEX(Deals!$I$2:$I$355,MATCH($C487,Deals!$A$2:$A$355,0))),""))</f>
        <v/>
      </c>
      <c r="M487" s="22">
        <f>IF($C487="","",IFERROR(IF(INDEX(Deals!$J$2:$J$355,MATCH($C487,Deals!$A$2:$A$355,0))=0,"",INDEX(Deals!$J$2:$J$355,MATCH($C487,Deals!$A$2:$A$355,0))),""))</f>
        <v/>
      </c>
      <c r="N487" s="35">
        <f>IF($L487="",DATE(1900,1,1),$L487)</f>
        <v/>
      </c>
      <c r="O487" s="35">
        <f>IF($M487="",DATE(2100,12,31),$M487)</f>
        <v/>
      </c>
      <c r="P487" s="20" t="inlineStr"/>
      <c r="Q487" s="43" t="inlineStr"/>
      <c r="R487" s="16">
        <f>IF($C487="","",IFERROR(IF(INDEX(Deals!$U$2:$U$355,MATCH($C487,Deals!$A$2:$A$355,0))=0,"",INDEX(Deals!$U$2:$U$355,MATCH($C487,Deals!$A$2:$A$355,0))),""))</f>
        <v/>
      </c>
      <c r="S487" s="34">
        <f>IFERROR(IF($U487="",1,INDEX(Deals!$V$2:$V$355,MATCH($C487,Deals!$A$2:$A$355,0))),1)</f>
        <v/>
      </c>
      <c r="T487" s="34">
        <f>IFERROR(IF($U487="",1,INDEX(Deals!$W$2:$W$355,MATCH($C487,Deals!$A$2:$A$355,0))),1)</f>
        <v/>
      </c>
      <c r="U487" s="22">
        <f>IF($C487="","",IFERROR(IF(INDEX(Deals!$Y$2:$Y$355,MATCH($C487,Deals!$A$2:$A$355,0))=0,"",INDEX(Deals!$Y$2:$Y$355,MATCH($C487,Deals!$A$2:$A$355,0))),""))</f>
        <v/>
      </c>
      <c r="V487" s="35">
        <f>IF($U487="",DATE(1900,1,1),$N487)</f>
        <v/>
      </c>
      <c r="W487" s="35">
        <f>IF($U487="",DATE(2100,12,31),$U487)</f>
        <v/>
      </c>
      <c r="X487" s="32">
        <f>IF($U487="",$K487,$K487*$S487)</f>
        <v/>
      </c>
      <c r="Y487" s="35">
        <f>IF($U487="",DATE(2100,12,31),$U487+1)</f>
        <v/>
      </c>
      <c r="Z487" s="35">
        <f>IF($U487="",DATE(1900,1,1),$O487)</f>
        <v/>
      </c>
      <c r="AA487" s="32">
        <f>IF($U487="",0,$K487*$T487)</f>
        <v/>
      </c>
      <c r="AB487" s="21">
        <f>IF($C487="",0,IFERROR(INDEX(Deals!$AD$2:$AD$355,MATCH($C487,Deals!$A$2:$A$355,0)),0))</f>
        <v/>
      </c>
      <c r="AC487" s="32">
        <f>IF(Settings!$B$4="Yes",$I487*$AB487,$I487)</f>
        <v/>
      </c>
      <c r="AD487" s="22">
        <f>IF($C487="","",IFERROR(IF(INDEX(Deals!$AE$2:$AE$355,MATCH($C487,Deals!$A$2:$A$355,0))=0,"",INDEX(Deals!$AE$2:$AE$355,MATCH($C487,Deals!$A$2:$A$355,0))),""))</f>
        <v/>
      </c>
      <c r="AE487" s="22">
        <f>IF($C487="","",IFERROR(IF(INDEX(Deals!$AF$2:$AF$355,MATCH($C487,Deals!$A$2:$A$355,0))=0,"",INDEX(Deals!$AF$2:$AF$355,MATCH($C487,Deals!$A$2:$A$355,0))),""))</f>
        <v/>
      </c>
      <c r="AF487" s="35">
        <f>IF($AD487="",DATE(1900,1,1),$AD487)</f>
        <v/>
      </c>
      <c r="AG487" s="35">
        <f>IF($AE487="",DATE(2100,12,31),$AE487)</f>
        <v/>
      </c>
      <c r="AH487" s="22">
        <f>IF($C487="","",IFERROR(IF(INDEX(Deals!$AG$2:$AG$355,MATCH($C487,Deals!$A$2:$A$355,0))=0,"",INDEX(Deals!$AG$2:$AG$355,MATCH($C487,Deals!$A$2:$A$355,0))),""))</f>
        <v/>
      </c>
      <c r="AI487" s="35">
        <f>IF($AH487="",DATE(1900,1,1),$AF487)</f>
        <v/>
      </c>
      <c r="AJ487" s="35">
        <f>IF($AH487="",DATE(2100,12,31),$AH487)</f>
        <v/>
      </c>
      <c r="AK487" s="32">
        <f>IF($AH487="",$AC487,$AC487*$S487)</f>
        <v/>
      </c>
      <c r="AL487" s="35">
        <f>IF($AH487="",DATE(2100,12,31),$AH487+1)</f>
        <v/>
      </c>
      <c r="AM487" s="35">
        <f>IF($AH487="",DATE(1900,1,1),$AG487)</f>
        <v/>
      </c>
      <c r="AN487" s="32">
        <f>IF($AH487="",0,$AC487*$T487)</f>
        <v/>
      </c>
    </row>
    <row r="488">
      <c r="A488" s="28" t="inlineStr">
        <is>
          <t>Nina</t>
        </is>
      </c>
      <c r="B488" s="16">
        <f>IF($A488="","",IFERROR(INDEX(Roster!$B$2:$B$40,MATCH($A488,Roster!$A$2:$A$40,0)),"?"))</f>
        <v/>
      </c>
      <c r="C488" s="28" t="inlineStr">
        <is>
          <t>Sunnova TEP 8-I - Homebuilder_1</t>
        </is>
      </c>
      <c r="D488" s="16">
        <f>IF($C488="","",IFERROR(IF(INDEX(Deals!$C$2:$C$355,MATCH($C488,Deals!$A$2:$A$355,0))=0,"",INDEX(Deals!$C$2:$C$355,MATCH($C488,Deals!$A$2:$A$355,0))),"?"))</f>
        <v/>
      </c>
      <c r="E488" s="16">
        <f>IF($C488="","",IFERROR(INDEX(Deals!$F$2:$F$355,MATCH($C488,Deals!$A$2:$A$355,0)),"?"))</f>
        <v/>
      </c>
      <c r="F488" s="28" t="inlineStr">
        <is>
          <t>Senior Associate</t>
        </is>
      </c>
      <c r="G488" s="28" t="inlineStr">
        <is>
          <t>Active</t>
        </is>
      </c>
      <c r="H488" s="31" t="n"/>
      <c r="I488" s="32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1">
        <f>IF($C488="",0,IFERROR(INDEX(Deals!$H$2:$H$355,MATCH($C488,Deals!$A$2:$A$355,0)),0))</f>
        <v/>
      </c>
      <c r="K488" s="32">
        <f>IF(Settings!$B$4="Yes",$I488*$J488,$I488)</f>
        <v/>
      </c>
      <c r="L488" s="22">
        <f>IF($C488="","",IFERROR(IF(INDEX(Deals!$I$2:$I$355,MATCH($C488,Deals!$A$2:$A$355,0))=0,"",INDEX(Deals!$I$2:$I$355,MATCH($C488,Deals!$A$2:$A$355,0))),""))</f>
        <v/>
      </c>
      <c r="M488" s="22">
        <f>IF($C488="","",IFERROR(IF(INDEX(Deals!$J$2:$J$355,MATCH($C488,Deals!$A$2:$A$355,0))=0,"",INDEX(Deals!$J$2:$J$355,MATCH($C488,Deals!$A$2:$A$355,0))),""))</f>
        <v/>
      </c>
      <c r="N488" s="35">
        <f>IF($L488="",DATE(1900,1,1),$L488)</f>
        <v/>
      </c>
      <c r="O488" s="35">
        <f>IF($M488="",DATE(2100,12,31),$M488)</f>
        <v/>
      </c>
      <c r="P488" s="20" t="inlineStr"/>
      <c r="Q488" s="43" t="inlineStr"/>
      <c r="R488" s="16">
        <f>IF($C488="","",IFERROR(IF(INDEX(Deals!$U$2:$U$355,MATCH($C488,Deals!$A$2:$A$355,0))=0,"",INDEX(Deals!$U$2:$U$355,MATCH($C488,Deals!$A$2:$A$355,0))),""))</f>
        <v/>
      </c>
      <c r="S488" s="34">
        <f>IFERROR(IF($U488="",1,INDEX(Deals!$V$2:$V$355,MATCH($C488,Deals!$A$2:$A$355,0))),1)</f>
        <v/>
      </c>
      <c r="T488" s="34">
        <f>IFERROR(IF($U488="",1,INDEX(Deals!$W$2:$W$355,MATCH($C488,Deals!$A$2:$A$355,0))),1)</f>
        <v/>
      </c>
      <c r="U488" s="22">
        <f>IF($C488="","",IFERROR(IF(INDEX(Deals!$Y$2:$Y$355,MATCH($C488,Deals!$A$2:$A$355,0))=0,"",INDEX(Deals!$Y$2:$Y$355,MATCH($C488,Deals!$A$2:$A$355,0))),""))</f>
        <v/>
      </c>
      <c r="V488" s="35">
        <f>IF($U488="",DATE(1900,1,1),$N488)</f>
        <v/>
      </c>
      <c r="W488" s="35">
        <f>IF($U488="",DATE(2100,12,31),$U488)</f>
        <v/>
      </c>
      <c r="X488" s="32">
        <f>IF($U488="",$K488,$K488*$S488)</f>
        <v/>
      </c>
      <c r="Y488" s="35">
        <f>IF($U488="",DATE(2100,12,31),$U488+1)</f>
        <v/>
      </c>
      <c r="Z488" s="35">
        <f>IF($U488="",DATE(1900,1,1),$O488)</f>
        <v/>
      </c>
      <c r="AA488" s="32">
        <f>IF($U488="",0,$K488*$T488)</f>
        <v/>
      </c>
      <c r="AB488" s="21">
        <f>IF($C488="",0,IFERROR(INDEX(Deals!$AD$2:$AD$355,MATCH($C488,Deals!$A$2:$A$355,0)),0))</f>
        <v/>
      </c>
      <c r="AC488" s="32">
        <f>IF(Settings!$B$4="Yes",$I488*$AB488,$I488)</f>
        <v/>
      </c>
      <c r="AD488" s="22">
        <f>IF($C488="","",IFERROR(IF(INDEX(Deals!$AE$2:$AE$355,MATCH($C488,Deals!$A$2:$A$355,0))=0,"",INDEX(Deals!$AE$2:$AE$355,MATCH($C488,Deals!$A$2:$A$355,0))),""))</f>
        <v/>
      </c>
      <c r="AE488" s="22">
        <f>IF($C488="","",IFERROR(IF(INDEX(Deals!$AF$2:$AF$355,MATCH($C488,Deals!$A$2:$A$355,0))=0,"",INDEX(Deals!$AF$2:$AF$355,MATCH($C488,Deals!$A$2:$A$355,0))),""))</f>
        <v/>
      </c>
      <c r="AF488" s="35">
        <f>IF($AD488="",DATE(1900,1,1),$AD488)</f>
        <v/>
      </c>
      <c r="AG488" s="35">
        <f>IF($AE488="",DATE(2100,12,31),$AE488)</f>
        <v/>
      </c>
      <c r="AH488" s="22">
        <f>IF($C488="","",IFERROR(IF(INDEX(Deals!$AG$2:$AG$355,MATCH($C488,Deals!$A$2:$A$355,0))=0,"",INDEX(Deals!$AG$2:$AG$355,MATCH($C488,Deals!$A$2:$A$355,0))),""))</f>
        <v/>
      </c>
      <c r="AI488" s="35">
        <f>IF($AH488="",DATE(1900,1,1),$AF488)</f>
        <v/>
      </c>
      <c r="AJ488" s="35">
        <f>IF($AH488="",DATE(2100,12,31),$AH488)</f>
        <v/>
      </c>
      <c r="AK488" s="32">
        <f>IF($AH488="",$AC488,$AC488*$S488)</f>
        <v/>
      </c>
      <c r="AL488" s="35">
        <f>IF($AH488="",DATE(2100,12,31),$AH488+1)</f>
        <v/>
      </c>
      <c r="AM488" s="35">
        <f>IF($AH488="",DATE(1900,1,1),$AG488)</f>
        <v/>
      </c>
      <c r="AN488" s="32">
        <f>IF($AH488="",0,$AC488*$T488)</f>
        <v/>
      </c>
    </row>
    <row r="489">
      <c r="A489" s="28" t="inlineStr">
        <is>
          <t>Nina</t>
        </is>
      </c>
      <c r="B489" s="16">
        <f>IF($A489="","",IFERROR(INDEX(Roster!$B$2:$B$40,MATCH($A489,Roster!$A$2:$A$40,0)),"?"))</f>
        <v/>
      </c>
      <c r="C489" s="28" t="inlineStr">
        <is>
          <t>Tennessee_1</t>
        </is>
      </c>
      <c r="D489" s="16">
        <f>IF($C489="","",IFERROR(IF(INDEX(Deals!$C$2:$C$355,MATCH($C489,Deals!$A$2:$A$355,0))=0,"",INDEX(Deals!$C$2:$C$355,MATCH($C489,Deals!$A$2:$A$355,0))),"?"))</f>
        <v/>
      </c>
      <c r="E489" s="16">
        <f>IF($C489="","",IFERROR(INDEX(Deals!$F$2:$F$355,MATCH($C489,Deals!$A$2:$A$355,0)),"?"))</f>
        <v/>
      </c>
      <c r="F489" s="28" t="inlineStr">
        <is>
          <t>Senior Associate</t>
        </is>
      </c>
      <c r="G489" s="28" t="inlineStr">
        <is>
          <t>Inactive</t>
        </is>
      </c>
      <c r="H489" s="31" t="n"/>
      <c r="I489" s="32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1">
        <f>IF($C489="",0,IFERROR(INDEX(Deals!$H$2:$H$355,MATCH($C489,Deals!$A$2:$A$355,0)),0))</f>
        <v/>
      </c>
      <c r="K489" s="32">
        <f>IF(Settings!$B$4="Yes",$I489*$J489,$I489)</f>
        <v/>
      </c>
      <c r="L489" s="22">
        <f>IF($C489="","",IFERROR(IF(INDEX(Deals!$I$2:$I$355,MATCH($C489,Deals!$A$2:$A$355,0))=0,"",INDEX(Deals!$I$2:$I$355,MATCH($C489,Deals!$A$2:$A$355,0))),""))</f>
        <v/>
      </c>
      <c r="M489" s="22">
        <f>IF($C489="","",IFERROR(IF(INDEX(Deals!$J$2:$J$355,MATCH($C489,Deals!$A$2:$A$355,0))=0,"",INDEX(Deals!$J$2:$J$355,MATCH($C489,Deals!$A$2:$A$355,0))),""))</f>
        <v/>
      </c>
      <c r="N489" s="35">
        <f>IF($L489="",DATE(1900,1,1),$L489)</f>
        <v/>
      </c>
      <c r="O489" s="35">
        <f>IF($M489="",DATE(2100,12,31),$M489)</f>
        <v/>
      </c>
      <c r="P489" s="20" t="inlineStr">
        <is>
          <t>Not involved in ongoing work</t>
        </is>
      </c>
      <c r="Q489" s="43" t="inlineStr"/>
      <c r="R489" s="16">
        <f>IF($C489="","",IFERROR(IF(INDEX(Deals!$U$2:$U$355,MATCH($C489,Deals!$A$2:$A$355,0))=0,"",INDEX(Deals!$U$2:$U$355,MATCH($C489,Deals!$A$2:$A$355,0))),""))</f>
        <v/>
      </c>
      <c r="S489" s="34">
        <f>IFERROR(IF($U489="",1,INDEX(Deals!$V$2:$V$355,MATCH($C489,Deals!$A$2:$A$355,0))),1)</f>
        <v/>
      </c>
      <c r="T489" s="34">
        <f>IFERROR(IF($U489="",1,INDEX(Deals!$W$2:$W$355,MATCH($C489,Deals!$A$2:$A$355,0))),1)</f>
        <v/>
      </c>
      <c r="U489" s="22">
        <f>IF($C489="","",IFERROR(IF(INDEX(Deals!$Y$2:$Y$355,MATCH($C489,Deals!$A$2:$A$355,0))=0,"",INDEX(Deals!$Y$2:$Y$355,MATCH($C489,Deals!$A$2:$A$355,0))),""))</f>
        <v/>
      </c>
      <c r="V489" s="35">
        <f>IF($U489="",DATE(1900,1,1),$N489)</f>
        <v/>
      </c>
      <c r="W489" s="35">
        <f>IF($U489="",DATE(2100,12,31),$U489)</f>
        <v/>
      </c>
      <c r="X489" s="32">
        <f>IF($U489="",$K489,$K489*$S489)</f>
        <v/>
      </c>
      <c r="Y489" s="35">
        <f>IF($U489="",DATE(2100,12,31),$U489+1)</f>
        <v/>
      </c>
      <c r="Z489" s="35">
        <f>IF($U489="",DATE(1900,1,1),$O489)</f>
        <v/>
      </c>
      <c r="AA489" s="32">
        <f>IF($U489="",0,$K489*$T489)</f>
        <v/>
      </c>
      <c r="AB489" s="21">
        <f>IF($C489="",0,IFERROR(INDEX(Deals!$AD$2:$AD$355,MATCH($C489,Deals!$A$2:$A$355,0)),0))</f>
        <v/>
      </c>
      <c r="AC489" s="32">
        <f>IF(Settings!$B$4="Yes",$I489*$AB489,$I489)</f>
        <v/>
      </c>
      <c r="AD489" s="22">
        <f>IF($C489="","",IFERROR(IF(INDEX(Deals!$AE$2:$AE$355,MATCH($C489,Deals!$A$2:$A$355,0))=0,"",INDEX(Deals!$AE$2:$AE$355,MATCH($C489,Deals!$A$2:$A$355,0))),""))</f>
        <v/>
      </c>
      <c r="AE489" s="22">
        <f>IF($C489="","",IFERROR(IF(INDEX(Deals!$AF$2:$AF$355,MATCH($C489,Deals!$A$2:$A$355,0))=0,"",INDEX(Deals!$AF$2:$AF$355,MATCH($C489,Deals!$A$2:$A$355,0))),""))</f>
        <v/>
      </c>
      <c r="AF489" s="35">
        <f>IF($AD489="",DATE(1900,1,1),$AD489)</f>
        <v/>
      </c>
      <c r="AG489" s="35">
        <f>IF($AE489="",DATE(2100,12,31),$AE489)</f>
        <v/>
      </c>
      <c r="AH489" s="22">
        <f>IF($C489="","",IFERROR(IF(INDEX(Deals!$AG$2:$AG$355,MATCH($C489,Deals!$A$2:$A$355,0))=0,"",INDEX(Deals!$AG$2:$AG$355,MATCH($C489,Deals!$A$2:$A$355,0))),""))</f>
        <v/>
      </c>
      <c r="AI489" s="35">
        <f>IF($AH489="",DATE(1900,1,1),$AF489)</f>
        <v/>
      </c>
      <c r="AJ489" s="35">
        <f>IF($AH489="",DATE(2100,12,31),$AH489)</f>
        <v/>
      </c>
      <c r="AK489" s="32">
        <f>IF($AH489="",$AC489,$AC489*$S489)</f>
        <v/>
      </c>
      <c r="AL489" s="35">
        <f>IF($AH489="",DATE(2100,12,31),$AH489+1)</f>
        <v/>
      </c>
      <c r="AM489" s="35">
        <f>IF($AH489="",DATE(1900,1,1),$AG489)</f>
        <v/>
      </c>
      <c r="AN489" s="32">
        <f>IF($AH489="",0,$AC489*$T489)</f>
        <v/>
      </c>
    </row>
    <row r="490">
      <c r="A490" s="28" t="inlineStr">
        <is>
          <t>Nina</t>
        </is>
      </c>
      <c r="B490" s="16">
        <f>IF($A490="","",IFERROR(INDEX(Roster!$B$2:$B$40,MATCH($A490,Roster!$A$2:$A$40,0)),"?"))</f>
        <v/>
      </c>
      <c r="C490" s="28" t="inlineStr">
        <is>
          <t>Theoden_1</t>
        </is>
      </c>
      <c r="D490" s="16">
        <f>IF($C490="","",IFERROR(IF(INDEX(Deals!$C$2:$C$355,MATCH($C490,Deals!$A$2:$A$355,0))=0,"",INDEX(Deals!$C$2:$C$355,MATCH($C490,Deals!$A$2:$A$355,0))),"?"))</f>
        <v/>
      </c>
      <c r="E490" s="16">
        <f>IF($C490="","",IFERROR(INDEX(Deals!$F$2:$F$355,MATCH($C490,Deals!$A$2:$A$355,0)),"?"))</f>
        <v/>
      </c>
      <c r="F490" s="28" t="inlineStr">
        <is>
          <t>Senior Associate</t>
        </is>
      </c>
      <c r="G490" s="28" t="inlineStr">
        <is>
          <t>Active</t>
        </is>
      </c>
      <c r="H490" s="31" t="n"/>
      <c r="I490" s="32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1">
        <f>IF($C490="",0,IFERROR(INDEX(Deals!$H$2:$H$355,MATCH($C490,Deals!$A$2:$A$355,0)),0))</f>
        <v/>
      </c>
      <c r="K490" s="32">
        <f>IF(Settings!$B$4="Yes",$I490*$J490,$I490)</f>
        <v/>
      </c>
      <c r="L490" s="22">
        <f>IF($C490="","",IFERROR(IF(INDEX(Deals!$I$2:$I$355,MATCH($C490,Deals!$A$2:$A$355,0))=0,"",INDEX(Deals!$I$2:$I$355,MATCH($C490,Deals!$A$2:$A$355,0))),""))</f>
        <v/>
      </c>
      <c r="M490" s="22">
        <f>IF($C490="","",IFERROR(IF(INDEX(Deals!$J$2:$J$355,MATCH($C490,Deals!$A$2:$A$355,0))=0,"",INDEX(Deals!$J$2:$J$355,MATCH($C490,Deals!$A$2:$A$355,0))),""))</f>
        <v/>
      </c>
      <c r="N490" s="35">
        <f>IF($L490="",DATE(1900,1,1),$L490)</f>
        <v/>
      </c>
      <c r="O490" s="35">
        <f>IF($M490="",DATE(2100,12,31),$M490)</f>
        <v/>
      </c>
      <c r="P490" s="20" t="inlineStr">
        <is>
          <t>Ongoing</t>
        </is>
      </c>
      <c r="Q490" s="43" t="inlineStr"/>
      <c r="R490" s="16">
        <f>IF($C490="","",IFERROR(IF(INDEX(Deals!$U$2:$U$355,MATCH($C490,Deals!$A$2:$A$355,0))=0,"",INDEX(Deals!$U$2:$U$355,MATCH($C490,Deals!$A$2:$A$355,0))),""))</f>
        <v/>
      </c>
      <c r="S490" s="34">
        <f>IFERROR(IF($U490="",1,INDEX(Deals!$V$2:$V$355,MATCH($C490,Deals!$A$2:$A$355,0))),1)</f>
        <v/>
      </c>
      <c r="T490" s="34">
        <f>IFERROR(IF($U490="",1,INDEX(Deals!$W$2:$W$355,MATCH($C490,Deals!$A$2:$A$355,0))),1)</f>
        <v/>
      </c>
      <c r="U490" s="22">
        <f>IF($C490="","",IFERROR(IF(INDEX(Deals!$Y$2:$Y$355,MATCH($C490,Deals!$A$2:$A$355,0))=0,"",INDEX(Deals!$Y$2:$Y$355,MATCH($C490,Deals!$A$2:$A$355,0))),""))</f>
        <v/>
      </c>
      <c r="V490" s="35">
        <f>IF($U490="",DATE(1900,1,1),$N490)</f>
        <v/>
      </c>
      <c r="W490" s="35">
        <f>IF($U490="",DATE(2100,12,31),$U490)</f>
        <v/>
      </c>
      <c r="X490" s="32">
        <f>IF($U490="",$K490,$K490*$S490)</f>
        <v/>
      </c>
      <c r="Y490" s="35">
        <f>IF($U490="",DATE(2100,12,31),$U490+1)</f>
        <v/>
      </c>
      <c r="Z490" s="35">
        <f>IF($U490="",DATE(1900,1,1),$O490)</f>
        <v/>
      </c>
      <c r="AA490" s="32">
        <f>IF($U490="",0,$K490*$T490)</f>
        <v/>
      </c>
      <c r="AB490" s="21">
        <f>IF($C490="",0,IFERROR(INDEX(Deals!$AD$2:$AD$355,MATCH($C490,Deals!$A$2:$A$355,0)),0))</f>
        <v/>
      </c>
      <c r="AC490" s="32">
        <f>IF(Settings!$B$4="Yes",$I490*$AB490,$I490)</f>
        <v/>
      </c>
      <c r="AD490" s="22">
        <f>IF($C490="","",IFERROR(IF(INDEX(Deals!$AE$2:$AE$355,MATCH($C490,Deals!$A$2:$A$355,0))=0,"",INDEX(Deals!$AE$2:$AE$355,MATCH($C490,Deals!$A$2:$A$355,0))),""))</f>
        <v/>
      </c>
      <c r="AE490" s="22">
        <f>IF($C490="","",IFERROR(IF(INDEX(Deals!$AF$2:$AF$355,MATCH($C490,Deals!$A$2:$A$355,0))=0,"",INDEX(Deals!$AF$2:$AF$355,MATCH($C490,Deals!$A$2:$A$355,0))),""))</f>
        <v/>
      </c>
      <c r="AF490" s="35">
        <f>IF($AD490="",DATE(1900,1,1),$AD490)</f>
        <v/>
      </c>
      <c r="AG490" s="35">
        <f>IF($AE490="",DATE(2100,12,31),$AE490)</f>
        <v/>
      </c>
      <c r="AH490" s="22">
        <f>IF($C490="","",IFERROR(IF(INDEX(Deals!$AG$2:$AG$355,MATCH($C490,Deals!$A$2:$A$355,0))=0,"",INDEX(Deals!$AG$2:$AG$355,MATCH($C490,Deals!$A$2:$A$355,0))),""))</f>
        <v/>
      </c>
      <c r="AI490" s="35">
        <f>IF($AH490="",DATE(1900,1,1),$AF490)</f>
        <v/>
      </c>
      <c r="AJ490" s="35">
        <f>IF($AH490="",DATE(2100,12,31),$AH490)</f>
        <v/>
      </c>
      <c r="AK490" s="32">
        <f>IF($AH490="",$AC490,$AC490*$S490)</f>
        <v/>
      </c>
      <c r="AL490" s="35">
        <f>IF($AH490="",DATE(2100,12,31),$AH490+1)</f>
        <v/>
      </c>
      <c r="AM490" s="35">
        <f>IF($AH490="",DATE(1900,1,1),$AG490)</f>
        <v/>
      </c>
      <c r="AN490" s="32">
        <f>IF($AH490="",0,$AC490*$T490)</f>
        <v/>
      </c>
    </row>
    <row r="491">
      <c r="A491" s="28" t="inlineStr">
        <is>
          <t>Nina</t>
        </is>
      </c>
      <c r="B491" s="16">
        <f>IF($A491="","",IFERROR(INDEX(Roster!$B$2:$B$40,MATCH($A491,Roster!$A$2:$A$40,0)),"?"))</f>
        <v/>
      </c>
      <c r="C491" s="28" t="inlineStr">
        <is>
          <t>Vero_1</t>
        </is>
      </c>
      <c r="D491" s="16">
        <f>IF($C491="","",IFERROR(IF(INDEX(Deals!$C$2:$C$355,MATCH($C491,Deals!$A$2:$A$355,0))=0,"",INDEX(Deals!$C$2:$C$355,MATCH($C491,Deals!$A$2:$A$355,0))),"?"))</f>
        <v/>
      </c>
      <c r="E491" s="16">
        <f>IF($C491="","",IFERROR(INDEX(Deals!$F$2:$F$355,MATCH($C491,Deals!$A$2:$A$355,0)),"?"))</f>
        <v/>
      </c>
      <c r="F491" s="28" t="inlineStr">
        <is>
          <t>Senior Associate</t>
        </is>
      </c>
      <c r="G491" s="28" t="inlineStr">
        <is>
          <t>Active</t>
        </is>
      </c>
      <c r="H491" s="31" t="n"/>
      <c r="I491" s="32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1">
        <f>IF($C491="",0,IFERROR(INDEX(Deals!$H$2:$H$355,MATCH($C491,Deals!$A$2:$A$355,0)),0))</f>
        <v/>
      </c>
      <c r="K491" s="32">
        <f>IF(Settings!$B$4="Yes",$I491*$J491,$I491)</f>
        <v/>
      </c>
      <c r="L491" s="22">
        <f>IF($C491="","",IFERROR(IF(INDEX(Deals!$I$2:$I$355,MATCH($C491,Deals!$A$2:$A$355,0))=0,"",INDEX(Deals!$I$2:$I$355,MATCH($C491,Deals!$A$2:$A$355,0))),""))</f>
        <v/>
      </c>
      <c r="M491" s="22">
        <f>IF($C491="","",IFERROR(IF(INDEX(Deals!$J$2:$J$355,MATCH($C491,Deals!$A$2:$A$355,0))=0,"",INDEX(Deals!$J$2:$J$355,MATCH($C491,Deals!$A$2:$A$355,0))),""))</f>
        <v/>
      </c>
      <c r="N491" s="35">
        <f>IF($L491="",DATE(1900,1,1),$L491)</f>
        <v/>
      </c>
      <c r="O491" s="35">
        <f>IF($M491="",DATE(2100,12,31),$M491)</f>
        <v/>
      </c>
      <c r="P491" s="20" t="inlineStr"/>
      <c r="Q491" s="43" t="inlineStr"/>
      <c r="R491" s="16">
        <f>IF($C491="","",IFERROR(IF(INDEX(Deals!$U$2:$U$355,MATCH($C491,Deals!$A$2:$A$355,0))=0,"",INDEX(Deals!$U$2:$U$355,MATCH($C491,Deals!$A$2:$A$355,0))),""))</f>
        <v/>
      </c>
      <c r="S491" s="34">
        <f>IFERROR(IF($U491="",1,INDEX(Deals!$V$2:$V$355,MATCH($C491,Deals!$A$2:$A$355,0))),1)</f>
        <v/>
      </c>
      <c r="T491" s="34">
        <f>IFERROR(IF($U491="",1,INDEX(Deals!$W$2:$W$355,MATCH($C491,Deals!$A$2:$A$355,0))),1)</f>
        <v/>
      </c>
      <c r="U491" s="22">
        <f>IF($C491="","",IFERROR(IF(INDEX(Deals!$Y$2:$Y$355,MATCH($C491,Deals!$A$2:$A$355,0))=0,"",INDEX(Deals!$Y$2:$Y$355,MATCH($C491,Deals!$A$2:$A$355,0))),""))</f>
        <v/>
      </c>
      <c r="V491" s="35">
        <f>IF($U491="",DATE(1900,1,1),$N491)</f>
        <v/>
      </c>
      <c r="W491" s="35">
        <f>IF($U491="",DATE(2100,12,31),$U491)</f>
        <v/>
      </c>
      <c r="X491" s="32">
        <f>IF($U491="",$K491,$K491*$S491)</f>
        <v/>
      </c>
      <c r="Y491" s="35">
        <f>IF($U491="",DATE(2100,12,31),$U491+1)</f>
        <v/>
      </c>
      <c r="Z491" s="35">
        <f>IF($U491="",DATE(1900,1,1),$O491)</f>
        <v/>
      </c>
      <c r="AA491" s="32">
        <f>IF($U491="",0,$K491*$T491)</f>
        <v/>
      </c>
      <c r="AB491" s="21">
        <f>IF($C491="",0,IFERROR(INDEX(Deals!$AD$2:$AD$355,MATCH($C491,Deals!$A$2:$A$355,0)),0))</f>
        <v/>
      </c>
      <c r="AC491" s="32">
        <f>IF(Settings!$B$4="Yes",$I491*$AB491,$I491)</f>
        <v/>
      </c>
      <c r="AD491" s="22">
        <f>IF($C491="","",IFERROR(IF(INDEX(Deals!$AE$2:$AE$355,MATCH($C491,Deals!$A$2:$A$355,0))=0,"",INDEX(Deals!$AE$2:$AE$355,MATCH($C491,Deals!$A$2:$A$355,0))),""))</f>
        <v/>
      </c>
      <c r="AE491" s="22">
        <f>IF($C491="","",IFERROR(IF(INDEX(Deals!$AF$2:$AF$355,MATCH($C491,Deals!$A$2:$A$355,0))=0,"",INDEX(Deals!$AF$2:$AF$355,MATCH($C491,Deals!$A$2:$A$355,0))),""))</f>
        <v/>
      </c>
      <c r="AF491" s="35">
        <f>IF($AD491="",DATE(1900,1,1),$AD491)</f>
        <v/>
      </c>
      <c r="AG491" s="35">
        <f>IF($AE491="",DATE(2100,12,31),$AE491)</f>
        <v/>
      </c>
      <c r="AH491" s="22">
        <f>IF($C491="","",IFERROR(IF(INDEX(Deals!$AG$2:$AG$355,MATCH($C491,Deals!$A$2:$A$355,0))=0,"",INDEX(Deals!$AG$2:$AG$355,MATCH($C491,Deals!$A$2:$A$355,0))),""))</f>
        <v/>
      </c>
      <c r="AI491" s="35">
        <f>IF($AH491="",DATE(1900,1,1),$AF491)</f>
        <v/>
      </c>
      <c r="AJ491" s="35">
        <f>IF($AH491="",DATE(2100,12,31),$AH491)</f>
        <v/>
      </c>
      <c r="AK491" s="32">
        <f>IF($AH491="",$AC491,$AC491*$S491)</f>
        <v/>
      </c>
      <c r="AL491" s="35">
        <f>IF($AH491="",DATE(2100,12,31),$AH491+1)</f>
        <v/>
      </c>
      <c r="AM491" s="35">
        <f>IF($AH491="",DATE(1900,1,1),$AG491)</f>
        <v/>
      </c>
      <c r="AN491" s="32">
        <f>IF($AH491="",0,$AC491*$T491)</f>
        <v/>
      </c>
    </row>
    <row r="492">
      <c r="A492" s="28" t="inlineStr">
        <is>
          <t>Colleen</t>
        </is>
      </c>
      <c r="B492" s="16">
        <f>IF($A492="","",IFERROR(INDEX(Roster!$B$2:$B$40,MATCH($A492,Roster!$A$2:$A$40,0)),"?"))</f>
        <v/>
      </c>
      <c r="C492" s="28" t="inlineStr">
        <is>
          <t>2026 Structuring_1</t>
        </is>
      </c>
      <c r="D492" s="16">
        <f>IF($C492="","",IFERROR(IF(INDEX(Deals!$C$2:$C$355,MATCH($C492,Deals!$A$2:$A$355,0))=0,"",INDEX(Deals!$C$2:$C$355,MATCH($C492,Deals!$A$2:$A$355,0))),"?"))</f>
        <v/>
      </c>
      <c r="E492" s="16">
        <f>IF($C492="","",IFERROR(INDEX(Deals!$F$2:$F$355,MATCH($C492,Deals!$A$2:$A$355,0)),"?"))</f>
        <v/>
      </c>
      <c r="F492" s="28" t="inlineStr">
        <is>
          <t>Senior Associate</t>
        </is>
      </c>
      <c r="G492" s="28" t="inlineStr">
        <is>
          <t>Active</t>
        </is>
      </c>
      <c r="H492" s="31" t="n"/>
      <c r="I492" s="32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1">
        <f>IF($C492="",0,IFERROR(INDEX(Deals!$H$2:$H$355,MATCH($C492,Deals!$A$2:$A$355,0)),0))</f>
        <v/>
      </c>
      <c r="K492" s="32">
        <f>IF(Settings!$B$4="Yes",$I492*$J492,$I492)</f>
        <v/>
      </c>
      <c r="L492" s="22">
        <f>IF($C492="","",IFERROR(IF(INDEX(Deals!$I$2:$I$355,MATCH($C492,Deals!$A$2:$A$355,0))=0,"",INDEX(Deals!$I$2:$I$355,MATCH($C492,Deals!$A$2:$A$355,0))),""))</f>
        <v/>
      </c>
      <c r="M492" s="22">
        <f>IF($C492="","",IFERROR(IF(INDEX(Deals!$J$2:$J$355,MATCH($C492,Deals!$A$2:$A$355,0))=0,"",INDEX(Deals!$J$2:$J$355,MATCH($C492,Deals!$A$2:$A$355,0))),""))</f>
        <v/>
      </c>
      <c r="N492" s="35">
        <f>IF($L492="",DATE(1900,1,1),$L492)</f>
        <v/>
      </c>
      <c r="O492" s="35">
        <f>IF($M492="",DATE(2100,12,31),$M492)</f>
        <v/>
      </c>
      <c r="P492" s="20" t="inlineStr">
        <is>
          <t>Ongoing</t>
        </is>
      </c>
      <c r="Q492" s="43" t="inlineStr"/>
      <c r="R492" s="16">
        <f>IF($C492="","",IFERROR(IF(INDEX(Deals!$U$2:$U$355,MATCH($C492,Deals!$A$2:$A$355,0))=0,"",INDEX(Deals!$U$2:$U$355,MATCH($C492,Deals!$A$2:$A$355,0))),""))</f>
        <v/>
      </c>
      <c r="S492" s="34">
        <f>IFERROR(IF($U492="",1,INDEX(Deals!$V$2:$V$355,MATCH($C492,Deals!$A$2:$A$355,0))),1)</f>
        <v/>
      </c>
      <c r="T492" s="34">
        <f>IFERROR(IF($U492="",1,INDEX(Deals!$W$2:$W$355,MATCH($C492,Deals!$A$2:$A$355,0))),1)</f>
        <v/>
      </c>
      <c r="U492" s="22">
        <f>IF($C492="","",IFERROR(IF(INDEX(Deals!$Y$2:$Y$355,MATCH($C492,Deals!$A$2:$A$355,0))=0,"",INDEX(Deals!$Y$2:$Y$355,MATCH($C492,Deals!$A$2:$A$355,0))),""))</f>
        <v/>
      </c>
      <c r="V492" s="35">
        <f>IF($U492="",DATE(1900,1,1),$N492)</f>
        <v/>
      </c>
      <c r="W492" s="35">
        <f>IF($U492="",DATE(2100,12,31),$U492)</f>
        <v/>
      </c>
      <c r="X492" s="32">
        <f>IF($U492="",$K492,$K492*$S492)</f>
        <v/>
      </c>
      <c r="Y492" s="35">
        <f>IF($U492="",DATE(2100,12,31),$U492+1)</f>
        <v/>
      </c>
      <c r="Z492" s="35">
        <f>IF($U492="",DATE(1900,1,1),$O492)</f>
        <v/>
      </c>
      <c r="AA492" s="32">
        <f>IF($U492="",0,$K492*$T492)</f>
        <v/>
      </c>
      <c r="AB492" s="21">
        <f>IF($C492="",0,IFERROR(INDEX(Deals!$AD$2:$AD$355,MATCH($C492,Deals!$A$2:$A$355,0)),0))</f>
        <v/>
      </c>
      <c r="AC492" s="32">
        <f>IF(Settings!$B$4="Yes",$I492*$AB492,$I492)</f>
        <v/>
      </c>
      <c r="AD492" s="22">
        <f>IF($C492="","",IFERROR(IF(INDEX(Deals!$AE$2:$AE$355,MATCH($C492,Deals!$A$2:$A$355,0))=0,"",INDEX(Deals!$AE$2:$AE$355,MATCH($C492,Deals!$A$2:$A$355,0))),""))</f>
        <v/>
      </c>
      <c r="AE492" s="22">
        <f>IF($C492="","",IFERROR(IF(INDEX(Deals!$AF$2:$AF$355,MATCH($C492,Deals!$A$2:$A$355,0))=0,"",INDEX(Deals!$AF$2:$AF$355,MATCH($C492,Deals!$A$2:$A$355,0))),""))</f>
        <v/>
      </c>
      <c r="AF492" s="35">
        <f>IF($AD492="",DATE(1900,1,1),$AD492)</f>
        <v/>
      </c>
      <c r="AG492" s="35">
        <f>IF($AE492="",DATE(2100,12,31),$AE492)</f>
        <v/>
      </c>
      <c r="AH492" s="22">
        <f>IF($C492="","",IFERROR(IF(INDEX(Deals!$AG$2:$AG$355,MATCH($C492,Deals!$A$2:$A$355,0))=0,"",INDEX(Deals!$AG$2:$AG$355,MATCH($C492,Deals!$A$2:$A$355,0))),""))</f>
        <v/>
      </c>
      <c r="AI492" s="35">
        <f>IF($AH492="",DATE(1900,1,1),$AF492)</f>
        <v/>
      </c>
      <c r="AJ492" s="35">
        <f>IF($AH492="",DATE(2100,12,31),$AH492)</f>
        <v/>
      </c>
      <c r="AK492" s="32">
        <f>IF($AH492="",$AC492,$AC492*$S492)</f>
        <v/>
      </c>
      <c r="AL492" s="35">
        <f>IF($AH492="",DATE(2100,12,31),$AH492+1)</f>
        <v/>
      </c>
      <c r="AM492" s="35">
        <f>IF($AH492="",DATE(1900,1,1),$AG492)</f>
        <v/>
      </c>
      <c r="AN492" s="32">
        <f>IF($AH492="",0,$AC492*$T492)</f>
        <v/>
      </c>
    </row>
    <row r="493">
      <c r="A493" s="28" t="inlineStr">
        <is>
          <t>Colleen</t>
        </is>
      </c>
      <c r="B493" s="16">
        <f>IF($A493="","",IFERROR(INDEX(Roster!$B$2:$B$40,MATCH($A493,Roster!$A$2:$A$40,0)),"?"))</f>
        <v/>
      </c>
      <c r="C493" s="28" t="inlineStr">
        <is>
          <t>Blue_8</t>
        </is>
      </c>
      <c r="D493" s="16">
        <f>IF($C493="","",IFERROR(IF(INDEX(Deals!$C$2:$C$355,MATCH($C493,Deals!$A$2:$A$355,0))=0,"",INDEX(Deals!$C$2:$C$355,MATCH($C493,Deals!$A$2:$A$355,0))),"?"))</f>
        <v/>
      </c>
      <c r="E493" s="16">
        <f>IF($C493="","",IFERROR(INDEX(Deals!$F$2:$F$355,MATCH($C493,Deals!$A$2:$A$355,0)),"?"))</f>
        <v/>
      </c>
      <c r="F493" s="28" t="inlineStr">
        <is>
          <t>Senior Associate</t>
        </is>
      </c>
      <c r="G493" s="28" t="inlineStr">
        <is>
          <t>Active</t>
        </is>
      </c>
      <c r="H493" s="31" t="n"/>
      <c r="I493" s="32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1">
        <f>IF($C493="",0,IFERROR(INDEX(Deals!$H$2:$H$355,MATCH($C493,Deals!$A$2:$A$355,0)),0))</f>
        <v/>
      </c>
      <c r="K493" s="32">
        <f>IF(Settings!$B$4="Yes",$I493*$J493,$I493)</f>
        <v/>
      </c>
      <c r="L493" s="22">
        <f>IF($C493="","",IFERROR(IF(INDEX(Deals!$I$2:$I$355,MATCH($C493,Deals!$A$2:$A$355,0))=0,"",INDEX(Deals!$I$2:$I$355,MATCH($C493,Deals!$A$2:$A$355,0))),""))</f>
        <v/>
      </c>
      <c r="M493" s="22">
        <f>IF($C493="","",IFERROR(IF(INDEX(Deals!$J$2:$J$355,MATCH($C493,Deals!$A$2:$A$355,0))=0,"",INDEX(Deals!$J$2:$J$355,MATCH($C493,Deals!$A$2:$A$355,0))),""))</f>
        <v/>
      </c>
      <c r="N493" s="35">
        <f>IF($L493="",DATE(1900,1,1),$L493)</f>
        <v/>
      </c>
      <c r="O493" s="35">
        <f>IF($M493="",DATE(2100,12,31),$M493)</f>
        <v/>
      </c>
      <c r="P493" s="20" t="inlineStr">
        <is>
          <t>Ongoing</t>
        </is>
      </c>
      <c r="Q493" s="43" t="inlineStr"/>
      <c r="R493" s="16">
        <f>IF($C493="","",IFERROR(IF(INDEX(Deals!$U$2:$U$355,MATCH($C493,Deals!$A$2:$A$355,0))=0,"",INDEX(Deals!$U$2:$U$355,MATCH($C493,Deals!$A$2:$A$355,0))),""))</f>
        <v/>
      </c>
      <c r="S493" s="34">
        <f>IFERROR(IF($U493="",1,INDEX(Deals!$V$2:$V$355,MATCH($C493,Deals!$A$2:$A$355,0))),1)</f>
        <v/>
      </c>
      <c r="T493" s="34">
        <f>IFERROR(IF($U493="",1,INDEX(Deals!$W$2:$W$355,MATCH($C493,Deals!$A$2:$A$355,0))),1)</f>
        <v/>
      </c>
      <c r="U493" s="22">
        <f>IF($C493="","",IFERROR(IF(INDEX(Deals!$Y$2:$Y$355,MATCH($C493,Deals!$A$2:$A$355,0))=0,"",INDEX(Deals!$Y$2:$Y$355,MATCH($C493,Deals!$A$2:$A$355,0))),""))</f>
        <v/>
      </c>
      <c r="V493" s="35">
        <f>IF($U493="",DATE(1900,1,1),$N493)</f>
        <v/>
      </c>
      <c r="W493" s="35">
        <f>IF($U493="",DATE(2100,12,31),$U493)</f>
        <v/>
      </c>
      <c r="X493" s="32">
        <f>IF($U493="",$K493,$K493*$S493)</f>
        <v/>
      </c>
      <c r="Y493" s="35">
        <f>IF($U493="",DATE(2100,12,31),$U493+1)</f>
        <v/>
      </c>
      <c r="Z493" s="35">
        <f>IF($U493="",DATE(1900,1,1),$O493)</f>
        <v/>
      </c>
      <c r="AA493" s="32">
        <f>IF($U493="",0,$K493*$T493)</f>
        <v/>
      </c>
      <c r="AB493" s="21">
        <f>IF($C493="",0,IFERROR(INDEX(Deals!$AD$2:$AD$355,MATCH($C493,Deals!$A$2:$A$355,0)),0))</f>
        <v/>
      </c>
      <c r="AC493" s="32">
        <f>IF(Settings!$B$4="Yes",$I493*$AB493,$I493)</f>
        <v/>
      </c>
      <c r="AD493" s="22">
        <f>IF($C493="","",IFERROR(IF(INDEX(Deals!$AE$2:$AE$355,MATCH($C493,Deals!$A$2:$A$355,0))=0,"",INDEX(Deals!$AE$2:$AE$355,MATCH($C493,Deals!$A$2:$A$355,0))),""))</f>
        <v/>
      </c>
      <c r="AE493" s="22">
        <f>IF($C493="","",IFERROR(IF(INDEX(Deals!$AF$2:$AF$355,MATCH($C493,Deals!$A$2:$A$355,0))=0,"",INDEX(Deals!$AF$2:$AF$355,MATCH($C493,Deals!$A$2:$A$355,0))),""))</f>
        <v/>
      </c>
      <c r="AF493" s="35">
        <f>IF($AD493="",DATE(1900,1,1),$AD493)</f>
        <v/>
      </c>
      <c r="AG493" s="35">
        <f>IF($AE493="",DATE(2100,12,31),$AE493)</f>
        <v/>
      </c>
      <c r="AH493" s="22">
        <f>IF($C493="","",IFERROR(IF(INDEX(Deals!$AG$2:$AG$355,MATCH($C493,Deals!$A$2:$A$355,0))=0,"",INDEX(Deals!$AG$2:$AG$355,MATCH($C493,Deals!$A$2:$A$355,0))),""))</f>
        <v/>
      </c>
      <c r="AI493" s="35">
        <f>IF($AH493="",DATE(1900,1,1),$AF493)</f>
        <v/>
      </c>
      <c r="AJ493" s="35">
        <f>IF($AH493="",DATE(2100,12,31),$AH493)</f>
        <v/>
      </c>
      <c r="AK493" s="32">
        <f>IF($AH493="",$AC493,$AC493*$S493)</f>
        <v/>
      </c>
      <c r="AL493" s="35">
        <f>IF($AH493="",DATE(2100,12,31),$AH493+1)</f>
        <v/>
      </c>
      <c r="AM493" s="35">
        <f>IF($AH493="",DATE(1900,1,1),$AG493)</f>
        <v/>
      </c>
      <c r="AN493" s="32">
        <f>IF($AH493="",0,$AC493*$T493)</f>
        <v/>
      </c>
    </row>
    <row r="494">
      <c r="A494" s="28" t="inlineStr">
        <is>
          <t>Colleen</t>
        </is>
      </c>
      <c r="B494" s="16">
        <f>IF($A494="","",IFERROR(INDEX(Roster!$B$2:$B$40,MATCH($A494,Roster!$A$2:$A$40,0)),"?"))</f>
        <v/>
      </c>
      <c r="C494" s="28" t="inlineStr">
        <is>
          <t>Canyon_2</t>
        </is>
      </c>
      <c r="D494" s="16">
        <f>IF($C494="","",IFERROR(IF(INDEX(Deals!$C$2:$C$355,MATCH($C494,Deals!$A$2:$A$355,0))=0,"",INDEX(Deals!$C$2:$C$355,MATCH($C494,Deals!$A$2:$A$355,0))),"?"))</f>
        <v/>
      </c>
      <c r="E494" s="16">
        <f>IF($C494="","",IFERROR(INDEX(Deals!$F$2:$F$355,MATCH($C494,Deals!$A$2:$A$355,0)),"?"))</f>
        <v/>
      </c>
      <c r="F494" s="28" t="inlineStr">
        <is>
          <t>Senior Associate</t>
        </is>
      </c>
      <c r="G494" s="28" t="inlineStr">
        <is>
          <t>Inactive</t>
        </is>
      </c>
      <c r="H494" s="31" t="n"/>
      <c r="I494" s="32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1">
        <f>IF($C494="",0,IFERROR(INDEX(Deals!$H$2:$H$355,MATCH($C494,Deals!$A$2:$A$355,0)),0))</f>
        <v/>
      </c>
      <c r="K494" s="32">
        <f>IF(Settings!$B$4="Yes",$I494*$J494,$I494)</f>
        <v/>
      </c>
      <c r="L494" s="22">
        <f>IF($C494="","",IFERROR(IF(INDEX(Deals!$I$2:$I$355,MATCH($C494,Deals!$A$2:$A$355,0))=0,"",INDEX(Deals!$I$2:$I$355,MATCH($C494,Deals!$A$2:$A$355,0))),""))</f>
        <v/>
      </c>
      <c r="M494" s="22">
        <f>IF($C494="","",IFERROR(IF(INDEX(Deals!$J$2:$J$355,MATCH($C494,Deals!$A$2:$A$355,0))=0,"",INDEX(Deals!$J$2:$J$355,MATCH($C494,Deals!$A$2:$A$355,0))),""))</f>
        <v/>
      </c>
      <c r="N494" s="35">
        <f>IF($L494="",DATE(1900,1,1),$L494)</f>
        <v/>
      </c>
      <c r="O494" s="35">
        <f>IF($M494="",DATE(2100,12,31),$M494)</f>
        <v/>
      </c>
      <c r="P494" s="20" t="inlineStr">
        <is>
          <t>Not involved in ongoing work</t>
        </is>
      </c>
      <c r="Q494" s="43" t="inlineStr"/>
      <c r="R494" s="16">
        <f>IF($C494="","",IFERROR(IF(INDEX(Deals!$U$2:$U$355,MATCH($C494,Deals!$A$2:$A$355,0))=0,"",INDEX(Deals!$U$2:$U$355,MATCH($C494,Deals!$A$2:$A$355,0))),""))</f>
        <v/>
      </c>
      <c r="S494" s="34">
        <f>IFERROR(IF($U494="",1,INDEX(Deals!$V$2:$V$355,MATCH($C494,Deals!$A$2:$A$355,0))),1)</f>
        <v/>
      </c>
      <c r="T494" s="34">
        <f>IFERROR(IF($U494="",1,INDEX(Deals!$W$2:$W$355,MATCH($C494,Deals!$A$2:$A$355,0))),1)</f>
        <v/>
      </c>
      <c r="U494" s="22">
        <f>IF($C494="","",IFERROR(IF(INDEX(Deals!$Y$2:$Y$355,MATCH($C494,Deals!$A$2:$A$355,0))=0,"",INDEX(Deals!$Y$2:$Y$355,MATCH($C494,Deals!$A$2:$A$355,0))),""))</f>
        <v/>
      </c>
      <c r="V494" s="35">
        <f>IF($U494="",DATE(1900,1,1),$N494)</f>
        <v/>
      </c>
      <c r="W494" s="35">
        <f>IF($U494="",DATE(2100,12,31),$U494)</f>
        <v/>
      </c>
      <c r="X494" s="32">
        <f>IF($U494="",$K494,$K494*$S494)</f>
        <v/>
      </c>
      <c r="Y494" s="35">
        <f>IF($U494="",DATE(2100,12,31),$U494+1)</f>
        <v/>
      </c>
      <c r="Z494" s="35">
        <f>IF($U494="",DATE(1900,1,1),$O494)</f>
        <v/>
      </c>
      <c r="AA494" s="32">
        <f>IF($U494="",0,$K494*$T494)</f>
        <v/>
      </c>
      <c r="AB494" s="21">
        <f>IF($C494="",0,IFERROR(INDEX(Deals!$AD$2:$AD$355,MATCH($C494,Deals!$A$2:$A$355,0)),0))</f>
        <v/>
      </c>
      <c r="AC494" s="32">
        <f>IF(Settings!$B$4="Yes",$I494*$AB494,$I494)</f>
        <v/>
      </c>
      <c r="AD494" s="22">
        <f>IF($C494="","",IFERROR(IF(INDEX(Deals!$AE$2:$AE$355,MATCH($C494,Deals!$A$2:$A$355,0))=0,"",INDEX(Deals!$AE$2:$AE$355,MATCH($C494,Deals!$A$2:$A$355,0))),""))</f>
        <v/>
      </c>
      <c r="AE494" s="22">
        <f>IF($C494="","",IFERROR(IF(INDEX(Deals!$AF$2:$AF$355,MATCH($C494,Deals!$A$2:$A$355,0))=0,"",INDEX(Deals!$AF$2:$AF$355,MATCH($C494,Deals!$A$2:$A$355,0))),""))</f>
        <v/>
      </c>
      <c r="AF494" s="35">
        <f>IF($AD494="",DATE(1900,1,1),$AD494)</f>
        <v/>
      </c>
      <c r="AG494" s="35">
        <f>IF($AE494="",DATE(2100,12,31),$AE494)</f>
        <v/>
      </c>
      <c r="AH494" s="22">
        <f>IF($C494="","",IFERROR(IF(INDEX(Deals!$AG$2:$AG$355,MATCH($C494,Deals!$A$2:$A$355,0))=0,"",INDEX(Deals!$AG$2:$AG$355,MATCH($C494,Deals!$A$2:$A$355,0))),""))</f>
        <v/>
      </c>
      <c r="AI494" s="35">
        <f>IF($AH494="",DATE(1900,1,1),$AF494)</f>
        <v/>
      </c>
      <c r="AJ494" s="35">
        <f>IF($AH494="",DATE(2100,12,31),$AH494)</f>
        <v/>
      </c>
      <c r="AK494" s="32">
        <f>IF($AH494="",$AC494,$AC494*$S494)</f>
        <v/>
      </c>
      <c r="AL494" s="35">
        <f>IF($AH494="",DATE(2100,12,31),$AH494+1)</f>
        <v/>
      </c>
      <c r="AM494" s="35">
        <f>IF($AH494="",DATE(1900,1,1),$AG494)</f>
        <v/>
      </c>
      <c r="AN494" s="32">
        <f>IF($AH494="",0,$AC494*$T494)</f>
        <v/>
      </c>
    </row>
    <row r="495">
      <c r="A495" s="28" t="inlineStr">
        <is>
          <t>Colleen</t>
        </is>
      </c>
      <c r="B495" s="16">
        <f>IF($A495="","",IFERROR(INDEX(Roster!$B$2:$B$40,MATCH($A495,Roster!$A$2:$A$40,0)),"?"))</f>
        <v/>
      </c>
      <c r="C495" s="28" t="inlineStr">
        <is>
          <t>Celestial_1</t>
        </is>
      </c>
      <c r="D495" s="16">
        <f>IF($C495="","",IFERROR(IF(INDEX(Deals!$C$2:$C$355,MATCH($C495,Deals!$A$2:$A$355,0))=0,"",INDEX(Deals!$C$2:$C$355,MATCH($C495,Deals!$A$2:$A$355,0))),"?"))</f>
        <v/>
      </c>
      <c r="E495" s="16">
        <f>IF($C495="","",IFERROR(INDEX(Deals!$F$2:$F$355,MATCH($C495,Deals!$A$2:$A$355,0)),"?"))</f>
        <v/>
      </c>
      <c r="F495" s="28" t="inlineStr">
        <is>
          <t>Senior Associate</t>
        </is>
      </c>
      <c r="G495" s="28" t="inlineStr">
        <is>
          <t>Inactive</t>
        </is>
      </c>
      <c r="H495" s="31" t="n"/>
      <c r="I495" s="32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1">
        <f>IF($C495="",0,IFERROR(INDEX(Deals!$H$2:$H$355,MATCH($C495,Deals!$A$2:$A$355,0)),0))</f>
        <v/>
      </c>
      <c r="K495" s="32">
        <f>IF(Settings!$B$4="Yes",$I495*$J495,$I495)</f>
        <v/>
      </c>
      <c r="L495" s="22">
        <f>IF($C495="","",IFERROR(IF(INDEX(Deals!$I$2:$I$355,MATCH($C495,Deals!$A$2:$A$355,0))=0,"",INDEX(Deals!$I$2:$I$355,MATCH($C495,Deals!$A$2:$A$355,0))),""))</f>
        <v/>
      </c>
      <c r="M495" s="22">
        <f>IF($C495="","",IFERROR(IF(INDEX(Deals!$J$2:$J$355,MATCH($C495,Deals!$A$2:$A$355,0))=0,"",INDEX(Deals!$J$2:$J$355,MATCH($C495,Deals!$A$2:$A$355,0))),""))</f>
        <v/>
      </c>
      <c r="N495" s="35">
        <f>IF($L495="",DATE(1900,1,1),$L495)</f>
        <v/>
      </c>
      <c r="O495" s="35">
        <f>IF($M495="",DATE(2100,12,31),$M495)</f>
        <v/>
      </c>
      <c r="P495" s="20" t="inlineStr">
        <is>
          <t>Not involved in ongoing work</t>
        </is>
      </c>
      <c r="Q495" s="43" t="inlineStr"/>
      <c r="R495" s="16">
        <f>IF($C495="","",IFERROR(IF(INDEX(Deals!$U$2:$U$355,MATCH($C495,Deals!$A$2:$A$355,0))=0,"",INDEX(Deals!$U$2:$U$355,MATCH($C495,Deals!$A$2:$A$355,0))),""))</f>
        <v/>
      </c>
      <c r="S495" s="34">
        <f>IFERROR(IF($U495="",1,INDEX(Deals!$V$2:$V$355,MATCH($C495,Deals!$A$2:$A$355,0))),1)</f>
        <v/>
      </c>
      <c r="T495" s="34">
        <f>IFERROR(IF($U495="",1,INDEX(Deals!$W$2:$W$355,MATCH($C495,Deals!$A$2:$A$355,0))),1)</f>
        <v/>
      </c>
      <c r="U495" s="22">
        <f>IF($C495="","",IFERROR(IF(INDEX(Deals!$Y$2:$Y$355,MATCH($C495,Deals!$A$2:$A$355,0))=0,"",INDEX(Deals!$Y$2:$Y$355,MATCH($C495,Deals!$A$2:$A$355,0))),""))</f>
        <v/>
      </c>
      <c r="V495" s="35">
        <f>IF($U495="",DATE(1900,1,1),$N495)</f>
        <v/>
      </c>
      <c r="W495" s="35">
        <f>IF($U495="",DATE(2100,12,31),$U495)</f>
        <v/>
      </c>
      <c r="X495" s="32">
        <f>IF($U495="",$K495,$K495*$S495)</f>
        <v/>
      </c>
      <c r="Y495" s="35">
        <f>IF($U495="",DATE(2100,12,31),$U495+1)</f>
        <v/>
      </c>
      <c r="Z495" s="35">
        <f>IF($U495="",DATE(1900,1,1),$O495)</f>
        <v/>
      </c>
      <c r="AA495" s="32">
        <f>IF($U495="",0,$K495*$T495)</f>
        <v/>
      </c>
      <c r="AB495" s="21">
        <f>IF($C495="",0,IFERROR(INDEX(Deals!$AD$2:$AD$355,MATCH($C495,Deals!$A$2:$A$355,0)),0))</f>
        <v/>
      </c>
      <c r="AC495" s="32">
        <f>IF(Settings!$B$4="Yes",$I495*$AB495,$I495)</f>
        <v/>
      </c>
      <c r="AD495" s="22">
        <f>IF($C495="","",IFERROR(IF(INDEX(Deals!$AE$2:$AE$355,MATCH($C495,Deals!$A$2:$A$355,0))=0,"",INDEX(Deals!$AE$2:$AE$355,MATCH($C495,Deals!$A$2:$A$355,0))),""))</f>
        <v/>
      </c>
      <c r="AE495" s="22">
        <f>IF($C495="","",IFERROR(IF(INDEX(Deals!$AF$2:$AF$355,MATCH($C495,Deals!$A$2:$A$355,0))=0,"",INDEX(Deals!$AF$2:$AF$355,MATCH($C495,Deals!$A$2:$A$355,0))),""))</f>
        <v/>
      </c>
      <c r="AF495" s="35">
        <f>IF($AD495="",DATE(1900,1,1),$AD495)</f>
        <v/>
      </c>
      <c r="AG495" s="35">
        <f>IF($AE495="",DATE(2100,12,31),$AE495)</f>
        <v/>
      </c>
      <c r="AH495" s="22">
        <f>IF($C495="","",IFERROR(IF(INDEX(Deals!$AG$2:$AG$355,MATCH($C495,Deals!$A$2:$A$355,0))=0,"",INDEX(Deals!$AG$2:$AG$355,MATCH($C495,Deals!$A$2:$A$355,0))),""))</f>
        <v/>
      </c>
      <c r="AI495" s="35">
        <f>IF($AH495="",DATE(1900,1,1),$AF495)</f>
        <v/>
      </c>
      <c r="AJ495" s="35">
        <f>IF($AH495="",DATE(2100,12,31),$AH495)</f>
        <v/>
      </c>
      <c r="AK495" s="32">
        <f>IF($AH495="",$AC495,$AC495*$S495)</f>
        <v/>
      </c>
      <c r="AL495" s="35">
        <f>IF($AH495="",DATE(2100,12,31),$AH495+1)</f>
        <v/>
      </c>
      <c r="AM495" s="35">
        <f>IF($AH495="",DATE(1900,1,1),$AG495)</f>
        <v/>
      </c>
      <c r="AN495" s="32">
        <f>IF($AH495="",0,$AC495*$T495)</f>
        <v/>
      </c>
    </row>
    <row r="496">
      <c r="A496" s="28" t="inlineStr">
        <is>
          <t>Colleen</t>
        </is>
      </c>
      <c r="B496" s="16">
        <f>IF($A496="","",IFERROR(INDEX(Roster!$B$2:$B$40,MATCH($A496,Roster!$A$2:$A$40,0)),"?"))</f>
        <v/>
      </c>
      <c r="C496" s="28" t="inlineStr">
        <is>
          <t>Colt_2</t>
        </is>
      </c>
      <c r="D496" s="16">
        <f>IF($C496="","",IFERROR(IF(INDEX(Deals!$C$2:$C$355,MATCH($C496,Deals!$A$2:$A$355,0))=0,"",INDEX(Deals!$C$2:$C$355,MATCH($C496,Deals!$A$2:$A$355,0))),"?"))</f>
        <v/>
      </c>
      <c r="E496" s="16">
        <f>IF($C496="","",IFERROR(INDEX(Deals!$F$2:$F$355,MATCH($C496,Deals!$A$2:$A$355,0)),"?"))</f>
        <v/>
      </c>
      <c r="F496" s="28" t="inlineStr">
        <is>
          <t>Senior Associate</t>
        </is>
      </c>
      <c r="G496" s="28" t="inlineStr">
        <is>
          <t>Inactive</t>
        </is>
      </c>
      <c r="H496" s="31" t="n"/>
      <c r="I496" s="32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1">
        <f>IF($C496="",0,IFERROR(INDEX(Deals!$H$2:$H$355,MATCH($C496,Deals!$A$2:$A$355,0)),0))</f>
        <v/>
      </c>
      <c r="K496" s="32">
        <f>IF(Settings!$B$4="Yes",$I496*$J496,$I496)</f>
        <v/>
      </c>
      <c r="L496" s="22">
        <f>IF($C496="","",IFERROR(IF(INDEX(Deals!$I$2:$I$355,MATCH($C496,Deals!$A$2:$A$355,0))=0,"",INDEX(Deals!$I$2:$I$355,MATCH($C496,Deals!$A$2:$A$355,0))),""))</f>
        <v/>
      </c>
      <c r="M496" s="22">
        <f>IF($C496="","",IFERROR(IF(INDEX(Deals!$J$2:$J$355,MATCH($C496,Deals!$A$2:$A$355,0))=0,"",INDEX(Deals!$J$2:$J$355,MATCH($C496,Deals!$A$2:$A$355,0))),""))</f>
        <v/>
      </c>
      <c r="N496" s="35">
        <f>IF($L496="",DATE(1900,1,1),$L496)</f>
        <v/>
      </c>
      <c r="O496" s="35">
        <f>IF($M496="",DATE(2100,12,31),$M496)</f>
        <v/>
      </c>
      <c r="P496" s="20" t="inlineStr">
        <is>
          <t>Not involved in ongoing work</t>
        </is>
      </c>
      <c r="Q496" s="43" t="inlineStr"/>
      <c r="R496" s="16">
        <f>IF($C496="","",IFERROR(IF(INDEX(Deals!$U$2:$U$355,MATCH($C496,Deals!$A$2:$A$355,0))=0,"",INDEX(Deals!$U$2:$U$355,MATCH($C496,Deals!$A$2:$A$355,0))),""))</f>
        <v/>
      </c>
      <c r="S496" s="34">
        <f>IFERROR(IF($U496="",1,INDEX(Deals!$V$2:$V$355,MATCH($C496,Deals!$A$2:$A$355,0))),1)</f>
        <v/>
      </c>
      <c r="T496" s="34">
        <f>IFERROR(IF($U496="",1,INDEX(Deals!$W$2:$W$355,MATCH($C496,Deals!$A$2:$A$355,0))),1)</f>
        <v/>
      </c>
      <c r="U496" s="22">
        <f>IF($C496="","",IFERROR(IF(INDEX(Deals!$Y$2:$Y$355,MATCH($C496,Deals!$A$2:$A$355,0))=0,"",INDEX(Deals!$Y$2:$Y$355,MATCH($C496,Deals!$A$2:$A$355,0))),""))</f>
        <v/>
      </c>
      <c r="V496" s="35">
        <f>IF($U496="",DATE(1900,1,1),$N496)</f>
        <v/>
      </c>
      <c r="W496" s="35">
        <f>IF($U496="",DATE(2100,12,31),$U496)</f>
        <v/>
      </c>
      <c r="X496" s="32">
        <f>IF($U496="",$K496,$K496*$S496)</f>
        <v/>
      </c>
      <c r="Y496" s="35">
        <f>IF($U496="",DATE(2100,12,31),$U496+1)</f>
        <v/>
      </c>
      <c r="Z496" s="35">
        <f>IF($U496="",DATE(1900,1,1),$O496)</f>
        <v/>
      </c>
      <c r="AA496" s="32">
        <f>IF($U496="",0,$K496*$T496)</f>
        <v/>
      </c>
      <c r="AB496" s="21">
        <f>IF($C496="",0,IFERROR(INDEX(Deals!$AD$2:$AD$355,MATCH($C496,Deals!$A$2:$A$355,0)),0))</f>
        <v/>
      </c>
      <c r="AC496" s="32">
        <f>IF(Settings!$B$4="Yes",$I496*$AB496,$I496)</f>
        <v/>
      </c>
      <c r="AD496" s="22">
        <f>IF($C496="","",IFERROR(IF(INDEX(Deals!$AE$2:$AE$355,MATCH($C496,Deals!$A$2:$A$355,0))=0,"",INDEX(Deals!$AE$2:$AE$355,MATCH($C496,Deals!$A$2:$A$355,0))),""))</f>
        <v/>
      </c>
      <c r="AE496" s="22">
        <f>IF($C496="","",IFERROR(IF(INDEX(Deals!$AF$2:$AF$355,MATCH($C496,Deals!$A$2:$A$355,0))=0,"",INDEX(Deals!$AF$2:$AF$355,MATCH($C496,Deals!$A$2:$A$355,0))),""))</f>
        <v/>
      </c>
      <c r="AF496" s="35">
        <f>IF($AD496="",DATE(1900,1,1),$AD496)</f>
        <v/>
      </c>
      <c r="AG496" s="35">
        <f>IF($AE496="",DATE(2100,12,31),$AE496)</f>
        <v/>
      </c>
      <c r="AH496" s="22">
        <f>IF($C496="","",IFERROR(IF(INDEX(Deals!$AG$2:$AG$355,MATCH($C496,Deals!$A$2:$A$355,0))=0,"",INDEX(Deals!$AG$2:$AG$355,MATCH($C496,Deals!$A$2:$A$355,0))),""))</f>
        <v/>
      </c>
      <c r="AI496" s="35">
        <f>IF($AH496="",DATE(1900,1,1),$AF496)</f>
        <v/>
      </c>
      <c r="AJ496" s="35">
        <f>IF($AH496="",DATE(2100,12,31),$AH496)</f>
        <v/>
      </c>
      <c r="AK496" s="32">
        <f>IF($AH496="",$AC496,$AC496*$S496)</f>
        <v/>
      </c>
      <c r="AL496" s="35">
        <f>IF($AH496="",DATE(2100,12,31),$AH496+1)</f>
        <v/>
      </c>
      <c r="AM496" s="35">
        <f>IF($AH496="",DATE(1900,1,1),$AG496)</f>
        <v/>
      </c>
      <c r="AN496" s="32">
        <f>IF($AH496="",0,$AC496*$T496)</f>
        <v/>
      </c>
    </row>
    <row r="497">
      <c r="A497" s="28" t="inlineStr">
        <is>
          <t>Colleen</t>
        </is>
      </c>
      <c r="B497" s="16">
        <f>IF($A497="","",IFERROR(INDEX(Roster!$B$2:$B$40,MATCH($A497,Roster!$A$2:$A$40,0)),"?"))</f>
        <v/>
      </c>
      <c r="C497" s="28" t="inlineStr">
        <is>
          <t>Copia_3</t>
        </is>
      </c>
      <c r="D497" s="16">
        <f>IF($C497="","",IFERROR(IF(INDEX(Deals!$C$2:$C$355,MATCH($C497,Deals!$A$2:$A$355,0))=0,"",INDEX(Deals!$C$2:$C$355,MATCH($C497,Deals!$A$2:$A$355,0))),"?"))</f>
        <v/>
      </c>
      <c r="E497" s="16">
        <f>IF($C497="","",IFERROR(INDEX(Deals!$F$2:$F$355,MATCH($C497,Deals!$A$2:$A$355,0)),"?"))</f>
        <v/>
      </c>
      <c r="F497" s="28" t="inlineStr">
        <is>
          <t>Senior Associate</t>
        </is>
      </c>
      <c r="G497" s="28" t="inlineStr">
        <is>
          <t>Active</t>
        </is>
      </c>
      <c r="H497" s="31" t="n"/>
      <c r="I497" s="32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1">
        <f>IF($C497="",0,IFERROR(INDEX(Deals!$H$2:$H$355,MATCH($C497,Deals!$A$2:$A$355,0)),0))</f>
        <v/>
      </c>
      <c r="K497" s="32">
        <f>IF(Settings!$B$4="Yes",$I497*$J497,$I497)</f>
        <v/>
      </c>
      <c r="L497" s="22">
        <f>IF($C497="","",IFERROR(IF(INDEX(Deals!$I$2:$I$355,MATCH($C497,Deals!$A$2:$A$355,0))=0,"",INDEX(Deals!$I$2:$I$355,MATCH($C497,Deals!$A$2:$A$355,0))),""))</f>
        <v/>
      </c>
      <c r="M497" s="22">
        <f>IF($C497="","",IFERROR(IF(INDEX(Deals!$J$2:$J$355,MATCH($C497,Deals!$A$2:$A$355,0))=0,"",INDEX(Deals!$J$2:$J$355,MATCH($C497,Deals!$A$2:$A$355,0))),""))</f>
        <v/>
      </c>
      <c r="N497" s="35">
        <f>IF($L497="",DATE(1900,1,1),$L497)</f>
        <v/>
      </c>
      <c r="O497" s="35">
        <f>IF($M497="",DATE(2100,12,31),$M497)</f>
        <v/>
      </c>
      <c r="P497" s="20" t="inlineStr">
        <is>
          <t>Ongoing</t>
        </is>
      </c>
      <c r="Q497" s="43" t="inlineStr"/>
      <c r="R497" s="16">
        <f>IF($C497="","",IFERROR(IF(INDEX(Deals!$U$2:$U$355,MATCH($C497,Deals!$A$2:$A$355,0))=0,"",INDEX(Deals!$U$2:$U$355,MATCH($C497,Deals!$A$2:$A$355,0))),""))</f>
        <v/>
      </c>
      <c r="S497" s="34">
        <f>IFERROR(IF($U497="",1,INDEX(Deals!$V$2:$V$355,MATCH($C497,Deals!$A$2:$A$355,0))),1)</f>
        <v/>
      </c>
      <c r="T497" s="34">
        <f>IFERROR(IF($U497="",1,INDEX(Deals!$W$2:$W$355,MATCH($C497,Deals!$A$2:$A$355,0))),1)</f>
        <v/>
      </c>
      <c r="U497" s="22">
        <f>IF($C497="","",IFERROR(IF(INDEX(Deals!$Y$2:$Y$355,MATCH($C497,Deals!$A$2:$A$355,0))=0,"",INDEX(Deals!$Y$2:$Y$355,MATCH($C497,Deals!$A$2:$A$355,0))),""))</f>
        <v/>
      </c>
      <c r="V497" s="35">
        <f>IF($U497="",DATE(1900,1,1),$N497)</f>
        <v/>
      </c>
      <c r="W497" s="35">
        <f>IF($U497="",DATE(2100,12,31),$U497)</f>
        <v/>
      </c>
      <c r="X497" s="32">
        <f>IF($U497="",$K497,$K497*$S497)</f>
        <v/>
      </c>
      <c r="Y497" s="35">
        <f>IF($U497="",DATE(2100,12,31),$U497+1)</f>
        <v/>
      </c>
      <c r="Z497" s="35">
        <f>IF($U497="",DATE(1900,1,1),$O497)</f>
        <v/>
      </c>
      <c r="AA497" s="32">
        <f>IF($U497="",0,$K497*$T497)</f>
        <v/>
      </c>
      <c r="AB497" s="21">
        <f>IF($C497="",0,IFERROR(INDEX(Deals!$AD$2:$AD$355,MATCH($C497,Deals!$A$2:$A$355,0)),0))</f>
        <v/>
      </c>
      <c r="AC497" s="32">
        <f>IF(Settings!$B$4="Yes",$I497*$AB497,$I497)</f>
        <v/>
      </c>
      <c r="AD497" s="22">
        <f>IF($C497="","",IFERROR(IF(INDEX(Deals!$AE$2:$AE$355,MATCH($C497,Deals!$A$2:$A$355,0))=0,"",INDEX(Deals!$AE$2:$AE$355,MATCH($C497,Deals!$A$2:$A$355,0))),""))</f>
        <v/>
      </c>
      <c r="AE497" s="22">
        <f>IF($C497="","",IFERROR(IF(INDEX(Deals!$AF$2:$AF$355,MATCH($C497,Deals!$A$2:$A$355,0))=0,"",INDEX(Deals!$AF$2:$AF$355,MATCH($C497,Deals!$A$2:$A$355,0))),""))</f>
        <v/>
      </c>
      <c r="AF497" s="35">
        <f>IF($AD497="",DATE(1900,1,1),$AD497)</f>
        <v/>
      </c>
      <c r="AG497" s="35">
        <f>IF($AE497="",DATE(2100,12,31),$AE497)</f>
        <v/>
      </c>
      <c r="AH497" s="22">
        <f>IF($C497="","",IFERROR(IF(INDEX(Deals!$AG$2:$AG$355,MATCH($C497,Deals!$A$2:$A$355,0))=0,"",INDEX(Deals!$AG$2:$AG$355,MATCH($C497,Deals!$A$2:$A$355,0))),""))</f>
        <v/>
      </c>
      <c r="AI497" s="35">
        <f>IF($AH497="",DATE(1900,1,1),$AF497)</f>
        <v/>
      </c>
      <c r="AJ497" s="35">
        <f>IF($AH497="",DATE(2100,12,31),$AH497)</f>
        <v/>
      </c>
      <c r="AK497" s="32">
        <f>IF($AH497="",$AC497,$AC497*$S497)</f>
        <v/>
      </c>
      <c r="AL497" s="35">
        <f>IF($AH497="",DATE(2100,12,31),$AH497+1)</f>
        <v/>
      </c>
      <c r="AM497" s="35">
        <f>IF($AH497="",DATE(1900,1,1),$AG497)</f>
        <v/>
      </c>
      <c r="AN497" s="32">
        <f>IF($AH497="",0,$AC497*$T497)</f>
        <v/>
      </c>
    </row>
    <row r="498">
      <c r="A498" s="28" t="inlineStr">
        <is>
          <t>Colleen</t>
        </is>
      </c>
      <c r="B498" s="16">
        <f>IF($A498="","",IFERROR(INDEX(Roster!$B$2:$B$40,MATCH($A498,Roster!$A$2:$A$40,0)),"?"))</f>
        <v/>
      </c>
      <c r="C498" s="28" t="inlineStr">
        <is>
          <t>Delaware_1</t>
        </is>
      </c>
      <c r="D498" s="16">
        <f>IF($C498="","",IFERROR(IF(INDEX(Deals!$C$2:$C$355,MATCH($C498,Deals!$A$2:$A$355,0))=0,"",INDEX(Deals!$C$2:$C$355,MATCH($C498,Deals!$A$2:$A$355,0))),"?"))</f>
        <v/>
      </c>
      <c r="E498" s="16">
        <f>IF($C498="","",IFERROR(INDEX(Deals!$F$2:$F$355,MATCH($C498,Deals!$A$2:$A$355,0)),"?"))</f>
        <v/>
      </c>
      <c r="F498" s="28" t="inlineStr">
        <is>
          <t>Senior Associate</t>
        </is>
      </c>
      <c r="G498" s="28" t="inlineStr">
        <is>
          <t>Active</t>
        </is>
      </c>
      <c r="H498" s="31" t="n"/>
      <c r="I498" s="32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1">
        <f>IF($C498="",0,IFERROR(INDEX(Deals!$H$2:$H$355,MATCH($C498,Deals!$A$2:$A$355,0)),0))</f>
        <v/>
      </c>
      <c r="K498" s="32">
        <f>IF(Settings!$B$4="Yes",$I498*$J498,$I498)</f>
        <v/>
      </c>
      <c r="L498" s="22">
        <f>IF($C498="","",IFERROR(IF(INDEX(Deals!$I$2:$I$355,MATCH($C498,Deals!$A$2:$A$355,0))=0,"",INDEX(Deals!$I$2:$I$355,MATCH($C498,Deals!$A$2:$A$355,0))),""))</f>
        <v/>
      </c>
      <c r="M498" s="22">
        <f>IF($C498="","",IFERROR(IF(INDEX(Deals!$J$2:$J$355,MATCH($C498,Deals!$A$2:$A$355,0))=0,"",INDEX(Deals!$J$2:$J$355,MATCH($C498,Deals!$A$2:$A$355,0))),""))</f>
        <v/>
      </c>
      <c r="N498" s="35">
        <f>IF($L498="",DATE(1900,1,1),$L498)</f>
        <v/>
      </c>
      <c r="O498" s="35">
        <f>IF($M498="",DATE(2100,12,31),$M498)</f>
        <v/>
      </c>
      <c r="P498" s="20" t="inlineStr"/>
      <c r="Q498" s="43" t="inlineStr"/>
      <c r="R498" s="16">
        <f>IF($C498="","",IFERROR(IF(INDEX(Deals!$U$2:$U$355,MATCH($C498,Deals!$A$2:$A$355,0))=0,"",INDEX(Deals!$U$2:$U$355,MATCH($C498,Deals!$A$2:$A$355,0))),""))</f>
        <v/>
      </c>
      <c r="S498" s="34">
        <f>IFERROR(IF($U498="",1,INDEX(Deals!$V$2:$V$355,MATCH($C498,Deals!$A$2:$A$355,0))),1)</f>
        <v/>
      </c>
      <c r="T498" s="34">
        <f>IFERROR(IF($U498="",1,INDEX(Deals!$W$2:$W$355,MATCH($C498,Deals!$A$2:$A$355,0))),1)</f>
        <v/>
      </c>
      <c r="U498" s="22">
        <f>IF($C498="","",IFERROR(IF(INDEX(Deals!$Y$2:$Y$355,MATCH($C498,Deals!$A$2:$A$355,0))=0,"",INDEX(Deals!$Y$2:$Y$355,MATCH($C498,Deals!$A$2:$A$355,0))),""))</f>
        <v/>
      </c>
      <c r="V498" s="35">
        <f>IF($U498="",DATE(1900,1,1),$N498)</f>
        <v/>
      </c>
      <c r="W498" s="35">
        <f>IF($U498="",DATE(2100,12,31),$U498)</f>
        <v/>
      </c>
      <c r="X498" s="32">
        <f>IF($U498="",$K498,$K498*$S498)</f>
        <v/>
      </c>
      <c r="Y498" s="35">
        <f>IF($U498="",DATE(2100,12,31),$U498+1)</f>
        <v/>
      </c>
      <c r="Z498" s="35">
        <f>IF($U498="",DATE(1900,1,1),$O498)</f>
        <v/>
      </c>
      <c r="AA498" s="32">
        <f>IF($U498="",0,$K498*$T498)</f>
        <v/>
      </c>
      <c r="AB498" s="21">
        <f>IF($C498="",0,IFERROR(INDEX(Deals!$AD$2:$AD$355,MATCH($C498,Deals!$A$2:$A$355,0)),0))</f>
        <v/>
      </c>
      <c r="AC498" s="32">
        <f>IF(Settings!$B$4="Yes",$I498*$AB498,$I498)</f>
        <v/>
      </c>
      <c r="AD498" s="22">
        <f>IF($C498="","",IFERROR(IF(INDEX(Deals!$AE$2:$AE$355,MATCH($C498,Deals!$A$2:$A$355,0))=0,"",INDEX(Deals!$AE$2:$AE$355,MATCH($C498,Deals!$A$2:$A$355,0))),""))</f>
        <v/>
      </c>
      <c r="AE498" s="22">
        <f>IF($C498="","",IFERROR(IF(INDEX(Deals!$AF$2:$AF$355,MATCH($C498,Deals!$A$2:$A$355,0))=0,"",INDEX(Deals!$AF$2:$AF$355,MATCH($C498,Deals!$A$2:$A$355,0))),""))</f>
        <v/>
      </c>
      <c r="AF498" s="35">
        <f>IF($AD498="",DATE(1900,1,1),$AD498)</f>
        <v/>
      </c>
      <c r="AG498" s="35">
        <f>IF($AE498="",DATE(2100,12,31),$AE498)</f>
        <v/>
      </c>
      <c r="AH498" s="22">
        <f>IF($C498="","",IFERROR(IF(INDEX(Deals!$AG$2:$AG$355,MATCH($C498,Deals!$A$2:$A$355,0))=0,"",INDEX(Deals!$AG$2:$AG$355,MATCH($C498,Deals!$A$2:$A$355,0))),""))</f>
        <v/>
      </c>
      <c r="AI498" s="35">
        <f>IF($AH498="",DATE(1900,1,1),$AF498)</f>
        <v/>
      </c>
      <c r="AJ498" s="35">
        <f>IF($AH498="",DATE(2100,12,31),$AH498)</f>
        <v/>
      </c>
      <c r="AK498" s="32">
        <f>IF($AH498="",$AC498,$AC498*$S498)</f>
        <v/>
      </c>
      <c r="AL498" s="35">
        <f>IF($AH498="",DATE(2100,12,31),$AH498+1)</f>
        <v/>
      </c>
      <c r="AM498" s="35">
        <f>IF($AH498="",DATE(1900,1,1),$AG498)</f>
        <v/>
      </c>
      <c r="AN498" s="32">
        <f>IF($AH498="",0,$AC498*$T498)</f>
        <v/>
      </c>
    </row>
    <row r="499">
      <c r="A499" s="28" t="inlineStr">
        <is>
          <t>Colleen</t>
        </is>
      </c>
      <c r="B499" s="16">
        <f>IF($A499="","",IFERROR(INDEX(Roster!$B$2:$B$40,MATCH($A499,Roster!$A$2:$A$40,0)),"?"))</f>
        <v/>
      </c>
      <c r="C499" s="28" t="inlineStr">
        <is>
          <t>Dupont_1</t>
        </is>
      </c>
      <c r="D499" s="16">
        <f>IF($C499="","",IFERROR(IF(INDEX(Deals!$C$2:$C$355,MATCH($C499,Deals!$A$2:$A$355,0))=0,"",INDEX(Deals!$C$2:$C$355,MATCH($C499,Deals!$A$2:$A$355,0))),"?"))</f>
        <v/>
      </c>
      <c r="E499" s="16">
        <f>IF($C499="","",IFERROR(INDEX(Deals!$F$2:$F$355,MATCH($C499,Deals!$A$2:$A$355,0)),"?"))</f>
        <v/>
      </c>
      <c r="F499" s="28" t="inlineStr">
        <is>
          <t>Senior Associate</t>
        </is>
      </c>
      <c r="G499" s="28" t="inlineStr">
        <is>
          <t>Active</t>
        </is>
      </c>
      <c r="H499" s="31" t="n"/>
      <c r="I499" s="32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1">
        <f>IF($C499="",0,IFERROR(INDEX(Deals!$H$2:$H$355,MATCH($C499,Deals!$A$2:$A$355,0)),0))</f>
        <v/>
      </c>
      <c r="K499" s="32">
        <f>IF(Settings!$B$4="Yes",$I499*$J499,$I499)</f>
        <v/>
      </c>
      <c r="L499" s="22">
        <f>IF($C499="","",IFERROR(IF(INDEX(Deals!$I$2:$I$355,MATCH($C499,Deals!$A$2:$A$355,0))=0,"",INDEX(Deals!$I$2:$I$355,MATCH($C499,Deals!$A$2:$A$355,0))),""))</f>
        <v/>
      </c>
      <c r="M499" s="22">
        <f>IF($C499="","",IFERROR(IF(INDEX(Deals!$J$2:$J$355,MATCH($C499,Deals!$A$2:$A$355,0))=0,"",INDEX(Deals!$J$2:$J$355,MATCH($C499,Deals!$A$2:$A$355,0))),""))</f>
        <v/>
      </c>
      <c r="N499" s="35">
        <f>IF($L499="",DATE(1900,1,1),$L499)</f>
        <v/>
      </c>
      <c r="O499" s="35">
        <f>IF($M499="",DATE(2100,12,31),$M499)</f>
        <v/>
      </c>
      <c r="P499" s="20" t="inlineStr">
        <is>
          <t>Ongoing</t>
        </is>
      </c>
      <c r="Q499" s="43" t="inlineStr"/>
      <c r="R499" s="16">
        <f>IF($C499="","",IFERROR(IF(INDEX(Deals!$U$2:$U$355,MATCH($C499,Deals!$A$2:$A$355,0))=0,"",INDEX(Deals!$U$2:$U$355,MATCH($C499,Deals!$A$2:$A$355,0))),""))</f>
        <v/>
      </c>
      <c r="S499" s="34">
        <f>IFERROR(IF($U499="",1,INDEX(Deals!$V$2:$V$355,MATCH($C499,Deals!$A$2:$A$355,0))),1)</f>
        <v/>
      </c>
      <c r="T499" s="34">
        <f>IFERROR(IF($U499="",1,INDEX(Deals!$W$2:$W$355,MATCH($C499,Deals!$A$2:$A$355,0))),1)</f>
        <v/>
      </c>
      <c r="U499" s="22">
        <f>IF($C499="","",IFERROR(IF(INDEX(Deals!$Y$2:$Y$355,MATCH($C499,Deals!$A$2:$A$355,0))=0,"",INDEX(Deals!$Y$2:$Y$355,MATCH($C499,Deals!$A$2:$A$355,0))),""))</f>
        <v/>
      </c>
      <c r="V499" s="35">
        <f>IF($U499="",DATE(1900,1,1),$N499)</f>
        <v/>
      </c>
      <c r="W499" s="35">
        <f>IF($U499="",DATE(2100,12,31),$U499)</f>
        <v/>
      </c>
      <c r="X499" s="32">
        <f>IF($U499="",$K499,$K499*$S499)</f>
        <v/>
      </c>
      <c r="Y499" s="35">
        <f>IF($U499="",DATE(2100,12,31),$U499+1)</f>
        <v/>
      </c>
      <c r="Z499" s="35">
        <f>IF($U499="",DATE(1900,1,1),$O499)</f>
        <v/>
      </c>
      <c r="AA499" s="32">
        <f>IF($U499="",0,$K499*$T499)</f>
        <v/>
      </c>
      <c r="AB499" s="21">
        <f>IF($C499="",0,IFERROR(INDEX(Deals!$AD$2:$AD$355,MATCH($C499,Deals!$A$2:$A$355,0)),0))</f>
        <v/>
      </c>
      <c r="AC499" s="32">
        <f>IF(Settings!$B$4="Yes",$I499*$AB499,$I499)</f>
        <v/>
      </c>
      <c r="AD499" s="22">
        <f>IF($C499="","",IFERROR(IF(INDEX(Deals!$AE$2:$AE$355,MATCH($C499,Deals!$A$2:$A$355,0))=0,"",INDEX(Deals!$AE$2:$AE$355,MATCH($C499,Deals!$A$2:$A$355,0))),""))</f>
        <v/>
      </c>
      <c r="AE499" s="22">
        <f>IF($C499="","",IFERROR(IF(INDEX(Deals!$AF$2:$AF$355,MATCH($C499,Deals!$A$2:$A$355,0))=0,"",INDEX(Deals!$AF$2:$AF$355,MATCH($C499,Deals!$A$2:$A$355,0))),""))</f>
        <v/>
      </c>
      <c r="AF499" s="35">
        <f>IF($AD499="",DATE(1900,1,1),$AD499)</f>
        <v/>
      </c>
      <c r="AG499" s="35">
        <f>IF($AE499="",DATE(2100,12,31),$AE499)</f>
        <v/>
      </c>
      <c r="AH499" s="22">
        <f>IF($C499="","",IFERROR(IF(INDEX(Deals!$AG$2:$AG$355,MATCH($C499,Deals!$A$2:$A$355,0))=0,"",INDEX(Deals!$AG$2:$AG$355,MATCH($C499,Deals!$A$2:$A$355,0))),""))</f>
        <v/>
      </c>
      <c r="AI499" s="35">
        <f>IF($AH499="",DATE(1900,1,1),$AF499)</f>
        <v/>
      </c>
      <c r="AJ499" s="35">
        <f>IF($AH499="",DATE(2100,12,31),$AH499)</f>
        <v/>
      </c>
      <c r="AK499" s="32">
        <f>IF($AH499="",$AC499,$AC499*$S499)</f>
        <v/>
      </c>
      <c r="AL499" s="35">
        <f>IF($AH499="",DATE(2100,12,31),$AH499+1)</f>
        <v/>
      </c>
      <c r="AM499" s="35">
        <f>IF($AH499="",DATE(1900,1,1),$AG499)</f>
        <v/>
      </c>
      <c r="AN499" s="32">
        <f>IF($AH499="",0,$AC499*$T499)</f>
        <v/>
      </c>
    </row>
    <row r="500">
      <c r="A500" s="28" t="inlineStr">
        <is>
          <t>Colleen</t>
        </is>
      </c>
      <c r="B500" s="16">
        <f>IF($A500="","",IFERROR(INDEX(Roster!$B$2:$B$40,MATCH($A500,Roster!$A$2:$A$40,0)),"?"))</f>
        <v/>
      </c>
      <c r="C500" s="28" t="inlineStr">
        <is>
          <t>Eagle_7</t>
        </is>
      </c>
      <c r="D500" s="16">
        <f>IF($C500="","",IFERROR(IF(INDEX(Deals!$C$2:$C$355,MATCH($C500,Deals!$A$2:$A$355,0))=0,"",INDEX(Deals!$C$2:$C$355,MATCH($C500,Deals!$A$2:$A$355,0))),"?"))</f>
        <v/>
      </c>
      <c r="E500" s="16">
        <f>IF($C500="","",IFERROR(INDEX(Deals!$F$2:$F$355,MATCH($C500,Deals!$A$2:$A$355,0)),"?"))</f>
        <v/>
      </c>
      <c r="F500" s="28" t="inlineStr">
        <is>
          <t>Senior Associate</t>
        </is>
      </c>
      <c r="G500" s="28" t="inlineStr">
        <is>
          <t>Inactive</t>
        </is>
      </c>
      <c r="H500" s="31" t="n"/>
      <c r="I500" s="32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1">
        <f>IF($C500="",0,IFERROR(INDEX(Deals!$H$2:$H$355,MATCH($C500,Deals!$A$2:$A$355,0)),0))</f>
        <v/>
      </c>
      <c r="K500" s="32">
        <f>IF(Settings!$B$4="Yes",$I500*$J500,$I500)</f>
        <v/>
      </c>
      <c r="L500" s="22">
        <f>IF($C500="","",IFERROR(IF(INDEX(Deals!$I$2:$I$355,MATCH($C500,Deals!$A$2:$A$355,0))=0,"",INDEX(Deals!$I$2:$I$355,MATCH($C500,Deals!$A$2:$A$355,0))),""))</f>
        <v/>
      </c>
      <c r="M500" s="22">
        <f>IF($C500="","",IFERROR(IF(INDEX(Deals!$J$2:$J$355,MATCH($C500,Deals!$A$2:$A$355,0))=0,"",INDEX(Deals!$J$2:$J$355,MATCH($C500,Deals!$A$2:$A$355,0))),""))</f>
        <v/>
      </c>
      <c r="N500" s="35">
        <f>IF($L500="",DATE(1900,1,1),$L500)</f>
        <v/>
      </c>
      <c r="O500" s="35">
        <f>IF($M500="",DATE(2100,12,31),$M500)</f>
        <v/>
      </c>
      <c r="P500" s="20" t="inlineStr">
        <is>
          <t>Dead</t>
        </is>
      </c>
      <c r="Q500" s="43" t="inlineStr"/>
      <c r="R500" s="16">
        <f>IF($C500="","",IFERROR(IF(INDEX(Deals!$U$2:$U$355,MATCH($C500,Deals!$A$2:$A$355,0))=0,"",INDEX(Deals!$U$2:$U$355,MATCH($C500,Deals!$A$2:$A$355,0))),""))</f>
        <v/>
      </c>
      <c r="S500" s="34">
        <f>IFERROR(IF($U500="",1,INDEX(Deals!$V$2:$V$355,MATCH($C500,Deals!$A$2:$A$355,0))),1)</f>
        <v/>
      </c>
      <c r="T500" s="34">
        <f>IFERROR(IF($U500="",1,INDEX(Deals!$W$2:$W$355,MATCH($C500,Deals!$A$2:$A$355,0))),1)</f>
        <v/>
      </c>
      <c r="U500" s="22">
        <f>IF($C500="","",IFERROR(IF(INDEX(Deals!$Y$2:$Y$355,MATCH($C500,Deals!$A$2:$A$355,0))=0,"",INDEX(Deals!$Y$2:$Y$355,MATCH($C500,Deals!$A$2:$A$355,0))),""))</f>
        <v/>
      </c>
      <c r="V500" s="35">
        <f>IF($U500="",DATE(1900,1,1),$N500)</f>
        <v/>
      </c>
      <c r="W500" s="35">
        <f>IF($U500="",DATE(2100,12,31),$U500)</f>
        <v/>
      </c>
      <c r="X500" s="32">
        <f>IF($U500="",$K500,$K500*$S500)</f>
        <v/>
      </c>
      <c r="Y500" s="35">
        <f>IF($U500="",DATE(2100,12,31),$U500+1)</f>
        <v/>
      </c>
      <c r="Z500" s="35">
        <f>IF($U500="",DATE(1900,1,1),$O500)</f>
        <v/>
      </c>
      <c r="AA500" s="32">
        <f>IF($U500="",0,$K500*$T500)</f>
        <v/>
      </c>
      <c r="AB500" s="21">
        <f>IF($C500="",0,IFERROR(INDEX(Deals!$AD$2:$AD$355,MATCH($C500,Deals!$A$2:$A$355,0)),0))</f>
        <v/>
      </c>
      <c r="AC500" s="32">
        <f>IF(Settings!$B$4="Yes",$I500*$AB500,$I500)</f>
        <v/>
      </c>
      <c r="AD500" s="22">
        <f>IF($C500="","",IFERROR(IF(INDEX(Deals!$AE$2:$AE$355,MATCH($C500,Deals!$A$2:$A$355,0))=0,"",INDEX(Deals!$AE$2:$AE$355,MATCH($C500,Deals!$A$2:$A$355,0))),""))</f>
        <v/>
      </c>
      <c r="AE500" s="22">
        <f>IF($C500="","",IFERROR(IF(INDEX(Deals!$AF$2:$AF$355,MATCH($C500,Deals!$A$2:$A$355,0))=0,"",INDEX(Deals!$AF$2:$AF$355,MATCH($C500,Deals!$A$2:$A$355,0))),""))</f>
        <v/>
      </c>
      <c r="AF500" s="35">
        <f>IF($AD500="",DATE(1900,1,1),$AD500)</f>
        <v/>
      </c>
      <c r="AG500" s="35">
        <f>IF($AE500="",DATE(2100,12,31),$AE500)</f>
        <v/>
      </c>
      <c r="AH500" s="22">
        <f>IF($C500="","",IFERROR(IF(INDEX(Deals!$AG$2:$AG$355,MATCH($C500,Deals!$A$2:$A$355,0))=0,"",INDEX(Deals!$AG$2:$AG$355,MATCH($C500,Deals!$A$2:$A$355,0))),""))</f>
        <v/>
      </c>
      <c r="AI500" s="35">
        <f>IF($AH500="",DATE(1900,1,1),$AF500)</f>
        <v/>
      </c>
      <c r="AJ500" s="35">
        <f>IF($AH500="",DATE(2100,12,31),$AH500)</f>
        <v/>
      </c>
      <c r="AK500" s="32">
        <f>IF($AH500="",$AC500,$AC500*$S500)</f>
        <v/>
      </c>
      <c r="AL500" s="35">
        <f>IF($AH500="",DATE(2100,12,31),$AH500+1)</f>
        <v/>
      </c>
      <c r="AM500" s="35">
        <f>IF($AH500="",DATE(1900,1,1),$AG500)</f>
        <v/>
      </c>
      <c r="AN500" s="32">
        <f>IF($AH500="",0,$AC500*$T500)</f>
        <v/>
      </c>
    </row>
    <row r="501">
      <c r="A501" s="28" t="inlineStr">
        <is>
          <t>Colleen</t>
        </is>
      </c>
      <c r="B501" s="16">
        <f>IF($A501="","",IFERROR(INDEX(Roster!$B$2:$B$40,MATCH($A501,Roster!$A$2:$A$40,0)),"?"))</f>
        <v/>
      </c>
      <c r="C501" s="28" t="inlineStr">
        <is>
          <t>Edward_1</t>
        </is>
      </c>
      <c r="D501" s="16">
        <f>IF($C501="","",IFERROR(IF(INDEX(Deals!$C$2:$C$355,MATCH($C501,Deals!$A$2:$A$355,0))=0,"",INDEX(Deals!$C$2:$C$355,MATCH($C501,Deals!$A$2:$A$355,0))),"?"))</f>
        <v/>
      </c>
      <c r="E501" s="16">
        <f>IF($C501="","",IFERROR(INDEX(Deals!$F$2:$F$355,MATCH($C501,Deals!$A$2:$A$355,0)),"?"))</f>
        <v/>
      </c>
      <c r="F501" s="28" t="inlineStr">
        <is>
          <t>Senior Associate</t>
        </is>
      </c>
      <c r="G501" s="28" t="inlineStr">
        <is>
          <t>Inactive</t>
        </is>
      </c>
      <c r="H501" s="31" t="n"/>
      <c r="I501" s="32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1">
        <f>IF($C501="",0,IFERROR(INDEX(Deals!$H$2:$H$355,MATCH($C501,Deals!$A$2:$A$355,0)),0))</f>
        <v/>
      </c>
      <c r="K501" s="32">
        <f>IF(Settings!$B$4="Yes",$I501*$J501,$I501)</f>
        <v/>
      </c>
      <c r="L501" s="22">
        <f>IF($C501="","",IFERROR(IF(INDEX(Deals!$I$2:$I$355,MATCH($C501,Deals!$A$2:$A$355,0))=0,"",INDEX(Deals!$I$2:$I$355,MATCH($C501,Deals!$A$2:$A$355,0))),""))</f>
        <v/>
      </c>
      <c r="M501" s="22">
        <f>IF($C501="","",IFERROR(IF(INDEX(Deals!$J$2:$J$355,MATCH($C501,Deals!$A$2:$A$355,0))=0,"",INDEX(Deals!$J$2:$J$355,MATCH($C501,Deals!$A$2:$A$355,0))),""))</f>
        <v/>
      </c>
      <c r="N501" s="35">
        <f>IF($L501="",DATE(1900,1,1),$L501)</f>
        <v/>
      </c>
      <c r="O501" s="35">
        <f>IF($M501="",DATE(2100,12,31),$M501)</f>
        <v/>
      </c>
      <c r="P501" s="20" t="inlineStr">
        <is>
          <t>Closed</t>
        </is>
      </c>
      <c r="Q501" s="43" t="inlineStr"/>
      <c r="R501" s="16">
        <f>IF($C501="","",IFERROR(IF(INDEX(Deals!$U$2:$U$355,MATCH($C501,Deals!$A$2:$A$355,0))=0,"",INDEX(Deals!$U$2:$U$355,MATCH($C501,Deals!$A$2:$A$355,0))),""))</f>
        <v/>
      </c>
      <c r="S501" s="34">
        <f>IFERROR(IF($U501="",1,INDEX(Deals!$V$2:$V$355,MATCH($C501,Deals!$A$2:$A$355,0))),1)</f>
        <v/>
      </c>
      <c r="T501" s="34">
        <f>IFERROR(IF($U501="",1,INDEX(Deals!$W$2:$W$355,MATCH($C501,Deals!$A$2:$A$355,0))),1)</f>
        <v/>
      </c>
      <c r="U501" s="22">
        <f>IF($C501="","",IFERROR(IF(INDEX(Deals!$Y$2:$Y$355,MATCH($C501,Deals!$A$2:$A$355,0))=0,"",INDEX(Deals!$Y$2:$Y$355,MATCH($C501,Deals!$A$2:$A$355,0))),""))</f>
        <v/>
      </c>
      <c r="V501" s="35">
        <f>IF($U501="",DATE(1900,1,1),$N501)</f>
        <v/>
      </c>
      <c r="W501" s="35">
        <f>IF($U501="",DATE(2100,12,31),$U501)</f>
        <v/>
      </c>
      <c r="X501" s="32">
        <f>IF($U501="",$K501,$K501*$S501)</f>
        <v/>
      </c>
      <c r="Y501" s="35">
        <f>IF($U501="",DATE(2100,12,31),$U501+1)</f>
        <v/>
      </c>
      <c r="Z501" s="35">
        <f>IF($U501="",DATE(1900,1,1),$O501)</f>
        <v/>
      </c>
      <c r="AA501" s="32">
        <f>IF($U501="",0,$K501*$T501)</f>
        <v/>
      </c>
      <c r="AB501" s="21">
        <f>IF($C501="",0,IFERROR(INDEX(Deals!$AD$2:$AD$355,MATCH($C501,Deals!$A$2:$A$355,0)),0))</f>
        <v/>
      </c>
      <c r="AC501" s="32">
        <f>IF(Settings!$B$4="Yes",$I501*$AB501,$I501)</f>
        <v/>
      </c>
      <c r="AD501" s="22">
        <f>IF($C501="","",IFERROR(IF(INDEX(Deals!$AE$2:$AE$355,MATCH($C501,Deals!$A$2:$A$355,0))=0,"",INDEX(Deals!$AE$2:$AE$355,MATCH($C501,Deals!$A$2:$A$355,0))),""))</f>
        <v/>
      </c>
      <c r="AE501" s="22">
        <f>IF($C501="","",IFERROR(IF(INDEX(Deals!$AF$2:$AF$355,MATCH($C501,Deals!$A$2:$A$355,0))=0,"",INDEX(Deals!$AF$2:$AF$355,MATCH($C501,Deals!$A$2:$A$355,0))),""))</f>
        <v/>
      </c>
      <c r="AF501" s="35">
        <f>IF($AD501="",DATE(1900,1,1),$AD501)</f>
        <v/>
      </c>
      <c r="AG501" s="35">
        <f>IF($AE501="",DATE(2100,12,31),$AE501)</f>
        <v/>
      </c>
      <c r="AH501" s="22">
        <f>IF($C501="","",IFERROR(IF(INDEX(Deals!$AG$2:$AG$355,MATCH($C501,Deals!$A$2:$A$355,0))=0,"",INDEX(Deals!$AG$2:$AG$355,MATCH($C501,Deals!$A$2:$A$355,0))),""))</f>
        <v/>
      </c>
      <c r="AI501" s="35">
        <f>IF($AH501="",DATE(1900,1,1),$AF501)</f>
        <v/>
      </c>
      <c r="AJ501" s="35">
        <f>IF($AH501="",DATE(2100,12,31),$AH501)</f>
        <v/>
      </c>
      <c r="AK501" s="32">
        <f>IF($AH501="",$AC501,$AC501*$S501)</f>
        <v/>
      </c>
      <c r="AL501" s="35">
        <f>IF($AH501="",DATE(2100,12,31),$AH501+1)</f>
        <v/>
      </c>
      <c r="AM501" s="35">
        <f>IF($AH501="",DATE(1900,1,1),$AG501)</f>
        <v/>
      </c>
      <c r="AN501" s="32">
        <f>IF($AH501="",0,$AC501*$T501)</f>
        <v/>
      </c>
    </row>
    <row r="502">
      <c r="A502" s="28" t="inlineStr">
        <is>
          <t>Colleen</t>
        </is>
      </c>
      <c r="B502" s="16">
        <f>IF($A502="","",IFERROR(INDEX(Roster!$B$2:$B$40,MATCH($A502,Roster!$A$2:$A$40,0)),"?"))</f>
        <v/>
      </c>
      <c r="C502" s="28" t="inlineStr">
        <is>
          <t>FAUME US Expansion_1</t>
        </is>
      </c>
      <c r="D502" s="16">
        <f>IF($C502="","",IFERROR(IF(INDEX(Deals!$C$2:$C$355,MATCH($C502,Deals!$A$2:$A$355,0))=0,"",INDEX(Deals!$C$2:$C$355,MATCH($C502,Deals!$A$2:$A$355,0))),"?"))</f>
        <v/>
      </c>
      <c r="E502" s="16">
        <f>IF($C502="","",IFERROR(INDEX(Deals!$F$2:$F$355,MATCH($C502,Deals!$A$2:$A$355,0)),"?"))</f>
        <v/>
      </c>
      <c r="F502" s="28" t="inlineStr">
        <is>
          <t>Senior Associate</t>
        </is>
      </c>
      <c r="G502" s="28" t="inlineStr">
        <is>
          <t>Active</t>
        </is>
      </c>
      <c r="H502" s="31" t="n"/>
      <c r="I502" s="32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1">
        <f>IF($C502="",0,IFERROR(INDEX(Deals!$H$2:$H$355,MATCH($C502,Deals!$A$2:$A$355,0)),0))</f>
        <v/>
      </c>
      <c r="K502" s="32">
        <f>IF(Settings!$B$4="Yes",$I502*$J502,$I502)</f>
        <v/>
      </c>
      <c r="L502" s="22">
        <f>IF($C502="","",IFERROR(IF(INDEX(Deals!$I$2:$I$355,MATCH($C502,Deals!$A$2:$A$355,0))=0,"",INDEX(Deals!$I$2:$I$355,MATCH($C502,Deals!$A$2:$A$355,0))),""))</f>
        <v/>
      </c>
      <c r="M502" s="22">
        <f>IF($C502="","",IFERROR(IF(INDEX(Deals!$J$2:$J$355,MATCH($C502,Deals!$A$2:$A$355,0))=0,"",INDEX(Deals!$J$2:$J$355,MATCH($C502,Deals!$A$2:$A$355,0))),""))</f>
        <v/>
      </c>
      <c r="N502" s="35">
        <f>IF($L502="",DATE(1900,1,1),$L502)</f>
        <v/>
      </c>
      <c r="O502" s="35">
        <f>IF($M502="",DATE(2100,12,31),$M502)</f>
        <v/>
      </c>
      <c r="P502" s="20" t="inlineStr">
        <is>
          <t>Proposal</t>
        </is>
      </c>
      <c r="Q502" s="43" t="inlineStr"/>
      <c r="R502" s="16">
        <f>IF($C502="","",IFERROR(IF(INDEX(Deals!$U$2:$U$355,MATCH($C502,Deals!$A$2:$A$355,0))=0,"",INDEX(Deals!$U$2:$U$355,MATCH($C502,Deals!$A$2:$A$355,0))),""))</f>
        <v/>
      </c>
      <c r="S502" s="34">
        <f>IFERROR(IF($U502="",1,INDEX(Deals!$V$2:$V$355,MATCH($C502,Deals!$A$2:$A$355,0))),1)</f>
        <v/>
      </c>
      <c r="T502" s="34">
        <f>IFERROR(IF($U502="",1,INDEX(Deals!$W$2:$W$355,MATCH($C502,Deals!$A$2:$A$355,0))),1)</f>
        <v/>
      </c>
      <c r="U502" s="22">
        <f>IF($C502="","",IFERROR(IF(INDEX(Deals!$Y$2:$Y$355,MATCH($C502,Deals!$A$2:$A$355,0))=0,"",INDEX(Deals!$Y$2:$Y$355,MATCH($C502,Deals!$A$2:$A$355,0))),""))</f>
        <v/>
      </c>
      <c r="V502" s="35">
        <f>IF($U502="",DATE(1900,1,1),$N502)</f>
        <v/>
      </c>
      <c r="W502" s="35">
        <f>IF($U502="",DATE(2100,12,31),$U502)</f>
        <v/>
      </c>
      <c r="X502" s="32">
        <f>IF($U502="",$K502,$K502*$S502)</f>
        <v/>
      </c>
      <c r="Y502" s="35">
        <f>IF($U502="",DATE(2100,12,31),$U502+1)</f>
        <v/>
      </c>
      <c r="Z502" s="35">
        <f>IF($U502="",DATE(1900,1,1),$O502)</f>
        <v/>
      </c>
      <c r="AA502" s="32">
        <f>IF($U502="",0,$K502*$T502)</f>
        <v/>
      </c>
      <c r="AB502" s="21">
        <f>IF($C502="",0,IFERROR(INDEX(Deals!$AD$2:$AD$355,MATCH($C502,Deals!$A$2:$A$355,0)),0))</f>
        <v/>
      </c>
      <c r="AC502" s="32">
        <f>IF(Settings!$B$4="Yes",$I502*$AB502,$I502)</f>
        <v/>
      </c>
      <c r="AD502" s="22">
        <f>IF($C502="","",IFERROR(IF(INDEX(Deals!$AE$2:$AE$355,MATCH($C502,Deals!$A$2:$A$355,0))=0,"",INDEX(Deals!$AE$2:$AE$355,MATCH($C502,Deals!$A$2:$A$355,0))),""))</f>
        <v/>
      </c>
      <c r="AE502" s="22">
        <f>IF($C502="","",IFERROR(IF(INDEX(Deals!$AF$2:$AF$355,MATCH($C502,Deals!$A$2:$A$355,0))=0,"",INDEX(Deals!$AF$2:$AF$355,MATCH($C502,Deals!$A$2:$A$355,0))),""))</f>
        <v/>
      </c>
      <c r="AF502" s="35">
        <f>IF($AD502="",DATE(1900,1,1),$AD502)</f>
        <v/>
      </c>
      <c r="AG502" s="35">
        <f>IF($AE502="",DATE(2100,12,31),$AE502)</f>
        <v/>
      </c>
      <c r="AH502" s="22">
        <f>IF($C502="","",IFERROR(IF(INDEX(Deals!$AG$2:$AG$355,MATCH($C502,Deals!$A$2:$A$355,0))=0,"",INDEX(Deals!$AG$2:$AG$355,MATCH($C502,Deals!$A$2:$A$355,0))),""))</f>
        <v/>
      </c>
      <c r="AI502" s="35">
        <f>IF($AH502="",DATE(1900,1,1),$AF502)</f>
        <v/>
      </c>
      <c r="AJ502" s="35">
        <f>IF($AH502="",DATE(2100,12,31),$AH502)</f>
        <v/>
      </c>
      <c r="AK502" s="32">
        <f>IF($AH502="",$AC502,$AC502*$S502)</f>
        <v/>
      </c>
      <c r="AL502" s="35">
        <f>IF($AH502="",DATE(2100,12,31),$AH502+1)</f>
        <v/>
      </c>
      <c r="AM502" s="35">
        <f>IF($AH502="",DATE(1900,1,1),$AG502)</f>
        <v/>
      </c>
      <c r="AN502" s="32">
        <f>IF($AH502="",0,$AC502*$T502)</f>
        <v/>
      </c>
    </row>
    <row r="503">
      <c r="A503" s="28" t="inlineStr">
        <is>
          <t>Colleen</t>
        </is>
      </c>
      <c r="B503" s="16">
        <f>IF($A503="","",IFERROR(INDEX(Roster!$B$2:$B$40,MATCH($A503,Roster!$A$2:$A$40,0)),"?"))</f>
        <v/>
      </c>
      <c r="C503" s="28" t="inlineStr">
        <is>
          <t>Fury_1</t>
        </is>
      </c>
      <c r="D503" s="16">
        <f>IF($C503="","",IFERROR(IF(INDEX(Deals!$C$2:$C$355,MATCH($C503,Deals!$A$2:$A$355,0))=0,"",INDEX(Deals!$C$2:$C$355,MATCH($C503,Deals!$A$2:$A$355,0))),"?"))</f>
        <v/>
      </c>
      <c r="E503" s="16">
        <f>IF($C503="","",IFERROR(INDEX(Deals!$F$2:$F$355,MATCH($C503,Deals!$A$2:$A$355,0)),"?"))</f>
        <v/>
      </c>
      <c r="F503" s="28" t="inlineStr">
        <is>
          <t>Senior Associate</t>
        </is>
      </c>
      <c r="G503" s="28" t="inlineStr">
        <is>
          <t>Active</t>
        </is>
      </c>
      <c r="H503" s="31" t="n"/>
      <c r="I503" s="32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1">
        <f>IF($C503="",0,IFERROR(INDEX(Deals!$H$2:$H$355,MATCH($C503,Deals!$A$2:$A$355,0)),0))</f>
        <v/>
      </c>
      <c r="K503" s="32">
        <f>IF(Settings!$B$4="Yes",$I503*$J503,$I503)</f>
        <v/>
      </c>
      <c r="L503" s="22">
        <f>IF($C503="","",IFERROR(IF(INDEX(Deals!$I$2:$I$355,MATCH($C503,Deals!$A$2:$A$355,0))=0,"",INDEX(Deals!$I$2:$I$355,MATCH($C503,Deals!$A$2:$A$355,0))),""))</f>
        <v/>
      </c>
      <c r="M503" s="22">
        <f>IF($C503="","",IFERROR(IF(INDEX(Deals!$J$2:$J$355,MATCH($C503,Deals!$A$2:$A$355,0))=0,"",INDEX(Deals!$J$2:$J$355,MATCH($C503,Deals!$A$2:$A$355,0))),""))</f>
        <v/>
      </c>
      <c r="N503" s="35">
        <f>IF($L503="",DATE(1900,1,1),$L503)</f>
        <v/>
      </c>
      <c r="O503" s="35">
        <f>IF($M503="",DATE(2100,12,31),$M503)</f>
        <v/>
      </c>
      <c r="P503" s="20" t="inlineStr"/>
      <c r="Q503" s="43" t="inlineStr"/>
      <c r="R503" s="16">
        <f>IF($C503="","",IFERROR(IF(INDEX(Deals!$U$2:$U$355,MATCH($C503,Deals!$A$2:$A$355,0))=0,"",INDEX(Deals!$U$2:$U$355,MATCH($C503,Deals!$A$2:$A$355,0))),""))</f>
        <v/>
      </c>
      <c r="S503" s="34">
        <f>IFERROR(IF($U503="",1,INDEX(Deals!$V$2:$V$355,MATCH($C503,Deals!$A$2:$A$355,0))),1)</f>
        <v/>
      </c>
      <c r="T503" s="34">
        <f>IFERROR(IF($U503="",1,INDEX(Deals!$W$2:$W$355,MATCH($C503,Deals!$A$2:$A$355,0))),1)</f>
        <v/>
      </c>
      <c r="U503" s="22">
        <f>IF($C503="","",IFERROR(IF(INDEX(Deals!$Y$2:$Y$355,MATCH($C503,Deals!$A$2:$A$355,0))=0,"",INDEX(Deals!$Y$2:$Y$355,MATCH($C503,Deals!$A$2:$A$355,0))),""))</f>
        <v/>
      </c>
      <c r="V503" s="35">
        <f>IF($U503="",DATE(1900,1,1),$N503)</f>
        <v/>
      </c>
      <c r="W503" s="35">
        <f>IF($U503="",DATE(2100,12,31),$U503)</f>
        <v/>
      </c>
      <c r="X503" s="32">
        <f>IF($U503="",$K503,$K503*$S503)</f>
        <v/>
      </c>
      <c r="Y503" s="35">
        <f>IF($U503="",DATE(2100,12,31),$U503+1)</f>
        <v/>
      </c>
      <c r="Z503" s="35">
        <f>IF($U503="",DATE(1900,1,1),$O503)</f>
        <v/>
      </c>
      <c r="AA503" s="32">
        <f>IF($U503="",0,$K503*$T503)</f>
        <v/>
      </c>
      <c r="AB503" s="21">
        <f>IF($C503="",0,IFERROR(INDEX(Deals!$AD$2:$AD$355,MATCH($C503,Deals!$A$2:$A$355,0)),0))</f>
        <v/>
      </c>
      <c r="AC503" s="32">
        <f>IF(Settings!$B$4="Yes",$I503*$AB503,$I503)</f>
        <v/>
      </c>
      <c r="AD503" s="22">
        <f>IF($C503="","",IFERROR(IF(INDEX(Deals!$AE$2:$AE$355,MATCH($C503,Deals!$A$2:$A$355,0))=0,"",INDEX(Deals!$AE$2:$AE$355,MATCH($C503,Deals!$A$2:$A$355,0))),""))</f>
        <v/>
      </c>
      <c r="AE503" s="22">
        <f>IF($C503="","",IFERROR(IF(INDEX(Deals!$AF$2:$AF$355,MATCH($C503,Deals!$A$2:$A$355,0))=0,"",INDEX(Deals!$AF$2:$AF$355,MATCH($C503,Deals!$A$2:$A$355,0))),""))</f>
        <v/>
      </c>
      <c r="AF503" s="35">
        <f>IF($AD503="",DATE(1900,1,1),$AD503)</f>
        <v/>
      </c>
      <c r="AG503" s="35">
        <f>IF($AE503="",DATE(2100,12,31),$AE503)</f>
        <v/>
      </c>
      <c r="AH503" s="22">
        <f>IF($C503="","",IFERROR(IF(INDEX(Deals!$AG$2:$AG$355,MATCH($C503,Deals!$A$2:$A$355,0))=0,"",INDEX(Deals!$AG$2:$AG$355,MATCH($C503,Deals!$A$2:$A$355,0))),""))</f>
        <v/>
      </c>
      <c r="AI503" s="35">
        <f>IF($AH503="",DATE(1900,1,1),$AF503)</f>
        <v/>
      </c>
      <c r="AJ503" s="35">
        <f>IF($AH503="",DATE(2100,12,31),$AH503)</f>
        <v/>
      </c>
      <c r="AK503" s="32">
        <f>IF($AH503="",$AC503,$AC503*$S503)</f>
        <v/>
      </c>
      <c r="AL503" s="35">
        <f>IF($AH503="",DATE(2100,12,31),$AH503+1)</f>
        <v/>
      </c>
      <c r="AM503" s="35">
        <f>IF($AH503="",DATE(1900,1,1),$AG503)</f>
        <v/>
      </c>
      <c r="AN503" s="32">
        <f>IF($AH503="",0,$AC503*$T503)</f>
        <v/>
      </c>
    </row>
    <row r="504">
      <c r="A504" s="28" t="inlineStr">
        <is>
          <t>Colleen</t>
        </is>
      </c>
      <c r="B504" s="16">
        <f>IF($A504="","",IFERROR(INDEX(Roster!$B$2:$B$40,MATCH($A504,Roster!$A$2:$A$40,0)),"?"))</f>
        <v/>
      </c>
      <c r="C504" s="28" t="inlineStr">
        <is>
          <t>Gambit_1</t>
        </is>
      </c>
      <c r="D504" s="16">
        <f>IF($C504="","",IFERROR(IF(INDEX(Deals!$C$2:$C$355,MATCH($C504,Deals!$A$2:$A$355,0))=0,"",INDEX(Deals!$C$2:$C$355,MATCH($C504,Deals!$A$2:$A$355,0))),"?"))</f>
        <v/>
      </c>
      <c r="E504" s="16">
        <f>IF($C504="","",IFERROR(INDEX(Deals!$F$2:$F$355,MATCH($C504,Deals!$A$2:$A$355,0)),"?"))</f>
        <v/>
      </c>
      <c r="F504" s="28" t="inlineStr">
        <is>
          <t>Senior Associate</t>
        </is>
      </c>
      <c r="G504" s="28" t="inlineStr">
        <is>
          <t>Active</t>
        </is>
      </c>
      <c r="H504" s="31" t="n"/>
      <c r="I504" s="32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1">
        <f>IF($C504="",0,IFERROR(INDEX(Deals!$H$2:$H$355,MATCH($C504,Deals!$A$2:$A$355,0)),0))</f>
        <v/>
      </c>
      <c r="K504" s="32">
        <f>IF(Settings!$B$4="Yes",$I504*$J504,$I504)</f>
        <v/>
      </c>
      <c r="L504" s="22">
        <f>IF($C504="","",IFERROR(IF(INDEX(Deals!$I$2:$I$355,MATCH($C504,Deals!$A$2:$A$355,0))=0,"",INDEX(Deals!$I$2:$I$355,MATCH($C504,Deals!$A$2:$A$355,0))),""))</f>
        <v/>
      </c>
      <c r="M504" s="22">
        <f>IF($C504="","",IFERROR(IF(INDEX(Deals!$J$2:$J$355,MATCH($C504,Deals!$A$2:$A$355,0))=0,"",INDEX(Deals!$J$2:$J$355,MATCH($C504,Deals!$A$2:$A$355,0))),""))</f>
        <v/>
      </c>
      <c r="N504" s="35">
        <f>IF($L504="",DATE(1900,1,1),$L504)</f>
        <v/>
      </c>
      <c r="O504" s="35">
        <f>IF($M504="",DATE(2100,12,31),$M504)</f>
        <v/>
      </c>
      <c r="P504" s="20" t="inlineStr">
        <is>
          <t>Ongoing</t>
        </is>
      </c>
      <c r="Q504" s="43" t="inlineStr"/>
      <c r="R504" s="16">
        <f>IF($C504="","",IFERROR(IF(INDEX(Deals!$U$2:$U$355,MATCH($C504,Deals!$A$2:$A$355,0))=0,"",INDEX(Deals!$U$2:$U$355,MATCH($C504,Deals!$A$2:$A$355,0))),""))</f>
        <v/>
      </c>
      <c r="S504" s="34">
        <f>IFERROR(IF($U504="",1,INDEX(Deals!$V$2:$V$355,MATCH($C504,Deals!$A$2:$A$355,0))),1)</f>
        <v/>
      </c>
      <c r="T504" s="34">
        <f>IFERROR(IF($U504="",1,INDEX(Deals!$W$2:$W$355,MATCH($C504,Deals!$A$2:$A$355,0))),1)</f>
        <v/>
      </c>
      <c r="U504" s="22">
        <f>IF($C504="","",IFERROR(IF(INDEX(Deals!$Y$2:$Y$355,MATCH($C504,Deals!$A$2:$A$355,0))=0,"",INDEX(Deals!$Y$2:$Y$355,MATCH($C504,Deals!$A$2:$A$355,0))),""))</f>
        <v/>
      </c>
      <c r="V504" s="35">
        <f>IF($U504="",DATE(1900,1,1),$N504)</f>
        <v/>
      </c>
      <c r="W504" s="35">
        <f>IF($U504="",DATE(2100,12,31),$U504)</f>
        <v/>
      </c>
      <c r="X504" s="32">
        <f>IF($U504="",$K504,$K504*$S504)</f>
        <v/>
      </c>
      <c r="Y504" s="35">
        <f>IF($U504="",DATE(2100,12,31),$U504+1)</f>
        <v/>
      </c>
      <c r="Z504" s="35">
        <f>IF($U504="",DATE(1900,1,1),$O504)</f>
        <v/>
      </c>
      <c r="AA504" s="32">
        <f>IF($U504="",0,$K504*$T504)</f>
        <v/>
      </c>
      <c r="AB504" s="21">
        <f>IF($C504="",0,IFERROR(INDEX(Deals!$AD$2:$AD$355,MATCH($C504,Deals!$A$2:$A$355,0)),0))</f>
        <v/>
      </c>
      <c r="AC504" s="32">
        <f>IF(Settings!$B$4="Yes",$I504*$AB504,$I504)</f>
        <v/>
      </c>
      <c r="AD504" s="22">
        <f>IF($C504="","",IFERROR(IF(INDEX(Deals!$AE$2:$AE$355,MATCH($C504,Deals!$A$2:$A$355,0))=0,"",INDEX(Deals!$AE$2:$AE$355,MATCH($C504,Deals!$A$2:$A$355,0))),""))</f>
        <v/>
      </c>
      <c r="AE504" s="22">
        <f>IF($C504="","",IFERROR(IF(INDEX(Deals!$AF$2:$AF$355,MATCH($C504,Deals!$A$2:$A$355,0))=0,"",INDEX(Deals!$AF$2:$AF$355,MATCH($C504,Deals!$A$2:$A$355,0))),""))</f>
        <v/>
      </c>
      <c r="AF504" s="35">
        <f>IF($AD504="",DATE(1900,1,1),$AD504)</f>
        <v/>
      </c>
      <c r="AG504" s="35">
        <f>IF($AE504="",DATE(2100,12,31),$AE504)</f>
        <v/>
      </c>
      <c r="AH504" s="22">
        <f>IF($C504="","",IFERROR(IF(INDEX(Deals!$AG$2:$AG$355,MATCH($C504,Deals!$A$2:$A$355,0))=0,"",INDEX(Deals!$AG$2:$AG$355,MATCH($C504,Deals!$A$2:$A$355,0))),""))</f>
        <v/>
      </c>
      <c r="AI504" s="35">
        <f>IF($AH504="",DATE(1900,1,1),$AF504)</f>
        <v/>
      </c>
      <c r="AJ504" s="35">
        <f>IF($AH504="",DATE(2100,12,31),$AH504)</f>
        <v/>
      </c>
      <c r="AK504" s="32">
        <f>IF($AH504="",$AC504,$AC504*$S504)</f>
        <v/>
      </c>
      <c r="AL504" s="35">
        <f>IF($AH504="",DATE(2100,12,31),$AH504+1)</f>
        <v/>
      </c>
      <c r="AM504" s="35">
        <f>IF($AH504="",DATE(1900,1,1),$AG504)</f>
        <v/>
      </c>
      <c r="AN504" s="32">
        <f>IF($AH504="",0,$AC504*$T504)</f>
        <v/>
      </c>
    </row>
    <row r="505">
      <c r="A505" s="28" t="inlineStr">
        <is>
          <t>Colleen</t>
        </is>
      </c>
      <c r="B505" s="16">
        <f>IF($A505="","",IFERROR(INDEX(Roster!$B$2:$B$40,MATCH($A505,Roster!$A$2:$A$40,0)),"?"))</f>
        <v/>
      </c>
      <c r="C505" s="28" t="inlineStr">
        <is>
          <t>Georgia_3</t>
        </is>
      </c>
      <c r="D505" s="16">
        <f>IF($C505="","",IFERROR(IF(INDEX(Deals!$C$2:$C$355,MATCH($C505,Deals!$A$2:$A$355,0))=0,"",INDEX(Deals!$C$2:$C$355,MATCH($C505,Deals!$A$2:$A$355,0))),"?"))</f>
        <v/>
      </c>
      <c r="E505" s="16">
        <f>IF($C505="","",IFERROR(INDEX(Deals!$F$2:$F$355,MATCH($C505,Deals!$A$2:$A$355,0)),"?"))</f>
        <v/>
      </c>
      <c r="F505" s="28" t="inlineStr">
        <is>
          <t>Senior Associate</t>
        </is>
      </c>
      <c r="G505" s="28" t="inlineStr">
        <is>
          <t>Inactive</t>
        </is>
      </c>
      <c r="H505" s="31" t="n"/>
      <c r="I505" s="32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1">
        <f>IF($C505="",0,IFERROR(INDEX(Deals!$H$2:$H$355,MATCH($C505,Deals!$A$2:$A$355,0)),0))</f>
        <v/>
      </c>
      <c r="K505" s="32">
        <f>IF(Settings!$B$4="Yes",$I505*$J505,$I505)</f>
        <v/>
      </c>
      <c r="L505" s="22">
        <f>IF($C505="","",IFERROR(IF(INDEX(Deals!$I$2:$I$355,MATCH($C505,Deals!$A$2:$A$355,0))=0,"",INDEX(Deals!$I$2:$I$355,MATCH($C505,Deals!$A$2:$A$355,0))),""))</f>
        <v/>
      </c>
      <c r="M505" s="22">
        <f>IF($C505="","",IFERROR(IF(INDEX(Deals!$J$2:$J$355,MATCH($C505,Deals!$A$2:$A$355,0))=0,"",INDEX(Deals!$J$2:$J$355,MATCH($C505,Deals!$A$2:$A$355,0))),""))</f>
        <v/>
      </c>
      <c r="N505" s="35">
        <f>IF($L505="",DATE(1900,1,1),$L505)</f>
        <v/>
      </c>
      <c r="O505" s="35">
        <f>IF($M505="",DATE(2100,12,31),$M505)</f>
        <v/>
      </c>
      <c r="P505" s="20" t="inlineStr">
        <is>
          <t>Dead</t>
        </is>
      </c>
      <c r="Q505" s="43" t="inlineStr"/>
      <c r="R505" s="16">
        <f>IF($C505="","",IFERROR(IF(INDEX(Deals!$U$2:$U$355,MATCH($C505,Deals!$A$2:$A$355,0))=0,"",INDEX(Deals!$U$2:$U$355,MATCH($C505,Deals!$A$2:$A$355,0))),""))</f>
        <v/>
      </c>
      <c r="S505" s="34">
        <f>IFERROR(IF($U505="",1,INDEX(Deals!$V$2:$V$355,MATCH($C505,Deals!$A$2:$A$355,0))),1)</f>
        <v/>
      </c>
      <c r="T505" s="34">
        <f>IFERROR(IF($U505="",1,INDEX(Deals!$W$2:$W$355,MATCH($C505,Deals!$A$2:$A$355,0))),1)</f>
        <v/>
      </c>
      <c r="U505" s="22">
        <f>IF($C505="","",IFERROR(IF(INDEX(Deals!$Y$2:$Y$355,MATCH($C505,Deals!$A$2:$A$355,0))=0,"",INDEX(Deals!$Y$2:$Y$355,MATCH($C505,Deals!$A$2:$A$355,0))),""))</f>
        <v/>
      </c>
      <c r="V505" s="35">
        <f>IF($U505="",DATE(1900,1,1),$N505)</f>
        <v/>
      </c>
      <c r="W505" s="35">
        <f>IF($U505="",DATE(2100,12,31),$U505)</f>
        <v/>
      </c>
      <c r="X505" s="32">
        <f>IF($U505="",$K505,$K505*$S505)</f>
        <v/>
      </c>
      <c r="Y505" s="35">
        <f>IF($U505="",DATE(2100,12,31),$U505+1)</f>
        <v/>
      </c>
      <c r="Z505" s="35">
        <f>IF($U505="",DATE(1900,1,1),$O505)</f>
        <v/>
      </c>
      <c r="AA505" s="32">
        <f>IF($U505="",0,$K505*$T505)</f>
        <v/>
      </c>
      <c r="AB505" s="21">
        <f>IF($C505="",0,IFERROR(INDEX(Deals!$AD$2:$AD$355,MATCH($C505,Deals!$A$2:$A$355,0)),0))</f>
        <v/>
      </c>
      <c r="AC505" s="32">
        <f>IF(Settings!$B$4="Yes",$I505*$AB505,$I505)</f>
        <v/>
      </c>
      <c r="AD505" s="22">
        <f>IF($C505="","",IFERROR(IF(INDEX(Deals!$AE$2:$AE$355,MATCH($C505,Deals!$A$2:$A$355,0))=0,"",INDEX(Deals!$AE$2:$AE$355,MATCH($C505,Deals!$A$2:$A$355,0))),""))</f>
        <v/>
      </c>
      <c r="AE505" s="22">
        <f>IF($C505="","",IFERROR(IF(INDEX(Deals!$AF$2:$AF$355,MATCH($C505,Deals!$A$2:$A$355,0))=0,"",INDEX(Deals!$AF$2:$AF$355,MATCH($C505,Deals!$A$2:$A$355,0))),""))</f>
        <v/>
      </c>
      <c r="AF505" s="35">
        <f>IF($AD505="",DATE(1900,1,1),$AD505)</f>
        <v/>
      </c>
      <c r="AG505" s="35">
        <f>IF($AE505="",DATE(2100,12,31),$AE505)</f>
        <v/>
      </c>
      <c r="AH505" s="22">
        <f>IF($C505="","",IFERROR(IF(INDEX(Deals!$AG$2:$AG$355,MATCH($C505,Deals!$A$2:$A$355,0))=0,"",INDEX(Deals!$AG$2:$AG$355,MATCH($C505,Deals!$A$2:$A$355,0))),""))</f>
        <v/>
      </c>
      <c r="AI505" s="35">
        <f>IF($AH505="",DATE(1900,1,1),$AF505)</f>
        <v/>
      </c>
      <c r="AJ505" s="35">
        <f>IF($AH505="",DATE(2100,12,31),$AH505)</f>
        <v/>
      </c>
      <c r="AK505" s="32">
        <f>IF($AH505="",$AC505,$AC505*$S505)</f>
        <v/>
      </c>
      <c r="AL505" s="35">
        <f>IF($AH505="",DATE(2100,12,31),$AH505+1)</f>
        <v/>
      </c>
      <c r="AM505" s="35">
        <f>IF($AH505="",DATE(1900,1,1),$AG505)</f>
        <v/>
      </c>
      <c r="AN505" s="32">
        <f>IF($AH505="",0,$AC505*$T505)</f>
        <v/>
      </c>
    </row>
    <row r="506">
      <c r="A506" s="28" t="inlineStr">
        <is>
          <t>Colleen</t>
        </is>
      </c>
      <c r="B506" s="16">
        <f>IF($A506="","",IFERROR(INDEX(Roster!$B$2:$B$40,MATCH($A506,Roster!$A$2:$A$40,0)),"?"))</f>
        <v/>
      </c>
      <c r="C506" s="28" t="inlineStr">
        <is>
          <t>Guardian_3</t>
        </is>
      </c>
      <c r="D506" s="16">
        <f>IF($C506="","",IFERROR(IF(INDEX(Deals!$C$2:$C$355,MATCH($C506,Deals!$A$2:$A$355,0))=0,"",INDEX(Deals!$C$2:$C$355,MATCH($C506,Deals!$A$2:$A$355,0))),"?"))</f>
        <v/>
      </c>
      <c r="E506" s="16">
        <f>IF($C506="","",IFERROR(INDEX(Deals!$F$2:$F$355,MATCH($C506,Deals!$A$2:$A$355,0)),"?"))</f>
        <v/>
      </c>
      <c r="F506" s="28" t="inlineStr">
        <is>
          <t>Senior Associate</t>
        </is>
      </c>
      <c r="G506" s="28" t="inlineStr">
        <is>
          <t>Inactive</t>
        </is>
      </c>
      <c r="H506" s="31" t="n"/>
      <c r="I506" s="32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1">
        <f>IF($C506="",0,IFERROR(INDEX(Deals!$H$2:$H$355,MATCH($C506,Deals!$A$2:$A$355,0)),0))</f>
        <v/>
      </c>
      <c r="K506" s="32">
        <f>IF(Settings!$B$4="Yes",$I506*$J506,$I506)</f>
        <v/>
      </c>
      <c r="L506" s="22">
        <f>IF($C506="","",IFERROR(IF(INDEX(Deals!$I$2:$I$355,MATCH($C506,Deals!$A$2:$A$355,0))=0,"",INDEX(Deals!$I$2:$I$355,MATCH($C506,Deals!$A$2:$A$355,0))),""))</f>
        <v/>
      </c>
      <c r="M506" s="22">
        <f>IF($C506="","",IFERROR(IF(INDEX(Deals!$J$2:$J$355,MATCH($C506,Deals!$A$2:$A$355,0))=0,"",INDEX(Deals!$J$2:$J$355,MATCH($C506,Deals!$A$2:$A$355,0))),""))</f>
        <v/>
      </c>
      <c r="N506" s="35">
        <f>IF($L506="",DATE(1900,1,1),$L506)</f>
        <v/>
      </c>
      <c r="O506" s="35">
        <f>IF($M506="",DATE(2100,12,31),$M506)</f>
        <v/>
      </c>
      <c r="P506" s="20" t="inlineStr">
        <is>
          <t>Dead</t>
        </is>
      </c>
      <c r="Q506" s="43" t="inlineStr"/>
      <c r="R506" s="16">
        <f>IF($C506="","",IFERROR(IF(INDEX(Deals!$U$2:$U$355,MATCH($C506,Deals!$A$2:$A$355,0))=0,"",INDEX(Deals!$U$2:$U$355,MATCH($C506,Deals!$A$2:$A$355,0))),""))</f>
        <v/>
      </c>
      <c r="S506" s="34">
        <f>IFERROR(IF($U506="",1,INDEX(Deals!$V$2:$V$355,MATCH($C506,Deals!$A$2:$A$355,0))),1)</f>
        <v/>
      </c>
      <c r="T506" s="34">
        <f>IFERROR(IF($U506="",1,INDEX(Deals!$W$2:$W$355,MATCH($C506,Deals!$A$2:$A$355,0))),1)</f>
        <v/>
      </c>
      <c r="U506" s="22">
        <f>IF($C506="","",IFERROR(IF(INDEX(Deals!$Y$2:$Y$355,MATCH($C506,Deals!$A$2:$A$355,0))=0,"",INDEX(Deals!$Y$2:$Y$355,MATCH($C506,Deals!$A$2:$A$355,0))),""))</f>
        <v/>
      </c>
      <c r="V506" s="35">
        <f>IF($U506="",DATE(1900,1,1),$N506)</f>
        <v/>
      </c>
      <c r="W506" s="35">
        <f>IF($U506="",DATE(2100,12,31),$U506)</f>
        <v/>
      </c>
      <c r="X506" s="32">
        <f>IF($U506="",$K506,$K506*$S506)</f>
        <v/>
      </c>
      <c r="Y506" s="35">
        <f>IF($U506="",DATE(2100,12,31),$U506+1)</f>
        <v/>
      </c>
      <c r="Z506" s="35">
        <f>IF($U506="",DATE(1900,1,1),$O506)</f>
        <v/>
      </c>
      <c r="AA506" s="32">
        <f>IF($U506="",0,$K506*$T506)</f>
        <v/>
      </c>
      <c r="AB506" s="21">
        <f>IF($C506="",0,IFERROR(INDEX(Deals!$AD$2:$AD$355,MATCH($C506,Deals!$A$2:$A$355,0)),0))</f>
        <v/>
      </c>
      <c r="AC506" s="32">
        <f>IF(Settings!$B$4="Yes",$I506*$AB506,$I506)</f>
        <v/>
      </c>
      <c r="AD506" s="22">
        <f>IF($C506="","",IFERROR(IF(INDEX(Deals!$AE$2:$AE$355,MATCH($C506,Deals!$A$2:$A$355,0))=0,"",INDEX(Deals!$AE$2:$AE$355,MATCH($C506,Deals!$A$2:$A$355,0))),""))</f>
        <v/>
      </c>
      <c r="AE506" s="22">
        <f>IF($C506="","",IFERROR(IF(INDEX(Deals!$AF$2:$AF$355,MATCH($C506,Deals!$A$2:$A$355,0))=0,"",INDEX(Deals!$AF$2:$AF$355,MATCH($C506,Deals!$A$2:$A$355,0))),""))</f>
        <v/>
      </c>
      <c r="AF506" s="35">
        <f>IF($AD506="",DATE(1900,1,1),$AD506)</f>
        <v/>
      </c>
      <c r="AG506" s="35">
        <f>IF($AE506="",DATE(2100,12,31),$AE506)</f>
        <v/>
      </c>
      <c r="AH506" s="22">
        <f>IF($C506="","",IFERROR(IF(INDEX(Deals!$AG$2:$AG$355,MATCH($C506,Deals!$A$2:$A$355,0))=0,"",INDEX(Deals!$AG$2:$AG$355,MATCH($C506,Deals!$A$2:$A$355,0))),""))</f>
        <v/>
      </c>
      <c r="AI506" s="35">
        <f>IF($AH506="",DATE(1900,1,1),$AF506)</f>
        <v/>
      </c>
      <c r="AJ506" s="35">
        <f>IF($AH506="",DATE(2100,12,31),$AH506)</f>
        <v/>
      </c>
      <c r="AK506" s="32">
        <f>IF($AH506="",$AC506,$AC506*$S506)</f>
        <v/>
      </c>
      <c r="AL506" s="35">
        <f>IF($AH506="",DATE(2100,12,31),$AH506+1)</f>
        <v/>
      </c>
      <c r="AM506" s="35">
        <f>IF($AH506="",DATE(1900,1,1),$AG506)</f>
        <v/>
      </c>
      <c r="AN506" s="32">
        <f>IF($AH506="",0,$AC506*$T506)</f>
        <v/>
      </c>
    </row>
    <row r="507">
      <c r="A507" s="28" t="inlineStr">
        <is>
          <t>Colleen</t>
        </is>
      </c>
      <c r="B507" s="16">
        <f>IF($A507="","",IFERROR(INDEX(Roster!$B$2:$B$40,MATCH($A507,Roster!$A$2:$A$40,0)),"?"))</f>
        <v/>
      </c>
      <c r="C507" s="28" t="inlineStr">
        <is>
          <t>IPX Power_1</t>
        </is>
      </c>
      <c r="D507" s="16">
        <f>IF($C507="","",IFERROR(IF(INDEX(Deals!$C$2:$C$355,MATCH($C507,Deals!$A$2:$A$355,0))=0,"",INDEX(Deals!$C$2:$C$355,MATCH($C507,Deals!$A$2:$A$355,0))),"?"))</f>
        <v/>
      </c>
      <c r="E507" s="16">
        <f>IF($C507="","",IFERROR(INDEX(Deals!$F$2:$F$355,MATCH($C507,Deals!$A$2:$A$355,0)),"?"))</f>
        <v/>
      </c>
      <c r="F507" s="28" t="inlineStr">
        <is>
          <t>Senior Associate</t>
        </is>
      </c>
      <c r="G507" s="28" t="inlineStr">
        <is>
          <t>Inactive</t>
        </is>
      </c>
      <c r="H507" s="31" t="n"/>
      <c r="I507" s="32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1">
        <f>IF($C507="",0,IFERROR(INDEX(Deals!$H$2:$H$355,MATCH($C507,Deals!$A$2:$A$355,0)),0))</f>
        <v/>
      </c>
      <c r="K507" s="32">
        <f>IF(Settings!$B$4="Yes",$I507*$J507,$I507)</f>
        <v/>
      </c>
      <c r="L507" s="22">
        <f>IF($C507="","",IFERROR(IF(INDEX(Deals!$I$2:$I$355,MATCH($C507,Deals!$A$2:$A$355,0))=0,"",INDEX(Deals!$I$2:$I$355,MATCH($C507,Deals!$A$2:$A$355,0))),""))</f>
        <v/>
      </c>
      <c r="M507" s="22">
        <f>IF($C507="","",IFERROR(IF(INDEX(Deals!$J$2:$J$355,MATCH($C507,Deals!$A$2:$A$355,0))=0,"",INDEX(Deals!$J$2:$J$355,MATCH($C507,Deals!$A$2:$A$355,0))),""))</f>
        <v/>
      </c>
      <c r="N507" s="35">
        <f>IF($L507="",DATE(1900,1,1),$L507)</f>
        <v/>
      </c>
      <c r="O507" s="35">
        <f>IF($M507="",DATE(2100,12,31),$M507)</f>
        <v/>
      </c>
      <c r="P507" s="20" t="inlineStr">
        <is>
          <t>Dead</t>
        </is>
      </c>
      <c r="Q507" s="43" t="inlineStr"/>
      <c r="R507" s="16">
        <f>IF($C507="","",IFERROR(IF(INDEX(Deals!$U$2:$U$355,MATCH($C507,Deals!$A$2:$A$355,0))=0,"",INDEX(Deals!$U$2:$U$355,MATCH($C507,Deals!$A$2:$A$355,0))),""))</f>
        <v/>
      </c>
      <c r="S507" s="34">
        <f>IFERROR(IF($U507="",1,INDEX(Deals!$V$2:$V$355,MATCH($C507,Deals!$A$2:$A$355,0))),1)</f>
        <v/>
      </c>
      <c r="T507" s="34">
        <f>IFERROR(IF($U507="",1,INDEX(Deals!$W$2:$W$355,MATCH($C507,Deals!$A$2:$A$355,0))),1)</f>
        <v/>
      </c>
      <c r="U507" s="22">
        <f>IF($C507="","",IFERROR(IF(INDEX(Deals!$Y$2:$Y$355,MATCH($C507,Deals!$A$2:$A$355,0))=0,"",INDEX(Deals!$Y$2:$Y$355,MATCH($C507,Deals!$A$2:$A$355,0))),""))</f>
        <v/>
      </c>
      <c r="V507" s="35">
        <f>IF($U507="",DATE(1900,1,1),$N507)</f>
        <v/>
      </c>
      <c r="W507" s="35">
        <f>IF($U507="",DATE(2100,12,31),$U507)</f>
        <v/>
      </c>
      <c r="X507" s="32">
        <f>IF($U507="",$K507,$K507*$S507)</f>
        <v/>
      </c>
      <c r="Y507" s="35">
        <f>IF($U507="",DATE(2100,12,31),$U507+1)</f>
        <v/>
      </c>
      <c r="Z507" s="35">
        <f>IF($U507="",DATE(1900,1,1),$O507)</f>
        <v/>
      </c>
      <c r="AA507" s="32">
        <f>IF($U507="",0,$K507*$T507)</f>
        <v/>
      </c>
      <c r="AB507" s="21">
        <f>IF($C507="",0,IFERROR(INDEX(Deals!$AD$2:$AD$355,MATCH($C507,Deals!$A$2:$A$355,0)),0))</f>
        <v/>
      </c>
      <c r="AC507" s="32">
        <f>IF(Settings!$B$4="Yes",$I507*$AB507,$I507)</f>
        <v/>
      </c>
      <c r="AD507" s="22">
        <f>IF($C507="","",IFERROR(IF(INDEX(Deals!$AE$2:$AE$355,MATCH($C507,Deals!$A$2:$A$355,0))=0,"",INDEX(Deals!$AE$2:$AE$355,MATCH($C507,Deals!$A$2:$A$355,0))),""))</f>
        <v/>
      </c>
      <c r="AE507" s="22">
        <f>IF($C507="","",IFERROR(IF(INDEX(Deals!$AF$2:$AF$355,MATCH($C507,Deals!$A$2:$A$355,0))=0,"",INDEX(Deals!$AF$2:$AF$355,MATCH($C507,Deals!$A$2:$A$355,0))),""))</f>
        <v/>
      </c>
      <c r="AF507" s="35">
        <f>IF($AD507="",DATE(1900,1,1),$AD507)</f>
        <v/>
      </c>
      <c r="AG507" s="35">
        <f>IF($AE507="",DATE(2100,12,31),$AE507)</f>
        <v/>
      </c>
      <c r="AH507" s="22">
        <f>IF($C507="","",IFERROR(IF(INDEX(Deals!$AG$2:$AG$355,MATCH($C507,Deals!$A$2:$A$355,0))=0,"",INDEX(Deals!$AG$2:$AG$355,MATCH($C507,Deals!$A$2:$A$355,0))),""))</f>
        <v/>
      </c>
      <c r="AI507" s="35">
        <f>IF($AH507="",DATE(1900,1,1),$AF507)</f>
        <v/>
      </c>
      <c r="AJ507" s="35">
        <f>IF($AH507="",DATE(2100,12,31),$AH507)</f>
        <v/>
      </c>
      <c r="AK507" s="32">
        <f>IF($AH507="",$AC507,$AC507*$S507)</f>
        <v/>
      </c>
      <c r="AL507" s="35">
        <f>IF($AH507="",DATE(2100,12,31),$AH507+1)</f>
        <v/>
      </c>
      <c r="AM507" s="35">
        <f>IF($AH507="",DATE(1900,1,1),$AG507)</f>
        <v/>
      </c>
      <c r="AN507" s="32">
        <f>IF($AH507="",0,$AC507*$T507)</f>
        <v/>
      </c>
    </row>
    <row r="508">
      <c r="A508" s="28" t="inlineStr">
        <is>
          <t>Colleen</t>
        </is>
      </c>
      <c r="B508" s="16">
        <f>IF($A508="","",IFERROR(INDEX(Roster!$B$2:$B$40,MATCH($A508,Roster!$A$2:$A$40,0)),"?"))</f>
        <v/>
      </c>
      <c r="C508" s="28" t="inlineStr">
        <is>
          <t>Javelina Gain_1</t>
        </is>
      </c>
      <c r="D508" s="16">
        <f>IF($C508="","",IFERROR(IF(INDEX(Deals!$C$2:$C$355,MATCH($C508,Deals!$A$2:$A$355,0))=0,"",INDEX(Deals!$C$2:$C$355,MATCH($C508,Deals!$A$2:$A$355,0))),"?"))</f>
        <v/>
      </c>
      <c r="E508" s="16">
        <f>IF($C508="","",IFERROR(INDEX(Deals!$F$2:$F$355,MATCH($C508,Deals!$A$2:$A$355,0)),"?"))</f>
        <v/>
      </c>
      <c r="F508" s="28" t="inlineStr">
        <is>
          <t>Senior Associate</t>
        </is>
      </c>
      <c r="G508" s="28" t="inlineStr">
        <is>
          <t>Active</t>
        </is>
      </c>
      <c r="H508" s="31" t="n"/>
      <c r="I508" s="32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1">
        <f>IF($C508="",0,IFERROR(INDEX(Deals!$H$2:$H$355,MATCH($C508,Deals!$A$2:$A$355,0)),0))</f>
        <v/>
      </c>
      <c r="K508" s="32">
        <f>IF(Settings!$B$4="Yes",$I508*$J508,$I508)</f>
        <v/>
      </c>
      <c r="L508" s="22">
        <f>IF($C508="","",IFERROR(IF(INDEX(Deals!$I$2:$I$355,MATCH($C508,Deals!$A$2:$A$355,0))=0,"",INDEX(Deals!$I$2:$I$355,MATCH($C508,Deals!$A$2:$A$355,0))),""))</f>
        <v/>
      </c>
      <c r="M508" s="22">
        <f>IF($C508="","",IFERROR(IF(INDEX(Deals!$J$2:$J$355,MATCH($C508,Deals!$A$2:$A$355,0))=0,"",INDEX(Deals!$J$2:$J$355,MATCH($C508,Deals!$A$2:$A$355,0))),""))</f>
        <v/>
      </c>
      <c r="N508" s="35">
        <f>IF($L508="",DATE(1900,1,1),$L508)</f>
        <v/>
      </c>
      <c r="O508" s="35">
        <f>IF($M508="",DATE(2100,12,31),$M508)</f>
        <v/>
      </c>
      <c r="P508" s="20" t="inlineStr"/>
      <c r="Q508" s="43" t="inlineStr"/>
      <c r="R508" s="16">
        <f>IF($C508="","",IFERROR(IF(INDEX(Deals!$U$2:$U$355,MATCH($C508,Deals!$A$2:$A$355,0))=0,"",INDEX(Deals!$U$2:$U$355,MATCH($C508,Deals!$A$2:$A$355,0))),""))</f>
        <v/>
      </c>
      <c r="S508" s="34">
        <f>IFERROR(IF($U508="",1,INDEX(Deals!$V$2:$V$355,MATCH($C508,Deals!$A$2:$A$355,0))),1)</f>
        <v/>
      </c>
      <c r="T508" s="34">
        <f>IFERROR(IF($U508="",1,INDEX(Deals!$W$2:$W$355,MATCH($C508,Deals!$A$2:$A$355,0))),1)</f>
        <v/>
      </c>
      <c r="U508" s="22">
        <f>IF($C508="","",IFERROR(IF(INDEX(Deals!$Y$2:$Y$355,MATCH($C508,Deals!$A$2:$A$355,0))=0,"",INDEX(Deals!$Y$2:$Y$355,MATCH($C508,Deals!$A$2:$A$355,0))),""))</f>
        <v/>
      </c>
      <c r="V508" s="35">
        <f>IF($U508="",DATE(1900,1,1),$N508)</f>
        <v/>
      </c>
      <c r="W508" s="35">
        <f>IF($U508="",DATE(2100,12,31),$U508)</f>
        <v/>
      </c>
      <c r="X508" s="32">
        <f>IF($U508="",$K508,$K508*$S508)</f>
        <v/>
      </c>
      <c r="Y508" s="35">
        <f>IF($U508="",DATE(2100,12,31),$U508+1)</f>
        <v/>
      </c>
      <c r="Z508" s="35">
        <f>IF($U508="",DATE(1900,1,1),$O508)</f>
        <v/>
      </c>
      <c r="AA508" s="32">
        <f>IF($U508="",0,$K508*$T508)</f>
        <v/>
      </c>
      <c r="AB508" s="21">
        <f>IF($C508="",0,IFERROR(INDEX(Deals!$AD$2:$AD$355,MATCH($C508,Deals!$A$2:$A$355,0)),0))</f>
        <v/>
      </c>
      <c r="AC508" s="32">
        <f>IF(Settings!$B$4="Yes",$I508*$AB508,$I508)</f>
        <v/>
      </c>
      <c r="AD508" s="22">
        <f>IF($C508="","",IFERROR(IF(INDEX(Deals!$AE$2:$AE$355,MATCH($C508,Deals!$A$2:$A$355,0))=0,"",INDEX(Deals!$AE$2:$AE$355,MATCH($C508,Deals!$A$2:$A$355,0))),""))</f>
        <v/>
      </c>
      <c r="AE508" s="22">
        <f>IF($C508="","",IFERROR(IF(INDEX(Deals!$AF$2:$AF$355,MATCH($C508,Deals!$A$2:$A$355,0))=0,"",INDEX(Deals!$AF$2:$AF$355,MATCH($C508,Deals!$A$2:$A$355,0))),""))</f>
        <v/>
      </c>
      <c r="AF508" s="35">
        <f>IF($AD508="",DATE(1900,1,1),$AD508)</f>
        <v/>
      </c>
      <c r="AG508" s="35">
        <f>IF($AE508="",DATE(2100,12,31),$AE508)</f>
        <v/>
      </c>
      <c r="AH508" s="22">
        <f>IF($C508="","",IFERROR(IF(INDEX(Deals!$AG$2:$AG$355,MATCH($C508,Deals!$A$2:$A$355,0))=0,"",INDEX(Deals!$AG$2:$AG$355,MATCH($C508,Deals!$A$2:$A$355,0))),""))</f>
        <v/>
      </c>
      <c r="AI508" s="35">
        <f>IF($AH508="",DATE(1900,1,1),$AF508)</f>
        <v/>
      </c>
      <c r="AJ508" s="35">
        <f>IF($AH508="",DATE(2100,12,31),$AH508)</f>
        <v/>
      </c>
      <c r="AK508" s="32">
        <f>IF($AH508="",$AC508,$AC508*$S508)</f>
        <v/>
      </c>
      <c r="AL508" s="35">
        <f>IF($AH508="",DATE(2100,12,31),$AH508+1)</f>
        <v/>
      </c>
      <c r="AM508" s="35">
        <f>IF($AH508="",DATE(1900,1,1),$AG508)</f>
        <v/>
      </c>
      <c r="AN508" s="32">
        <f>IF($AH508="",0,$AC508*$T508)</f>
        <v/>
      </c>
    </row>
    <row r="509">
      <c r="A509" s="28" t="inlineStr">
        <is>
          <t>Colleen</t>
        </is>
      </c>
      <c r="B509" s="16">
        <f>IF($A509="","",IFERROR(INDEX(Roster!$B$2:$B$40,MATCH($A509,Roster!$A$2:$A$40,0)),"?"))</f>
        <v/>
      </c>
      <c r="C509" s="28" t="inlineStr">
        <is>
          <t>Marigold_2</t>
        </is>
      </c>
      <c r="D509" s="16">
        <f>IF($C509="","",IFERROR(IF(INDEX(Deals!$C$2:$C$355,MATCH($C509,Deals!$A$2:$A$355,0))=0,"",INDEX(Deals!$C$2:$C$355,MATCH($C509,Deals!$A$2:$A$355,0))),"?"))</f>
        <v/>
      </c>
      <c r="E509" s="16">
        <f>IF($C509="","",IFERROR(INDEX(Deals!$F$2:$F$355,MATCH($C509,Deals!$A$2:$A$355,0)),"?"))</f>
        <v/>
      </c>
      <c r="F509" s="28" t="inlineStr">
        <is>
          <t>Senior Associate</t>
        </is>
      </c>
      <c r="G509" s="28" t="inlineStr">
        <is>
          <t>Inactive</t>
        </is>
      </c>
      <c r="H509" s="31" t="n"/>
      <c r="I509" s="32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1">
        <f>IF($C509="",0,IFERROR(INDEX(Deals!$H$2:$H$355,MATCH($C509,Deals!$A$2:$A$355,0)),0))</f>
        <v/>
      </c>
      <c r="K509" s="32">
        <f>IF(Settings!$B$4="Yes",$I509*$J509,$I509)</f>
        <v/>
      </c>
      <c r="L509" s="22">
        <f>IF($C509="","",IFERROR(IF(INDEX(Deals!$I$2:$I$355,MATCH($C509,Deals!$A$2:$A$355,0))=0,"",INDEX(Deals!$I$2:$I$355,MATCH($C509,Deals!$A$2:$A$355,0))),""))</f>
        <v/>
      </c>
      <c r="M509" s="22">
        <f>IF($C509="","",IFERROR(IF(INDEX(Deals!$J$2:$J$355,MATCH($C509,Deals!$A$2:$A$355,0))=0,"",INDEX(Deals!$J$2:$J$355,MATCH($C509,Deals!$A$2:$A$355,0))),""))</f>
        <v/>
      </c>
      <c r="N509" s="35">
        <f>IF($L509="",DATE(1900,1,1),$L509)</f>
        <v/>
      </c>
      <c r="O509" s="35">
        <f>IF($M509="",DATE(2100,12,31),$M509)</f>
        <v/>
      </c>
      <c r="P509" s="20" t="inlineStr">
        <is>
          <t>Closed</t>
        </is>
      </c>
      <c r="Q509" s="43" t="inlineStr"/>
      <c r="R509" s="16">
        <f>IF($C509="","",IFERROR(IF(INDEX(Deals!$U$2:$U$355,MATCH($C509,Deals!$A$2:$A$355,0))=0,"",INDEX(Deals!$U$2:$U$355,MATCH($C509,Deals!$A$2:$A$355,0))),""))</f>
        <v/>
      </c>
      <c r="S509" s="34">
        <f>IFERROR(IF($U509="",1,INDEX(Deals!$V$2:$V$355,MATCH($C509,Deals!$A$2:$A$355,0))),1)</f>
        <v/>
      </c>
      <c r="T509" s="34">
        <f>IFERROR(IF($U509="",1,INDEX(Deals!$W$2:$W$355,MATCH($C509,Deals!$A$2:$A$355,0))),1)</f>
        <v/>
      </c>
      <c r="U509" s="22">
        <f>IF($C509="","",IFERROR(IF(INDEX(Deals!$Y$2:$Y$355,MATCH($C509,Deals!$A$2:$A$355,0))=0,"",INDEX(Deals!$Y$2:$Y$355,MATCH($C509,Deals!$A$2:$A$355,0))),""))</f>
        <v/>
      </c>
      <c r="V509" s="35">
        <f>IF($U509="",DATE(1900,1,1),$N509)</f>
        <v/>
      </c>
      <c r="W509" s="35">
        <f>IF($U509="",DATE(2100,12,31),$U509)</f>
        <v/>
      </c>
      <c r="X509" s="32">
        <f>IF($U509="",$K509,$K509*$S509)</f>
        <v/>
      </c>
      <c r="Y509" s="35">
        <f>IF($U509="",DATE(2100,12,31),$U509+1)</f>
        <v/>
      </c>
      <c r="Z509" s="35">
        <f>IF($U509="",DATE(1900,1,1),$O509)</f>
        <v/>
      </c>
      <c r="AA509" s="32">
        <f>IF($U509="",0,$K509*$T509)</f>
        <v/>
      </c>
      <c r="AB509" s="21">
        <f>IF($C509="",0,IFERROR(INDEX(Deals!$AD$2:$AD$355,MATCH($C509,Deals!$A$2:$A$355,0)),0))</f>
        <v/>
      </c>
      <c r="AC509" s="32">
        <f>IF(Settings!$B$4="Yes",$I509*$AB509,$I509)</f>
        <v/>
      </c>
      <c r="AD509" s="22">
        <f>IF($C509="","",IFERROR(IF(INDEX(Deals!$AE$2:$AE$355,MATCH($C509,Deals!$A$2:$A$355,0))=0,"",INDEX(Deals!$AE$2:$AE$355,MATCH($C509,Deals!$A$2:$A$355,0))),""))</f>
        <v/>
      </c>
      <c r="AE509" s="22">
        <f>IF($C509="","",IFERROR(IF(INDEX(Deals!$AF$2:$AF$355,MATCH($C509,Deals!$A$2:$A$355,0))=0,"",INDEX(Deals!$AF$2:$AF$355,MATCH($C509,Deals!$A$2:$A$355,0))),""))</f>
        <v/>
      </c>
      <c r="AF509" s="35">
        <f>IF($AD509="",DATE(1900,1,1),$AD509)</f>
        <v/>
      </c>
      <c r="AG509" s="35">
        <f>IF($AE509="",DATE(2100,12,31),$AE509)</f>
        <v/>
      </c>
      <c r="AH509" s="22">
        <f>IF($C509="","",IFERROR(IF(INDEX(Deals!$AG$2:$AG$355,MATCH($C509,Deals!$A$2:$A$355,0))=0,"",INDEX(Deals!$AG$2:$AG$355,MATCH($C509,Deals!$A$2:$A$355,0))),""))</f>
        <v/>
      </c>
      <c r="AI509" s="35">
        <f>IF($AH509="",DATE(1900,1,1),$AF509)</f>
        <v/>
      </c>
      <c r="AJ509" s="35">
        <f>IF($AH509="",DATE(2100,12,31),$AH509)</f>
        <v/>
      </c>
      <c r="AK509" s="32">
        <f>IF($AH509="",$AC509,$AC509*$S509)</f>
        <v/>
      </c>
      <c r="AL509" s="35">
        <f>IF($AH509="",DATE(2100,12,31),$AH509+1)</f>
        <v/>
      </c>
      <c r="AM509" s="35">
        <f>IF($AH509="",DATE(1900,1,1),$AG509)</f>
        <v/>
      </c>
      <c r="AN509" s="32">
        <f>IF($AH509="",0,$AC509*$T509)</f>
        <v/>
      </c>
    </row>
    <row r="510">
      <c r="A510" s="28" t="inlineStr">
        <is>
          <t>Colleen</t>
        </is>
      </c>
      <c r="B510" s="16">
        <f>IF($A510="","",IFERROR(INDEX(Roster!$B$2:$B$40,MATCH($A510,Roster!$A$2:$A$40,0)),"?"))</f>
        <v/>
      </c>
      <c r="C510" s="28" t="inlineStr">
        <is>
          <t>Nevada_1</t>
        </is>
      </c>
      <c r="D510" s="16">
        <f>IF($C510="","",IFERROR(IF(INDEX(Deals!$C$2:$C$355,MATCH($C510,Deals!$A$2:$A$355,0))=0,"",INDEX(Deals!$C$2:$C$355,MATCH($C510,Deals!$A$2:$A$355,0))),"?"))</f>
        <v/>
      </c>
      <c r="E510" s="16">
        <f>IF($C510="","",IFERROR(INDEX(Deals!$F$2:$F$355,MATCH($C510,Deals!$A$2:$A$355,0)),"?"))</f>
        <v/>
      </c>
      <c r="F510" s="28" t="inlineStr">
        <is>
          <t>Senior Associate</t>
        </is>
      </c>
      <c r="G510" s="28" t="inlineStr">
        <is>
          <t>Active</t>
        </is>
      </c>
      <c r="H510" s="31" t="n"/>
      <c r="I510" s="32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1">
        <f>IF($C510="",0,IFERROR(INDEX(Deals!$H$2:$H$355,MATCH($C510,Deals!$A$2:$A$355,0)),0))</f>
        <v/>
      </c>
      <c r="K510" s="32">
        <f>IF(Settings!$B$4="Yes",$I510*$J510,$I510)</f>
        <v/>
      </c>
      <c r="L510" s="22">
        <f>IF($C510="","",IFERROR(IF(INDEX(Deals!$I$2:$I$355,MATCH($C510,Deals!$A$2:$A$355,0))=0,"",INDEX(Deals!$I$2:$I$355,MATCH($C510,Deals!$A$2:$A$355,0))),""))</f>
        <v/>
      </c>
      <c r="M510" s="22">
        <f>IF($C510="","",IFERROR(IF(INDEX(Deals!$J$2:$J$355,MATCH($C510,Deals!$A$2:$A$355,0))=0,"",INDEX(Deals!$J$2:$J$355,MATCH($C510,Deals!$A$2:$A$355,0))),""))</f>
        <v/>
      </c>
      <c r="N510" s="35">
        <f>IF($L510="",DATE(1900,1,1),$L510)</f>
        <v/>
      </c>
      <c r="O510" s="35">
        <f>IF($M510="",DATE(2100,12,31),$M510)</f>
        <v/>
      </c>
      <c r="P510" s="20" t="inlineStr">
        <is>
          <t>Ongoing</t>
        </is>
      </c>
      <c r="Q510" s="43" t="inlineStr"/>
      <c r="R510" s="16">
        <f>IF($C510="","",IFERROR(IF(INDEX(Deals!$U$2:$U$355,MATCH($C510,Deals!$A$2:$A$355,0))=0,"",INDEX(Deals!$U$2:$U$355,MATCH($C510,Deals!$A$2:$A$355,0))),""))</f>
        <v/>
      </c>
      <c r="S510" s="34">
        <f>IFERROR(IF($U510="",1,INDEX(Deals!$V$2:$V$355,MATCH($C510,Deals!$A$2:$A$355,0))),1)</f>
        <v/>
      </c>
      <c r="T510" s="34">
        <f>IFERROR(IF($U510="",1,INDEX(Deals!$W$2:$W$355,MATCH($C510,Deals!$A$2:$A$355,0))),1)</f>
        <v/>
      </c>
      <c r="U510" s="22">
        <f>IF($C510="","",IFERROR(IF(INDEX(Deals!$Y$2:$Y$355,MATCH($C510,Deals!$A$2:$A$355,0))=0,"",INDEX(Deals!$Y$2:$Y$355,MATCH($C510,Deals!$A$2:$A$355,0))),""))</f>
        <v/>
      </c>
      <c r="V510" s="35">
        <f>IF($U510="",DATE(1900,1,1),$N510)</f>
        <v/>
      </c>
      <c r="W510" s="35">
        <f>IF($U510="",DATE(2100,12,31),$U510)</f>
        <v/>
      </c>
      <c r="X510" s="32">
        <f>IF($U510="",$K510,$K510*$S510)</f>
        <v/>
      </c>
      <c r="Y510" s="35">
        <f>IF($U510="",DATE(2100,12,31),$U510+1)</f>
        <v/>
      </c>
      <c r="Z510" s="35">
        <f>IF($U510="",DATE(1900,1,1),$O510)</f>
        <v/>
      </c>
      <c r="AA510" s="32">
        <f>IF($U510="",0,$K510*$T510)</f>
        <v/>
      </c>
      <c r="AB510" s="21">
        <f>IF($C510="",0,IFERROR(INDEX(Deals!$AD$2:$AD$355,MATCH($C510,Deals!$A$2:$A$355,0)),0))</f>
        <v/>
      </c>
      <c r="AC510" s="32">
        <f>IF(Settings!$B$4="Yes",$I510*$AB510,$I510)</f>
        <v/>
      </c>
      <c r="AD510" s="22">
        <f>IF($C510="","",IFERROR(IF(INDEX(Deals!$AE$2:$AE$355,MATCH($C510,Deals!$A$2:$A$355,0))=0,"",INDEX(Deals!$AE$2:$AE$355,MATCH($C510,Deals!$A$2:$A$355,0))),""))</f>
        <v/>
      </c>
      <c r="AE510" s="22">
        <f>IF($C510="","",IFERROR(IF(INDEX(Deals!$AF$2:$AF$355,MATCH($C510,Deals!$A$2:$A$355,0))=0,"",INDEX(Deals!$AF$2:$AF$355,MATCH($C510,Deals!$A$2:$A$355,0))),""))</f>
        <v/>
      </c>
      <c r="AF510" s="35">
        <f>IF($AD510="",DATE(1900,1,1),$AD510)</f>
        <v/>
      </c>
      <c r="AG510" s="35">
        <f>IF($AE510="",DATE(2100,12,31),$AE510)</f>
        <v/>
      </c>
      <c r="AH510" s="22">
        <f>IF($C510="","",IFERROR(IF(INDEX(Deals!$AG$2:$AG$355,MATCH($C510,Deals!$A$2:$A$355,0))=0,"",INDEX(Deals!$AG$2:$AG$355,MATCH($C510,Deals!$A$2:$A$355,0))),""))</f>
        <v/>
      </c>
      <c r="AI510" s="35">
        <f>IF($AH510="",DATE(1900,1,1),$AF510)</f>
        <v/>
      </c>
      <c r="AJ510" s="35">
        <f>IF($AH510="",DATE(2100,12,31),$AH510)</f>
        <v/>
      </c>
      <c r="AK510" s="32">
        <f>IF($AH510="",$AC510,$AC510*$S510)</f>
        <v/>
      </c>
      <c r="AL510" s="35">
        <f>IF($AH510="",DATE(2100,12,31),$AH510+1)</f>
        <v/>
      </c>
      <c r="AM510" s="35">
        <f>IF($AH510="",DATE(1900,1,1),$AG510)</f>
        <v/>
      </c>
      <c r="AN510" s="32">
        <f>IF($AH510="",0,$AC510*$T510)</f>
        <v/>
      </c>
    </row>
    <row r="511">
      <c r="A511" s="28" t="inlineStr">
        <is>
          <t>Colleen</t>
        </is>
      </c>
      <c r="B511" s="16">
        <f>IF($A511="","",IFERROR(INDEX(Roster!$B$2:$B$40,MATCH($A511,Roster!$A$2:$A$40,0)),"?"))</f>
        <v/>
      </c>
      <c r="C511" s="28" t="inlineStr">
        <is>
          <t>Nexus_6</t>
        </is>
      </c>
      <c r="D511" s="16">
        <f>IF($C511="","",IFERROR(IF(INDEX(Deals!$C$2:$C$355,MATCH($C511,Deals!$A$2:$A$355,0))=0,"",INDEX(Deals!$C$2:$C$355,MATCH($C511,Deals!$A$2:$A$355,0))),"?"))</f>
        <v/>
      </c>
      <c r="E511" s="16">
        <f>IF($C511="","",IFERROR(INDEX(Deals!$F$2:$F$355,MATCH($C511,Deals!$A$2:$A$355,0)),"?"))</f>
        <v/>
      </c>
      <c r="F511" s="28" t="inlineStr">
        <is>
          <t>Senior Associate</t>
        </is>
      </c>
      <c r="G511" s="28" t="inlineStr">
        <is>
          <t>Inactive</t>
        </is>
      </c>
      <c r="H511" s="31" t="n"/>
      <c r="I511" s="32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1">
        <f>IF($C511="",0,IFERROR(INDEX(Deals!$H$2:$H$355,MATCH($C511,Deals!$A$2:$A$355,0)),0))</f>
        <v/>
      </c>
      <c r="K511" s="32">
        <f>IF(Settings!$B$4="Yes",$I511*$J511,$I511)</f>
        <v/>
      </c>
      <c r="L511" s="22">
        <f>IF($C511="","",IFERROR(IF(INDEX(Deals!$I$2:$I$355,MATCH($C511,Deals!$A$2:$A$355,0))=0,"",INDEX(Deals!$I$2:$I$355,MATCH($C511,Deals!$A$2:$A$355,0))),""))</f>
        <v/>
      </c>
      <c r="M511" s="22">
        <f>IF($C511="","",IFERROR(IF(INDEX(Deals!$J$2:$J$355,MATCH($C511,Deals!$A$2:$A$355,0))=0,"",INDEX(Deals!$J$2:$J$355,MATCH($C511,Deals!$A$2:$A$355,0))),""))</f>
        <v/>
      </c>
      <c r="N511" s="35">
        <f>IF($L511="",DATE(1900,1,1),$L511)</f>
        <v/>
      </c>
      <c r="O511" s="35">
        <f>IF($M511="",DATE(2100,12,31),$M511)</f>
        <v/>
      </c>
      <c r="P511" s="20" t="inlineStr">
        <is>
          <t>Closed</t>
        </is>
      </c>
      <c r="Q511" s="43" t="inlineStr"/>
      <c r="R511" s="16">
        <f>IF($C511="","",IFERROR(IF(INDEX(Deals!$U$2:$U$355,MATCH($C511,Deals!$A$2:$A$355,0))=0,"",INDEX(Deals!$U$2:$U$355,MATCH($C511,Deals!$A$2:$A$355,0))),""))</f>
        <v/>
      </c>
      <c r="S511" s="34">
        <f>IFERROR(IF($U511="",1,INDEX(Deals!$V$2:$V$355,MATCH($C511,Deals!$A$2:$A$355,0))),1)</f>
        <v/>
      </c>
      <c r="T511" s="34">
        <f>IFERROR(IF($U511="",1,INDEX(Deals!$W$2:$W$355,MATCH($C511,Deals!$A$2:$A$355,0))),1)</f>
        <v/>
      </c>
      <c r="U511" s="22">
        <f>IF($C511="","",IFERROR(IF(INDEX(Deals!$Y$2:$Y$355,MATCH($C511,Deals!$A$2:$A$355,0))=0,"",INDEX(Deals!$Y$2:$Y$355,MATCH($C511,Deals!$A$2:$A$355,0))),""))</f>
        <v/>
      </c>
      <c r="V511" s="35">
        <f>IF($U511="",DATE(1900,1,1),$N511)</f>
        <v/>
      </c>
      <c r="W511" s="35">
        <f>IF($U511="",DATE(2100,12,31),$U511)</f>
        <v/>
      </c>
      <c r="X511" s="32">
        <f>IF($U511="",$K511,$K511*$S511)</f>
        <v/>
      </c>
      <c r="Y511" s="35">
        <f>IF($U511="",DATE(2100,12,31),$U511+1)</f>
        <v/>
      </c>
      <c r="Z511" s="35">
        <f>IF($U511="",DATE(1900,1,1),$O511)</f>
        <v/>
      </c>
      <c r="AA511" s="32">
        <f>IF($U511="",0,$K511*$T511)</f>
        <v/>
      </c>
      <c r="AB511" s="21">
        <f>IF($C511="",0,IFERROR(INDEX(Deals!$AD$2:$AD$355,MATCH($C511,Deals!$A$2:$A$355,0)),0))</f>
        <v/>
      </c>
      <c r="AC511" s="32">
        <f>IF(Settings!$B$4="Yes",$I511*$AB511,$I511)</f>
        <v/>
      </c>
      <c r="AD511" s="22">
        <f>IF($C511="","",IFERROR(IF(INDEX(Deals!$AE$2:$AE$355,MATCH($C511,Deals!$A$2:$A$355,0))=0,"",INDEX(Deals!$AE$2:$AE$355,MATCH($C511,Deals!$A$2:$A$355,0))),""))</f>
        <v/>
      </c>
      <c r="AE511" s="22">
        <f>IF($C511="","",IFERROR(IF(INDEX(Deals!$AF$2:$AF$355,MATCH($C511,Deals!$A$2:$A$355,0))=0,"",INDEX(Deals!$AF$2:$AF$355,MATCH($C511,Deals!$A$2:$A$355,0))),""))</f>
        <v/>
      </c>
      <c r="AF511" s="35">
        <f>IF($AD511="",DATE(1900,1,1),$AD511)</f>
        <v/>
      </c>
      <c r="AG511" s="35">
        <f>IF($AE511="",DATE(2100,12,31),$AE511)</f>
        <v/>
      </c>
      <c r="AH511" s="22">
        <f>IF($C511="","",IFERROR(IF(INDEX(Deals!$AG$2:$AG$355,MATCH($C511,Deals!$A$2:$A$355,0))=0,"",INDEX(Deals!$AG$2:$AG$355,MATCH($C511,Deals!$A$2:$A$355,0))),""))</f>
        <v/>
      </c>
      <c r="AI511" s="35">
        <f>IF($AH511="",DATE(1900,1,1),$AF511)</f>
        <v/>
      </c>
      <c r="AJ511" s="35">
        <f>IF($AH511="",DATE(2100,12,31),$AH511)</f>
        <v/>
      </c>
      <c r="AK511" s="32">
        <f>IF($AH511="",$AC511,$AC511*$S511)</f>
        <v/>
      </c>
      <c r="AL511" s="35">
        <f>IF($AH511="",DATE(2100,12,31),$AH511+1)</f>
        <v/>
      </c>
      <c r="AM511" s="35">
        <f>IF($AH511="",DATE(1900,1,1),$AG511)</f>
        <v/>
      </c>
      <c r="AN511" s="32">
        <f>IF($AH511="",0,$AC511*$T511)</f>
        <v/>
      </c>
    </row>
    <row r="512">
      <c r="A512" s="28" t="inlineStr">
        <is>
          <t>Colleen</t>
        </is>
      </c>
      <c r="B512" s="16">
        <f>IF($A512="","",IFERROR(INDEX(Roster!$B$2:$B$40,MATCH($A512,Roster!$A$2:$A$40,0)),"?"))</f>
        <v/>
      </c>
      <c r="C512" s="28" t="inlineStr">
        <is>
          <t>Plasma_1</t>
        </is>
      </c>
      <c r="D512" s="16">
        <f>IF($C512="","",IFERROR(IF(INDEX(Deals!$C$2:$C$355,MATCH($C512,Deals!$A$2:$A$355,0))=0,"",INDEX(Deals!$C$2:$C$355,MATCH($C512,Deals!$A$2:$A$355,0))),"?"))</f>
        <v/>
      </c>
      <c r="E512" s="16">
        <f>IF($C512="","",IFERROR(INDEX(Deals!$F$2:$F$355,MATCH($C512,Deals!$A$2:$A$355,0)),"?"))</f>
        <v/>
      </c>
      <c r="F512" s="28" t="inlineStr">
        <is>
          <t>Senior Associate</t>
        </is>
      </c>
      <c r="G512" s="28" t="inlineStr">
        <is>
          <t>Active</t>
        </is>
      </c>
      <c r="H512" s="31" t="n"/>
      <c r="I512" s="32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1">
        <f>IF($C512="",0,IFERROR(INDEX(Deals!$H$2:$H$355,MATCH($C512,Deals!$A$2:$A$355,0)),0))</f>
        <v/>
      </c>
      <c r="K512" s="32">
        <f>IF(Settings!$B$4="Yes",$I512*$J512,$I512)</f>
        <v/>
      </c>
      <c r="L512" s="22">
        <f>IF($C512="","",IFERROR(IF(INDEX(Deals!$I$2:$I$355,MATCH($C512,Deals!$A$2:$A$355,0))=0,"",INDEX(Deals!$I$2:$I$355,MATCH($C512,Deals!$A$2:$A$355,0))),""))</f>
        <v/>
      </c>
      <c r="M512" s="22">
        <f>IF($C512="","",IFERROR(IF(INDEX(Deals!$J$2:$J$355,MATCH($C512,Deals!$A$2:$A$355,0))=0,"",INDEX(Deals!$J$2:$J$355,MATCH($C512,Deals!$A$2:$A$355,0))),""))</f>
        <v/>
      </c>
      <c r="N512" s="35">
        <f>IF($L512="",DATE(1900,1,1),$L512)</f>
        <v/>
      </c>
      <c r="O512" s="35">
        <f>IF($M512="",DATE(2100,12,31),$M512)</f>
        <v/>
      </c>
      <c r="P512" s="20" t="inlineStr">
        <is>
          <t>Ongoing</t>
        </is>
      </c>
      <c r="Q512" s="43" t="inlineStr"/>
      <c r="R512" s="16">
        <f>IF($C512="","",IFERROR(IF(INDEX(Deals!$U$2:$U$355,MATCH($C512,Deals!$A$2:$A$355,0))=0,"",INDEX(Deals!$U$2:$U$355,MATCH($C512,Deals!$A$2:$A$355,0))),""))</f>
        <v/>
      </c>
      <c r="S512" s="34">
        <f>IFERROR(IF($U512="",1,INDEX(Deals!$V$2:$V$355,MATCH($C512,Deals!$A$2:$A$355,0))),1)</f>
        <v/>
      </c>
      <c r="T512" s="34">
        <f>IFERROR(IF($U512="",1,INDEX(Deals!$W$2:$W$355,MATCH($C512,Deals!$A$2:$A$355,0))),1)</f>
        <v/>
      </c>
      <c r="U512" s="22">
        <f>IF($C512="","",IFERROR(IF(INDEX(Deals!$Y$2:$Y$355,MATCH($C512,Deals!$A$2:$A$355,0))=0,"",INDEX(Deals!$Y$2:$Y$355,MATCH($C512,Deals!$A$2:$A$355,0))),""))</f>
        <v/>
      </c>
      <c r="V512" s="35">
        <f>IF($U512="",DATE(1900,1,1),$N512)</f>
        <v/>
      </c>
      <c r="W512" s="35">
        <f>IF($U512="",DATE(2100,12,31),$U512)</f>
        <v/>
      </c>
      <c r="X512" s="32">
        <f>IF($U512="",$K512,$K512*$S512)</f>
        <v/>
      </c>
      <c r="Y512" s="35">
        <f>IF($U512="",DATE(2100,12,31),$U512+1)</f>
        <v/>
      </c>
      <c r="Z512" s="35">
        <f>IF($U512="",DATE(1900,1,1),$O512)</f>
        <v/>
      </c>
      <c r="AA512" s="32">
        <f>IF($U512="",0,$K512*$T512)</f>
        <v/>
      </c>
      <c r="AB512" s="21">
        <f>IF($C512="",0,IFERROR(INDEX(Deals!$AD$2:$AD$355,MATCH($C512,Deals!$A$2:$A$355,0)),0))</f>
        <v/>
      </c>
      <c r="AC512" s="32">
        <f>IF(Settings!$B$4="Yes",$I512*$AB512,$I512)</f>
        <v/>
      </c>
      <c r="AD512" s="22">
        <f>IF($C512="","",IFERROR(IF(INDEX(Deals!$AE$2:$AE$355,MATCH($C512,Deals!$A$2:$A$355,0))=0,"",INDEX(Deals!$AE$2:$AE$355,MATCH($C512,Deals!$A$2:$A$355,0))),""))</f>
        <v/>
      </c>
      <c r="AE512" s="22">
        <f>IF($C512="","",IFERROR(IF(INDEX(Deals!$AF$2:$AF$355,MATCH($C512,Deals!$A$2:$A$355,0))=0,"",INDEX(Deals!$AF$2:$AF$355,MATCH($C512,Deals!$A$2:$A$355,0))),""))</f>
        <v/>
      </c>
      <c r="AF512" s="35">
        <f>IF($AD512="",DATE(1900,1,1),$AD512)</f>
        <v/>
      </c>
      <c r="AG512" s="35">
        <f>IF($AE512="",DATE(2100,12,31),$AE512)</f>
        <v/>
      </c>
      <c r="AH512" s="22">
        <f>IF($C512="","",IFERROR(IF(INDEX(Deals!$AG$2:$AG$355,MATCH($C512,Deals!$A$2:$A$355,0))=0,"",INDEX(Deals!$AG$2:$AG$355,MATCH($C512,Deals!$A$2:$A$355,0))),""))</f>
        <v/>
      </c>
      <c r="AI512" s="35">
        <f>IF($AH512="",DATE(1900,1,1),$AF512)</f>
        <v/>
      </c>
      <c r="AJ512" s="35">
        <f>IF($AH512="",DATE(2100,12,31),$AH512)</f>
        <v/>
      </c>
      <c r="AK512" s="32">
        <f>IF($AH512="",$AC512,$AC512*$S512)</f>
        <v/>
      </c>
      <c r="AL512" s="35">
        <f>IF($AH512="",DATE(2100,12,31),$AH512+1)</f>
        <v/>
      </c>
      <c r="AM512" s="35">
        <f>IF($AH512="",DATE(1900,1,1),$AG512)</f>
        <v/>
      </c>
      <c r="AN512" s="32">
        <f>IF($AH512="",0,$AC512*$T512)</f>
        <v/>
      </c>
    </row>
    <row r="513">
      <c r="A513" s="28" t="inlineStr">
        <is>
          <t>Colleen</t>
        </is>
      </c>
      <c r="B513" s="16">
        <f>IF($A513="","",IFERROR(INDEX(Roster!$B$2:$B$40,MATCH($A513,Roster!$A$2:$A$40,0)),"?"))</f>
        <v/>
      </c>
      <c r="C513" s="28" t="inlineStr">
        <is>
          <t>Spark_1</t>
        </is>
      </c>
      <c r="D513" s="16">
        <f>IF($C513="","",IFERROR(IF(INDEX(Deals!$C$2:$C$355,MATCH($C513,Deals!$A$2:$A$355,0))=0,"",INDEX(Deals!$C$2:$C$355,MATCH($C513,Deals!$A$2:$A$355,0))),"?"))</f>
        <v/>
      </c>
      <c r="E513" s="16">
        <f>IF($C513="","",IFERROR(INDEX(Deals!$F$2:$F$355,MATCH($C513,Deals!$A$2:$A$355,0)),"?"))</f>
        <v/>
      </c>
      <c r="F513" s="28" t="inlineStr">
        <is>
          <t>Senior Associate</t>
        </is>
      </c>
      <c r="G513" s="28" t="inlineStr">
        <is>
          <t>Active</t>
        </is>
      </c>
      <c r="H513" s="31" t="n"/>
      <c r="I513" s="32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1">
        <f>IF($C513="",0,IFERROR(INDEX(Deals!$H$2:$H$355,MATCH($C513,Deals!$A$2:$A$355,0)),0))</f>
        <v/>
      </c>
      <c r="K513" s="32">
        <f>IF(Settings!$B$4="Yes",$I513*$J513,$I513)</f>
        <v/>
      </c>
      <c r="L513" s="22">
        <f>IF($C513="","",IFERROR(IF(INDEX(Deals!$I$2:$I$355,MATCH($C513,Deals!$A$2:$A$355,0))=0,"",INDEX(Deals!$I$2:$I$355,MATCH($C513,Deals!$A$2:$A$355,0))),""))</f>
        <v/>
      </c>
      <c r="M513" s="22">
        <f>IF($C513="","",IFERROR(IF(INDEX(Deals!$J$2:$J$355,MATCH($C513,Deals!$A$2:$A$355,0))=0,"",INDEX(Deals!$J$2:$J$355,MATCH($C513,Deals!$A$2:$A$355,0))),""))</f>
        <v/>
      </c>
      <c r="N513" s="35">
        <f>IF($L513="",DATE(1900,1,1),$L513)</f>
        <v/>
      </c>
      <c r="O513" s="35">
        <f>IF($M513="",DATE(2100,12,31),$M513)</f>
        <v/>
      </c>
      <c r="P513" s="20" t="inlineStr">
        <is>
          <t>Ongoing</t>
        </is>
      </c>
      <c r="Q513" s="43" t="inlineStr"/>
      <c r="R513" s="16">
        <f>IF($C513="","",IFERROR(IF(INDEX(Deals!$U$2:$U$355,MATCH($C513,Deals!$A$2:$A$355,0))=0,"",INDEX(Deals!$U$2:$U$355,MATCH($C513,Deals!$A$2:$A$355,0))),""))</f>
        <v/>
      </c>
      <c r="S513" s="34">
        <f>IFERROR(IF($U513="",1,INDEX(Deals!$V$2:$V$355,MATCH($C513,Deals!$A$2:$A$355,0))),1)</f>
        <v/>
      </c>
      <c r="T513" s="34">
        <f>IFERROR(IF($U513="",1,INDEX(Deals!$W$2:$W$355,MATCH($C513,Deals!$A$2:$A$355,0))),1)</f>
        <v/>
      </c>
      <c r="U513" s="22">
        <f>IF($C513="","",IFERROR(IF(INDEX(Deals!$Y$2:$Y$355,MATCH($C513,Deals!$A$2:$A$355,0))=0,"",INDEX(Deals!$Y$2:$Y$355,MATCH($C513,Deals!$A$2:$A$355,0))),""))</f>
        <v/>
      </c>
      <c r="V513" s="35">
        <f>IF($U513="",DATE(1900,1,1),$N513)</f>
        <v/>
      </c>
      <c r="W513" s="35">
        <f>IF($U513="",DATE(2100,12,31),$U513)</f>
        <v/>
      </c>
      <c r="X513" s="32">
        <f>IF($U513="",$K513,$K513*$S513)</f>
        <v/>
      </c>
      <c r="Y513" s="35">
        <f>IF($U513="",DATE(2100,12,31),$U513+1)</f>
        <v/>
      </c>
      <c r="Z513" s="35">
        <f>IF($U513="",DATE(1900,1,1),$O513)</f>
        <v/>
      </c>
      <c r="AA513" s="32">
        <f>IF($U513="",0,$K513*$T513)</f>
        <v/>
      </c>
      <c r="AB513" s="21">
        <f>IF($C513="",0,IFERROR(INDEX(Deals!$AD$2:$AD$355,MATCH($C513,Deals!$A$2:$A$355,0)),0))</f>
        <v/>
      </c>
      <c r="AC513" s="32">
        <f>IF(Settings!$B$4="Yes",$I513*$AB513,$I513)</f>
        <v/>
      </c>
      <c r="AD513" s="22">
        <f>IF($C513="","",IFERROR(IF(INDEX(Deals!$AE$2:$AE$355,MATCH($C513,Deals!$A$2:$A$355,0))=0,"",INDEX(Deals!$AE$2:$AE$355,MATCH($C513,Deals!$A$2:$A$355,0))),""))</f>
        <v/>
      </c>
      <c r="AE513" s="22">
        <f>IF($C513="","",IFERROR(IF(INDEX(Deals!$AF$2:$AF$355,MATCH($C513,Deals!$A$2:$A$355,0))=0,"",INDEX(Deals!$AF$2:$AF$355,MATCH($C513,Deals!$A$2:$A$355,0))),""))</f>
        <v/>
      </c>
      <c r="AF513" s="35">
        <f>IF($AD513="",DATE(1900,1,1),$AD513)</f>
        <v/>
      </c>
      <c r="AG513" s="35">
        <f>IF($AE513="",DATE(2100,12,31),$AE513)</f>
        <v/>
      </c>
      <c r="AH513" s="22">
        <f>IF($C513="","",IFERROR(IF(INDEX(Deals!$AG$2:$AG$355,MATCH($C513,Deals!$A$2:$A$355,0))=0,"",INDEX(Deals!$AG$2:$AG$355,MATCH($C513,Deals!$A$2:$A$355,0))),""))</f>
        <v/>
      </c>
      <c r="AI513" s="35">
        <f>IF($AH513="",DATE(1900,1,1),$AF513)</f>
        <v/>
      </c>
      <c r="AJ513" s="35">
        <f>IF($AH513="",DATE(2100,12,31),$AH513)</f>
        <v/>
      </c>
      <c r="AK513" s="32">
        <f>IF($AH513="",$AC513,$AC513*$S513)</f>
        <v/>
      </c>
      <c r="AL513" s="35">
        <f>IF($AH513="",DATE(2100,12,31),$AH513+1)</f>
        <v/>
      </c>
      <c r="AM513" s="35">
        <f>IF($AH513="",DATE(1900,1,1),$AG513)</f>
        <v/>
      </c>
      <c r="AN513" s="32">
        <f>IF($AH513="",0,$AC513*$T513)</f>
        <v/>
      </c>
    </row>
    <row r="514">
      <c r="A514" s="28" t="inlineStr">
        <is>
          <t>Colleen</t>
        </is>
      </c>
      <c r="B514" s="16">
        <f>IF($A514="","",IFERROR(INDEX(Roster!$B$2:$B$40,MATCH($A514,Roster!$A$2:$A$40,0)),"?"))</f>
        <v/>
      </c>
      <c r="C514" s="28" t="inlineStr">
        <is>
          <t>Sunshine_4</t>
        </is>
      </c>
      <c r="D514" s="16">
        <f>IF($C514="","",IFERROR(IF(INDEX(Deals!$C$2:$C$355,MATCH($C514,Deals!$A$2:$A$355,0))=0,"",INDEX(Deals!$C$2:$C$355,MATCH($C514,Deals!$A$2:$A$355,0))),"?"))</f>
        <v/>
      </c>
      <c r="E514" s="16">
        <f>IF($C514="","",IFERROR(INDEX(Deals!$F$2:$F$355,MATCH($C514,Deals!$A$2:$A$355,0)),"?"))</f>
        <v/>
      </c>
      <c r="F514" s="28" t="inlineStr">
        <is>
          <t>Senior Associate</t>
        </is>
      </c>
      <c r="G514" s="28" t="inlineStr">
        <is>
          <t>Inactive</t>
        </is>
      </c>
      <c r="H514" s="31" t="n"/>
      <c r="I514" s="32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1">
        <f>IF($C514="",0,IFERROR(INDEX(Deals!$H$2:$H$355,MATCH($C514,Deals!$A$2:$A$355,0)),0))</f>
        <v/>
      </c>
      <c r="K514" s="32">
        <f>IF(Settings!$B$4="Yes",$I514*$J514,$I514)</f>
        <v/>
      </c>
      <c r="L514" s="22">
        <f>IF($C514="","",IFERROR(IF(INDEX(Deals!$I$2:$I$355,MATCH($C514,Deals!$A$2:$A$355,0))=0,"",INDEX(Deals!$I$2:$I$355,MATCH($C514,Deals!$A$2:$A$355,0))),""))</f>
        <v/>
      </c>
      <c r="M514" s="22">
        <f>IF($C514="","",IFERROR(IF(INDEX(Deals!$J$2:$J$355,MATCH($C514,Deals!$A$2:$A$355,0))=0,"",INDEX(Deals!$J$2:$J$355,MATCH($C514,Deals!$A$2:$A$355,0))),""))</f>
        <v/>
      </c>
      <c r="N514" s="35">
        <f>IF($L514="",DATE(1900,1,1),$L514)</f>
        <v/>
      </c>
      <c r="O514" s="35">
        <f>IF($M514="",DATE(2100,12,31),$M514)</f>
        <v/>
      </c>
      <c r="P514" s="20" t="inlineStr">
        <is>
          <t>Dead</t>
        </is>
      </c>
      <c r="Q514" s="43" t="inlineStr"/>
      <c r="R514" s="16">
        <f>IF($C514="","",IFERROR(IF(INDEX(Deals!$U$2:$U$355,MATCH($C514,Deals!$A$2:$A$355,0))=0,"",INDEX(Deals!$U$2:$U$355,MATCH($C514,Deals!$A$2:$A$355,0))),""))</f>
        <v/>
      </c>
      <c r="S514" s="34">
        <f>IFERROR(IF($U514="",1,INDEX(Deals!$V$2:$V$355,MATCH($C514,Deals!$A$2:$A$355,0))),1)</f>
        <v/>
      </c>
      <c r="T514" s="34">
        <f>IFERROR(IF($U514="",1,INDEX(Deals!$W$2:$W$355,MATCH($C514,Deals!$A$2:$A$355,0))),1)</f>
        <v/>
      </c>
      <c r="U514" s="22">
        <f>IF($C514="","",IFERROR(IF(INDEX(Deals!$Y$2:$Y$355,MATCH($C514,Deals!$A$2:$A$355,0))=0,"",INDEX(Deals!$Y$2:$Y$355,MATCH($C514,Deals!$A$2:$A$355,0))),""))</f>
        <v/>
      </c>
      <c r="V514" s="35">
        <f>IF($U514="",DATE(1900,1,1),$N514)</f>
        <v/>
      </c>
      <c r="W514" s="35">
        <f>IF($U514="",DATE(2100,12,31),$U514)</f>
        <v/>
      </c>
      <c r="X514" s="32">
        <f>IF($U514="",$K514,$K514*$S514)</f>
        <v/>
      </c>
      <c r="Y514" s="35">
        <f>IF($U514="",DATE(2100,12,31),$U514+1)</f>
        <v/>
      </c>
      <c r="Z514" s="35">
        <f>IF($U514="",DATE(1900,1,1),$O514)</f>
        <v/>
      </c>
      <c r="AA514" s="32">
        <f>IF($U514="",0,$K514*$T514)</f>
        <v/>
      </c>
      <c r="AB514" s="21">
        <f>IF($C514="",0,IFERROR(INDEX(Deals!$AD$2:$AD$355,MATCH($C514,Deals!$A$2:$A$355,0)),0))</f>
        <v/>
      </c>
      <c r="AC514" s="32">
        <f>IF(Settings!$B$4="Yes",$I514*$AB514,$I514)</f>
        <v/>
      </c>
      <c r="AD514" s="22">
        <f>IF($C514="","",IFERROR(IF(INDEX(Deals!$AE$2:$AE$355,MATCH($C514,Deals!$A$2:$A$355,0))=0,"",INDEX(Deals!$AE$2:$AE$355,MATCH($C514,Deals!$A$2:$A$355,0))),""))</f>
        <v/>
      </c>
      <c r="AE514" s="22">
        <f>IF($C514="","",IFERROR(IF(INDEX(Deals!$AF$2:$AF$355,MATCH($C514,Deals!$A$2:$A$355,0))=0,"",INDEX(Deals!$AF$2:$AF$355,MATCH($C514,Deals!$A$2:$A$355,0))),""))</f>
        <v/>
      </c>
      <c r="AF514" s="35">
        <f>IF($AD514="",DATE(1900,1,1),$AD514)</f>
        <v/>
      </c>
      <c r="AG514" s="35">
        <f>IF($AE514="",DATE(2100,12,31),$AE514)</f>
        <v/>
      </c>
      <c r="AH514" s="22">
        <f>IF($C514="","",IFERROR(IF(INDEX(Deals!$AG$2:$AG$355,MATCH($C514,Deals!$A$2:$A$355,0))=0,"",INDEX(Deals!$AG$2:$AG$355,MATCH($C514,Deals!$A$2:$A$355,0))),""))</f>
        <v/>
      </c>
      <c r="AI514" s="35">
        <f>IF($AH514="",DATE(1900,1,1),$AF514)</f>
        <v/>
      </c>
      <c r="AJ514" s="35">
        <f>IF($AH514="",DATE(2100,12,31),$AH514)</f>
        <v/>
      </c>
      <c r="AK514" s="32">
        <f>IF($AH514="",$AC514,$AC514*$S514)</f>
        <v/>
      </c>
      <c r="AL514" s="35">
        <f>IF($AH514="",DATE(2100,12,31),$AH514+1)</f>
        <v/>
      </c>
      <c r="AM514" s="35">
        <f>IF($AH514="",DATE(1900,1,1),$AG514)</f>
        <v/>
      </c>
      <c r="AN514" s="32">
        <f>IF($AH514="",0,$AC514*$T514)</f>
        <v/>
      </c>
    </row>
    <row r="515">
      <c r="A515" s="28" t="inlineStr">
        <is>
          <t>Colleen</t>
        </is>
      </c>
      <c r="B515" s="16">
        <f>IF($A515="","",IFERROR(INDEX(Roster!$B$2:$B$40,MATCH($A515,Roster!$A$2:$A$40,0)),"?"))</f>
        <v/>
      </c>
      <c r="C515" s="28" t="inlineStr">
        <is>
          <t>Takeover_1</t>
        </is>
      </c>
      <c r="D515" s="16">
        <f>IF($C515="","",IFERROR(IF(INDEX(Deals!$C$2:$C$355,MATCH($C515,Deals!$A$2:$A$355,0))=0,"",INDEX(Deals!$C$2:$C$355,MATCH($C515,Deals!$A$2:$A$355,0))),"?"))</f>
        <v/>
      </c>
      <c r="E515" s="16">
        <f>IF($C515="","",IFERROR(INDEX(Deals!$F$2:$F$355,MATCH($C515,Deals!$A$2:$A$355,0)),"?"))</f>
        <v/>
      </c>
      <c r="F515" s="28" t="inlineStr">
        <is>
          <t>Senior Associate</t>
        </is>
      </c>
      <c r="G515" s="28" t="inlineStr">
        <is>
          <t>Inactive</t>
        </is>
      </c>
      <c r="H515" s="31" t="n"/>
      <c r="I515" s="32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1">
        <f>IF($C515="",0,IFERROR(INDEX(Deals!$H$2:$H$355,MATCH($C515,Deals!$A$2:$A$355,0)),0))</f>
        <v/>
      </c>
      <c r="K515" s="32">
        <f>IF(Settings!$B$4="Yes",$I515*$J515,$I515)</f>
        <v/>
      </c>
      <c r="L515" s="22">
        <f>IF($C515="","",IFERROR(IF(INDEX(Deals!$I$2:$I$355,MATCH($C515,Deals!$A$2:$A$355,0))=0,"",INDEX(Deals!$I$2:$I$355,MATCH($C515,Deals!$A$2:$A$355,0))),""))</f>
        <v/>
      </c>
      <c r="M515" s="22">
        <f>IF($C515="","",IFERROR(IF(INDEX(Deals!$J$2:$J$355,MATCH($C515,Deals!$A$2:$A$355,0))=0,"",INDEX(Deals!$J$2:$J$355,MATCH($C515,Deals!$A$2:$A$355,0))),""))</f>
        <v/>
      </c>
      <c r="N515" s="35">
        <f>IF($L515="",DATE(1900,1,1),$L515)</f>
        <v/>
      </c>
      <c r="O515" s="35">
        <f>IF($M515="",DATE(2100,12,31),$M515)</f>
        <v/>
      </c>
      <c r="P515" s="20" t="inlineStr">
        <is>
          <t>Dead</t>
        </is>
      </c>
      <c r="Q515" s="43" t="inlineStr"/>
      <c r="R515" s="16">
        <f>IF($C515="","",IFERROR(IF(INDEX(Deals!$U$2:$U$355,MATCH($C515,Deals!$A$2:$A$355,0))=0,"",INDEX(Deals!$U$2:$U$355,MATCH($C515,Deals!$A$2:$A$355,0))),""))</f>
        <v/>
      </c>
      <c r="S515" s="34">
        <f>IFERROR(IF($U515="",1,INDEX(Deals!$V$2:$V$355,MATCH($C515,Deals!$A$2:$A$355,0))),1)</f>
        <v/>
      </c>
      <c r="T515" s="34">
        <f>IFERROR(IF($U515="",1,INDEX(Deals!$W$2:$W$355,MATCH($C515,Deals!$A$2:$A$355,0))),1)</f>
        <v/>
      </c>
      <c r="U515" s="22">
        <f>IF($C515="","",IFERROR(IF(INDEX(Deals!$Y$2:$Y$355,MATCH($C515,Deals!$A$2:$A$355,0))=0,"",INDEX(Deals!$Y$2:$Y$355,MATCH($C515,Deals!$A$2:$A$355,0))),""))</f>
        <v/>
      </c>
      <c r="V515" s="35">
        <f>IF($U515="",DATE(1900,1,1),$N515)</f>
        <v/>
      </c>
      <c r="W515" s="35">
        <f>IF($U515="",DATE(2100,12,31),$U515)</f>
        <v/>
      </c>
      <c r="X515" s="32">
        <f>IF($U515="",$K515,$K515*$S515)</f>
        <v/>
      </c>
      <c r="Y515" s="35">
        <f>IF($U515="",DATE(2100,12,31),$U515+1)</f>
        <v/>
      </c>
      <c r="Z515" s="35">
        <f>IF($U515="",DATE(1900,1,1),$O515)</f>
        <v/>
      </c>
      <c r="AA515" s="32">
        <f>IF($U515="",0,$K515*$T515)</f>
        <v/>
      </c>
      <c r="AB515" s="21">
        <f>IF($C515="",0,IFERROR(INDEX(Deals!$AD$2:$AD$355,MATCH($C515,Deals!$A$2:$A$355,0)),0))</f>
        <v/>
      </c>
      <c r="AC515" s="32">
        <f>IF(Settings!$B$4="Yes",$I515*$AB515,$I515)</f>
        <v/>
      </c>
      <c r="AD515" s="22">
        <f>IF($C515="","",IFERROR(IF(INDEX(Deals!$AE$2:$AE$355,MATCH($C515,Deals!$A$2:$A$355,0))=0,"",INDEX(Deals!$AE$2:$AE$355,MATCH($C515,Deals!$A$2:$A$355,0))),""))</f>
        <v/>
      </c>
      <c r="AE515" s="22">
        <f>IF($C515="","",IFERROR(IF(INDEX(Deals!$AF$2:$AF$355,MATCH($C515,Deals!$A$2:$A$355,0))=0,"",INDEX(Deals!$AF$2:$AF$355,MATCH($C515,Deals!$A$2:$A$355,0))),""))</f>
        <v/>
      </c>
      <c r="AF515" s="35">
        <f>IF($AD515="",DATE(1900,1,1),$AD515)</f>
        <v/>
      </c>
      <c r="AG515" s="35">
        <f>IF($AE515="",DATE(2100,12,31),$AE515)</f>
        <v/>
      </c>
      <c r="AH515" s="22">
        <f>IF($C515="","",IFERROR(IF(INDEX(Deals!$AG$2:$AG$355,MATCH($C515,Deals!$A$2:$A$355,0))=0,"",INDEX(Deals!$AG$2:$AG$355,MATCH($C515,Deals!$A$2:$A$355,0))),""))</f>
        <v/>
      </c>
      <c r="AI515" s="35">
        <f>IF($AH515="",DATE(1900,1,1),$AF515)</f>
        <v/>
      </c>
      <c r="AJ515" s="35">
        <f>IF($AH515="",DATE(2100,12,31),$AH515)</f>
        <v/>
      </c>
      <c r="AK515" s="32">
        <f>IF($AH515="",$AC515,$AC515*$S515)</f>
        <v/>
      </c>
      <c r="AL515" s="35">
        <f>IF($AH515="",DATE(2100,12,31),$AH515+1)</f>
        <v/>
      </c>
      <c r="AM515" s="35">
        <f>IF($AH515="",DATE(1900,1,1),$AG515)</f>
        <v/>
      </c>
      <c r="AN515" s="32">
        <f>IF($AH515="",0,$AC515*$T515)</f>
        <v/>
      </c>
    </row>
    <row r="516">
      <c r="A516" s="28" t="inlineStr">
        <is>
          <t>Colleen</t>
        </is>
      </c>
      <c r="B516" s="16">
        <f>IF($A516="","",IFERROR(INDEX(Roster!$B$2:$B$40,MATCH($A516,Roster!$A$2:$A$40,0)),"?"))</f>
        <v/>
      </c>
      <c r="C516" s="28" t="inlineStr">
        <is>
          <t>Voyager_1</t>
        </is>
      </c>
      <c r="D516" s="16">
        <f>IF($C516="","",IFERROR(IF(INDEX(Deals!$C$2:$C$355,MATCH($C516,Deals!$A$2:$A$355,0))=0,"",INDEX(Deals!$C$2:$C$355,MATCH($C516,Deals!$A$2:$A$355,0))),"?"))</f>
        <v/>
      </c>
      <c r="E516" s="16">
        <f>IF($C516="","",IFERROR(INDEX(Deals!$F$2:$F$355,MATCH($C516,Deals!$A$2:$A$355,0)),"?"))</f>
        <v/>
      </c>
      <c r="F516" s="28" t="inlineStr">
        <is>
          <t>Senior Associate</t>
        </is>
      </c>
      <c r="G516" s="28" t="inlineStr">
        <is>
          <t>Active</t>
        </is>
      </c>
      <c r="H516" s="31" t="n"/>
      <c r="I516" s="32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1">
        <f>IF($C516="",0,IFERROR(INDEX(Deals!$H$2:$H$355,MATCH($C516,Deals!$A$2:$A$355,0)),0))</f>
        <v/>
      </c>
      <c r="K516" s="32">
        <f>IF(Settings!$B$4="Yes",$I516*$J516,$I516)</f>
        <v/>
      </c>
      <c r="L516" s="22">
        <f>IF($C516="","",IFERROR(IF(INDEX(Deals!$I$2:$I$355,MATCH($C516,Deals!$A$2:$A$355,0))=0,"",INDEX(Deals!$I$2:$I$355,MATCH($C516,Deals!$A$2:$A$355,0))),""))</f>
        <v/>
      </c>
      <c r="M516" s="22">
        <f>IF($C516="","",IFERROR(IF(INDEX(Deals!$J$2:$J$355,MATCH($C516,Deals!$A$2:$A$355,0))=0,"",INDEX(Deals!$J$2:$J$355,MATCH($C516,Deals!$A$2:$A$355,0))),""))</f>
        <v/>
      </c>
      <c r="N516" s="35">
        <f>IF($L516="",DATE(1900,1,1),$L516)</f>
        <v/>
      </c>
      <c r="O516" s="35">
        <f>IF($M516="",DATE(2100,12,31),$M516)</f>
        <v/>
      </c>
      <c r="P516" s="20" t="inlineStr">
        <is>
          <t>Ongoing</t>
        </is>
      </c>
      <c r="Q516" s="43" t="inlineStr"/>
      <c r="R516" s="16">
        <f>IF($C516="","",IFERROR(IF(INDEX(Deals!$U$2:$U$355,MATCH($C516,Deals!$A$2:$A$355,0))=0,"",INDEX(Deals!$U$2:$U$355,MATCH($C516,Deals!$A$2:$A$355,0))),""))</f>
        <v/>
      </c>
      <c r="S516" s="34">
        <f>IFERROR(IF($U516="",1,INDEX(Deals!$V$2:$V$355,MATCH($C516,Deals!$A$2:$A$355,0))),1)</f>
        <v/>
      </c>
      <c r="T516" s="34">
        <f>IFERROR(IF($U516="",1,INDEX(Deals!$W$2:$W$355,MATCH($C516,Deals!$A$2:$A$355,0))),1)</f>
        <v/>
      </c>
      <c r="U516" s="22">
        <f>IF($C516="","",IFERROR(IF(INDEX(Deals!$Y$2:$Y$355,MATCH($C516,Deals!$A$2:$A$355,0))=0,"",INDEX(Deals!$Y$2:$Y$355,MATCH($C516,Deals!$A$2:$A$355,0))),""))</f>
        <v/>
      </c>
      <c r="V516" s="35">
        <f>IF($U516="",DATE(1900,1,1),$N516)</f>
        <v/>
      </c>
      <c r="W516" s="35">
        <f>IF($U516="",DATE(2100,12,31),$U516)</f>
        <v/>
      </c>
      <c r="X516" s="32">
        <f>IF($U516="",$K516,$K516*$S516)</f>
        <v/>
      </c>
      <c r="Y516" s="35">
        <f>IF($U516="",DATE(2100,12,31),$U516+1)</f>
        <v/>
      </c>
      <c r="Z516" s="35">
        <f>IF($U516="",DATE(1900,1,1),$O516)</f>
        <v/>
      </c>
      <c r="AA516" s="32">
        <f>IF($U516="",0,$K516*$T516)</f>
        <v/>
      </c>
      <c r="AB516" s="21">
        <f>IF($C516="",0,IFERROR(INDEX(Deals!$AD$2:$AD$355,MATCH($C516,Deals!$A$2:$A$355,0)),0))</f>
        <v/>
      </c>
      <c r="AC516" s="32">
        <f>IF(Settings!$B$4="Yes",$I516*$AB516,$I516)</f>
        <v/>
      </c>
      <c r="AD516" s="22">
        <f>IF($C516="","",IFERROR(IF(INDEX(Deals!$AE$2:$AE$355,MATCH($C516,Deals!$A$2:$A$355,0))=0,"",INDEX(Deals!$AE$2:$AE$355,MATCH($C516,Deals!$A$2:$A$355,0))),""))</f>
        <v/>
      </c>
      <c r="AE516" s="22">
        <f>IF($C516="","",IFERROR(IF(INDEX(Deals!$AF$2:$AF$355,MATCH($C516,Deals!$A$2:$A$355,0))=0,"",INDEX(Deals!$AF$2:$AF$355,MATCH($C516,Deals!$A$2:$A$355,0))),""))</f>
        <v/>
      </c>
      <c r="AF516" s="35">
        <f>IF($AD516="",DATE(1900,1,1),$AD516)</f>
        <v/>
      </c>
      <c r="AG516" s="35">
        <f>IF($AE516="",DATE(2100,12,31),$AE516)</f>
        <v/>
      </c>
      <c r="AH516" s="22">
        <f>IF($C516="","",IFERROR(IF(INDEX(Deals!$AG$2:$AG$355,MATCH($C516,Deals!$A$2:$A$355,0))=0,"",INDEX(Deals!$AG$2:$AG$355,MATCH($C516,Deals!$A$2:$A$355,0))),""))</f>
        <v/>
      </c>
      <c r="AI516" s="35">
        <f>IF($AH516="",DATE(1900,1,1),$AF516)</f>
        <v/>
      </c>
      <c r="AJ516" s="35">
        <f>IF($AH516="",DATE(2100,12,31),$AH516)</f>
        <v/>
      </c>
      <c r="AK516" s="32">
        <f>IF($AH516="",$AC516,$AC516*$S516)</f>
        <v/>
      </c>
      <c r="AL516" s="35">
        <f>IF($AH516="",DATE(2100,12,31),$AH516+1)</f>
        <v/>
      </c>
      <c r="AM516" s="35">
        <f>IF($AH516="",DATE(1900,1,1),$AG516)</f>
        <v/>
      </c>
      <c r="AN516" s="32">
        <f>IF($AH516="",0,$AC516*$T516)</f>
        <v/>
      </c>
    </row>
    <row r="517">
      <c r="A517" s="28" t="inlineStr">
        <is>
          <t>Colleen</t>
        </is>
      </c>
      <c r="B517" s="16">
        <f>IF($A517="","",IFERROR(INDEX(Roster!$B$2:$B$40,MATCH($A517,Roster!$A$2:$A$40,0)),"?"))</f>
        <v/>
      </c>
      <c r="C517" s="28" t="inlineStr">
        <is>
          <t>Wheelhouse_2</t>
        </is>
      </c>
      <c r="D517" s="16">
        <f>IF($C517="","",IFERROR(IF(INDEX(Deals!$C$2:$C$355,MATCH($C517,Deals!$A$2:$A$355,0))=0,"",INDEX(Deals!$C$2:$C$355,MATCH($C517,Deals!$A$2:$A$355,0))),"?"))</f>
        <v/>
      </c>
      <c r="E517" s="16">
        <f>IF($C517="","",IFERROR(INDEX(Deals!$F$2:$F$355,MATCH($C517,Deals!$A$2:$A$355,0)),"?"))</f>
        <v/>
      </c>
      <c r="F517" s="28" t="inlineStr">
        <is>
          <t>Senior Associate</t>
        </is>
      </c>
      <c r="G517" s="28" t="inlineStr">
        <is>
          <t>Inactive</t>
        </is>
      </c>
      <c r="H517" s="31" t="n"/>
      <c r="I517" s="32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1">
        <f>IF($C517="",0,IFERROR(INDEX(Deals!$H$2:$H$355,MATCH($C517,Deals!$A$2:$A$355,0)),0))</f>
        <v/>
      </c>
      <c r="K517" s="32">
        <f>IF(Settings!$B$4="Yes",$I517*$J517,$I517)</f>
        <v/>
      </c>
      <c r="L517" s="22">
        <f>IF($C517="","",IFERROR(IF(INDEX(Deals!$I$2:$I$355,MATCH($C517,Deals!$A$2:$A$355,0))=0,"",INDEX(Deals!$I$2:$I$355,MATCH($C517,Deals!$A$2:$A$355,0))),""))</f>
        <v/>
      </c>
      <c r="M517" s="22">
        <f>IF($C517="","",IFERROR(IF(INDEX(Deals!$J$2:$J$355,MATCH($C517,Deals!$A$2:$A$355,0))=0,"",INDEX(Deals!$J$2:$J$355,MATCH($C517,Deals!$A$2:$A$355,0))),""))</f>
        <v/>
      </c>
      <c r="N517" s="35">
        <f>IF($L517="",DATE(1900,1,1),$L517)</f>
        <v/>
      </c>
      <c r="O517" s="35">
        <f>IF($M517="",DATE(2100,12,31),$M517)</f>
        <v/>
      </c>
      <c r="P517" s="20" t="inlineStr">
        <is>
          <t>Closed</t>
        </is>
      </c>
      <c r="Q517" s="43" t="inlineStr"/>
      <c r="R517" s="16">
        <f>IF($C517="","",IFERROR(IF(INDEX(Deals!$U$2:$U$355,MATCH($C517,Deals!$A$2:$A$355,0))=0,"",INDEX(Deals!$U$2:$U$355,MATCH($C517,Deals!$A$2:$A$355,0))),""))</f>
        <v/>
      </c>
      <c r="S517" s="34">
        <f>IFERROR(IF($U517="",1,INDEX(Deals!$V$2:$V$355,MATCH($C517,Deals!$A$2:$A$355,0))),1)</f>
        <v/>
      </c>
      <c r="T517" s="34">
        <f>IFERROR(IF($U517="",1,INDEX(Deals!$W$2:$W$355,MATCH($C517,Deals!$A$2:$A$355,0))),1)</f>
        <v/>
      </c>
      <c r="U517" s="22">
        <f>IF($C517="","",IFERROR(IF(INDEX(Deals!$Y$2:$Y$355,MATCH($C517,Deals!$A$2:$A$355,0))=0,"",INDEX(Deals!$Y$2:$Y$355,MATCH($C517,Deals!$A$2:$A$355,0))),""))</f>
        <v/>
      </c>
      <c r="V517" s="35">
        <f>IF($U517="",DATE(1900,1,1),$N517)</f>
        <v/>
      </c>
      <c r="W517" s="35">
        <f>IF($U517="",DATE(2100,12,31),$U517)</f>
        <v/>
      </c>
      <c r="X517" s="32">
        <f>IF($U517="",$K517,$K517*$S517)</f>
        <v/>
      </c>
      <c r="Y517" s="35">
        <f>IF($U517="",DATE(2100,12,31),$U517+1)</f>
        <v/>
      </c>
      <c r="Z517" s="35">
        <f>IF($U517="",DATE(1900,1,1),$O517)</f>
        <v/>
      </c>
      <c r="AA517" s="32">
        <f>IF($U517="",0,$K517*$T517)</f>
        <v/>
      </c>
      <c r="AB517" s="21">
        <f>IF($C517="",0,IFERROR(INDEX(Deals!$AD$2:$AD$355,MATCH($C517,Deals!$A$2:$A$355,0)),0))</f>
        <v/>
      </c>
      <c r="AC517" s="32">
        <f>IF(Settings!$B$4="Yes",$I517*$AB517,$I517)</f>
        <v/>
      </c>
      <c r="AD517" s="22">
        <f>IF($C517="","",IFERROR(IF(INDEX(Deals!$AE$2:$AE$355,MATCH($C517,Deals!$A$2:$A$355,0))=0,"",INDEX(Deals!$AE$2:$AE$355,MATCH($C517,Deals!$A$2:$A$355,0))),""))</f>
        <v/>
      </c>
      <c r="AE517" s="22">
        <f>IF($C517="","",IFERROR(IF(INDEX(Deals!$AF$2:$AF$355,MATCH($C517,Deals!$A$2:$A$355,0))=0,"",INDEX(Deals!$AF$2:$AF$355,MATCH($C517,Deals!$A$2:$A$355,0))),""))</f>
        <v/>
      </c>
      <c r="AF517" s="35">
        <f>IF($AD517="",DATE(1900,1,1),$AD517)</f>
        <v/>
      </c>
      <c r="AG517" s="35">
        <f>IF($AE517="",DATE(2100,12,31),$AE517)</f>
        <v/>
      </c>
      <c r="AH517" s="22">
        <f>IF($C517="","",IFERROR(IF(INDEX(Deals!$AG$2:$AG$355,MATCH($C517,Deals!$A$2:$A$355,0))=0,"",INDEX(Deals!$AG$2:$AG$355,MATCH($C517,Deals!$A$2:$A$355,0))),""))</f>
        <v/>
      </c>
      <c r="AI517" s="35">
        <f>IF($AH517="",DATE(1900,1,1),$AF517)</f>
        <v/>
      </c>
      <c r="AJ517" s="35">
        <f>IF($AH517="",DATE(2100,12,31),$AH517)</f>
        <v/>
      </c>
      <c r="AK517" s="32">
        <f>IF($AH517="",$AC517,$AC517*$S517)</f>
        <v/>
      </c>
      <c r="AL517" s="35">
        <f>IF($AH517="",DATE(2100,12,31),$AH517+1)</f>
        <v/>
      </c>
      <c r="AM517" s="35">
        <f>IF($AH517="",DATE(1900,1,1),$AG517)</f>
        <v/>
      </c>
      <c r="AN517" s="32">
        <f>IF($AH517="",0,$AC517*$T517)</f>
        <v/>
      </c>
    </row>
    <row r="518">
      <c r="A518" s="28" t="inlineStr">
        <is>
          <t>Colleen</t>
        </is>
      </c>
      <c r="B518" s="16">
        <f>IF($A518="","",IFERROR(INDEX(Roster!$B$2:$B$40,MATCH($A518,Roster!$A$2:$A$40,0)),"?"))</f>
        <v/>
      </c>
      <c r="C518" s="28" t="inlineStr">
        <is>
          <t>Zora_1</t>
        </is>
      </c>
      <c r="D518" s="16">
        <f>IF($C518="","",IFERROR(IF(INDEX(Deals!$C$2:$C$355,MATCH($C518,Deals!$A$2:$A$355,0))=0,"",INDEX(Deals!$C$2:$C$355,MATCH($C518,Deals!$A$2:$A$355,0))),"?"))</f>
        <v/>
      </c>
      <c r="E518" s="16">
        <f>IF($C518="","",IFERROR(INDEX(Deals!$F$2:$F$355,MATCH($C518,Deals!$A$2:$A$355,0)),"?"))</f>
        <v/>
      </c>
      <c r="F518" s="28" t="inlineStr">
        <is>
          <t>Senior Associate</t>
        </is>
      </c>
      <c r="G518" s="28" t="inlineStr">
        <is>
          <t>Inactive</t>
        </is>
      </c>
      <c r="H518" s="31" t="n"/>
      <c r="I518" s="32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1">
        <f>IF($C518="",0,IFERROR(INDEX(Deals!$H$2:$H$355,MATCH($C518,Deals!$A$2:$A$355,0)),0))</f>
        <v/>
      </c>
      <c r="K518" s="32">
        <f>IF(Settings!$B$4="Yes",$I518*$J518,$I518)</f>
        <v/>
      </c>
      <c r="L518" s="22">
        <f>IF($C518="","",IFERROR(IF(INDEX(Deals!$I$2:$I$355,MATCH($C518,Deals!$A$2:$A$355,0))=0,"",INDEX(Deals!$I$2:$I$355,MATCH($C518,Deals!$A$2:$A$355,0))),""))</f>
        <v/>
      </c>
      <c r="M518" s="22">
        <f>IF($C518="","",IFERROR(IF(INDEX(Deals!$J$2:$J$355,MATCH($C518,Deals!$A$2:$A$355,0))=0,"",INDEX(Deals!$J$2:$J$355,MATCH($C518,Deals!$A$2:$A$355,0))),""))</f>
        <v/>
      </c>
      <c r="N518" s="35">
        <f>IF($L518="",DATE(1900,1,1),$L518)</f>
        <v/>
      </c>
      <c r="O518" s="35">
        <f>IF($M518="",DATE(2100,12,31),$M518)</f>
        <v/>
      </c>
      <c r="P518" s="20" t="inlineStr">
        <is>
          <t>Closed</t>
        </is>
      </c>
      <c r="Q518" s="43" t="inlineStr"/>
      <c r="R518" s="16">
        <f>IF($C518="","",IFERROR(IF(INDEX(Deals!$U$2:$U$355,MATCH($C518,Deals!$A$2:$A$355,0))=0,"",INDEX(Deals!$U$2:$U$355,MATCH($C518,Deals!$A$2:$A$355,0))),""))</f>
        <v/>
      </c>
      <c r="S518" s="34">
        <f>IFERROR(IF($U518="",1,INDEX(Deals!$V$2:$V$355,MATCH($C518,Deals!$A$2:$A$355,0))),1)</f>
        <v/>
      </c>
      <c r="T518" s="34">
        <f>IFERROR(IF($U518="",1,INDEX(Deals!$W$2:$W$355,MATCH($C518,Deals!$A$2:$A$355,0))),1)</f>
        <v/>
      </c>
      <c r="U518" s="22">
        <f>IF($C518="","",IFERROR(IF(INDEX(Deals!$Y$2:$Y$355,MATCH($C518,Deals!$A$2:$A$355,0))=0,"",INDEX(Deals!$Y$2:$Y$355,MATCH($C518,Deals!$A$2:$A$355,0))),""))</f>
        <v/>
      </c>
      <c r="V518" s="35">
        <f>IF($U518="",DATE(1900,1,1),$N518)</f>
        <v/>
      </c>
      <c r="W518" s="35">
        <f>IF($U518="",DATE(2100,12,31),$U518)</f>
        <v/>
      </c>
      <c r="X518" s="32">
        <f>IF($U518="",$K518,$K518*$S518)</f>
        <v/>
      </c>
      <c r="Y518" s="35">
        <f>IF($U518="",DATE(2100,12,31),$U518+1)</f>
        <v/>
      </c>
      <c r="Z518" s="35">
        <f>IF($U518="",DATE(1900,1,1),$O518)</f>
        <v/>
      </c>
      <c r="AA518" s="32">
        <f>IF($U518="",0,$K518*$T518)</f>
        <v/>
      </c>
      <c r="AB518" s="21">
        <f>IF($C518="",0,IFERROR(INDEX(Deals!$AD$2:$AD$355,MATCH($C518,Deals!$A$2:$A$355,0)),0))</f>
        <v/>
      </c>
      <c r="AC518" s="32">
        <f>IF(Settings!$B$4="Yes",$I518*$AB518,$I518)</f>
        <v/>
      </c>
      <c r="AD518" s="22">
        <f>IF($C518="","",IFERROR(IF(INDEX(Deals!$AE$2:$AE$355,MATCH($C518,Deals!$A$2:$A$355,0))=0,"",INDEX(Deals!$AE$2:$AE$355,MATCH($C518,Deals!$A$2:$A$355,0))),""))</f>
        <v/>
      </c>
      <c r="AE518" s="22">
        <f>IF($C518="","",IFERROR(IF(INDEX(Deals!$AF$2:$AF$355,MATCH($C518,Deals!$A$2:$A$355,0))=0,"",INDEX(Deals!$AF$2:$AF$355,MATCH($C518,Deals!$A$2:$A$355,0))),""))</f>
        <v/>
      </c>
      <c r="AF518" s="35">
        <f>IF($AD518="",DATE(1900,1,1),$AD518)</f>
        <v/>
      </c>
      <c r="AG518" s="35">
        <f>IF($AE518="",DATE(2100,12,31),$AE518)</f>
        <v/>
      </c>
      <c r="AH518" s="22">
        <f>IF($C518="","",IFERROR(IF(INDEX(Deals!$AG$2:$AG$355,MATCH($C518,Deals!$A$2:$A$355,0))=0,"",INDEX(Deals!$AG$2:$AG$355,MATCH($C518,Deals!$A$2:$A$355,0))),""))</f>
        <v/>
      </c>
      <c r="AI518" s="35">
        <f>IF($AH518="",DATE(1900,1,1),$AF518)</f>
        <v/>
      </c>
      <c r="AJ518" s="35">
        <f>IF($AH518="",DATE(2100,12,31),$AH518)</f>
        <v/>
      </c>
      <c r="AK518" s="32">
        <f>IF($AH518="",$AC518,$AC518*$S518)</f>
        <v/>
      </c>
      <c r="AL518" s="35">
        <f>IF($AH518="",DATE(2100,12,31),$AH518+1)</f>
        <v/>
      </c>
      <c r="AM518" s="35">
        <f>IF($AH518="",DATE(1900,1,1),$AG518)</f>
        <v/>
      </c>
      <c r="AN518" s="32">
        <f>IF($AH518="",0,$AC518*$T518)</f>
        <v/>
      </c>
    </row>
    <row r="519">
      <c r="A519" s="28" t="inlineStr">
        <is>
          <t>Jennifer Wu</t>
        </is>
      </c>
      <c r="B519" s="16">
        <f>IF($A519="","",IFERROR(INDEX(Roster!$B$2:$B$40,MATCH($A519,Roster!$A$2:$A$40,0)),"?"))</f>
        <v/>
      </c>
      <c r="C519" s="28" t="inlineStr">
        <is>
          <t>360_2</t>
        </is>
      </c>
      <c r="D519" s="16">
        <f>IF($C519="","",IFERROR(IF(INDEX(Deals!$C$2:$C$355,MATCH($C519,Deals!$A$2:$A$355,0))=0,"",INDEX(Deals!$C$2:$C$355,MATCH($C519,Deals!$A$2:$A$355,0))),"?"))</f>
        <v/>
      </c>
      <c r="E519" s="16">
        <f>IF($C519="","",IFERROR(INDEX(Deals!$F$2:$F$355,MATCH($C519,Deals!$A$2:$A$355,0)),"?"))</f>
        <v/>
      </c>
      <c r="F519" s="28" t="inlineStr">
        <is>
          <t>Senior Associate</t>
        </is>
      </c>
      <c r="G519" s="28" t="inlineStr">
        <is>
          <t>Active</t>
        </is>
      </c>
      <c r="H519" s="31" t="n"/>
      <c r="I519" s="32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1">
        <f>IF($C519="",0,IFERROR(INDEX(Deals!$H$2:$H$355,MATCH($C519,Deals!$A$2:$A$355,0)),0))</f>
        <v/>
      </c>
      <c r="K519" s="32">
        <f>IF(Settings!$B$4="Yes",$I519*$J519,$I519)</f>
        <v/>
      </c>
      <c r="L519" s="22">
        <f>IF($C519="","",IFERROR(IF(INDEX(Deals!$I$2:$I$355,MATCH($C519,Deals!$A$2:$A$355,0))=0,"",INDEX(Deals!$I$2:$I$355,MATCH($C519,Deals!$A$2:$A$355,0))),""))</f>
        <v/>
      </c>
      <c r="M519" s="22">
        <f>IF($C519="","",IFERROR(IF(INDEX(Deals!$J$2:$J$355,MATCH($C519,Deals!$A$2:$A$355,0))=0,"",INDEX(Deals!$J$2:$J$355,MATCH($C519,Deals!$A$2:$A$355,0))),""))</f>
        <v/>
      </c>
      <c r="N519" s="35">
        <f>IF($L519="",DATE(1900,1,1),$L519)</f>
        <v/>
      </c>
      <c r="O519" s="35">
        <f>IF($M519="",DATE(2100,12,31),$M519)</f>
        <v/>
      </c>
      <c r="P519" s="20" t="inlineStr"/>
      <c r="Q519" s="43" t="inlineStr"/>
      <c r="R519" s="16">
        <f>IF($C519="","",IFERROR(IF(INDEX(Deals!$U$2:$U$355,MATCH($C519,Deals!$A$2:$A$355,0))=0,"",INDEX(Deals!$U$2:$U$355,MATCH($C519,Deals!$A$2:$A$355,0))),""))</f>
        <v/>
      </c>
      <c r="S519" s="34">
        <f>IFERROR(IF($U519="",1,INDEX(Deals!$V$2:$V$355,MATCH($C519,Deals!$A$2:$A$355,0))),1)</f>
        <v/>
      </c>
      <c r="T519" s="34">
        <f>IFERROR(IF($U519="",1,INDEX(Deals!$W$2:$W$355,MATCH($C519,Deals!$A$2:$A$355,0))),1)</f>
        <v/>
      </c>
      <c r="U519" s="22">
        <f>IF($C519="","",IFERROR(IF(INDEX(Deals!$Y$2:$Y$355,MATCH($C519,Deals!$A$2:$A$355,0))=0,"",INDEX(Deals!$Y$2:$Y$355,MATCH($C519,Deals!$A$2:$A$355,0))),""))</f>
        <v/>
      </c>
      <c r="V519" s="35">
        <f>IF($U519="",DATE(1900,1,1),$N519)</f>
        <v/>
      </c>
      <c r="W519" s="35">
        <f>IF($U519="",DATE(2100,12,31),$U519)</f>
        <v/>
      </c>
      <c r="X519" s="32">
        <f>IF($U519="",$K519,$K519*$S519)</f>
        <v/>
      </c>
      <c r="Y519" s="35">
        <f>IF($U519="",DATE(2100,12,31),$U519+1)</f>
        <v/>
      </c>
      <c r="Z519" s="35">
        <f>IF($U519="",DATE(1900,1,1),$O519)</f>
        <v/>
      </c>
      <c r="AA519" s="32">
        <f>IF($U519="",0,$K519*$T519)</f>
        <v/>
      </c>
      <c r="AB519" s="21">
        <f>IF($C519="",0,IFERROR(INDEX(Deals!$AD$2:$AD$355,MATCH($C519,Deals!$A$2:$A$355,0)),0))</f>
        <v/>
      </c>
      <c r="AC519" s="32">
        <f>IF(Settings!$B$4="Yes",$I519*$AB519,$I519)</f>
        <v/>
      </c>
      <c r="AD519" s="22">
        <f>IF($C519="","",IFERROR(IF(INDEX(Deals!$AE$2:$AE$355,MATCH($C519,Deals!$A$2:$A$355,0))=0,"",INDEX(Deals!$AE$2:$AE$355,MATCH($C519,Deals!$A$2:$A$355,0))),""))</f>
        <v/>
      </c>
      <c r="AE519" s="22">
        <f>IF($C519="","",IFERROR(IF(INDEX(Deals!$AF$2:$AF$355,MATCH($C519,Deals!$A$2:$A$355,0))=0,"",INDEX(Deals!$AF$2:$AF$355,MATCH($C519,Deals!$A$2:$A$355,0))),""))</f>
        <v/>
      </c>
      <c r="AF519" s="35">
        <f>IF($AD519="",DATE(1900,1,1),$AD519)</f>
        <v/>
      </c>
      <c r="AG519" s="35">
        <f>IF($AE519="",DATE(2100,12,31),$AE519)</f>
        <v/>
      </c>
      <c r="AH519" s="22">
        <f>IF($C519="","",IFERROR(IF(INDEX(Deals!$AG$2:$AG$355,MATCH($C519,Deals!$A$2:$A$355,0))=0,"",INDEX(Deals!$AG$2:$AG$355,MATCH($C519,Deals!$A$2:$A$355,0))),""))</f>
        <v/>
      </c>
      <c r="AI519" s="35">
        <f>IF($AH519="",DATE(1900,1,1),$AF519)</f>
        <v/>
      </c>
      <c r="AJ519" s="35">
        <f>IF($AH519="",DATE(2100,12,31),$AH519)</f>
        <v/>
      </c>
      <c r="AK519" s="32">
        <f>IF($AH519="",$AC519,$AC519*$S519)</f>
        <v/>
      </c>
      <c r="AL519" s="35">
        <f>IF($AH519="",DATE(2100,12,31),$AH519+1)</f>
        <v/>
      </c>
      <c r="AM519" s="35">
        <f>IF($AH519="",DATE(1900,1,1),$AG519)</f>
        <v/>
      </c>
      <c r="AN519" s="32">
        <f>IF($AH519="",0,$AC519*$T519)</f>
        <v/>
      </c>
    </row>
    <row r="520">
      <c r="A520" s="28" t="inlineStr">
        <is>
          <t>Jennifer Wu</t>
        </is>
      </c>
      <c r="B520" s="16">
        <f>IF($A520="","",IFERROR(INDEX(Roster!$B$2:$B$40,MATCH($A520,Roster!$A$2:$A$40,0)),"?"))</f>
        <v/>
      </c>
      <c r="C520" s="28" t="inlineStr">
        <is>
          <t>Avengers</t>
        </is>
      </c>
      <c r="D520" s="16">
        <f>IF($C520="","",IFERROR(IF(INDEX(Deals!$C$2:$C$355,MATCH($C520,Deals!$A$2:$A$355,0))=0,"",INDEX(Deals!$C$2:$C$355,MATCH($C520,Deals!$A$2:$A$355,0))),"?"))</f>
        <v/>
      </c>
      <c r="E520" s="16">
        <f>IF($C520="","",IFERROR(INDEX(Deals!$F$2:$F$355,MATCH($C520,Deals!$A$2:$A$355,0)),"?"))</f>
        <v/>
      </c>
      <c r="F520" s="28" t="inlineStr">
        <is>
          <t>Senior Associate</t>
        </is>
      </c>
      <c r="G520" s="28" t="inlineStr">
        <is>
          <t>Active</t>
        </is>
      </c>
      <c r="H520" s="31" t="n"/>
      <c r="I520" s="32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1">
        <f>IF($C520="",0,IFERROR(INDEX(Deals!$H$2:$H$355,MATCH($C520,Deals!$A$2:$A$355,0)),0))</f>
        <v/>
      </c>
      <c r="K520" s="32">
        <f>IF(Settings!$B$4="Yes",$I520*$J520,$I520)</f>
        <v/>
      </c>
      <c r="L520" s="22">
        <f>IF($C520="","",IFERROR(IF(INDEX(Deals!$I$2:$I$355,MATCH($C520,Deals!$A$2:$A$355,0))=0,"",INDEX(Deals!$I$2:$I$355,MATCH($C520,Deals!$A$2:$A$355,0))),""))</f>
        <v/>
      </c>
      <c r="M520" s="22">
        <f>IF($C520="","",IFERROR(IF(INDEX(Deals!$J$2:$J$355,MATCH($C520,Deals!$A$2:$A$355,0))=0,"",INDEX(Deals!$J$2:$J$355,MATCH($C520,Deals!$A$2:$A$355,0))),""))</f>
        <v/>
      </c>
      <c r="N520" s="35">
        <f>IF($L520="",DATE(1900,1,1),$L520)</f>
        <v/>
      </c>
      <c r="O520" s="35">
        <f>IF($M520="",DATE(2100,12,31),$M520)</f>
        <v/>
      </c>
      <c r="P520" s="20" t="inlineStr"/>
      <c r="Q520" s="43" t="inlineStr"/>
      <c r="R520" s="16">
        <f>IF($C520="","",IFERROR(IF(INDEX(Deals!$U$2:$U$355,MATCH($C520,Deals!$A$2:$A$355,0))=0,"",INDEX(Deals!$U$2:$U$355,MATCH($C520,Deals!$A$2:$A$355,0))),""))</f>
        <v/>
      </c>
      <c r="S520" s="34">
        <f>IFERROR(IF($U520="",1,INDEX(Deals!$V$2:$V$355,MATCH($C520,Deals!$A$2:$A$355,0))),1)</f>
        <v/>
      </c>
      <c r="T520" s="34">
        <f>IFERROR(IF($U520="",1,INDEX(Deals!$W$2:$W$355,MATCH($C520,Deals!$A$2:$A$355,0))),1)</f>
        <v/>
      </c>
      <c r="U520" s="22">
        <f>IF($C520="","",IFERROR(IF(INDEX(Deals!$Y$2:$Y$355,MATCH($C520,Deals!$A$2:$A$355,0))=0,"",INDEX(Deals!$Y$2:$Y$355,MATCH($C520,Deals!$A$2:$A$355,0))),""))</f>
        <v/>
      </c>
      <c r="V520" s="35">
        <f>IF($U520="",DATE(1900,1,1),$N520)</f>
        <v/>
      </c>
      <c r="W520" s="35">
        <f>IF($U520="",DATE(2100,12,31),$U520)</f>
        <v/>
      </c>
      <c r="X520" s="32">
        <f>IF($U520="",$K520,$K520*$S520)</f>
        <v/>
      </c>
      <c r="Y520" s="35">
        <f>IF($U520="",DATE(2100,12,31),$U520+1)</f>
        <v/>
      </c>
      <c r="Z520" s="35">
        <f>IF($U520="",DATE(1900,1,1),$O520)</f>
        <v/>
      </c>
      <c r="AA520" s="32">
        <f>IF($U520="",0,$K520*$T520)</f>
        <v/>
      </c>
      <c r="AB520" s="21">
        <f>IF($C520="",0,IFERROR(INDEX(Deals!$AD$2:$AD$355,MATCH($C520,Deals!$A$2:$A$355,0)),0))</f>
        <v/>
      </c>
      <c r="AC520" s="32">
        <f>IF(Settings!$B$4="Yes",$I520*$AB520,$I520)</f>
        <v/>
      </c>
      <c r="AD520" s="22">
        <f>IF($C520="","",IFERROR(IF(INDEX(Deals!$AE$2:$AE$355,MATCH($C520,Deals!$A$2:$A$355,0))=0,"",INDEX(Deals!$AE$2:$AE$355,MATCH($C520,Deals!$A$2:$A$355,0))),""))</f>
        <v/>
      </c>
      <c r="AE520" s="22">
        <f>IF($C520="","",IFERROR(IF(INDEX(Deals!$AF$2:$AF$355,MATCH($C520,Deals!$A$2:$A$355,0))=0,"",INDEX(Deals!$AF$2:$AF$355,MATCH($C520,Deals!$A$2:$A$355,0))),""))</f>
        <v/>
      </c>
      <c r="AF520" s="35">
        <f>IF($AD520="",DATE(1900,1,1),$AD520)</f>
        <v/>
      </c>
      <c r="AG520" s="35">
        <f>IF($AE520="",DATE(2100,12,31),$AE520)</f>
        <v/>
      </c>
      <c r="AH520" s="22">
        <f>IF($C520="","",IFERROR(IF(INDEX(Deals!$AG$2:$AG$355,MATCH($C520,Deals!$A$2:$A$355,0))=0,"",INDEX(Deals!$AG$2:$AG$355,MATCH($C520,Deals!$A$2:$A$355,0))),""))</f>
        <v/>
      </c>
      <c r="AI520" s="35">
        <f>IF($AH520="",DATE(1900,1,1),$AF520)</f>
        <v/>
      </c>
      <c r="AJ520" s="35">
        <f>IF($AH520="",DATE(2100,12,31),$AH520)</f>
        <v/>
      </c>
      <c r="AK520" s="32">
        <f>IF($AH520="",$AC520,$AC520*$S520)</f>
        <v/>
      </c>
      <c r="AL520" s="35">
        <f>IF($AH520="",DATE(2100,12,31),$AH520+1)</f>
        <v/>
      </c>
      <c r="AM520" s="35">
        <f>IF($AH520="",DATE(1900,1,1),$AG520)</f>
        <v/>
      </c>
      <c r="AN520" s="32">
        <f>IF($AH520="",0,$AC520*$T520)</f>
        <v/>
      </c>
    </row>
    <row r="521">
      <c r="A521" s="28" t="inlineStr">
        <is>
          <t>Jennifer Wu</t>
        </is>
      </c>
      <c r="B521" s="16">
        <f>IF($A521="","",IFERROR(INDEX(Roster!$B$2:$B$40,MATCH($A521,Roster!$A$2:$A$40,0)),"?"))</f>
        <v/>
      </c>
      <c r="C521" s="28" t="inlineStr">
        <is>
          <t>B2V_1</t>
        </is>
      </c>
      <c r="D521" s="16">
        <f>IF($C521="","",IFERROR(IF(INDEX(Deals!$C$2:$C$355,MATCH($C521,Deals!$A$2:$A$355,0))=0,"",INDEX(Deals!$C$2:$C$355,MATCH($C521,Deals!$A$2:$A$355,0))),"?"))</f>
        <v/>
      </c>
      <c r="E521" s="16">
        <f>IF($C521="","",IFERROR(INDEX(Deals!$F$2:$F$355,MATCH($C521,Deals!$A$2:$A$355,0)),"?"))</f>
        <v/>
      </c>
      <c r="F521" s="28" t="inlineStr">
        <is>
          <t>Senior Associate</t>
        </is>
      </c>
      <c r="G521" s="28" t="inlineStr">
        <is>
          <t>Active</t>
        </is>
      </c>
      <c r="H521" s="31" t="n"/>
      <c r="I521" s="32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1">
        <f>IF($C521="",0,IFERROR(INDEX(Deals!$H$2:$H$355,MATCH($C521,Deals!$A$2:$A$355,0)),0))</f>
        <v/>
      </c>
      <c r="K521" s="32">
        <f>IF(Settings!$B$4="Yes",$I521*$J521,$I521)</f>
        <v/>
      </c>
      <c r="L521" s="22">
        <f>IF($C521="","",IFERROR(IF(INDEX(Deals!$I$2:$I$355,MATCH($C521,Deals!$A$2:$A$355,0))=0,"",INDEX(Deals!$I$2:$I$355,MATCH($C521,Deals!$A$2:$A$355,0))),""))</f>
        <v/>
      </c>
      <c r="M521" s="22">
        <f>IF($C521="","",IFERROR(IF(INDEX(Deals!$J$2:$J$355,MATCH($C521,Deals!$A$2:$A$355,0))=0,"",INDEX(Deals!$J$2:$J$355,MATCH($C521,Deals!$A$2:$A$355,0))),""))</f>
        <v/>
      </c>
      <c r="N521" s="35">
        <f>IF($L521="",DATE(1900,1,1),$L521)</f>
        <v/>
      </c>
      <c r="O521" s="35">
        <f>IF($M521="",DATE(2100,12,31),$M521)</f>
        <v/>
      </c>
      <c r="P521" s="20" t="inlineStr"/>
      <c r="Q521" s="43" t="inlineStr"/>
      <c r="R521" s="16">
        <f>IF($C521="","",IFERROR(IF(INDEX(Deals!$U$2:$U$355,MATCH($C521,Deals!$A$2:$A$355,0))=0,"",INDEX(Deals!$U$2:$U$355,MATCH($C521,Deals!$A$2:$A$355,0))),""))</f>
        <v/>
      </c>
      <c r="S521" s="34">
        <f>IFERROR(IF($U521="",1,INDEX(Deals!$V$2:$V$355,MATCH($C521,Deals!$A$2:$A$355,0))),1)</f>
        <v/>
      </c>
      <c r="T521" s="34">
        <f>IFERROR(IF($U521="",1,INDEX(Deals!$W$2:$W$355,MATCH($C521,Deals!$A$2:$A$355,0))),1)</f>
        <v/>
      </c>
      <c r="U521" s="22">
        <f>IF($C521="","",IFERROR(IF(INDEX(Deals!$Y$2:$Y$355,MATCH($C521,Deals!$A$2:$A$355,0))=0,"",INDEX(Deals!$Y$2:$Y$355,MATCH($C521,Deals!$A$2:$A$355,0))),""))</f>
        <v/>
      </c>
      <c r="V521" s="35">
        <f>IF($U521="",DATE(1900,1,1),$N521)</f>
        <v/>
      </c>
      <c r="W521" s="35">
        <f>IF($U521="",DATE(2100,12,31),$U521)</f>
        <v/>
      </c>
      <c r="X521" s="32">
        <f>IF($U521="",$K521,$K521*$S521)</f>
        <v/>
      </c>
      <c r="Y521" s="35">
        <f>IF($U521="",DATE(2100,12,31),$U521+1)</f>
        <v/>
      </c>
      <c r="Z521" s="35">
        <f>IF($U521="",DATE(1900,1,1),$O521)</f>
        <v/>
      </c>
      <c r="AA521" s="32">
        <f>IF($U521="",0,$K521*$T521)</f>
        <v/>
      </c>
      <c r="AB521" s="21">
        <f>IF($C521="",0,IFERROR(INDEX(Deals!$AD$2:$AD$355,MATCH($C521,Deals!$A$2:$A$355,0)),0))</f>
        <v/>
      </c>
      <c r="AC521" s="32">
        <f>IF(Settings!$B$4="Yes",$I521*$AB521,$I521)</f>
        <v/>
      </c>
      <c r="AD521" s="22">
        <f>IF($C521="","",IFERROR(IF(INDEX(Deals!$AE$2:$AE$355,MATCH($C521,Deals!$A$2:$A$355,0))=0,"",INDEX(Deals!$AE$2:$AE$355,MATCH($C521,Deals!$A$2:$A$355,0))),""))</f>
        <v/>
      </c>
      <c r="AE521" s="22">
        <f>IF($C521="","",IFERROR(IF(INDEX(Deals!$AF$2:$AF$355,MATCH($C521,Deals!$A$2:$A$355,0))=0,"",INDEX(Deals!$AF$2:$AF$355,MATCH($C521,Deals!$A$2:$A$355,0))),""))</f>
        <v/>
      </c>
      <c r="AF521" s="35">
        <f>IF($AD521="",DATE(1900,1,1),$AD521)</f>
        <v/>
      </c>
      <c r="AG521" s="35">
        <f>IF($AE521="",DATE(2100,12,31),$AE521)</f>
        <v/>
      </c>
      <c r="AH521" s="22">
        <f>IF($C521="","",IFERROR(IF(INDEX(Deals!$AG$2:$AG$355,MATCH($C521,Deals!$A$2:$A$355,0))=0,"",INDEX(Deals!$AG$2:$AG$355,MATCH($C521,Deals!$A$2:$A$355,0))),""))</f>
        <v/>
      </c>
      <c r="AI521" s="35">
        <f>IF($AH521="",DATE(1900,1,1),$AF521)</f>
        <v/>
      </c>
      <c r="AJ521" s="35">
        <f>IF($AH521="",DATE(2100,12,31),$AH521)</f>
        <v/>
      </c>
      <c r="AK521" s="32">
        <f>IF($AH521="",$AC521,$AC521*$S521)</f>
        <v/>
      </c>
      <c r="AL521" s="35">
        <f>IF($AH521="",DATE(2100,12,31),$AH521+1)</f>
        <v/>
      </c>
      <c r="AM521" s="35">
        <f>IF($AH521="",DATE(1900,1,1),$AG521)</f>
        <v/>
      </c>
      <c r="AN521" s="32">
        <f>IF($AH521="",0,$AC521*$T521)</f>
        <v/>
      </c>
    </row>
    <row r="522">
      <c r="A522" s="28" t="inlineStr">
        <is>
          <t>Jennifer Wu</t>
        </is>
      </c>
      <c r="B522" s="16">
        <f>IF($A522="","",IFERROR(INDEX(Roster!$B$2:$B$40,MATCH($A522,Roster!$A$2:$A$40,0)),"?"))</f>
        <v/>
      </c>
      <c r="C522" s="28" t="inlineStr">
        <is>
          <t>Bay_2</t>
        </is>
      </c>
      <c r="D522" s="16">
        <f>IF($C522="","",IFERROR(IF(INDEX(Deals!$C$2:$C$355,MATCH($C522,Deals!$A$2:$A$355,0))=0,"",INDEX(Deals!$C$2:$C$355,MATCH($C522,Deals!$A$2:$A$355,0))),"?"))</f>
        <v/>
      </c>
      <c r="E522" s="16">
        <f>IF($C522="","",IFERROR(INDEX(Deals!$F$2:$F$355,MATCH($C522,Deals!$A$2:$A$355,0)),"?"))</f>
        <v/>
      </c>
      <c r="F522" s="28" t="inlineStr">
        <is>
          <t>Senior Associate</t>
        </is>
      </c>
      <c r="G522" s="28" t="inlineStr">
        <is>
          <t>Active</t>
        </is>
      </c>
      <c r="H522" s="31" t="n"/>
      <c r="I522" s="32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1">
        <f>IF($C522="",0,IFERROR(INDEX(Deals!$H$2:$H$355,MATCH($C522,Deals!$A$2:$A$355,0)),0))</f>
        <v/>
      </c>
      <c r="K522" s="32">
        <f>IF(Settings!$B$4="Yes",$I522*$J522,$I522)</f>
        <v/>
      </c>
      <c r="L522" s="22">
        <f>IF($C522="","",IFERROR(IF(INDEX(Deals!$I$2:$I$355,MATCH($C522,Deals!$A$2:$A$355,0))=0,"",INDEX(Deals!$I$2:$I$355,MATCH($C522,Deals!$A$2:$A$355,0))),""))</f>
        <v/>
      </c>
      <c r="M522" s="22">
        <f>IF($C522="","",IFERROR(IF(INDEX(Deals!$J$2:$J$355,MATCH($C522,Deals!$A$2:$A$355,0))=0,"",INDEX(Deals!$J$2:$J$355,MATCH($C522,Deals!$A$2:$A$355,0))),""))</f>
        <v/>
      </c>
      <c r="N522" s="35">
        <f>IF($L522="",DATE(1900,1,1),$L522)</f>
        <v/>
      </c>
      <c r="O522" s="35">
        <f>IF($M522="",DATE(2100,12,31),$M522)</f>
        <v/>
      </c>
      <c r="P522" s="20" t="inlineStr"/>
      <c r="Q522" s="43" t="inlineStr"/>
      <c r="R522" s="16">
        <f>IF($C522="","",IFERROR(IF(INDEX(Deals!$U$2:$U$355,MATCH($C522,Deals!$A$2:$A$355,0))=0,"",INDEX(Deals!$U$2:$U$355,MATCH($C522,Deals!$A$2:$A$355,0))),""))</f>
        <v/>
      </c>
      <c r="S522" s="34">
        <f>IFERROR(IF($U522="",1,INDEX(Deals!$V$2:$V$355,MATCH($C522,Deals!$A$2:$A$355,0))),1)</f>
        <v/>
      </c>
      <c r="T522" s="34">
        <f>IFERROR(IF($U522="",1,INDEX(Deals!$W$2:$W$355,MATCH($C522,Deals!$A$2:$A$355,0))),1)</f>
        <v/>
      </c>
      <c r="U522" s="22">
        <f>IF($C522="","",IFERROR(IF(INDEX(Deals!$Y$2:$Y$355,MATCH($C522,Deals!$A$2:$A$355,0))=0,"",INDEX(Deals!$Y$2:$Y$355,MATCH($C522,Deals!$A$2:$A$355,0))),""))</f>
        <v/>
      </c>
      <c r="V522" s="35">
        <f>IF($U522="",DATE(1900,1,1),$N522)</f>
        <v/>
      </c>
      <c r="W522" s="35">
        <f>IF($U522="",DATE(2100,12,31),$U522)</f>
        <v/>
      </c>
      <c r="X522" s="32">
        <f>IF($U522="",$K522,$K522*$S522)</f>
        <v/>
      </c>
      <c r="Y522" s="35">
        <f>IF($U522="",DATE(2100,12,31),$U522+1)</f>
        <v/>
      </c>
      <c r="Z522" s="35">
        <f>IF($U522="",DATE(1900,1,1),$O522)</f>
        <v/>
      </c>
      <c r="AA522" s="32">
        <f>IF($U522="",0,$K522*$T522)</f>
        <v/>
      </c>
      <c r="AB522" s="21">
        <f>IF($C522="",0,IFERROR(INDEX(Deals!$AD$2:$AD$355,MATCH($C522,Deals!$A$2:$A$355,0)),0))</f>
        <v/>
      </c>
      <c r="AC522" s="32">
        <f>IF(Settings!$B$4="Yes",$I522*$AB522,$I522)</f>
        <v/>
      </c>
      <c r="AD522" s="22">
        <f>IF($C522="","",IFERROR(IF(INDEX(Deals!$AE$2:$AE$355,MATCH($C522,Deals!$A$2:$A$355,0))=0,"",INDEX(Deals!$AE$2:$AE$355,MATCH($C522,Deals!$A$2:$A$355,0))),""))</f>
        <v/>
      </c>
      <c r="AE522" s="22">
        <f>IF($C522="","",IFERROR(IF(INDEX(Deals!$AF$2:$AF$355,MATCH($C522,Deals!$A$2:$A$355,0))=0,"",INDEX(Deals!$AF$2:$AF$355,MATCH($C522,Deals!$A$2:$A$355,0))),""))</f>
        <v/>
      </c>
      <c r="AF522" s="35">
        <f>IF($AD522="",DATE(1900,1,1),$AD522)</f>
        <v/>
      </c>
      <c r="AG522" s="35">
        <f>IF($AE522="",DATE(2100,12,31),$AE522)</f>
        <v/>
      </c>
      <c r="AH522" s="22">
        <f>IF($C522="","",IFERROR(IF(INDEX(Deals!$AG$2:$AG$355,MATCH($C522,Deals!$A$2:$A$355,0))=0,"",INDEX(Deals!$AG$2:$AG$355,MATCH($C522,Deals!$A$2:$A$355,0))),""))</f>
        <v/>
      </c>
      <c r="AI522" s="35">
        <f>IF($AH522="",DATE(1900,1,1),$AF522)</f>
        <v/>
      </c>
      <c r="AJ522" s="35">
        <f>IF($AH522="",DATE(2100,12,31),$AH522)</f>
        <v/>
      </c>
      <c r="AK522" s="32">
        <f>IF($AH522="",$AC522,$AC522*$S522)</f>
        <v/>
      </c>
      <c r="AL522" s="35">
        <f>IF($AH522="",DATE(2100,12,31),$AH522+1)</f>
        <v/>
      </c>
      <c r="AM522" s="35">
        <f>IF($AH522="",DATE(1900,1,1),$AG522)</f>
        <v/>
      </c>
      <c r="AN522" s="32">
        <f>IF($AH522="",0,$AC522*$T522)</f>
        <v/>
      </c>
    </row>
    <row r="523">
      <c r="A523" s="28" t="inlineStr">
        <is>
          <t>Jennifer Wu</t>
        </is>
      </c>
      <c r="B523" s="16">
        <f>IF($A523="","",IFERROR(INDEX(Roster!$B$2:$B$40,MATCH($A523,Roster!$A$2:$A$40,0)),"?"))</f>
        <v/>
      </c>
      <c r="C523" s="28" t="inlineStr">
        <is>
          <t>Breakaway_1</t>
        </is>
      </c>
      <c r="D523" s="16">
        <f>IF($C523="","",IFERROR(IF(INDEX(Deals!$C$2:$C$355,MATCH($C523,Deals!$A$2:$A$355,0))=0,"",INDEX(Deals!$C$2:$C$355,MATCH($C523,Deals!$A$2:$A$355,0))),"?"))</f>
        <v/>
      </c>
      <c r="E523" s="16">
        <f>IF($C523="","",IFERROR(INDEX(Deals!$F$2:$F$355,MATCH($C523,Deals!$A$2:$A$355,0)),"?"))</f>
        <v/>
      </c>
      <c r="F523" s="28" t="inlineStr">
        <is>
          <t>Senior Associate</t>
        </is>
      </c>
      <c r="G523" s="28" t="inlineStr">
        <is>
          <t>Active</t>
        </is>
      </c>
      <c r="H523" s="31" t="n"/>
      <c r="I523" s="32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1">
        <f>IF($C523="",0,IFERROR(INDEX(Deals!$H$2:$H$355,MATCH($C523,Deals!$A$2:$A$355,0)),0))</f>
        <v/>
      </c>
      <c r="K523" s="32">
        <f>IF(Settings!$B$4="Yes",$I523*$J523,$I523)</f>
        <v/>
      </c>
      <c r="L523" s="22">
        <f>IF($C523="","",IFERROR(IF(INDEX(Deals!$I$2:$I$355,MATCH($C523,Deals!$A$2:$A$355,0))=0,"",INDEX(Deals!$I$2:$I$355,MATCH($C523,Deals!$A$2:$A$355,0))),""))</f>
        <v/>
      </c>
      <c r="M523" s="22">
        <f>IF($C523="","",IFERROR(IF(INDEX(Deals!$J$2:$J$355,MATCH($C523,Deals!$A$2:$A$355,0))=0,"",INDEX(Deals!$J$2:$J$355,MATCH($C523,Deals!$A$2:$A$355,0))),""))</f>
        <v/>
      </c>
      <c r="N523" s="35">
        <f>IF($L523="",DATE(1900,1,1),$L523)</f>
        <v/>
      </c>
      <c r="O523" s="35">
        <f>IF($M523="",DATE(2100,12,31),$M523)</f>
        <v/>
      </c>
      <c r="P523" s="20" t="inlineStr"/>
      <c r="Q523" s="43" t="inlineStr"/>
      <c r="R523" s="16">
        <f>IF($C523="","",IFERROR(IF(INDEX(Deals!$U$2:$U$355,MATCH($C523,Deals!$A$2:$A$355,0))=0,"",INDEX(Deals!$U$2:$U$355,MATCH($C523,Deals!$A$2:$A$355,0))),""))</f>
        <v/>
      </c>
      <c r="S523" s="34">
        <f>IFERROR(IF($U523="",1,INDEX(Deals!$V$2:$V$355,MATCH($C523,Deals!$A$2:$A$355,0))),1)</f>
        <v/>
      </c>
      <c r="T523" s="34">
        <f>IFERROR(IF($U523="",1,INDEX(Deals!$W$2:$W$355,MATCH($C523,Deals!$A$2:$A$355,0))),1)</f>
        <v/>
      </c>
      <c r="U523" s="22">
        <f>IF($C523="","",IFERROR(IF(INDEX(Deals!$Y$2:$Y$355,MATCH($C523,Deals!$A$2:$A$355,0))=0,"",INDEX(Deals!$Y$2:$Y$355,MATCH($C523,Deals!$A$2:$A$355,0))),""))</f>
        <v/>
      </c>
      <c r="V523" s="35">
        <f>IF($U523="",DATE(1900,1,1),$N523)</f>
        <v/>
      </c>
      <c r="W523" s="35">
        <f>IF($U523="",DATE(2100,12,31),$U523)</f>
        <v/>
      </c>
      <c r="X523" s="32">
        <f>IF($U523="",$K523,$K523*$S523)</f>
        <v/>
      </c>
      <c r="Y523" s="35">
        <f>IF($U523="",DATE(2100,12,31),$U523+1)</f>
        <v/>
      </c>
      <c r="Z523" s="35">
        <f>IF($U523="",DATE(1900,1,1),$O523)</f>
        <v/>
      </c>
      <c r="AA523" s="32">
        <f>IF($U523="",0,$K523*$T523)</f>
        <v/>
      </c>
      <c r="AB523" s="21">
        <f>IF($C523="",0,IFERROR(INDEX(Deals!$AD$2:$AD$355,MATCH($C523,Deals!$A$2:$A$355,0)),0))</f>
        <v/>
      </c>
      <c r="AC523" s="32">
        <f>IF(Settings!$B$4="Yes",$I523*$AB523,$I523)</f>
        <v/>
      </c>
      <c r="AD523" s="22">
        <f>IF($C523="","",IFERROR(IF(INDEX(Deals!$AE$2:$AE$355,MATCH($C523,Deals!$A$2:$A$355,0))=0,"",INDEX(Deals!$AE$2:$AE$355,MATCH($C523,Deals!$A$2:$A$355,0))),""))</f>
        <v/>
      </c>
      <c r="AE523" s="22">
        <f>IF($C523="","",IFERROR(IF(INDEX(Deals!$AF$2:$AF$355,MATCH($C523,Deals!$A$2:$A$355,0))=0,"",INDEX(Deals!$AF$2:$AF$355,MATCH($C523,Deals!$A$2:$A$355,0))),""))</f>
        <v/>
      </c>
      <c r="AF523" s="35">
        <f>IF($AD523="",DATE(1900,1,1),$AD523)</f>
        <v/>
      </c>
      <c r="AG523" s="35">
        <f>IF($AE523="",DATE(2100,12,31),$AE523)</f>
        <v/>
      </c>
      <c r="AH523" s="22">
        <f>IF($C523="","",IFERROR(IF(INDEX(Deals!$AG$2:$AG$355,MATCH($C523,Deals!$A$2:$A$355,0))=0,"",INDEX(Deals!$AG$2:$AG$355,MATCH($C523,Deals!$A$2:$A$355,0))),""))</f>
        <v/>
      </c>
      <c r="AI523" s="35">
        <f>IF($AH523="",DATE(1900,1,1),$AF523)</f>
        <v/>
      </c>
      <c r="AJ523" s="35">
        <f>IF($AH523="",DATE(2100,12,31),$AH523)</f>
        <v/>
      </c>
      <c r="AK523" s="32">
        <f>IF($AH523="",$AC523,$AC523*$S523)</f>
        <v/>
      </c>
      <c r="AL523" s="35">
        <f>IF($AH523="",DATE(2100,12,31),$AH523+1)</f>
        <v/>
      </c>
      <c r="AM523" s="35">
        <f>IF($AH523="",DATE(1900,1,1),$AG523)</f>
        <v/>
      </c>
      <c r="AN523" s="32">
        <f>IF($AH523="",0,$AC523*$T523)</f>
        <v/>
      </c>
    </row>
    <row r="524">
      <c r="A524" s="28" t="inlineStr">
        <is>
          <t>Jennifer Wu</t>
        </is>
      </c>
      <c r="B524" s="16">
        <f>IF($A524="","",IFERROR(INDEX(Roster!$B$2:$B$40,MATCH($A524,Roster!$A$2:$A$40,0)),"?"))</f>
        <v/>
      </c>
      <c r="C524" s="28" t="inlineStr">
        <is>
          <t>Cactus</t>
        </is>
      </c>
      <c r="D524" s="16">
        <f>IF($C524="","",IFERROR(IF(INDEX(Deals!$C$2:$C$355,MATCH($C524,Deals!$A$2:$A$355,0))=0,"",INDEX(Deals!$C$2:$C$355,MATCH($C524,Deals!$A$2:$A$355,0))),"?"))</f>
        <v/>
      </c>
      <c r="E524" s="16">
        <f>IF($C524="","",IFERROR(INDEX(Deals!$F$2:$F$355,MATCH($C524,Deals!$A$2:$A$355,0)),"?"))</f>
        <v/>
      </c>
      <c r="F524" s="28" t="inlineStr">
        <is>
          <t>Senior Associate</t>
        </is>
      </c>
      <c r="G524" s="28" t="inlineStr">
        <is>
          <t>Active</t>
        </is>
      </c>
      <c r="H524" s="31" t="n"/>
      <c r="I524" s="32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1">
        <f>IF($C524="",0,IFERROR(INDEX(Deals!$H$2:$H$355,MATCH($C524,Deals!$A$2:$A$355,0)),0))</f>
        <v/>
      </c>
      <c r="K524" s="32">
        <f>IF(Settings!$B$4="Yes",$I524*$J524,$I524)</f>
        <v/>
      </c>
      <c r="L524" s="22">
        <f>IF($C524="","",IFERROR(IF(INDEX(Deals!$I$2:$I$355,MATCH($C524,Deals!$A$2:$A$355,0))=0,"",INDEX(Deals!$I$2:$I$355,MATCH($C524,Deals!$A$2:$A$355,0))),""))</f>
        <v/>
      </c>
      <c r="M524" s="22">
        <f>IF($C524="","",IFERROR(IF(INDEX(Deals!$J$2:$J$355,MATCH($C524,Deals!$A$2:$A$355,0))=0,"",INDEX(Deals!$J$2:$J$355,MATCH($C524,Deals!$A$2:$A$355,0))),""))</f>
        <v/>
      </c>
      <c r="N524" s="35">
        <f>IF($L524="",DATE(1900,1,1),$L524)</f>
        <v/>
      </c>
      <c r="O524" s="35">
        <f>IF($M524="",DATE(2100,12,31),$M524)</f>
        <v/>
      </c>
      <c r="P524" s="20" t="inlineStr"/>
      <c r="Q524" s="43" t="inlineStr"/>
      <c r="R524" s="16">
        <f>IF($C524="","",IFERROR(IF(INDEX(Deals!$U$2:$U$355,MATCH($C524,Deals!$A$2:$A$355,0))=0,"",INDEX(Deals!$U$2:$U$355,MATCH($C524,Deals!$A$2:$A$355,0))),""))</f>
        <v/>
      </c>
      <c r="S524" s="34">
        <f>IFERROR(IF($U524="",1,INDEX(Deals!$V$2:$V$355,MATCH($C524,Deals!$A$2:$A$355,0))),1)</f>
        <v/>
      </c>
      <c r="T524" s="34">
        <f>IFERROR(IF($U524="",1,INDEX(Deals!$W$2:$W$355,MATCH($C524,Deals!$A$2:$A$355,0))),1)</f>
        <v/>
      </c>
      <c r="U524" s="22">
        <f>IF($C524="","",IFERROR(IF(INDEX(Deals!$Y$2:$Y$355,MATCH($C524,Deals!$A$2:$A$355,0))=0,"",INDEX(Deals!$Y$2:$Y$355,MATCH($C524,Deals!$A$2:$A$355,0))),""))</f>
        <v/>
      </c>
      <c r="V524" s="35">
        <f>IF($U524="",DATE(1900,1,1),$N524)</f>
        <v/>
      </c>
      <c r="W524" s="35">
        <f>IF($U524="",DATE(2100,12,31),$U524)</f>
        <v/>
      </c>
      <c r="X524" s="32">
        <f>IF($U524="",$K524,$K524*$S524)</f>
        <v/>
      </c>
      <c r="Y524" s="35">
        <f>IF($U524="",DATE(2100,12,31),$U524+1)</f>
        <v/>
      </c>
      <c r="Z524" s="35">
        <f>IF($U524="",DATE(1900,1,1),$O524)</f>
        <v/>
      </c>
      <c r="AA524" s="32">
        <f>IF($U524="",0,$K524*$T524)</f>
        <v/>
      </c>
      <c r="AB524" s="21">
        <f>IF($C524="",0,IFERROR(INDEX(Deals!$AD$2:$AD$355,MATCH($C524,Deals!$A$2:$A$355,0)),0))</f>
        <v/>
      </c>
      <c r="AC524" s="32">
        <f>IF(Settings!$B$4="Yes",$I524*$AB524,$I524)</f>
        <v/>
      </c>
      <c r="AD524" s="22">
        <f>IF($C524="","",IFERROR(IF(INDEX(Deals!$AE$2:$AE$355,MATCH($C524,Deals!$A$2:$A$355,0))=0,"",INDEX(Deals!$AE$2:$AE$355,MATCH($C524,Deals!$A$2:$A$355,0))),""))</f>
        <v/>
      </c>
      <c r="AE524" s="22">
        <f>IF($C524="","",IFERROR(IF(INDEX(Deals!$AF$2:$AF$355,MATCH($C524,Deals!$A$2:$A$355,0))=0,"",INDEX(Deals!$AF$2:$AF$355,MATCH($C524,Deals!$A$2:$A$355,0))),""))</f>
        <v/>
      </c>
      <c r="AF524" s="35">
        <f>IF($AD524="",DATE(1900,1,1),$AD524)</f>
        <v/>
      </c>
      <c r="AG524" s="35">
        <f>IF($AE524="",DATE(2100,12,31),$AE524)</f>
        <v/>
      </c>
      <c r="AH524" s="22">
        <f>IF($C524="","",IFERROR(IF(INDEX(Deals!$AG$2:$AG$355,MATCH($C524,Deals!$A$2:$A$355,0))=0,"",INDEX(Deals!$AG$2:$AG$355,MATCH($C524,Deals!$A$2:$A$355,0))),""))</f>
        <v/>
      </c>
      <c r="AI524" s="35">
        <f>IF($AH524="",DATE(1900,1,1),$AF524)</f>
        <v/>
      </c>
      <c r="AJ524" s="35">
        <f>IF($AH524="",DATE(2100,12,31),$AH524)</f>
        <v/>
      </c>
      <c r="AK524" s="32">
        <f>IF($AH524="",$AC524,$AC524*$S524)</f>
        <v/>
      </c>
      <c r="AL524" s="35">
        <f>IF($AH524="",DATE(2100,12,31),$AH524+1)</f>
        <v/>
      </c>
      <c r="AM524" s="35">
        <f>IF($AH524="",DATE(1900,1,1),$AG524)</f>
        <v/>
      </c>
      <c r="AN524" s="32">
        <f>IF($AH524="",0,$AC524*$T524)</f>
        <v/>
      </c>
    </row>
    <row r="525">
      <c r="A525" s="28" t="inlineStr">
        <is>
          <t>Jennifer Wu</t>
        </is>
      </c>
      <c r="B525" s="16">
        <f>IF($A525="","",IFERROR(INDEX(Roster!$B$2:$B$40,MATCH($A525,Roster!$A$2:$A$40,0)),"?"))</f>
        <v/>
      </c>
      <c r="C525" s="28" t="inlineStr">
        <is>
          <t>Canyon_2</t>
        </is>
      </c>
      <c r="D525" s="16">
        <f>IF($C525="","",IFERROR(IF(INDEX(Deals!$C$2:$C$355,MATCH($C525,Deals!$A$2:$A$355,0))=0,"",INDEX(Deals!$C$2:$C$355,MATCH($C525,Deals!$A$2:$A$355,0))),"?"))</f>
        <v/>
      </c>
      <c r="E525" s="16">
        <f>IF($C525="","",IFERROR(INDEX(Deals!$F$2:$F$355,MATCH($C525,Deals!$A$2:$A$355,0)),"?"))</f>
        <v/>
      </c>
      <c r="F525" s="28" t="inlineStr">
        <is>
          <t>Senior Associate</t>
        </is>
      </c>
      <c r="G525" s="28" t="inlineStr">
        <is>
          <t>Active</t>
        </is>
      </c>
      <c r="H525" s="31" t="n"/>
      <c r="I525" s="32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1">
        <f>IF($C525="",0,IFERROR(INDEX(Deals!$H$2:$H$355,MATCH($C525,Deals!$A$2:$A$355,0)),0))</f>
        <v/>
      </c>
      <c r="K525" s="32">
        <f>IF(Settings!$B$4="Yes",$I525*$J525,$I525)</f>
        <v/>
      </c>
      <c r="L525" s="22">
        <f>IF($C525="","",IFERROR(IF(INDEX(Deals!$I$2:$I$355,MATCH($C525,Deals!$A$2:$A$355,0))=0,"",INDEX(Deals!$I$2:$I$355,MATCH($C525,Deals!$A$2:$A$355,0))),""))</f>
        <v/>
      </c>
      <c r="M525" s="22">
        <f>IF($C525="","",IFERROR(IF(INDEX(Deals!$J$2:$J$355,MATCH($C525,Deals!$A$2:$A$355,0))=0,"",INDEX(Deals!$J$2:$J$355,MATCH($C525,Deals!$A$2:$A$355,0))),""))</f>
        <v/>
      </c>
      <c r="N525" s="35">
        <f>IF($L525="",DATE(1900,1,1),$L525)</f>
        <v/>
      </c>
      <c r="O525" s="35">
        <f>IF($M525="",DATE(2100,12,31),$M525)</f>
        <v/>
      </c>
      <c r="P525" s="20" t="inlineStr"/>
      <c r="Q525" s="43" t="inlineStr"/>
      <c r="R525" s="16">
        <f>IF($C525="","",IFERROR(IF(INDEX(Deals!$U$2:$U$355,MATCH($C525,Deals!$A$2:$A$355,0))=0,"",INDEX(Deals!$U$2:$U$355,MATCH($C525,Deals!$A$2:$A$355,0))),""))</f>
        <v/>
      </c>
      <c r="S525" s="34">
        <f>IFERROR(IF($U525="",1,INDEX(Deals!$V$2:$V$355,MATCH($C525,Deals!$A$2:$A$355,0))),1)</f>
        <v/>
      </c>
      <c r="T525" s="34">
        <f>IFERROR(IF($U525="",1,INDEX(Deals!$W$2:$W$355,MATCH($C525,Deals!$A$2:$A$355,0))),1)</f>
        <v/>
      </c>
      <c r="U525" s="22">
        <f>IF($C525="","",IFERROR(IF(INDEX(Deals!$Y$2:$Y$355,MATCH($C525,Deals!$A$2:$A$355,0))=0,"",INDEX(Deals!$Y$2:$Y$355,MATCH($C525,Deals!$A$2:$A$355,0))),""))</f>
        <v/>
      </c>
      <c r="V525" s="35">
        <f>IF($U525="",DATE(1900,1,1),$N525)</f>
        <v/>
      </c>
      <c r="W525" s="35">
        <f>IF($U525="",DATE(2100,12,31),$U525)</f>
        <v/>
      </c>
      <c r="X525" s="32">
        <f>IF($U525="",$K525,$K525*$S525)</f>
        <v/>
      </c>
      <c r="Y525" s="35">
        <f>IF($U525="",DATE(2100,12,31),$U525+1)</f>
        <v/>
      </c>
      <c r="Z525" s="35">
        <f>IF($U525="",DATE(1900,1,1),$O525)</f>
        <v/>
      </c>
      <c r="AA525" s="32">
        <f>IF($U525="",0,$K525*$T525)</f>
        <v/>
      </c>
      <c r="AB525" s="21">
        <f>IF($C525="",0,IFERROR(INDEX(Deals!$AD$2:$AD$355,MATCH($C525,Deals!$A$2:$A$355,0)),0))</f>
        <v/>
      </c>
      <c r="AC525" s="32">
        <f>IF(Settings!$B$4="Yes",$I525*$AB525,$I525)</f>
        <v/>
      </c>
      <c r="AD525" s="22">
        <f>IF($C525="","",IFERROR(IF(INDEX(Deals!$AE$2:$AE$355,MATCH($C525,Deals!$A$2:$A$355,0))=0,"",INDEX(Deals!$AE$2:$AE$355,MATCH($C525,Deals!$A$2:$A$355,0))),""))</f>
        <v/>
      </c>
      <c r="AE525" s="22">
        <f>IF($C525="","",IFERROR(IF(INDEX(Deals!$AF$2:$AF$355,MATCH($C525,Deals!$A$2:$A$355,0))=0,"",INDEX(Deals!$AF$2:$AF$355,MATCH($C525,Deals!$A$2:$A$355,0))),""))</f>
        <v/>
      </c>
      <c r="AF525" s="35">
        <f>IF($AD525="",DATE(1900,1,1),$AD525)</f>
        <v/>
      </c>
      <c r="AG525" s="35">
        <f>IF($AE525="",DATE(2100,12,31),$AE525)</f>
        <v/>
      </c>
      <c r="AH525" s="22">
        <f>IF($C525="","",IFERROR(IF(INDEX(Deals!$AG$2:$AG$355,MATCH($C525,Deals!$A$2:$A$355,0))=0,"",INDEX(Deals!$AG$2:$AG$355,MATCH($C525,Deals!$A$2:$A$355,0))),""))</f>
        <v/>
      </c>
      <c r="AI525" s="35">
        <f>IF($AH525="",DATE(1900,1,1),$AF525)</f>
        <v/>
      </c>
      <c r="AJ525" s="35">
        <f>IF($AH525="",DATE(2100,12,31),$AH525)</f>
        <v/>
      </c>
      <c r="AK525" s="32">
        <f>IF($AH525="",$AC525,$AC525*$S525)</f>
        <v/>
      </c>
      <c r="AL525" s="35">
        <f>IF($AH525="",DATE(2100,12,31),$AH525+1)</f>
        <v/>
      </c>
      <c r="AM525" s="35">
        <f>IF($AH525="",DATE(1900,1,1),$AG525)</f>
        <v/>
      </c>
      <c r="AN525" s="32">
        <f>IF($AH525="",0,$AC525*$T525)</f>
        <v/>
      </c>
    </row>
    <row r="526">
      <c r="A526" s="28" t="inlineStr">
        <is>
          <t>Jennifer Wu</t>
        </is>
      </c>
      <c r="B526" s="16">
        <f>IF($A526="","",IFERROR(INDEX(Roster!$B$2:$B$40,MATCH($A526,Roster!$A$2:$A$40,0)),"?"))</f>
        <v/>
      </c>
      <c r="C526" s="28" t="inlineStr">
        <is>
          <t>Concrete_1</t>
        </is>
      </c>
      <c r="D526" s="16">
        <f>IF($C526="","",IFERROR(IF(INDEX(Deals!$C$2:$C$355,MATCH($C526,Deals!$A$2:$A$355,0))=0,"",INDEX(Deals!$C$2:$C$355,MATCH($C526,Deals!$A$2:$A$355,0))),"?"))</f>
        <v/>
      </c>
      <c r="E526" s="16">
        <f>IF($C526="","",IFERROR(INDEX(Deals!$F$2:$F$355,MATCH($C526,Deals!$A$2:$A$355,0)),"?"))</f>
        <v/>
      </c>
      <c r="F526" s="28" t="inlineStr">
        <is>
          <t>Senior Associate</t>
        </is>
      </c>
      <c r="G526" s="28" t="inlineStr">
        <is>
          <t>Active</t>
        </is>
      </c>
      <c r="H526" s="31" t="n"/>
      <c r="I526" s="32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1">
        <f>IF($C526="",0,IFERROR(INDEX(Deals!$H$2:$H$355,MATCH($C526,Deals!$A$2:$A$355,0)),0))</f>
        <v/>
      </c>
      <c r="K526" s="32">
        <f>IF(Settings!$B$4="Yes",$I526*$J526,$I526)</f>
        <v/>
      </c>
      <c r="L526" s="22">
        <f>IF($C526="","",IFERROR(IF(INDEX(Deals!$I$2:$I$355,MATCH($C526,Deals!$A$2:$A$355,0))=0,"",INDEX(Deals!$I$2:$I$355,MATCH($C526,Deals!$A$2:$A$355,0))),""))</f>
        <v/>
      </c>
      <c r="M526" s="22">
        <f>IF($C526="","",IFERROR(IF(INDEX(Deals!$J$2:$J$355,MATCH($C526,Deals!$A$2:$A$355,0))=0,"",INDEX(Deals!$J$2:$J$355,MATCH($C526,Deals!$A$2:$A$355,0))),""))</f>
        <v/>
      </c>
      <c r="N526" s="35">
        <f>IF($L526="",DATE(1900,1,1),$L526)</f>
        <v/>
      </c>
      <c r="O526" s="35">
        <f>IF($M526="",DATE(2100,12,31),$M526)</f>
        <v/>
      </c>
      <c r="P526" s="20" t="inlineStr"/>
      <c r="Q526" s="43" t="inlineStr"/>
      <c r="R526" s="16">
        <f>IF($C526="","",IFERROR(IF(INDEX(Deals!$U$2:$U$355,MATCH($C526,Deals!$A$2:$A$355,0))=0,"",INDEX(Deals!$U$2:$U$355,MATCH($C526,Deals!$A$2:$A$355,0))),""))</f>
        <v/>
      </c>
      <c r="S526" s="34">
        <f>IFERROR(IF($U526="",1,INDEX(Deals!$V$2:$V$355,MATCH($C526,Deals!$A$2:$A$355,0))),1)</f>
        <v/>
      </c>
      <c r="T526" s="34">
        <f>IFERROR(IF($U526="",1,INDEX(Deals!$W$2:$W$355,MATCH($C526,Deals!$A$2:$A$355,0))),1)</f>
        <v/>
      </c>
      <c r="U526" s="22">
        <f>IF($C526="","",IFERROR(IF(INDEX(Deals!$Y$2:$Y$355,MATCH($C526,Deals!$A$2:$A$355,0))=0,"",INDEX(Deals!$Y$2:$Y$355,MATCH($C526,Deals!$A$2:$A$355,0))),""))</f>
        <v/>
      </c>
      <c r="V526" s="35">
        <f>IF($U526="",DATE(1900,1,1),$N526)</f>
        <v/>
      </c>
      <c r="W526" s="35">
        <f>IF($U526="",DATE(2100,12,31),$U526)</f>
        <v/>
      </c>
      <c r="X526" s="32">
        <f>IF($U526="",$K526,$K526*$S526)</f>
        <v/>
      </c>
      <c r="Y526" s="35">
        <f>IF($U526="",DATE(2100,12,31),$U526+1)</f>
        <v/>
      </c>
      <c r="Z526" s="35">
        <f>IF($U526="",DATE(1900,1,1),$O526)</f>
        <v/>
      </c>
      <c r="AA526" s="32">
        <f>IF($U526="",0,$K526*$T526)</f>
        <v/>
      </c>
      <c r="AB526" s="21">
        <f>IF($C526="",0,IFERROR(INDEX(Deals!$AD$2:$AD$355,MATCH($C526,Deals!$A$2:$A$355,0)),0))</f>
        <v/>
      </c>
      <c r="AC526" s="32">
        <f>IF(Settings!$B$4="Yes",$I526*$AB526,$I526)</f>
        <v/>
      </c>
      <c r="AD526" s="22">
        <f>IF($C526="","",IFERROR(IF(INDEX(Deals!$AE$2:$AE$355,MATCH($C526,Deals!$A$2:$A$355,0))=0,"",INDEX(Deals!$AE$2:$AE$355,MATCH($C526,Deals!$A$2:$A$355,0))),""))</f>
        <v/>
      </c>
      <c r="AE526" s="22">
        <f>IF($C526="","",IFERROR(IF(INDEX(Deals!$AF$2:$AF$355,MATCH($C526,Deals!$A$2:$A$355,0))=0,"",INDEX(Deals!$AF$2:$AF$355,MATCH($C526,Deals!$A$2:$A$355,0))),""))</f>
        <v/>
      </c>
      <c r="AF526" s="35">
        <f>IF($AD526="",DATE(1900,1,1),$AD526)</f>
        <v/>
      </c>
      <c r="AG526" s="35">
        <f>IF($AE526="",DATE(2100,12,31),$AE526)</f>
        <v/>
      </c>
      <c r="AH526" s="22">
        <f>IF($C526="","",IFERROR(IF(INDEX(Deals!$AG$2:$AG$355,MATCH($C526,Deals!$A$2:$A$355,0))=0,"",INDEX(Deals!$AG$2:$AG$355,MATCH($C526,Deals!$A$2:$A$355,0))),""))</f>
        <v/>
      </c>
      <c r="AI526" s="35">
        <f>IF($AH526="",DATE(1900,1,1),$AF526)</f>
        <v/>
      </c>
      <c r="AJ526" s="35">
        <f>IF($AH526="",DATE(2100,12,31),$AH526)</f>
        <v/>
      </c>
      <c r="AK526" s="32">
        <f>IF($AH526="",$AC526,$AC526*$S526)</f>
        <v/>
      </c>
      <c r="AL526" s="35">
        <f>IF($AH526="",DATE(2100,12,31),$AH526+1)</f>
        <v/>
      </c>
      <c r="AM526" s="35">
        <f>IF($AH526="",DATE(1900,1,1),$AG526)</f>
        <v/>
      </c>
      <c r="AN526" s="32">
        <f>IF($AH526="",0,$AC526*$T526)</f>
        <v/>
      </c>
    </row>
    <row r="527">
      <c r="A527" s="28" t="inlineStr">
        <is>
          <t>Jennifer Wu</t>
        </is>
      </c>
      <c r="B527" s="16">
        <f>IF($A527="","",IFERROR(INDEX(Roster!$B$2:$B$40,MATCH($A527,Roster!$A$2:$A$40,0)),"?"))</f>
        <v/>
      </c>
      <c r="C527" s="28" t="inlineStr">
        <is>
          <t>Denali_3</t>
        </is>
      </c>
      <c r="D527" s="16">
        <f>IF($C527="","",IFERROR(IF(INDEX(Deals!$C$2:$C$355,MATCH($C527,Deals!$A$2:$A$355,0))=0,"",INDEX(Deals!$C$2:$C$355,MATCH($C527,Deals!$A$2:$A$355,0))),"?"))</f>
        <v/>
      </c>
      <c r="E527" s="16">
        <f>IF($C527="","",IFERROR(INDEX(Deals!$F$2:$F$355,MATCH($C527,Deals!$A$2:$A$355,0)),"?"))</f>
        <v/>
      </c>
      <c r="F527" s="28" t="inlineStr">
        <is>
          <t>Senior Associate</t>
        </is>
      </c>
      <c r="G527" s="28" t="inlineStr">
        <is>
          <t>Active</t>
        </is>
      </c>
      <c r="H527" s="31" t="n"/>
      <c r="I527" s="32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1">
        <f>IF($C527="",0,IFERROR(INDEX(Deals!$H$2:$H$355,MATCH($C527,Deals!$A$2:$A$355,0)),0))</f>
        <v/>
      </c>
      <c r="K527" s="32">
        <f>IF(Settings!$B$4="Yes",$I527*$J527,$I527)</f>
        <v/>
      </c>
      <c r="L527" s="22">
        <f>IF($C527="","",IFERROR(IF(INDEX(Deals!$I$2:$I$355,MATCH($C527,Deals!$A$2:$A$355,0))=0,"",INDEX(Deals!$I$2:$I$355,MATCH($C527,Deals!$A$2:$A$355,0))),""))</f>
        <v/>
      </c>
      <c r="M527" s="22">
        <f>IF($C527="","",IFERROR(IF(INDEX(Deals!$J$2:$J$355,MATCH($C527,Deals!$A$2:$A$355,0))=0,"",INDEX(Deals!$J$2:$J$355,MATCH($C527,Deals!$A$2:$A$355,0))),""))</f>
        <v/>
      </c>
      <c r="N527" s="35">
        <f>IF($L527="",DATE(1900,1,1),$L527)</f>
        <v/>
      </c>
      <c r="O527" s="35">
        <f>IF($M527="",DATE(2100,12,31),$M527)</f>
        <v/>
      </c>
      <c r="P527" s="20" t="inlineStr"/>
      <c r="Q527" s="43" t="inlineStr"/>
      <c r="R527" s="16">
        <f>IF($C527="","",IFERROR(IF(INDEX(Deals!$U$2:$U$355,MATCH($C527,Deals!$A$2:$A$355,0))=0,"",INDEX(Deals!$U$2:$U$355,MATCH($C527,Deals!$A$2:$A$355,0))),""))</f>
        <v/>
      </c>
      <c r="S527" s="34">
        <f>IFERROR(IF($U527="",1,INDEX(Deals!$V$2:$V$355,MATCH($C527,Deals!$A$2:$A$355,0))),1)</f>
        <v/>
      </c>
      <c r="T527" s="34">
        <f>IFERROR(IF($U527="",1,INDEX(Deals!$W$2:$W$355,MATCH($C527,Deals!$A$2:$A$355,0))),1)</f>
        <v/>
      </c>
      <c r="U527" s="22">
        <f>IF($C527="","",IFERROR(IF(INDEX(Deals!$Y$2:$Y$355,MATCH($C527,Deals!$A$2:$A$355,0))=0,"",INDEX(Deals!$Y$2:$Y$355,MATCH($C527,Deals!$A$2:$A$355,0))),""))</f>
        <v/>
      </c>
      <c r="V527" s="35">
        <f>IF($U527="",DATE(1900,1,1),$N527)</f>
        <v/>
      </c>
      <c r="W527" s="35">
        <f>IF($U527="",DATE(2100,12,31),$U527)</f>
        <v/>
      </c>
      <c r="X527" s="32">
        <f>IF($U527="",$K527,$K527*$S527)</f>
        <v/>
      </c>
      <c r="Y527" s="35">
        <f>IF($U527="",DATE(2100,12,31),$U527+1)</f>
        <v/>
      </c>
      <c r="Z527" s="35">
        <f>IF($U527="",DATE(1900,1,1),$O527)</f>
        <v/>
      </c>
      <c r="AA527" s="32">
        <f>IF($U527="",0,$K527*$T527)</f>
        <v/>
      </c>
      <c r="AB527" s="21">
        <f>IF($C527="",0,IFERROR(INDEX(Deals!$AD$2:$AD$355,MATCH($C527,Deals!$A$2:$A$355,0)),0))</f>
        <v/>
      </c>
      <c r="AC527" s="32">
        <f>IF(Settings!$B$4="Yes",$I527*$AB527,$I527)</f>
        <v/>
      </c>
      <c r="AD527" s="22">
        <f>IF($C527="","",IFERROR(IF(INDEX(Deals!$AE$2:$AE$355,MATCH($C527,Deals!$A$2:$A$355,0))=0,"",INDEX(Deals!$AE$2:$AE$355,MATCH($C527,Deals!$A$2:$A$355,0))),""))</f>
        <v/>
      </c>
      <c r="AE527" s="22">
        <f>IF($C527="","",IFERROR(IF(INDEX(Deals!$AF$2:$AF$355,MATCH($C527,Deals!$A$2:$A$355,0))=0,"",INDEX(Deals!$AF$2:$AF$355,MATCH($C527,Deals!$A$2:$A$355,0))),""))</f>
        <v/>
      </c>
      <c r="AF527" s="35">
        <f>IF($AD527="",DATE(1900,1,1),$AD527)</f>
        <v/>
      </c>
      <c r="AG527" s="35">
        <f>IF($AE527="",DATE(2100,12,31),$AE527)</f>
        <v/>
      </c>
      <c r="AH527" s="22">
        <f>IF($C527="","",IFERROR(IF(INDEX(Deals!$AG$2:$AG$355,MATCH($C527,Deals!$A$2:$A$355,0))=0,"",INDEX(Deals!$AG$2:$AG$355,MATCH($C527,Deals!$A$2:$A$355,0))),""))</f>
        <v/>
      </c>
      <c r="AI527" s="35">
        <f>IF($AH527="",DATE(1900,1,1),$AF527)</f>
        <v/>
      </c>
      <c r="AJ527" s="35">
        <f>IF($AH527="",DATE(2100,12,31),$AH527)</f>
        <v/>
      </c>
      <c r="AK527" s="32">
        <f>IF($AH527="",$AC527,$AC527*$S527)</f>
        <v/>
      </c>
      <c r="AL527" s="35">
        <f>IF($AH527="",DATE(2100,12,31),$AH527+1)</f>
        <v/>
      </c>
      <c r="AM527" s="35">
        <f>IF($AH527="",DATE(1900,1,1),$AG527)</f>
        <v/>
      </c>
      <c r="AN527" s="32">
        <f>IF($AH527="",0,$AC527*$T527)</f>
        <v/>
      </c>
    </row>
    <row r="528">
      <c r="A528" s="28" t="inlineStr">
        <is>
          <t>Jennifer Wu</t>
        </is>
      </c>
      <c r="B528" s="16">
        <f>IF($A528="","",IFERROR(INDEX(Roster!$B$2:$B$40,MATCH($A528,Roster!$A$2:$A$40,0)),"?"))</f>
        <v/>
      </c>
      <c r="C528" s="28" t="inlineStr">
        <is>
          <t>Gemini</t>
        </is>
      </c>
      <c r="D528" s="16">
        <f>IF($C528="","",IFERROR(IF(INDEX(Deals!$C$2:$C$355,MATCH($C528,Deals!$A$2:$A$355,0))=0,"",INDEX(Deals!$C$2:$C$355,MATCH($C528,Deals!$A$2:$A$355,0))),"?"))</f>
        <v/>
      </c>
      <c r="E528" s="16">
        <f>IF($C528="","",IFERROR(INDEX(Deals!$F$2:$F$355,MATCH($C528,Deals!$A$2:$A$355,0)),"?"))</f>
        <v/>
      </c>
      <c r="F528" s="28" t="inlineStr">
        <is>
          <t>Senior Associate</t>
        </is>
      </c>
      <c r="G528" s="28" t="inlineStr">
        <is>
          <t>Active</t>
        </is>
      </c>
      <c r="H528" s="31" t="n"/>
      <c r="I528" s="32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1">
        <f>IF($C528="",0,IFERROR(INDEX(Deals!$H$2:$H$355,MATCH($C528,Deals!$A$2:$A$355,0)),0))</f>
        <v/>
      </c>
      <c r="K528" s="32">
        <f>IF(Settings!$B$4="Yes",$I528*$J528,$I528)</f>
        <v/>
      </c>
      <c r="L528" s="22">
        <f>IF($C528="","",IFERROR(IF(INDEX(Deals!$I$2:$I$355,MATCH($C528,Deals!$A$2:$A$355,0))=0,"",INDEX(Deals!$I$2:$I$355,MATCH($C528,Deals!$A$2:$A$355,0))),""))</f>
        <v/>
      </c>
      <c r="M528" s="22">
        <f>IF($C528="","",IFERROR(IF(INDEX(Deals!$J$2:$J$355,MATCH($C528,Deals!$A$2:$A$355,0))=0,"",INDEX(Deals!$J$2:$J$355,MATCH($C528,Deals!$A$2:$A$355,0))),""))</f>
        <v/>
      </c>
      <c r="N528" s="35">
        <f>IF($L528="",DATE(1900,1,1),$L528)</f>
        <v/>
      </c>
      <c r="O528" s="35">
        <f>IF($M528="",DATE(2100,12,31),$M528)</f>
        <v/>
      </c>
      <c r="P528" s="20" t="inlineStr"/>
      <c r="Q528" s="43" t="inlineStr"/>
      <c r="R528" s="16">
        <f>IF($C528="","",IFERROR(IF(INDEX(Deals!$U$2:$U$355,MATCH($C528,Deals!$A$2:$A$355,0))=0,"",INDEX(Deals!$U$2:$U$355,MATCH($C528,Deals!$A$2:$A$355,0))),""))</f>
        <v/>
      </c>
      <c r="S528" s="34">
        <f>IFERROR(IF($U528="",1,INDEX(Deals!$V$2:$V$355,MATCH($C528,Deals!$A$2:$A$355,0))),1)</f>
        <v/>
      </c>
      <c r="T528" s="34">
        <f>IFERROR(IF($U528="",1,INDEX(Deals!$W$2:$W$355,MATCH($C528,Deals!$A$2:$A$355,0))),1)</f>
        <v/>
      </c>
      <c r="U528" s="22">
        <f>IF($C528="","",IFERROR(IF(INDEX(Deals!$Y$2:$Y$355,MATCH($C528,Deals!$A$2:$A$355,0))=0,"",INDEX(Deals!$Y$2:$Y$355,MATCH($C528,Deals!$A$2:$A$355,0))),""))</f>
        <v/>
      </c>
      <c r="V528" s="35">
        <f>IF($U528="",DATE(1900,1,1),$N528)</f>
        <v/>
      </c>
      <c r="W528" s="35">
        <f>IF($U528="",DATE(2100,12,31),$U528)</f>
        <v/>
      </c>
      <c r="X528" s="32">
        <f>IF($U528="",$K528,$K528*$S528)</f>
        <v/>
      </c>
      <c r="Y528" s="35">
        <f>IF($U528="",DATE(2100,12,31),$U528+1)</f>
        <v/>
      </c>
      <c r="Z528" s="35">
        <f>IF($U528="",DATE(1900,1,1),$O528)</f>
        <v/>
      </c>
      <c r="AA528" s="32">
        <f>IF($U528="",0,$K528*$T528)</f>
        <v/>
      </c>
      <c r="AB528" s="21">
        <f>IF($C528="",0,IFERROR(INDEX(Deals!$AD$2:$AD$355,MATCH($C528,Deals!$A$2:$A$355,0)),0))</f>
        <v/>
      </c>
      <c r="AC528" s="32">
        <f>IF(Settings!$B$4="Yes",$I528*$AB528,$I528)</f>
        <v/>
      </c>
      <c r="AD528" s="22">
        <f>IF($C528="","",IFERROR(IF(INDEX(Deals!$AE$2:$AE$355,MATCH($C528,Deals!$A$2:$A$355,0))=0,"",INDEX(Deals!$AE$2:$AE$355,MATCH($C528,Deals!$A$2:$A$355,0))),""))</f>
        <v/>
      </c>
      <c r="AE528" s="22">
        <f>IF($C528="","",IFERROR(IF(INDEX(Deals!$AF$2:$AF$355,MATCH($C528,Deals!$A$2:$A$355,0))=0,"",INDEX(Deals!$AF$2:$AF$355,MATCH($C528,Deals!$A$2:$A$355,0))),""))</f>
        <v/>
      </c>
      <c r="AF528" s="35">
        <f>IF($AD528="",DATE(1900,1,1),$AD528)</f>
        <v/>
      </c>
      <c r="AG528" s="35">
        <f>IF($AE528="",DATE(2100,12,31),$AE528)</f>
        <v/>
      </c>
      <c r="AH528" s="22">
        <f>IF($C528="","",IFERROR(IF(INDEX(Deals!$AG$2:$AG$355,MATCH($C528,Deals!$A$2:$A$355,0))=0,"",INDEX(Deals!$AG$2:$AG$355,MATCH($C528,Deals!$A$2:$A$355,0))),""))</f>
        <v/>
      </c>
      <c r="AI528" s="35">
        <f>IF($AH528="",DATE(1900,1,1),$AF528)</f>
        <v/>
      </c>
      <c r="AJ528" s="35">
        <f>IF($AH528="",DATE(2100,12,31),$AH528)</f>
        <v/>
      </c>
      <c r="AK528" s="32">
        <f>IF($AH528="",$AC528,$AC528*$S528)</f>
        <v/>
      </c>
      <c r="AL528" s="35">
        <f>IF($AH528="",DATE(2100,12,31),$AH528+1)</f>
        <v/>
      </c>
      <c r="AM528" s="35">
        <f>IF($AH528="",DATE(1900,1,1),$AG528)</f>
        <v/>
      </c>
      <c r="AN528" s="32">
        <f>IF($AH528="",0,$AC528*$T528)</f>
        <v/>
      </c>
    </row>
    <row r="529">
      <c r="A529" s="28" t="inlineStr">
        <is>
          <t>Jennifer Wu</t>
        </is>
      </c>
      <c r="B529" s="16">
        <f>IF($A529="","",IFERROR(INDEX(Roster!$B$2:$B$40,MATCH($A529,Roster!$A$2:$A$40,0)),"?"))</f>
        <v/>
      </c>
      <c r="C529" s="28" t="inlineStr">
        <is>
          <t>Medicis_1</t>
        </is>
      </c>
      <c r="D529" s="16">
        <f>IF($C529="","",IFERROR(IF(INDEX(Deals!$C$2:$C$355,MATCH($C529,Deals!$A$2:$A$355,0))=0,"",INDEX(Deals!$C$2:$C$355,MATCH($C529,Deals!$A$2:$A$355,0))),"?"))</f>
        <v/>
      </c>
      <c r="E529" s="16">
        <f>IF($C529="","",IFERROR(INDEX(Deals!$F$2:$F$355,MATCH($C529,Deals!$A$2:$A$355,0)),"?"))</f>
        <v/>
      </c>
      <c r="F529" s="28" t="inlineStr">
        <is>
          <t>Senior Associate</t>
        </is>
      </c>
      <c r="G529" s="28" t="inlineStr">
        <is>
          <t>Active</t>
        </is>
      </c>
      <c r="H529" s="31" t="n"/>
      <c r="I529" s="32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1">
        <f>IF($C529="",0,IFERROR(INDEX(Deals!$H$2:$H$355,MATCH($C529,Deals!$A$2:$A$355,0)),0))</f>
        <v/>
      </c>
      <c r="K529" s="32">
        <f>IF(Settings!$B$4="Yes",$I529*$J529,$I529)</f>
        <v/>
      </c>
      <c r="L529" s="22">
        <f>IF($C529="","",IFERROR(IF(INDEX(Deals!$I$2:$I$355,MATCH($C529,Deals!$A$2:$A$355,0))=0,"",INDEX(Deals!$I$2:$I$355,MATCH($C529,Deals!$A$2:$A$355,0))),""))</f>
        <v/>
      </c>
      <c r="M529" s="22">
        <f>IF($C529="","",IFERROR(IF(INDEX(Deals!$J$2:$J$355,MATCH($C529,Deals!$A$2:$A$355,0))=0,"",INDEX(Deals!$J$2:$J$355,MATCH($C529,Deals!$A$2:$A$355,0))),""))</f>
        <v/>
      </c>
      <c r="N529" s="35">
        <f>IF($L529="",DATE(1900,1,1),$L529)</f>
        <v/>
      </c>
      <c r="O529" s="35">
        <f>IF($M529="",DATE(2100,12,31),$M529)</f>
        <v/>
      </c>
      <c r="P529" s="20" t="inlineStr"/>
      <c r="Q529" s="43" t="inlineStr"/>
      <c r="R529" s="16">
        <f>IF($C529="","",IFERROR(IF(INDEX(Deals!$U$2:$U$355,MATCH($C529,Deals!$A$2:$A$355,0))=0,"",INDEX(Deals!$U$2:$U$355,MATCH($C529,Deals!$A$2:$A$355,0))),""))</f>
        <v/>
      </c>
      <c r="S529" s="34">
        <f>IFERROR(IF($U529="",1,INDEX(Deals!$V$2:$V$355,MATCH($C529,Deals!$A$2:$A$355,0))),1)</f>
        <v/>
      </c>
      <c r="T529" s="34">
        <f>IFERROR(IF($U529="",1,INDEX(Deals!$W$2:$W$355,MATCH($C529,Deals!$A$2:$A$355,0))),1)</f>
        <v/>
      </c>
      <c r="U529" s="22">
        <f>IF($C529="","",IFERROR(IF(INDEX(Deals!$Y$2:$Y$355,MATCH($C529,Deals!$A$2:$A$355,0))=0,"",INDEX(Deals!$Y$2:$Y$355,MATCH($C529,Deals!$A$2:$A$355,0))),""))</f>
        <v/>
      </c>
      <c r="V529" s="35">
        <f>IF($U529="",DATE(1900,1,1),$N529)</f>
        <v/>
      </c>
      <c r="W529" s="35">
        <f>IF($U529="",DATE(2100,12,31),$U529)</f>
        <v/>
      </c>
      <c r="X529" s="32">
        <f>IF($U529="",$K529,$K529*$S529)</f>
        <v/>
      </c>
      <c r="Y529" s="35">
        <f>IF($U529="",DATE(2100,12,31),$U529+1)</f>
        <v/>
      </c>
      <c r="Z529" s="35">
        <f>IF($U529="",DATE(1900,1,1),$O529)</f>
        <v/>
      </c>
      <c r="AA529" s="32">
        <f>IF($U529="",0,$K529*$T529)</f>
        <v/>
      </c>
      <c r="AB529" s="21">
        <f>IF($C529="",0,IFERROR(INDEX(Deals!$AD$2:$AD$355,MATCH($C529,Deals!$A$2:$A$355,0)),0))</f>
        <v/>
      </c>
      <c r="AC529" s="32">
        <f>IF(Settings!$B$4="Yes",$I529*$AB529,$I529)</f>
        <v/>
      </c>
      <c r="AD529" s="22">
        <f>IF($C529="","",IFERROR(IF(INDEX(Deals!$AE$2:$AE$355,MATCH($C529,Deals!$A$2:$A$355,0))=0,"",INDEX(Deals!$AE$2:$AE$355,MATCH($C529,Deals!$A$2:$A$355,0))),""))</f>
        <v/>
      </c>
      <c r="AE529" s="22">
        <f>IF($C529="","",IFERROR(IF(INDEX(Deals!$AF$2:$AF$355,MATCH($C529,Deals!$A$2:$A$355,0))=0,"",INDEX(Deals!$AF$2:$AF$355,MATCH($C529,Deals!$A$2:$A$355,0))),""))</f>
        <v/>
      </c>
      <c r="AF529" s="35">
        <f>IF($AD529="",DATE(1900,1,1),$AD529)</f>
        <v/>
      </c>
      <c r="AG529" s="35">
        <f>IF($AE529="",DATE(2100,12,31),$AE529)</f>
        <v/>
      </c>
      <c r="AH529" s="22">
        <f>IF($C529="","",IFERROR(IF(INDEX(Deals!$AG$2:$AG$355,MATCH($C529,Deals!$A$2:$A$355,0))=0,"",INDEX(Deals!$AG$2:$AG$355,MATCH($C529,Deals!$A$2:$A$355,0))),""))</f>
        <v/>
      </c>
      <c r="AI529" s="35">
        <f>IF($AH529="",DATE(1900,1,1),$AF529)</f>
        <v/>
      </c>
      <c r="AJ529" s="35">
        <f>IF($AH529="",DATE(2100,12,31),$AH529)</f>
        <v/>
      </c>
      <c r="AK529" s="32">
        <f>IF($AH529="",$AC529,$AC529*$S529)</f>
        <v/>
      </c>
      <c r="AL529" s="35">
        <f>IF($AH529="",DATE(2100,12,31),$AH529+1)</f>
        <v/>
      </c>
      <c r="AM529" s="35">
        <f>IF($AH529="",DATE(1900,1,1),$AG529)</f>
        <v/>
      </c>
      <c r="AN529" s="32">
        <f>IF($AH529="",0,$AC529*$T529)</f>
        <v/>
      </c>
    </row>
    <row r="530">
      <c r="A530" s="28" t="inlineStr">
        <is>
          <t>Jennifer Wu</t>
        </is>
      </c>
      <c r="B530" s="16">
        <f>IF($A530="","",IFERROR(INDEX(Roster!$B$2:$B$40,MATCH($A530,Roster!$A$2:$A$40,0)),"?"))</f>
        <v/>
      </c>
      <c r="C530" s="28" t="inlineStr">
        <is>
          <t>Oasis_2</t>
        </is>
      </c>
      <c r="D530" s="16">
        <f>IF($C530="","",IFERROR(IF(INDEX(Deals!$C$2:$C$355,MATCH($C530,Deals!$A$2:$A$355,0))=0,"",INDEX(Deals!$C$2:$C$355,MATCH($C530,Deals!$A$2:$A$355,0))),"?"))</f>
        <v/>
      </c>
      <c r="E530" s="16">
        <f>IF($C530="","",IFERROR(INDEX(Deals!$F$2:$F$355,MATCH($C530,Deals!$A$2:$A$355,0)),"?"))</f>
        <v/>
      </c>
      <c r="F530" s="28" t="inlineStr">
        <is>
          <t>Senior Associate</t>
        </is>
      </c>
      <c r="G530" s="28" t="inlineStr">
        <is>
          <t>Active</t>
        </is>
      </c>
      <c r="H530" s="31" t="n"/>
      <c r="I530" s="32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1">
        <f>IF($C530="",0,IFERROR(INDEX(Deals!$H$2:$H$355,MATCH($C530,Deals!$A$2:$A$355,0)),0))</f>
        <v/>
      </c>
      <c r="K530" s="32">
        <f>IF(Settings!$B$4="Yes",$I530*$J530,$I530)</f>
        <v/>
      </c>
      <c r="L530" s="22">
        <f>IF($C530="","",IFERROR(IF(INDEX(Deals!$I$2:$I$355,MATCH($C530,Deals!$A$2:$A$355,0))=0,"",INDEX(Deals!$I$2:$I$355,MATCH($C530,Deals!$A$2:$A$355,0))),""))</f>
        <v/>
      </c>
      <c r="M530" s="22">
        <f>IF($C530="","",IFERROR(IF(INDEX(Deals!$J$2:$J$355,MATCH($C530,Deals!$A$2:$A$355,0))=0,"",INDEX(Deals!$J$2:$J$355,MATCH($C530,Deals!$A$2:$A$355,0))),""))</f>
        <v/>
      </c>
      <c r="N530" s="35">
        <f>IF($L530="",DATE(1900,1,1),$L530)</f>
        <v/>
      </c>
      <c r="O530" s="35">
        <f>IF($M530="",DATE(2100,12,31),$M530)</f>
        <v/>
      </c>
      <c r="P530" s="20" t="inlineStr"/>
      <c r="Q530" s="43" t="inlineStr"/>
      <c r="R530" s="16">
        <f>IF($C530="","",IFERROR(IF(INDEX(Deals!$U$2:$U$355,MATCH($C530,Deals!$A$2:$A$355,0))=0,"",INDEX(Deals!$U$2:$U$355,MATCH($C530,Deals!$A$2:$A$355,0))),""))</f>
        <v/>
      </c>
      <c r="S530" s="34">
        <f>IFERROR(IF($U530="",1,INDEX(Deals!$V$2:$V$355,MATCH($C530,Deals!$A$2:$A$355,0))),1)</f>
        <v/>
      </c>
      <c r="T530" s="34">
        <f>IFERROR(IF($U530="",1,INDEX(Deals!$W$2:$W$355,MATCH($C530,Deals!$A$2:$A$355,0))),1)</f>
        <v/>
      </c>
      <c r="U530" s="22">
        <f>IF($C530="","",IFERROR(IF(INDEX(Deals!$Y$2:$Y$355,MATCH($C530,Deals!$A$2:$A$355,0))=0,"",INDEX(Deals!$Y$2:$Y$355,MATCH($C530,Deals!$A$2:$A$355,0))),""))</f>
        <v/>
      </c>
      <c r="V530" s="35">
        <f>IF($U530="",DATE(1900,1,1),$N530)</f>
        <v/>
      </c>
      <c r="W530" s="35">
        <f>IF($U530="",DATE(2100,12,31),$U530)</f>
        <v/>
      </c>
      <c r="X530" s="32">
        <f>IF($U530="",$K530,$K530*$S530)</f>
        <v/>
      </c>
      <c r="Y530" s="35">
        <f>IF($U530="",DATE(2100,12,31),$U530+1)</f>
        <v/>
      </c>
      <c r="Z530" s="35">
        <f>IF($U530="",DATE(1900,1,1),$O530)</f>
        <v/>
      </c>
      <c r="AA530" s="32">
        <f>IF($U530="",0,$K530*$T530)</f>
        <v/>
      </c>
      <c r="AB530" s="21">
        <f>IF($C530="",0,IFERROR(INDEX(Deals!$AD$2:$AD$355,MATCH($C530,Deals!$A$2:$A$355,0)),0))</f>
        <v/>
      </c>
      <c r="AC530" s="32">
        <f>IF(Settings!$B$4="Yes",$I530*$AB530,$I530)</f>
        <v/>
      </c>
      <c r="AD530" s="22">
        <f>IF($C530="","",IFERROR(IF(INDEX(Deals!$AE$2:$AE$355,MATCH($C530,Deals!$A$2:$A$355,0))=0,"",INDEX(Deals!$AE$2:$AE$355,MATCH($C530,Deals!$A$2:$A$355,0))),""))</f>
        <v/>
      </c>
      <c r="AE530" s="22">
        <f>IF($C530="","",IFERROR(IF(INDEX(Deals!$AF$2:$AF$355,MATCH($C530,Deals!$A$2:$A$355,0))=0,"",INDEX(Deals!$AF$2:$AF$355,MATCH($C530,Deals!$A$2:$A$355,0))),""))</f>
        <v/>
      </c>
      <c r="AF530" s="35">
        <f>IF($AD530="",DATE(1900,1,1),$AD530)</f>
        <v/>
      </c>
      <c r="AG530" s="35">
        <f>IF($AE530="",DATE(2100,12,31),$AE530)</f>
        <v/>
      </c>
      <c r="AH530" s="22">
        <f>IF($C530="","",IFERROR(IF(INDEX(Deals!$AG$2:$AG$355,MATCH($C530,Deals!$A$2:$A$355,0))=0,"",INDEX(Deals!$AG$2:$AG$355,MATCH($C530,Deals!$A$2:$A$355,0))),""))</f>
        <v/>
      </c>
      <c r="AI530" s="35">
        <f>IF($AH530="",DATE(1900,1,1),$AF530)</f>
        <v/>
      </c>
      <c r="AJ530" s="35">
        <f>IF($AH530="",DATE(2100,12,31),$AH530)</f>
        <v/>
      </c>
      <c r="AK530" s="32">
        <f>IF($AH530="",$AC530,$AC530*$S530)</f>
        <v/>
      </c>
      <c r="AL530" s="35">
        <f>IF($AH530="",DATE(2100,12,31),$AH530+1)</f>
        <v/>
      </c>
      <c r="AM530" s="35">
        <f>IF($AH530="",DATE(1900,1,1),$AG530)</f>
        <v/>
      </c>
      <c r="AN530" s="32">
        <f>IF($AH530="",0,$AC530*$T530)</f>
        <v/>
      </c>
    </row>
    <row r="531">
      <c r="A531" s="28" t="inlineStr">
        <is>
          <t>Jennifer Wu</t>
        </is>
      </c>
      <c r="B531" s="16">
        <f>IF($A531="","",IFERROR(INDEX(Roster!$B$2:$B$40,MATCH($A531,Roster!$A$2:$A$40,0)),"?"))</f>
        <v/>
      </c>
      <c r="C531" s="28" t="inlineStr">
        <is>
          <t>PMD_1</t>
        </is>
      </c>
      <c r="D531" s="16">
        <f>IF($C531="","",IFERROR(IF(INDEX(Deals!$C$2:$C$355,MATCH($C531,Deals!$A$2:$A$355,0))=0,"",INDEX(Deals!$C$2:$C$355,MATCH($C531,Deals!$A$2:$A$355,0))),"?"))</f>
        <v/>
      </c>
      <c r="E531" s="16">
        <f>IF($C531="","",IFERROR(INDEX(Deals!$F$2:$F$355,MATCH($C531,Deals!$A$2:$A$355,0)),"?"))</f>
        <v/>
      </c>
      <c r="F531" s="28" t="inlineStr">
        <is>
          <t>Senior Associate</t>
        </is>
      </c>
      <c r="G531" s="28" t="inlineStr">
        <is>
          <t>Active</t>
        </is>
      </c>
      <c r="H531" s="31" t="n"/>
      <c r="I531" s="32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1">
        <f>IF($C531="",0,IFERROR(INDEX(Deals!$H$2:$H$355,MATCH($C531,Deals!$A$2:$A$355,0)),0))</f>
        <v/>
      </c>
      <c r="K531" s="32">
        <f>IF(Settings!$B$4="Yes",$I531*$J531,$I531)</f>
        <v/>
      </c>
      <c r="L531" s="22">
        <f>IF($C531="","",IFERROR(IF(INDEX(Deals!$I$2:$I$355,MATCH($C531,Deals!$A$2:$A$355,0))=0,"",INDEX(Deals!$I$2:$I$355,MATCH($C531,Deals!$A$2:$A$355,0))),""))</f>
        <v/>
      </c>
      <c r="M531" s="22">
        <f>IF($C531="","",IFERROR(IF(INDEX(Deals!$J$2:$J$355,MATCH($C531,Deals!$A$2:$A$355,0))=0,"",INDEX(Deals!$J$2:$J$355,MATCH($C531,Deals!$A$2:$A$355,0))),""))</f>
        <v/>
      </c>
      <c r="N531" s="35">
        <f>IF($L531="",DATE(1900,1,1),$L531)</f>
        <v/>
      </c>
      <c r="O531" s="35">
        <f>IF($M531="",DATE(2100,12,31),$M531)</f>
        <v/>
      </c>
      <c r="P531" s="20" t="inlineStr"/>
      <c r="Q531" s="43" t="inlineStr"/>
      <c r="R531" s="16">
        <f>IF($C531="","",IFERROR(IF(INDEX(Deals!$U$2:$U$355,MATCH($C531,Deals!$A$2:$A$355,0))=0,"",INDEX(Deals!$U$2:$U$355,MATCH($C531,Deals!$A$2:$A$355,0))),""))</f>
        <v/>
      </c>
      <c r="S531" s="34">
        <f>IFERROR(IF($U531="",1,INDEX(Deals!$V$2:$V$355,MATCH($C531,Deals!$A$2:$A$355,0))),1)</f>
        <v/>
      </c>
      <c r="T531" s="34">
        <f>IFERROR(IF($U531="",1,INDEX(Deals!$W$2:$W$355,MATCH($C531,Deals!$A$2:$A$355,0))),1)</f>
        <v/>
      </c>
      <c r="U531" s="22">
        <f>IF($C531="","",IFERROR(IF(INDEX(Deals!$Y$2:$Y$355,MATCH($C531,Deals!$A$2:$A$355,0))=0,"",INDEX(Deals!$Y$2:$Y$355,MATCH($C531,Deals!$A$2:$A$355,0))),""))</f>
        <v/>
      </c>
      <c r="V531" s="35">
        <f>IF($U531="",DATE(1900,1,1),$N531)</f>
        <v/>
      </c>
      <c r="W531" s="35">
        <f>IF($U531="",DATE(2100,12,31),$U531)</f>
        <v/>
      </c>
      <c r="X531" s="32">
        <f>IF($U531="",$K531,$K531*$S531)</f>
        <v/>
      </c>
      <c r="Y531" s="35">
        <f>IF($U531="",DATE(2100,12,31),$U531+1)</f>
        <v/>
      </c>
      <c r="Z531" s="35">
        <f>IF($U531="",DATE(1900,1,1),$O531)</f>
        <v/>
      </c>
      <c r="AA531" s="32">
        <f>IF($U531="",0,$K531*$T531)</f>
        <v/>
      </c>
      <c r="AB531" s="21">
        <f>IF($C531="",0,IFERROR(INDEX(Deals!$AD$2:$AD$355,MATCH($C531,Deals!$A$2:$A$355,0)),0))</f>
        <v/>
      </c>
      <c r="AC531" s="32">
        <f>IF(Settings!$B$4="Yes",$I531*$AB531,$I531)</f>
        <v/>
      </c>
      <c r="AD531" s="22">
        <f>IF($C531="","",IFERROR(IF(INDEX(Deals!$AE$2:$AE$355,MATCH($C531,Deals!$A$2:$A$355,0))=0,"",INDEX(Deals!$AE$2:$AE$355,MATCH($C531,Deals!$A$2:$A$355,0))),""))</f>
        <v/>
      </c>
      <c r="AE531" s="22">
        <f>IF($C531="","",IFERROR(IF(INDEX(Deals!$AF$2:$AF$355,MATCH($C531,Deals!$A$2:$A$355,0))=0,"",INDEX(Deals!$AF$2:$AF$355,MATCH($C531,Deals!$A$2:$A$355,0))),""))</f>
        <v/>
      </c>
      <c r="AF531" s="35">
        <f>IF($AD531="",DATE(1900,1,1),$AD531)</f>
        <v/>
      </c>
      <c r="AG531" s="35">
        <f>IF($AE531="",DATE(2100,12,31),$AE531)</f>
        <v/>
      </c>
      <c r="AH531" s="22">
        <f>IF($C531="","",IFERROR(IF(INDEX(Deals!$AG$2:$AG$355,MATCH($C531,Deals!$A$2:$A$355,0))=0,"",INDEX(Deals!$AG$2:$AG$355,MATCH($C531,Deals!$A$2:$A$355,0))),""))</f>
        <v/>
      </c>
      <c r="AI531" s="35">
        <f>IF($AH531="",DATE(1900,1,1),$AF531)</f>
        <v/>
      </c>
      <c r="AJ531" s="35">
        <f>IF($AH531="",DATE(2100,12,31),$AH531)</f>
        <v/>
      </c>
      <c r="AK531" s="32">
        <f>IF($AH531="",$AC531,$AC531*$S531)</f>
        <v/>
      </c>
      <c r="AL531" s="35">
        <f>IF($AH531="",DATE(2100,12,31),$AH531+1)</f>
        <v/>
      </c>
      <c r="AM531" s="35">
        <f>IF($AH531="",DATE(1900,1,1),$AG531)</f>
        <v/>
      </c>
      <c r="AN531" s="32">
        <f>IF($AH531="",0,$AC531*$T531)</f>
        <v/>
      </c>
    </row>
    <row r="532">
      <c r="A532" s="28" t="inlineStr">
        <is>
          <t>Jennifer Wu</t>
        </is>
      </c>
      <c r="B532" s="16">
        <f>IF($A532="","",IFERROR(INDEX(Roster!$B$2:$B$40,MATCH($A532,Roster!$A$2:$A$40,0)),"?"))</f>
        <v/>
      </c>
      <c r="C532" s="28" t="inlineStr">
        <is>
          <t>Pocket_1</t>
        </is>
      </c>
      <c r="D532" s="16">
        <f>IF($C532="","",IFERROR(IF(INDEX(Deals!$C$2:$C$355,MATCH($C532,Deals!$A$2:$A$355,0))=0,"",INDEX(Deals!$C$2:$C$355,MATCH($C532,Deals!$A$2:$A$355,0))),"?"))</f>
        <v/>
      </c>
      <c r="E532" s="16">
        <f>IF($C532="","",IFERROR(INDEX(Deals!$F$2:$F$355,MATCH($C532,Deals!$A$2:$A$355,0)),"?"))</f>
        <v/>
      </c>
      <c r="F532" s="28" t="inlineStr">
        <is>
          <t>Senior Associate</t>
        </is>
      </c>
      <c r="G532" s="28" t="inlineStr">
        <is>
          <t>Active</t>
        </is>
      </c>
      <c r="H532" s="31" t="n"/>
      <c r="I532" s="32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1">
        <f>IF($C532="",0,IFERROR(INDEX(Deals!$H$2:$H$355,MATCH($C532,Deals!$A$2:$A$355,0)),0))</f>
        <v/>
      </c>
      <c r="K532" s="32">
        <f>IF(Settings!$B$4="Yes",$I532*$J532,$I532)</f>
        <v/>
      </c>
      <c r="L532" s="22">
        <f>IF($C532="","",IFERROR(IF(INDEX(Deals!$I$2:$I$355,MATCH($C532,Deals!$A$2:$A$355,0))=0,"",INDEX(Deals!$I$2:$I$355,MATCH($C532,Deals!$A$2:$A$355,0))),""))</f>
        <v/>
      </c>
      <c r="M532" s="22">
        <f>IF($C532="","",IFERROR(IF(INDEX(Deals!$J$2:$J$355,MATCH($C532,Deals!$A$2:$A$355,0))=0,"",INDEX(Deals!$J$2:$J$355,MATCH($C532,Deals!$A$2:$A$355,0))),""))</f>
        <v/>
      </c>
      <c r="N532" s="35">
        <f>IF($L532="",DATE(1900,1,1),$L532)</f>
        <v/>
      </c>
      <c r="O532" s="35">
        <f>IF($M532="",DATE(2100,12,31),$M532)</f>
        <v/>
      </c>
      <c r="P532" s="20" t="inlineStr"/>
      <c r="Q532" s="43" t="inlineStr"/>
      <c r="R532" s="16">
        <f>IF($C532="","",IFERROR(IF(INDEX(Deals!$U$2:$U$355,MATCH($C532,Deals!$A$2:$A$355,0))=0,"",INDEX(Deals!$U$2:$U$355,MATCH($C532,Deals!$A$2:$A$355,0))),""))</f>
        <v/>
      </c>
      <c r="S532" s="34">
        <f>IFERROR(IF($U532="",1,INDEX(Deals!$V$2:$V$355,MATCH($C532,Deals!$A$2:$A$355,0))),1)</f>
        <v/>
      </c>
      <c r="T532" s="34">
        <f>IFERROR(IF($U532="",1,INDEX(Deals!$W$2:$W$355,MATCH($C532,Deals!$A$2:$A$355,0))),1)</f>
        <v/>
      </c>
      <c r="U532" s="22">
        <f>IF($C532="","",IFERROR(IF(INDEX(Deals!$Y$2:$Y$355,MATCH($C532,Deals!$A$2:$A$355,0))=0,"",INDEX(Deals!$Y$2:$Y$355,MATCH($C532,Deals!$A$2:$A$355,0))),""))</f>
        <v/>
      </c>
      <c r="V532" s="35">
        <f>IF($U532="",DATE(1900,1,1),$N532)</f>
        <v/>
      </c>
      <c r="W532" s="35">
        <f>IF($U532="",DATE(2100,12,31),$U532)</f>
        <v/>
      </c>
      <c r="X532" s="32">
        <f>IF($U532="",$K532,$K532*$S532)</f>
        <v/>
      </c>
      <c r="Y532" s="35">
        <f>IF($U532="",DATE(2100,12,31),$U532+1)</f>
        <v/>
      </c>
      <c r="Z532" s="35">
        <f>IF($U532="",DATE(1900,1,1),$O532)</f>
        <v/>
      </c>
      <c r="AA532" s="32">
        <f>IF($U532="",0,$K532*$T532)</f>
        <v/>
      </c>
      <c r="AB532" s="21">
        <f>IF($C532="",0,IFERROR(INDEX(Deals!$AD$2:$AD$355,MATCH($C532,Deals!$A$2:$A$355,0)),0))</f>
        <v/>
      </c>
      <c r="AC532" s="32">
        <f>IF(Settings!$B$4="Yes",$I532*$AB532,$I532)</f>
        <v/>
      </c>
      <c r="AD532" s="22">
        <f>IF($C532="","",IFERROR(IF(INDEX(Deals!$AE$2:$AE$355,MATCH($C532,Deals!$A$2:$A$355,0))=0,"",INDEX(Deals!$AE$2:$AE$355,MATCH($C532,Deals!$A$2:$A$355,0))),""))</f>
        <v/>
      </c>
      <c r="AE532" s="22">
        <f>IF($C532="","",IFERROR(IF(INDEX(Deals!$AF$2:$AF$355,MATCH($C532,Deals!$A$2:$A$355,0))=0,"",INDEX(Deals!$AF$2:$AF$355,MATCH($C532,Deals!$A$2:$A$355,0))),""))</f>
        <v/>
      </c>
      <c r="AF532" s="35">
        <f>IF($AD532="",DATE(1900,1,1),$AD532)</f>
        <v/>
      </c>
      <c r="AG532" s="35">
        <f>IF($AE532="",DATE(2100,12,31),$AE532)</f>
        <v/>
      </c>
      <c r="AH532" s="22">
        <f>IF($C532="","",IFERROR(IF(INDEX(Deals!$AG$2:$AG$355,MATCH($C532,Deals!$A$2:$A$355,0))=0,"",INDEX(Deals!$AG$2:$AG$355,MATCH($C532,Deals!$A$2:$A$355,0))),""))</f>
        <v/>
      </c>
      <c r="AI532" s="35">
        <f>IF($AH532="",DATE(1900,1,1),$AF532)</f>
        <v/>
      </c>
      <c r="AJ532" s="35">
        <f>IF($AH532="",DATE(2100,12,31),$AH532)</f>
        <v/>
      </c>
      <c r="AK532" s="32">
        <f>IF($AH532="",$AC532,$AC532*$S532)</f>
        <v/>
      </c>
      <c r="AL532" s="35">
        <f>IF($AH532="",DATE(2100,12,31),$AH532+1)</f>
        <v/>
      </c>
      <c r="AM532" s="35">
        <f>IF($AH532="",DATE(1900,1,1),$AG532)</f>
        <v/>
      </c>
      <c r="AN532" s="32">
        <f>IF($AH532="",0,$AC532*$T532)</f>
        <v/>
      </c>
    </row>
    <row r="533">
      <c r="A533" s="28" t="inlineStr">
        <is>
          <t>Jennifer Wu</t>
        </is>
      </c>
      <c r="B533" s="16">
        <f>IF($A533="","",IFERROR(INDEX(Roster!$B$2:$B$40,MATCH($A533,Roster!$A$2:$A$40,0)),"?"))</f>
        <v/>
      </c>
      <c r="C533" s="28" t="inlineStr">
        <is>
          <t>Resolute_1</t>
        </is>
      </c>
      <c r="D533" s="16">
        <f>IF($C533="","",IFERROR(IF(INDEX(Deals!$C$2:$C$355,MATCH($C533,Deals!$A$2:$A$355,0))=0,"",INDEX(Deals!$C$2:$C$355,MATCH($C533,Deals!$A$2:$A$355,0))),"?"))</f>
        <v/>
      </c>
      <c r="E533" s="16">
        <f>IF($C533="","",IFERROR(INDEX(Deals!$F$2:$F$355,MATCH($C533,Deals!$A$2:$A$355,0)),"?"))</f>
        <v/>
      </c>
      <c r="F533" s="28" t="inlineStr">
        <is>
          <t>Senior Associate</t>
        </is>
      </c>
      <c r="G533" s="28" t="inlineStr">
        <is>
          <t>Active</t>
        </is>
      </c>
      <c r="H533" s="31" t="n"/>
      <c r="I533" s="32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1">
        <f>IF($C533="",0,IFERROR(INDEX(Deals!$H$2:$H$355,MATCH($C533,Deals!$A$2:$A$355,0)),0))</f>
        <v/>
      </c>
      <c r="K533" s="32">
        <f>IF(Settings!$B$4="Yes",$I533*$J533,$I533)</f>
        <v/>
      </c>
      <c r="L533" s="22">
        <f>IF($C533="","",IFERROR(IF(INDEX(Deals!$I$2:$I$355,MATCH($C533,Deals!$A$2:$A$355,0))=0,"",INDEX(Deals!$I$2:$I$355,MATCH($C533,Deals!$A$2:$A$355,0))),""))</f>
        <v/>
      </c>
      <c r="M533" s="22">
        <f>IF($C533="","",IFERROR(IF(INDEX(Deals!$J$2:$J$355,MATCH($C533,Deals!$A$2:$A$355,0))=0,"",INDEX(Deals!$J$2:$J$355,MATCH($C533,Deals!$A$2:$A$355,0))),""))</f>
        <v/>
      </c>
      <c r="N533" s="35">
        <f>IF($L533="",DATE(1900,1,1),$L533)</f>
        <v/>
      </c>
      <c r="O533" s="35">
        <f>IF($M533="",DATE(2100,12,31),$M533)</f>
        <v/>
      </c>
      <c r="P533" s="20" t="inlineStr"/>
      <c r="Q533" s="43" t="inlineStr"/>
      <c r="R533" s="16">
        <f>IF($C533="","",IFERROR(IF(INDEX(Deals!$U$2:$U$355,MATCH($C533,Deals!$A$2:$A$355,0))=0,"",INDEX(Deals!$U$2:$U$355,MATCH($C533,Deals!$A$2:$A$355,0))),""))</f>
        <v/>
      </c>
      <c r="S533" s="34">
        <f>IFERROR(IF($U533="",1,INDEX(Deals!$V$2:$V$355,MATCH($C533,Deals!$A$2:$A$355,0))),1)</f>
        <v/>
      </c>
      <c r="T533" s="34">
        <f>IFERROR(IF($U533="",1,INDEX(Deals!$W$2:$W$355,MATCH($C533,Deals!$A$2:$A$355,0))),1)</f>
        <v/>
      </c>
      <c r="U533" s="22">
        <f>IF($C533="","",IFERROR(IF(INDEX(Deals!$Y$2:$Y$355,MATCH($C533,Deals!$A$2:$A$355,0))=0,"",INDEX(Deals!$Y$2:$Y$355,MATCH($C533,Deals!$A$2:$A$355,0))),""))</f>
        <v/>
      </c>
      <c r="V533" s="35">
        <f>IF($U533="",DATE(1900,1,1),$N533)</f>
        <v/>
      </c>
      <c r="W533" s="35">
        <f>IF($U533="",DATE(2100,12,31),$U533)</f>
        <v/>
      </c>
      <c r="X533" s="32">
        <f>IF($U533="",$K533,$K533*$S533)</f>
        <v/>
      </c>
      <c r="Y533" s="35">
        <f>IF($U533="",DATE(2100,12,31),$U533+1)</f>
        <v/>
      </c>
      <c r="Z533" s="35">
        <f>IF($U533="",DATE(1900,1,1),$O533)</f>
        <v/>
      </c>
      <c r="AA533" s="32">
        <f>IF($U533="",0,$K533*$T533)</f>
        <v/>
      </c>
      <c r="AB533" s="21">
        <f>IF($C533="",0,IFERROR(INDEX(Deals!$AD$2:$AD$355,MATCH($C533,Deals!$A$2:$A$355,0)),0))</f>
        <v/>
      </c>
      <c r="AC533" s="32">
        <f>IF(Settings!$B$4="Yes",$I533*$AB533,$I533)</f>
        <v/>
      </c>
      <c r="AD533" s="22">
        <f>IF($C533="","",IFERROR(IF(INDEX(Deals!$AE$2:$AE$355,MATCH($C533,Deals!$A$2:$A$355,0))=0,"",INDEX(Deals!$AE$2:$AE$355,MATCH($C533,Deals!$A$2:$A$355,0))),""))</f>
        <v/>
      </c>
      <c r="AE533" s="22">
        <f>IF($C533="","",IFERROR(IF(INDEX(Deals!$AF$2:$AF$355,MATCH($C533,Deals!$A$2:$A$355,0))=0,"",INDEX(Deals!$AF$2:$AF$355,MATCH($C533,Deals!$A$2:$A$355,0))),""))</f>
        <v/>
      </c>
      <c r="AF533" s="35">
        <f>IF($AD533="",DATE(1900,1,1),$AD533)</f>
        <v/>
      </c>
      <c r="AG533" s="35">
        <f>IF($AE533="",DATE(2100,12,31),$AE533)</f>
        <v/>
      </c>
      <c r="AH533" s="22">
        <f>IF($C533="","",IFERROR(IF(INDEX(Deals!$AG$2:$AG$355,MATCH($C533,Deals!$A$2:$A$355,0))=0,"",INDEX(Deals!$AG$2:$AG$355,MATCH($C533,Deals!$A$2:$A$355,0))),""))</f>
        <v/>
      </c>
      <c r="AI533" s="35">
        <f>IF($AH533="",DATE(1900,1,1),$AF533)</f>
        <v/>
      </c>
      <c r="AJ533" s="35">
        <f>IF($AH533="",DATE(2100,12,31),$AH533)</f>
        <v/>
      </c>
      <c r="AK533" s="32">
        <f>IF($AH533="",$AC533,$AC533*$S533)</f>
        <v/>
      </c>
      <c r="AL533" s="35">
        <f>IF($AH533="",DATE(2100,12,31),$AH533+1)</f>
        <v/>
      </c>
      <c r="AM533" s="35">
        <f>IF($AH533="",DATE(1900,1,1),$AG533)</f>
        <v/>
      </c>
      <c r="AN533" s="32">
        <f>IF($AH533="",0,$AC533*$T533)</f>
        <v/>
      </c>
    </row>
    <row r="534">
      <c r="A534" s="28" t="inlineStr">
        <is>
          <t>Jennifer Wu</t>
        </is>
      </c>
      <c r="B534" s="16">
        <f>IF($A534="","",IFERROR(INDEX(Roster!$B$2:$B$40,MATCH($A534,Roster!$A$2:$A$40,0)),"?"))</f>
        <v/>
      </c>
      <c r="C534" s="28" t="inlineStr">
        <is>
          <t>Sakura</t>
        </is>
      </c>
      <c r="D534" s="16">
        <f>IF($C534="","",IFERROR(IF(INDEX(Deals!$C$2:$C$355,MATCH($C534,Deals!$A$2:$A$355,0))=0,"",INDEX(Deals!$C$2:$C$355,MATCH($C534,Deals!$A$2:$A$355,0))),"?"))</f>
        <v/>
      </c>
      <c r="E534" s="16">
        <f>IF($C534="","",IFERROR(INDEX(Deals!$F$2:$F$355,MATCH($C534,Deals!$A$2:$A$355,0)),"?"))</f>
        <v/>
      </c>
      <c r="F534" s="28" t="inlineStr">
        <is>
          <t>Senior Associate</t>
        </is>
      </c>
      <c r="G534" s="28" t="inlineStr">
        <is>
          <t>Active</t>
        </is>
      </c>
      <c r="H534" s="31" t="n"/>
      <c r="I534" s="32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1">
        <f>IF($C534="",0,IFERROR(INDEX(Deals!$H$2:$H$355,MATCH($C534,Deals!$A$2:$A$355,0)),0))</f>
        <v/>
      </c>
      <c r="K534" s="32">
        <f>IF(Settings!$B$4="Yes",$I534*$J534,$I534)</f>
        <v/>
      </c>
      <c r="L534" s="22">
        <f>IF($C534="","",IFERROR(IF(INDEX(Deals!$I$2:$I$355,MATCH($C534,Deals!$A$2:$A$355,0))=0,"",INDEX(Deals!$I$2:$I$355,MATCH($C534,Deals!$A$2:$A$355,0))),""))</f>
        <v/>
      </c>
      <c r="M534" s="22">
        <f>IF($C534="","",IFERROR(IF(INDEX(Deals!$J$2:$J$355,MATCH($C534,Deals!$A$2:$A$355,0))=0,"",INDEX(Deals!$J$2:$J$355,MATCH($C534,Deals!$A$2:$A$355,0))),""))</f>
        <v/>
      </c>
      <c r="N534" s="35">
        <f>IF($L534="",DATE(1900,1,1),$L534)</f>
        <v/>
      </c>
      <c r="O534" s="35">
        <f>IF($M534="",DATE(2100,12,31),$M534)</f>
        <v/>
      </c>
      <c r="P534" s="20" t="inlineStr"/>
      <c r="Q534" s="43" t="inlineStr"/>
      <c r="R534" s="16">
        <f>IF($C534="","",IFERROR(IF(INDEX(Deals!$U$2:$U$355,MATCH($C534,Deals!$A$2:$A$355,0))=0,"",INDEX(Deals!$U$2:$U$355,MATCH($C534,Deals!$A$2:$A$355,0))),""))</f>
        <v/>
      </c>
      <c r="S534" s="34">
        <f>IFERROR(IF($U534="",1,INDEX(Deals!$V$2:$V$355,MATCH($C534,Deals!$A$2:$A$355,0))),1)</f>
        <v/>
      </c>
      <c r="T534" s="34">
        <f>IFERROR(IF($U534="",1,INDEX(Deals!$W$2:$W$355,MATCH($C534,Deals!$A$2:$A$355,0))),1)</f>
        <v/>
      </c>
      <c r="U534" s="22">
        <f>IF($C534="","",IFERROR(IF(INDEX(Deals!$Y$2:$Y$355,MATCH($C534,Deals!$A$2:$A$355,0))=0,"",INDEX(Deals!$Y$2:$Y$355,MATCH($C534,Deals!$A$2:$A$355,0))),""))</f>
        <v/>
      </c>
      <c r="V534" s="35">
        <f>IF($U534="",DATE(1900,1,1),$N534)</f>
        <v/>
      </c>
      <c r="W534" s="35">
        <f>IF($U534="",DATE(2100,12,31),$U534)</f>
        <v/>
      </c>
      <c r="X534" s="32">
        <f>IF($U534="",$K534,$K534*$S534)</f>
        <v/>
      </c>
      <c r="Y534" s="35">
        <f>IF($U534="",DATE(2100,12,31),$U534+1)</f>
        <v/>
      </c>
      <c r="Z534" s="35">
        <f>IF($U534="",DATE(1900,1,1),$O534)</f>
        <v/>
      </c>
      <c r="AA534" s="32">
        <f>IF($U534="",0,$K534*$T534)</f>
        <v/>
      </c>
      <c r="AB534" s="21">
        <f>IF($C534="",0,IFERROR(INDEX(Deals!$AD$2:$AD$355,MATCH($C534,Deals!$A$2:$A$355,0)),0))</f>
        <v/>
      </c>
      <c r="AC534" s="32">
        <f>IF(Settings!$B$4="Yes",$I534*$AB534,$I534)</f>
        <v/>
      </c>
      <c r="AD534" s="22">
        <f>IF($C534="","",IFERROR(IF(INDEX(Deals!$AE$2:$AE$355,MATCH($C534,Deals!$A$2:$A$355,0))=0,"",INDEX(Deals!$AE$2:$AE$355,MATCH($C534,Deals!$A$2:$A$355,0))),""))</f>
        <v/>
      </c>
      <c r="AE534" s="22">
        <f>IF($C534="","",IFERROR(IF(INDEX(Deals!$AF$2:$AF$355,MATCH($C534,Deals!$A$2:$A$355,0))=0,"",INDEX(Deals!$AF$2:$AF$355,MATCH($C534,Deals!$A$2:$A$355,0))),""))</f>
        <v/>
      </c>
      <c r="AF534" s="35">
        <f>IF($AD534="",DATE(1900,1,1),$AD534)</f>
        <v/>
      </c>
      <c r="AG534" s="35">
        <f>IF($AE534="",DATE(2100,12,31),$AE534)</f>
        <v/>
      </c>
      <c r="AH534" s="22">
        <f>IF($C534="","",IFERROR(IF(INDEX(Deals!$AG$2:$AG$355,MATCH($C534,Deals!$A$2:$A$355,0))=0,"",INDEX(Deals!$AG$2:$AG$355,MATCH($C534,Deals!$A$2:$A$355,0))),""))</f>
        <v/>
      </c>
      <c r="AI534" s="35">
        <f>IF($AH534="",DATE(1900,1,1),$AF534)</f>
        <v/>
      </c>
      <c r="AJ534" s="35">
        <f>IF($AH534="",DATE(2100,12,31),$AH534)</f>
        <v/>
      </c>
      <c r="AK534" s="32">
        <f>IF($AH534="",$AC534,$AC534*$S534)</f>
        <v/>
      </c>
      <c r="AL534" s="35">
        <f>IF($AH534="",DATE(2100,12,31),$AH534+1)</f>
        <v/>
      </c>
      <c r="AM534" s="35">
        <f>IF($AH534="",DATE(1900,1,1),$AG534)</f>
        <v/>
      </c>
      <c r="AN534" s="32">
        <f>IF($AH534="",0,$AC534*$T534)</f>
        <v/>
      </c>
    </row>
    <row r="535">
      <c r="A535" s="28" t="inlineStr">
        <is>
          <t>Jennifer Wu</t>
        </is>
      </c>
      <c r="B535" s="16">
        <f>IF($A535="","",IFERROR(INDEX(Roster!$B$2:$B$40,MATCH($A535,Roster!$A$2:$A$40,0)),"?"))</f>
        <v/>
      </c>
      <c r="C535" s="28" t="inlineStr">
        <is>
          <t>Soltra_1</t>
        </is>
      </c>
      <c r="D535" s="16">
        <f>IF($C535="","",IFERROR(IF(INDEX(Deals!$C$2:$C$355,MATCH($C535,Deals!$A$2:$A$355,0))=0,"",INDEX(Deals!$C$2:$C$355,MATCH($C535,Deals!$A$2:$A$355,0))),"?"))</f>
        <v/>
      </c>
      <c r="E535" s="16">
        <f>IF($C535="","",IFERROR(INDEX(Deals!$F$2:$F$355,MATCH($C535,Deals!$A$2:$A$355,0)),"?"))</f>
        <v/>
      </c>
      <c r="F535" s="28" t="inlineStr">
        <is>
          <t>Senior Associate</t>
        </is>
      </c>
      <c r="G535" s="28" t="inlineStr">
        <is>
          <t>Active</t>
        </is>
      </c>
      <c r="H535" s="31" t="n"/>
      <c r="I535" s="32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1">
        <f>IF($C535="",0,IFERROR(INDEX(Deals!$H$2:$H$355,MATCH($C535,Deals!$A$2:$A$355,0)),0))</f>
        <v/>
      </c>
      <c r="K535" s="32">
        <f>IF(Settings!$B$4="Yes",$I535*$J535,$I535)</f>
        <v/>
      </c>
      <c r="L535" s="22">
        <f>IF($C535="","",IFERROR(IF(INDEX(Deals!$I$2:$I$355,MATCH($C535,Deals!$A$2:$A$355,0))=0,"",INDEX(Deals!$I$2:$I$355,MATCH($C535,Deals!$A$2:$A$355,0))),""))</f>
        <v/>
      </c>
      <c r="M535" s="22">
        <f>IF($C535="","",IFERROR(IF(INDEX(Deals!$J$2:$J$355,MATCH($C535,Deals!$A$2:$A$355,0))=0,"",INDEX(Deals!$J$2:$J$355,MATCH($C535,Deals!$A$2:$A$355,0))),""))</f>
        <v/>
      </c>
      <c r="N535" s="35">
        <f>IF($L535="",DATE(1900,1,1),$L535)</f>
        <v/>
      </c>
      <c r="O535" s="35">
        <f>IF($M535="",DATE(2100,12,31),$M535)</f>
        <v/>
      </c>
      <c r="P535" s="20" t="inlineStr"/>
      <c r="Q535" s="43" t="inlineStr"/>
      <c r="R535" s="16">
        <f>IF($C535="","",IFERROR(IF(INDEX(Deals!$U$2:$U$355,MATCH($C535,Deals!$A$2:$A$355,0))=0,"",INDEX(Deals!$U$2:$U$355,MATCH($C535,Deals!$A$2:$A$355,0))),""))</f>
        <v/>
      </c>
      <c r="S535" s="34">
        <f>IFERROR(IF($U535="",1,INDEX(Deals!$V$2:$V$355,MATCH($C535,Deals!$A$2:$A$355,0))),1)</f>
        <v/>
      </c>
      <c r="T535" s="34">
        <f>IFERROR(IF($U535="",1,INDEX(Deals!$W$2:$W$355,MATCH($C535,Deals!$A$2:$A$355,0))),1)</f>
        <v/>
      </c>
      <c r="U535" s="22">
        <f>IF($C535="","",IFERROR(IF(INDEX(Deals!$Y$2:$Y$355,MATCH($C535,Deals!$A$2:$A$355,0))=0,"",INDEX(Deals!$Y$2:$Y$355,MATCH($C535,Deals!$A$2:$A$355,0))),""))</f>
        <v/>
      </c>
      <c r="V535" s="35">
        <f>IF($U535="",DATE(1900,1,1),$N535)</f>
        <v/>
      </c>
      <c r="W535" s="35">
        <f>IF($U535="",DATE(2100,12,31),$U535)</f>
        <v/>
      </c>
      <c r="X535" s="32">
        <f>IF($U535="",$K535,$K535*$S535)</f>
        <v/>
      </c>
      <c r="Y535" s="35">
        <f>IF($U535="",DATE(2100,12,31),$U535+1)</f>
        <v/>
      </c>
      <c r="Z535" s="35">
        <f>IF($U535="",DATE(1900,1,1),$O535)</f>
        <v/>
      </c>
      <c r="AA535" s="32">
        <f>IF($U535="",0,$K535*$T535)</f>
        <v/>
      </c>
      <c r="AB535" s="21">
        <f>IF($C535="",0,IFERROR(INDEX(Deals!$AD$2:$AD$355,MATCH($C535,Deals!$A$2:$A$355,0)),0))</f>
        <v/>
      </c>
      <c r="AC535" s="32">
        <f>IF(Settings!$B$4="Yes",$I535*$AB535,$I535)</f>
        <v/>
      </c>
      <c r="AD535" s="22">
        <f>IF($C535="","",IFERROR(IF(INDEX(Deals!$AE$2:$AE$355,MATCH($C535,Deals!$A$2:$A$355,0))=0,"",INDEX(Deals!$AE$2:$AE$355,MATCH($C535,Deals!$A$2:$A$355,0))),""))</f>
        <v/>
      </c>
      <c r="AE535" s="22">
        <f>IF($C535="","",IFERROR(IF(INDEX(Deals!$AF$2:$AF$355,MATCH($C535,Deals!$A$2:$A$355,0))=0,"",INDEX(Deals!$AF$2:$AF$355,MATCH($C535,Deals!$A$2:$A$355,0))),""))</f>
        <v/>
      </c>
      <c r="AF535" s="35">
        <f>IF($AD535="",DATE(1900,1,1),$AD535)</f>
        <v/>
      </c>
      <c r="AG535" s="35">
        <f>IF($AE535="",DATE(2100,12,31),$AE535)</f>
        <v/>
      </c>
      <c r="AH535" s="22">
        <f>IF($C535="","",IFERROR(IF(INDEX(Deals!$AG$2:$AG$355,MATCH($C535,Deals!$A$2:$A$355,0))=0,"",INDEX(Deals!$AG$2:$AG$355,MATCH($C535,Deals!$A$2:$A$355,0))),""))</f>
        <v/>
      </c>
      <c r="AI535" s="35">
        <f>IF($AH535="",DATE(1900,1,1),$AF535)</f>
        <v/>
      </c>
      <c r="AJ535" s="35">
        <f>IF($AH535="",DATE(2100,12,31),$AH535)</f>
        <v/>
      </c>
      <c r="AK535" s="32">
        <f>IF($AH535="",$AC535,$AC535*$S535)</f>
        <v/>
      </c>
      <c r="AL535" s="35">
        <f>IF($AH535="",DATE(2100,12,31),$AH535+1)</f>
        <v/>
      </c>
      <c r="AM535" s="35">
        <f>IF($AH535="",DATE(1900,1,1),$AG535)</f>
        <v/>
      </c>
      <c r="AN535" s="32">
        <f>IF($AH535="",0,$AC535*$T535)</f>
        <v/>
      </c>
    </row>
    <row r="536">
      <c r="A536" s="28" t="inlineStr">
        <is>
          <t>Jennifer Wu</t>
        </is>
      </c>
      <c r="B536" s="16">
        <f>IF($A536="","",IFERROR(INDEX(Roster!$B$2:$B$40,MATCH($A536,Roster!$A$2:$A$40,0)),"?"))</f>
        <v/>
      </c>
      <c r="C536" s="28" t="inlineStr">
        <is>
          <t>Twister_1</t>
        </is>
      </c>
      <c r="D536" s="16">
        <f>IF($C536="","",IFERROR(IF(INDEX(Deals!$C$2:$C$355,MATCH($C536,Deals!$A$2:$A$355,0))=0,"",INDEX(Deals!$C$2:$C$355,MATCH($C536,Deals!$A$2:$A$355,0))),"?"))</f>
        <v/>
      </c>
      <c r="E536" s="16">
        <f>IF($C536="","",IFERROR(INDEX(Deals!$F$2:$F$355,MATCH($C536,Deals!$A$2:$A$355,0)),"?"))</f>
        <v/>
      </c>
      <c r="F536" s="28" t="inlineStr">
        <is>
          <t>Senior Associate</t>
        </is>
      </c>
      <c r="G536" s="28" t="inlineStr">
        <is>
          <t>Active</t>
        </is>
      </c>
      <c r="H536" s="31" t="n"/>
      <c r="I536" s="32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1">
        <f>IF($C536="",0,IFERROR(INDEX(Deals!$H$2:$H$355,MATCH($C536,Deals!$A$2:$A$355,0)),0))</f>
        <v/>
      </c>
      <c r="K536" s="32">
        <f>IF(Settings!$B$4="Yes",$I536*$J536,$I536)</f>
        <v/>
      </c>
      <c r="L536" s="22">
        <f>IF($C536="","",IFERROR(IF(INDEX(Deals!$I$2:$I$355,MATCH($C536,Deals!$A$2:$A$355,0))=0,"",INDEX(Deals!$I$2:$I$355,MATCH($C536,Deals!$A$2:$A$355,0))),""))</f>
        <v/>
      </c>
      <c r="M536" s="22">
        <f>IF($C536="","",IFERROR(IF(INDEX(Deals!$J$2:$J$355,MATCH($C536,Deals!$A$2:$A$355,0))=0,"",INDEX(Deals!$J$2:$J$355,MATCH($C536,Deals!$A$2:$A$355,0))),""))</f>
        <v/>
      </c>
      <c r="N536" s="35">
        <f>IF($L536="",DATE(1900,1,1),$L536)</f>
        <v/>
      </c>
      <c r="O536" s="35">
        <f>IF($M536="",DATE(2100,12,31),$M536)</f>
        <v/>
      </c>
      <c r="P536" s="20" t="inlineStr"/>
      <c r="Q536" s="43" t="inlineStr"/>
      <c r="R536" s="16">
        <f>IF($C536="","",IFERROR(IF(INDEX(Deals!$U$2:$U$355,MATCH($C536,Deals!$A$2:$A$355,0))=0,"",INDEX(Deals!$U$2:$U$355,MATCH($C536,Deals!$A$2:$A$355,0))),""))</f>
        <v/>
      </c>
      <c r="S536" s="34">
        <f>IFERROR(IF($U536="",1,INDEX(Deals!$V$2:$V$355,MATCH($C536,Deals!$A$2:$A$355,0))),1)</f>
        <v/>
      </c>
      <c r="T536" s="34">
        <f>IFERROR(IF($U536="",1,INDEX(Deals!$W$2:$W$355,MATCH($C536,Deals!$A$2:$A$355,0))),1)</f>
        <v/>
      </c>
      <c r="U536" s="22">
        <f>IF($C536="","",IFERROR(IF(INDEX(Deals!$Y$2:$Y$355,MATCH($C536,Deals!$A$2:$A$355,0))=0,"",INDEX(Deals!$Y$2:$Y$355,MATCH($C536,Deals!$A$2:$A$355,0))),""))</f>
        <v/>
      </c>
      <c r="V536" s="35">
        <f>IF($U536="",DATE(1900,1,1),$N536)</f>
        <v/>
      </c>
      <c r="W536" s="35">
        <f>IF($U536="",DATE(2100,12,31),$U536)</f>
        <v/>
      </c>
      <c r="X536" s="32">
        <f>IF($U536="",$K536,$K536*$S536)</f>
        <v/>
      </c>
      <c r="Y536" s="35">
        <f>IF($U536="",DATE(2100,12,31),$U536+1)</f>
        <v/>
      </c>
      <c r="Z536" s="35">
        <f>IF($U536="",DATE(1900,1,1),$O536)</f>
        <v/>
      </c>
      <c r="AA536" s="32">
        <f>IF($U536="",0,$K536*$T536)</f>
        <v/>
      </c>
      <c r="AB536" s="21">
        <f>IF($C536="",0,IFERROR(INDEX(Deals!$AD$2:$AD$355,MATCH($C536,Deals!$A$2:$A$355,0)),0))</f>
        <v/>
      </c>
      <c r="AC536" s="32">
        <f>IF(Settings!$B$4="Yes",$I536*$AB536,$I536)</f>
        <v/>
      </c>
      <c r="AD536" s="22">
        <f>IF($C536="","",IFERROR(IF(INDEX(Deals!$AE$2:$AE$355,MATCH($C536,Deals!$A$2:$A$355,0))=0,"",INDEX(Deals!$AE$2:$AE$355,MATCH($C536,Deals!$A$2:$A$355,0))),""))</f>
        <v/>
      </c>
      <c r="AE536" s="22">
        <f>IF($C536="","",IFERROR(IF(INDEX(Deals!$AF$2:$AF$355,MATCH($C536,Deals!$A$2:$A$355,0))=0,"",INDEX(Deals!$AF$2:$AF$355,MATCH($C536,Deals!$A$2:$A$355,0))),""))</f>
        <v/>
      </c>
      <c r="AF536" s="35">
        <f>IF($AD536="",DATE(1900,1,1),$AD536)</f>
        <v/>
      </c>
      <c r="AG536" s="35">
        <f>IF($AE536="",DATE(2100,12,31),$AE536)</f>
        <v/>
      </c>
      <c r="AH536" s="22">
        <f>IF($C536="","",IFERROR(IF(INDEX(Deals!$AG$2:$AG$355,MATCH($C536,Deals!$A$2:$A$355,0))=0,"",INDEX(Deals!$AG$2:$AG$355,MATCH($C536,Deals!$A$2:$A$355,0))),""))</f>
        <v/>
      </c>
      <c r="AI536" s="35">
        <f>IF($AH536="",DATE(1900,1,1),$AF536)</f>
        <v/>
      </c>
      <c r="AJ536" s="35">
        <f>IF($AH536="",DATE(2100,12,31),$AH536)</f>
        <v/>
      </c>
      <c r="AK536" s="32">
        <f>IF($AH536="",$AC536,$AC536*$S536)</f>
        <v/>
      </c>
      <c r="AL536" s="35">
        <f>IF($AH536="",DATE(2100,12,31),$AH536+1)</f>
        <v/>
      </c>
      <c r="AM536" s="35">
        <f>IF($AH536="",DATE(1900,1,1),$AG536)</f>
        <v/>
      </c>
      <c r="AN536" s="32">
        <f>IF($AH536="",0,$AC536*$T536)</f>
        <v/>
      </c>
    </row>
    <row r="537">
      <c r="A537" s="28" t="inlineStr">
        <is>
          <t>Dorian</t>
        </is>
      </c>
      <c r="B537" s="16">
        <f>IF($A537="","",IFERROR(INDEX(Roster!$B$2:$B$40,MATCH($A537,Roster!$A$2:$A$40,0)),"?"))</f>
        <v/>
      </c>
      <c r="C537" s="28" t="inlineStr">
        <is>
          <t>80/20 Assistance_1</t>
        </is>
      </c>
      <c r="D537" s="16">
        <f>IF($C537="","",IFERROR(IF(INDEX(Deals!$C$2:$C$355,MATCH($C537,Deals!$A$2:$A$355,0))=0,"",INDEX(Deals!$C$2:$C$355,MATCH($C537,Deals!$A$2:$A$355,0))),"?"))</f>
        <v/>
      </c>
      <c r="E537" s="16">
        <f>IF($C537="","",IFERROR(INDEX(Deals!$F$2:$F$355,MATCH($C537,Deals!$A$2:$A$355,0)),"?"))</f>
        <v/>
      </c>
      <c r="F537" s="28" t="inlineStr">
        <is>
          <t>Renewable Specialist</t>
        </is>
      </c>
      <c r="G537" s="28" t="inlineStr">
        <is>
          <t>Active</t>
        </is>
      </c>
      <c r="H537" s="31" t="n"/>
      <c r="I537" s="32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1">
        <f>IF($C537="",0,IFERROR(INDEX(Deals!$H$2:$H$355,MATCH($C537,Deals!$A$2:$A$355,0)),0))</f>
        <v/>
      </c>
      <c r="K537" s="32">
        <f>IF(Settings!$B$4="Yes",$I537*$J537,$I537)</f>
        <v/>
      </c>
      <c r="L537" s="22">
        <f>IF($C537="","",IFERROR(IF(INDEX(Deals!$I$2:$I$355,MATCH($C537,Deals!$A$2:$A$355,0))=0,"",INDEX(Deals!$I$2:$I$355,MATCH($C537,Deals!$A$2:$A$355,0))),""))</f>
        <v/>
      </c>
      <c r="M537" s="22">
        <f>IF($C537="","",IFERROR(IF(INDEX(Deals!$J$2:$J$355,MATCH($C537,Deals!$A$2:$A$355,0))=0,"",INDEX(Deals!$J$2:$J$355,MATCH($C537,Deals!$A$2:$A$355,0))),""))</f>
        <v/>
      </c>
      <c r="N537" s="35">
        <f>IF($L537="",DATE(1900,1,1),$L537)</f>
        <v/>
      </c>
      <c r="O537" s="35">
        <f>IF($M537="",DATE(2100,12,31),$M537)</f>
        <v/>
      </c>
      <c r="P537" s="20" t="inlineStr"/>
      <c r="Q537" s="43" t="inlineStr"/>
      <c r="R537" s="16">
        <f>IF($C537="","",IFERROR(IF(INDEX(Deals!$U$2:$U$355,MATCH($C537,Deals!$A$2:$A$355,0))=0,"",INDEX(Deals!$U$2:$U$355,MATCH($C537,Deals!$A$2:$A$355,0))),""))</f>
        <v/>
      </c>
      <c r="S537" s="34">
        <f>IFERROR(IF($U537="",1,INDEX(Deals!$V$2:$V$355,MATCH($C537,Deals!$A$2:$A$355,0))),1)</f>
        <v/>
      </c>
      <c r="T537" s="34">
        <f>IFERROR(IF($U537="",1,INDEX(Deals!$W$2:$W$355,MATCH($C537,Deals!$A$2:$A$355,0))),1)</f>
        <v/>
      </c>
      <c r="U537" s="22">
        <f>IF($C537="","",IFERROR(IF(INDEX(Deals!$Y$2:$Y$355,MATCH($C537,Deals!$A$2:$A$355,0))=0,"",INDEX(Deals!$Y$2:$Y$355,MATCH($C537,Deals!$A$2:$A$355,0))),""))</f>
        <v/>
      </c>
      <c r="V537" s="35">
        <f>IF($U537="",DATE(1900,1,1),$N537)</f>
        <v/>
      </c>
      <c r="W537" s="35">
        <f>IF($U537="",DATE(2100,12,31),$U537)</f>
        <v/>
      </c>
      <c r="X537" s="32">
        <f>IF($U537="",$K537,$K537*$S537)</f>
        <v/>
      </c>
      <c r="Y537" s="35">
        <f>IF($U537="",DATE(2100,12,31),$U537+1)</f>
        <v/>
      </c>
      <c r="Z537" s="35">
        <f>IF($U537="",DATE(1900,1,1),$O537)</f>
        <v/>
      </c>
      <c r="AA537" s="32">
        <f>IF($U537="",0,$K537*$T537)</f>
        <v/>
      </c>
      <c r="AB537" s="21">
        <f>IF($C537="",0,IFERROR(INDEX(Deals!$AD$2:$AD$355,MATCH($C537,Deals!$A$2:$A$355,0)),0))</f>
        <v/>
      </c>
      <c r="AC537" s="32">
        <f>IF(Settings!$B$4="Yes",$I537*$AB537,$I537)</f>
        <v/>
      </c>
      <c r="AD537" s="22">
        <f>IF($C537="","",IFERROR(IF(INDEX(Deals!$AE$2:$AE$355,MATCH($C537,Deals!$A$2:$A$355,0))=0,"",INDEX(Deals!$AE$2:$AE$355,MATCH($C537,Deals!$A$2:$A$355,0))),""))</f>
        <v/>
      </c>
      <c r="AE537" s="22">
        <f>IF($C537="","",IFERROR(IF(INDEX(Deals!$AF$2:$AF$355,MATCH($C537,Deals!$A$2:$A$355,0))=0,"",INDEX(Deals!$AF$2:$AF$355,MATCH($C537,Deals!$A$2:$A$355,0))),""))</f>
        <v/>
      </c>
      <c r="AF537" s="35">
        <f>IF($AD537="",DATE(1900,1,1),$AD537)</f>
        <v/>
      </c>
      <c r="AG537" s="35">
        <f>IF($AE537="",DATE(2100,12,31),$AE537)</f>
        <v/>
      </c>
      <c r="AH537" s="22">
        <f>IF($C537="","",IFERROR(IF(INDEX(Deals!$AG$2:$AG$355,MATCH($C537,Deals!$A$2:$A$355,0))=0,"",INDEX(Deals!$AG$2:$AG$355,MATCH($C537,Deals!$A$2:$A$355,0))),""))</f>
        <v/>
      </c>
      <c r="AI537" s="35">
        <f>IF($AH537="",DATE(1900,1,1),$AF537)</f>
        <v/>
      </c>
      <c r="AJ537" s="35">
        <f>IF($AH537="",DATE(2100,12,31),$AH537)</f>
        <v/>
      </c>
      <c r="AK537" s="32">
        <f>IF($AH537="",$AC537,$AC537*$S537)</f>
        <v/>
      </c>
      <c r="AL537" s="35">
        <f>IF($AH537="",DATE(2100,12,31),$AH537+1)</f>
        <v/>
      </c>
      <c r="AM537" s="35">
        <f>IF($AH537="",DATE(1900,1,1),$AG537)</f>
        <v/>
      </c>
      <c r="AN537" s="32">
        <f>IF($AH537="",0,$AC537*$T537)</f>
        <v/>
      </c>
    </row>
    <row r="538">
      <c r="A538" s="28" t="inlineStr">
        <is>
          <t>Dorian</t>
        </is>
      </c>
      <c r="B538" s="16">
        <f>IF($A538="","",IFERROR(INDEX(Roster!$B$2:$B$40,MATCH($A538,Roster!$A$2:$A$40,0)),"?"))</f>
        <v/>
      </c>
      <c r="C538" s="28" t="inlineStr">
        <is>
          <t>Aypa Power General PW&amp;A Advisory_1</t>
        </is>
      </c>
      <c r="D538" s="16">
        <f>IF($C538="","",IFERROR(IF(INDEX(Deals!$C$2:$C$355,MATCH($C538,Deals!$A$2:$A$355,0))=0,"",INDEX(Deals!$C$2:$C$355,MATCH($C538,Deals!$A$2:$A$355,0))),"?"))</f>
        <v/>
      </c>
      <c r="E538" s="16">
        <f>IF($C538="","",IFERROR(INDEX(Deals!$F$2:$F$355,MATCH($C538,Deals!$A$2:$A$355,0)),"?"))</f>
        <v/>
      </c>
      <c r="F538" s="28" t="inlineStr">
        <is>
          <t>Renewable Specialist</t>
        </is>
      </c>
      <c r="G538" s="28" t="inlineStr">
        <is>
          <t>Inactive</t>
        </is>
      </c>
      <c r="H538" s="31" t="n"/>
      <c r="I538" s="32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1">
        <f>IF($C538="",0,IFERROR(INDEX(Deals!$H$2:$H$355,MATCH($C538,Deals!$A$2:$A$355,0)),0))</f>
        <v/>
      </c>
      <c r="K538" s="32">
        <f>IF(Settings!$B$4="Yes",$I538*$J538,$I538)</f>
        <v/>
      </c>
      <c r="L538" s="22">
        <f>IF($C538="","",IFERROR(IF(INDEX(Deals!$I$2:$I$355,MATCH($C538,Deals!$A$2:$A$355,0))=0,"",INDEX(Deals!$I$2:$I$355,MATCH($C538,Deals!$A$2:$A$355,0))),""))</f>
        <v/>
      </c>
      <c r="M538" s="22">
        <f>IF($C538="","",IFERROR(IF(INDEX(Deals!$J$2:$J$355,MATCH($C538,Deals!$A$2:$A$355,0))=0,"",INDEX(Deals!$J$2:$J$355,MATCH($C538,Deals!$A$2:$A$355,0))),""))</f>
        <v/>
      </c>
      <c r="N538" s="35">
        <f>IF($L538="",DATE(1900,1,1),$L538)</f>
        <v/>
      </c>
      <c r="O538" s="35">
        <f>IF($M538="",DATE(2100,12,31),$M538)</f>
        <v/>
      </c>
      <c r="P538" s="20" t="inlineStr"/>
      <c r="Q538" s="43" t="inlineStr">
        <is>
          <t>Deal lifecycle is On hold</t>
        </is>
      </c>
      <c r="R538" s="16">
        <f>IF($C538="","",IFERROR(IF(INDEX(Deals!$U$2:$U$355,MATCH($C538,Deals!$A$2:$A$355,0))=0,"",INDEX(Deals!$U$2:$U$355,MATCH($C538,Deals!$A$2:$A$355,0))),""))</f>
        <v/>
      </c>
      <c r="S538" s="34">
        <f>IFERROR(IF($U538="",1,INDEX(Deals!$V$2:$V$355,MATCH($C538,Deals!$A$2:$A$355,0))),1)</f>
        <v/>
      </c>
      <c r="T538" s="34">
        <f>IFERROR(IF($U538="",1,INDEX(Deals!$W$2:$W$355,MATCH($C538,Deals!$A$2:$A$355,0))),1)</f>
        <v/>
      </c>
      <c r="U538" s="22">
        <f>IF($C538="","",IFERROR(IF(INDEX(Deals!$Y$2:$Y$355,MATCH($C538,Deals!$A$2:$A$355,0))=0,"",INDEX(Deals!$Y$2:$Y$355,MATCH($C538,Deals!$A$2:$A$355,0))),""))</f>
        <v/>
      </c>
      <c r="V538" s="35">
        <f>IF($U538="",DATE(1900,1,1),$N538)</f>
        <v/>
      </c>
      <c r="W538" s="35">
        <f>IF($U538="",DATE(2100,12,31),$U538)</f>
        <v/>
      </c>
      <c r="X538" s="32">
        <f>IF($U538="",$K538,$K538*$S538)</f>
        <v/>
      </c>
      <c r="Y538" s="35">
        <f>IF($U538="",DATE(2100,12,31),$U538+1)</f>
        <v/>
      </c>
      <c r="Z538" s="35">
        <f>IF($U538="",DATE(1900,1,1),$O538)</f>
        <v/>
      </c>
      <c r="AA538" s="32">
        <f>IF($U538="",0,$K538*$T538)</f>
        <v/>
      </c>
      <c r="AB538" s="21">
        <f>IF($C538="",0,IFERROR(INDEX(Deals!$AD$2:$AD$355,MATCH($C538,Deals!$A$2:$A$355,0)),0))</f>
        <v/>
      </c>
      <c r="AC538" s="32">
        <f>IF(Settings!$B$4="Yes",$I538*$AB538,$I538)</f>
        <v/>
      </c>
      <c r="AD538" s="22">
        <f>IF($C538="","",IFERROR(IF(INDEX(Deals!$AE$2:$AE$355,MATCH($C538,Deals!$A$2:$A$355,0))=0,"",INDEX(Deals!$AE$2:$AE$355,MATCH($C538,Deals!$A$2:$A$355,0))),""))</f>
        <v/>
      </c>
      <c r="AE538" s="22">
        <f>IF($C538="","",IFERROR(IF(INDEX(Deals!$AF$2:$AF$355,MATCH($C538,Deals!$A$2:$A$355,0))=0,"",INDEX(Deals!$AF$2:$AF$355,MATCH($C538,Deals!$A$2:$A$355,0))),""))</f>
        <v/>
      </c>
      <c r="AF538" s="35">
        <f>IF($AD538="",DATE(1900,1,1),$AD538)</f>
        <v/>
      </c>
      <c r="AG538" s="35">
        <f>IF($AE538="",DATE(2100,12,31),$AE538)</f>
        <v/>
      </c>
      <c r="AH538" s="22">
        <f>IF($C538="","",IFERROR(IF(INDEX(Deals!$AG$2:$AG$355,MATCH($C538,Deals!$A$2:$A$355,0))=0,"",INDEX(Deals!$AG$2:$AG$355,MATCH($C538,Deals!$A$2:$A$355,0))),""))</f>
        <v/>
      </c>
      <c r="AI538" s="35">
        <f>IF($AH538="",DATE(1900,1,1),$AF538)</f>
        <v/>
      </c>
      <c r="AJ538" s="35">
        <f>IF($AH538="",DATE(2100,12,31),$AH538)</f>
        <v/>
      </c>
      <c r="AK538" s="32">
        <f>IF($AH538="",$AC538,$AC538*$S538)</f>
        <v/>
      </c>
      <c r="AL538" s="35">
        <f>IF($AH538="",DATE(2100,12,31),$AH538+1)</f>
        <v/>
      </c>
      <c r="AM538" s="35">
        <f>IF($AH538="",DATE(1900,1,1),$AG538)</f>
        <v/>
      </c>
      <c r="AN538" s="32">
        <f>IF($AH538="",0,$AC538*$T538)</f>
        <v/>
      </c>
    </row>
    <row r="539">
      <c r="A539" s="28" t="inlineStr">
        <is>
          <t>Dorian</t>
        </is>
      </c>
      <c r="B539" s="16">
        <f>IF($A539="","",IFERROR(INDEX(Roster!$B$2:$B$40,MATCH($A539,Roster!$A$2:$A$40,0)),"?"))</f>
        <v/>
      </c>
      <c r="C539" s="28" t="inlineStr">
        <is>
          <t>Bishopville_1</t>
        </is>
      </c>
      <c r="D539" s="16">
        <f>IF($C539="","",IFERROR(IF(INDEX(Deals!$C$2:$C$355,MATCH($C539,Deals!$A$2:$A$355,0))=0,"",INDEX(Deals!$C$2:$C$355,MATCH($C539,Deals!$A$2:$A$355,0))),"?"))</f>
        <v/>
      </c>
      <c r="E539" s="16">
        <f>IF($C539="","",IFERROR(INDEX(Deals!$F$2:$F$355,MATCH($C539,Deals!$A$2:$A$355,0)),"?"))</f>
        <v/>
      </c>
      <c r="F539" s="28" t="inlineStr">
        <is>
          <t>Renewable Specialist</t>
        </is>
      </c>
      <c r="G539" s="28" t="inlineStr">
        <is>
          <t>Active</t>
        </is>
      </c>
      <c r="H539" s="31" t="n"/>
      <c r="I539" s="32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1">
        <f>IF($C539="",0,IFERROR(INDEX(Deals!$H$2:$H$355,MATCH($C539,Deals!$A$2:$A$355,0)),0))</f>
        <v/>
      </c>
      <c r="K539" s="32">
        <f>IF(Settings!$B$4="Yes",$I539*$J539,$I539)</f>
        <v/>
      </c>
      <c r="L539" s="22">
        <f>IF($C539="","",IFERROR(IF(INDEX(Deals!$I$2:$I$355,MATCH($C539,Deals!$A$2:$A$355,0))=0,"",INDEX(Deals!$I$2:$I$355,MATCH($C539,Deals!$A$2:$A$355,0))),""))</f>
        <v/>
      </c>
      <c r="M539" s="22">
        <f>IF($C539="","",IFERROR(IF(INDEX(Deals!$J$2:$J$355,MATCH($C539,Deals!$A$2:$A$355,0))=0,"",INDEX(Deals!$J$2:$J$355,MATCH($C539,Deals!$A$2:$A$355,0))),""))</f>
        <v/>
      </c>
      <c r="N539" s="35">
        <f>IF($L539="",DATE(1900,1,1),$L539)</f>
        <v/>
      </c>
      <c r="O539" s="35">
        <f>IF($M539="",DATE(2100,12,31),$M539)</f>
        <v/>
      </c>
      <c r="P539" s="20" t="inlineStr"/>
      <c r="Q539" s="43" t="inlineStr"/>
      <c r="R539" s="16">
        <f>IF($C539="","",IFERROR(IF(INDEX(Deals!$U$2:$U$355,MATCH($C539,Deals!$A$2:$A$355,0))=0,"",INDEX(Deals!$U$2:$U$355,MATCH($C539,Deals!$A$2:$A$355,0))),""))</f>
        <v/>
      </c>
      <c r="S539" s="34">
        <f>IFERROR(IF($U539="",1,INDEX(Deals!$V$2:$V$355,MATCH($C539,Deals!$A$2:$A$355,0))),1)</f>
        <v/>
      </c>
      <c r="T539" s="34">
        <f>IFERROR(IF($U539="",1,INDEX(Deals!$W$2:$W$355,MATCH($C539,Deals!$A$2:$A$355,0))),1)</f>
        <v/>
      </c>
      <c r="U539" s="22">
        <f>IF($C539="","",IFERROR(IF(INDEX(Deals!$Y$2:$Y$355,MATCH($C539,Deals!$A$2:$A$355,0))=0,"",INDEX(Deals!$Y$2:$Y$355,MATCH($C539,Deals!$A$2:$A$355,0))),""))</f>
        <v/>
      </c>
      <c r="V539" s="35">
        <f>IF($U539="",DATE(1900,1,1),$N539)</f>
        <v/>
      </c>
      <c r="W539" s="35">
        <f>IF($U539="",DATE(2100,12,31),$U539)</f>
        <v/>
      </c>
      <c r="X539" s="32">
        <f>IF($U539="",$K539,$K539*$S539)</f>
        <v/>
      </c>
      <c r="Y539" s="35">
        <f>IF($U539="",DATE(2100,12,31),$U539+1)</f>
        <v/>
      </c>
      <c r="Z539" s="35">
        <f>IF($U539="",DATE(1900,1,1),$O539)</f>
        <v/>
      </c>
      <c r="AA539" s="32">
        <f>IF($U539="",0,$K539*$T539)</f>
        <v/>
      </c>
      <c r="AB539" s="21">
        <f>IF($C539="",0,IFERROR(INDEX(Deals!$AD$2:$AD$355,MATCH($C539,Deals!$A$2:$A$355,0)),0))</f>
        <v/>
      </c>
      <c r="AC539" s="32">
        <f>IF(Settings!$B$4="Yes",$I539*$AB539,$I539)</f>
        <v/>
      </c>
      <c r="AD539" s="22">
        <f>IF($C539="","",IFERROR(IF(INDEX(Deals!$AE$2:$AE$355,MATCH($C539,Deals!$A$2:$A$355,0))=0,"",INDEX(Deals!$AE$2:$AE$355,MATCH($C539,Deals!$A$2:$A$355,0))),""))</f>
        <v/>
      </c>
      <c r="AE539" s="22">
        <f>IF($C539="","",IFERROR(IF(INDEX(Deals!$AF$2:$AF$355,MATCH($C539,Deals!$A$2:$A$355,0))=0,"",INDEX(Deals!$AF$2:$AF$355,MATCH($C539,Deals!$A$2:$A$355,0))),""))</f>
        <v/>
      </c>
      <c r="AF539" s="35">
        <f>IF($AD539="",DATE(1900,1,1),$AD539)</f>
        <v/>
      </c>
      <c r="AG539" s="35">
        <f>IF($AE539="",DATE(2100,12,31),$AE539)</f>
        <v/>
      </c>
      <c r="AH539" s="22">
        <f>IF($C539="","",IFERROR(IF(INDEX(Deals!$AG$2:$AG$355,MATCH($C539,Deals!$A$2:$A$355,0))=0,"",INDEX(Deals!$AG$2:$AG$355,MATCH($C539,Deals!$A$2:$A$355,0))),""))</f>
        <v/>
      </c>
      <c r="AI539" s="35">
        <f>IF($AH539="",DATE(1900,1,1),$AF539)</f>
        <v/>
      </c>
      <c r="AJ539" s="35">
        <f>IF($AH539="",DATE(2100,12,31),$AH539)</f>
        <v/>
      </c>
      <c r="AK539" s="32">
        <f>IF($AH539="",$AC539,$AC539*$S539)</f>
        <v/>
      </c>
      <c r="AL539" s="35">
        <f>IF($AH539="",DATE(2100,12,31),$AH539+1)</f>
        <v/>
      </c>
      <c r="AM539" s="35">
        <f>IF($AH539="",DATE(1900,1,1),$AG539)</f>
        <v/>
      </c>
      <c r="AN539" s="32">
        <f>IF($AH539="",0,$AC539*$T539)</f>
        <v/>
      </c>
    </row>
    <row r="540">
      <c r="A540" s="28" t="inlineStr">
        <is>
          <t>Dorian</t>
        </is>
      </c>
      <c r="B540" s="16">
        <f>IF($A540="","",IFERROR(INDEX(Roster!$B$2:$B$40,MATCH($A540,Roster!$A$2:$A$40,0)),"?"))</f>
        <v/>
      </c>
      <c r="C540" s="28" t="inlineStr">
        <is>
          <t>Bocce_2</t>
        </is>
      </c>
      <c r="D540" s="16">
        <f>IF($C540="","",IFERROR(IF(INDEX(Deals!$C$2:$C$355,MATCH($C540,Deals!$A$2:$A$355,0))=0,"",INDEX(Deals!$C$2:$C$355,MATCH($C540,Deals!$A$2:$A$355,0))),"?"))</f>
        <v/>
      </c>
      <c r="E540" s="16">
        <f>IF($C540="","",IFERROR(INDEX(Deals!$F$2:$F$355,MATCH($C540,Deals!$A$2:$A$355,0)),"?"))</f>
        <v/>
      </c>
      <c r="F540" s="28" t="inlineStr">
        <is>
          <t>Renewable Specialist</t>
        </is>
      </c>
      <c r="G540" s="28" t="inlineStr">
        <is>
          <t>Active</t>
        </is>
      </c>
      <c r="H540" s="31" t="n"/>
      <c r="I540" s="32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1">
        <f>IF($C540="",0,IFERROR(INDEX(Deals!$H$2:$H$355,MATCH($C540,Deals!$A$2:$A$355,0)),0))</f>
        <v/>
      </c>
      <c r="K540" s="32">
        <f>IF(Settings!$B$4="Yes",$I540*$J540,$I540)</f>
        <v/>
      </c>
      <c r="L540" s="22">
        <f>IF($C540="","",IFERROR(IF(INDEX(Deals!$I$2:$I$355,MATCH($C540,Deals!$A$2:$A$355,0))=0,"",INDEX(Deals!$I$2:$I$355,MATCH($C540,Deals!$A$2:$A$355,0))),""))</f>
        <v/>
      </c>
      <c r="M540" s="22">
        <f>IF($C540="","",IFERROR(IF(INDEX(Deals!$J$2:$J$355,MATCH($C540,Deals!$A$2:$A$355,0))=0,"",INDEX(Deals!$J$2:$J$355,MATCH($C540,Deals!$A$2:$A$355,0))),""))</f>
        <v/>
      </c>
      <c r="N540" s="35">
        <f>IF($L540="",DATE(1900,1,1),$L540)</f>
        <v/>
      </c>
      <c r="O540" s="35">
        <f>IF($M540="",DATE(2100,12,31),$M540)</f>
        <v/>
      </c>
      <c r="P540" s="20" t="inlineStr"/>
      <c r="Q540" s="43" t="inlineStr"/>
      <c r="R540" s="16">
        <f>IF($C540="","",IFERROR(IF(INDEX(Deals!$U$2:$U$355,MATCH($C540,Deals!$A$2:$A$355,0))=0,"",INDEX(Deals!$U$2:$U$355,MATCH($C540,Deals!$A$2:$A$355,0))),""))</f>
        <v/>
      </c>
      <c r="S540" s="34">
        <f>IFERROR(IF($U540="",1,INDEX(Deals!$V$2:$V$355,MATCH($C540,Deals!$A$2:$A$355,0))),1)</f>
        <v/>
      </c>
      <c r="T540" s="34">
        <f>IFERROR(IF($U540="",1,INDEX(Deals!$W$2:$W$355,MATCH($C540,Deals!$A$2:$A$355,0))),1)</f>
        <v/>
      </c>
      <c r="U540" s="22">
        <f>IF($C540="","",IFERROR(IF(INDEX(Deals!$Y$2:$Y$355,MATCH($C540,Deals!$A$2:$A$355,0))=0,"",INDEX(Deals!$Y$2:$Y$355,MATCH($C540,Deals!$A$2:$A$355,0))),""))</f>
        <v/>
      </c>
      <c r="V540" s="35">
        <f>IF($U540="",DATE(1900,1,1),$N540)</f>
        <v/>
      </c>
      <c r="W540" s="35">
        <f>IF($U540="",DATE(2100,12,31),$U540)</f>
        <v/>
      </c>
      <c r="X540" s="32">
        <f>IF($U540="",$K540,$K540*$S540)</f>
        <v/>
      </c>
      <c r="Y540" s="35">
        <f>IF($U540="",DATE(2100,12,31),$U540+1)</f>
        <v/>
      </c>
      <c r="Z540" s="35">
        <f>IF($U540="",DATE(1900,1,1),$O540)</f>
        <v/>
      </c>
      <c r="AA540" s="32">
        <f>IF($U540="",0,$K540*$T540)</f>
        <v/>
      </c>
      <c r="AB540" s="21">
        <f>IF($C540="",0,IFERROR(INDEX(Deals!$AD$2:$AD$355,MATCH($C540,Deals!$A$2:$A$355,0)),0))</f>
        <v/>
      </c>
      <c r="AC540" s="32">
        <f>IF(Settings!$B$4="Yes",$I540*$AB540,$I540)</f>
        <v/>
      </c>
      <c r="AD540" s="22">
        <f>IF($C540="","",IFERROR(IF(INDEX(Deals!$AE$2:$AE$355,MATCH($C540,Deals!$A$2:$A$355,0))=0,"",INDEX(Deals!$AE$2:$AE$355,MATCH($C540,Deals!$A$2:$A$355,0))),""))</f>
        <v/>
      </c>
      <c r="AE540" s="22">
        <f>IF($C540="","",IFERROR(IF(INDEX(Deals!$AF$2:$AF$355,MATCH($C540,Deals!$A$2:$A$355,0))=0,"",INDEX(Deals!$AF$2:$AF$355,MATCH($C540,Deals!$A$2:$A$355,0))),""))</f>
        <v/>
      </c>
      <c r="AF540" s="35">
        <f>IF($AD540="",DATE(1900,1,1),$AD540)</f>
        <v/>
      </c>
      <c r="AG540" s="35">
        <f>IF($AE540="",DATE(2100,12,31),$AE540)</f>
        <v/>
      </c>
      <c r="AH540" s="22">
        <f>IF($C540="","",IFERROR(IF(INDEX(Deals!$AG$2:$AG$355,MATCH($C540,Deals!$A$2:$A$355,0))=0,"",INDEX(Deals!$AG$2:$AG$355,MATCH($C540,Deals!$A$2:$A$355,0))),""))</f>
        <v/>
      </c>
      <c r="AI540" s="35">
        <f>IF($AH540="",DATE(1900,1,1),$AF540)</f>
        <v/>
      </c>
      <c r="AJ540" s="35">
        <f>IF($AH540="",DATE(2100,12,31),$AH540)</f>
        <v/>
      </c>
      <c r="AK540" s="32">
        <f>IF($AH540="",$AC540,$AC540*$S540)</f>
        <v/>
      </c>
      <c r="AL540" s="35">
        <f>IF($AH540="",DATE(2100,12,31),$AH540+1)</f>
        <v/>
      </c>
      <c r="AM540" s="35">
        <f>IF($AH540="",DATE(1900,1,1),$AG540)</f>
        <v/>
      </c>
      <c r="AN540" s="32">
        <f>IF($AH540="",0,$AC540*$T540)</f>
        <v/>
      </c>
    </row>
    <row r="541">
      <c r="A541" s="28" t="inlineStr">
        <is>
          <t>Dorian</t>
        </is>
      </c>
      <c r="B541" s="16">
        <f>IF($A541="","",IFERROR(INDEX(Roster!$B$2:$B$40,MATCH($A541,Roster!$A$2:$A$40,0)),"?"))</f>
        <v/>
      </c>
      <c r="C541" s="28" t="inlineStr">
        <is>
          <t>BPF_1</t>
        </is>
      </c>
      <c r="D541" s="16">
        <f>IF($C541="","",IFERROR(IF(INDEX(Deals!$C$2:$C$355,MATCH($C541,Deals!$A$2:$A$355,0))=0,"",INDEX(Deals!$C$2:$C$355,MATCH($C541,Deals!$A$2:$A$355,0))),"?"))</f>
        <v/>
      </c>
      <c r="E541" s="16">
        <f>IF($C541="","",IFERROR(INDEX(Deals!$F$2:$F$355,MATCH($C541,Deals!$A$2:$A$355,0)),"?"))</f>
        <v/>
      </c>
      <c r="F541" s="28" t="inlineStr">
        <is>
          <t>Renewable Specialist</t>
        </is>
      </c>
      <c r="G541" s="28" t="inlineStr">
        <is>
          <t>Active</t>
        </is>
      </c>
      <c r="H541" s="31" t="n"/>
      <c r="I541" s="32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1">
        <f>IF($C541="",0,IFERROR(INDEX(Deals!$H$2:$H$355,MATCH($C541,Deals!$A$2:$A$355,0)),0))</f>
        <v/>
      </c>
      <c r="K541" s="32">
        <f>IF(Settings!$B$4="Yes",$I541*$J541,$I541)</f>
        <v/>
      </c>
      <c r="L541" s="22">
        <f>IF($C541="","",IFERROR(IF(INDEX(Deals!$I$2:$I$355,MATCH($C541,Deals!$A$2:$A$355,0))=0,"",INDEX(Deals!$I$2:$I$355,MATCH($C541,Deals!$A$2:$A$355,0))),""))</f>
        <v/>
      </c>
      <c r="M541" s="22">
        <f>IF($C541="","",IFERROR(IF(INDEX(Deals!$J$2:$J$355,MATCH($C541,Deals!$A$2:$A$355,0))=0,"",INDEX(Deals!$J$2:$J$355,MATCH($C541,Deals!$A$2:$A$355,0))),""))</f>
        <v/>
      </c>
      <c r="N541" s="35">
        <f>IF($L541="",DATE(1900,1,1),$L541)</f>
        <v/>
      </c>
      <c r="O541" s="35">
        <f>IF($M541="",DATE(2100,12,31),$M541)</f>
        <v/>
      </c>
      <c r="P541" s="20" t="inlineStr"/>
      <c r="Q541" s="43" t="inlineStr"/>
      <c r="R541" s="16">
        <f>IF($C541="","",IFERROR(IF(INDEX(Deals!$U$2:$U$355,MATCH($C541,Deals!$A$2:$A$355,0))=0,"",INDEX(Deals!$U$2:$U$355,MATCH($C541,Deals!$A$2:$A$355,0))),""))</f>
        <v/>
      </c>
      <c r="S541" s="34">
        <f>IFERROR(IF($U541="",1,INDEX(Deals!$V$2:$V$355,MATCH($C541,Deals!$A$2:$A$355,0))),1)</f>
        <v/>
      </c>
      <c r="T541" s="34">
        <f>IFERROR(IF($U541="",1,INDEX(Deals!$W$2:$W$355,MATCH($C541,Deals!$A$2:$A$355,0))),1)</f>
        <v/>
      </c>
      <c r="U541" s="22">
        <f>IF($C541="","",IFERROR(IF(INDEX(Deals!$Y$2:$Y$355,MATCH($C541,Deals!$A$2:$A$355,0))=0,"",INDEX(Deals!$Y$2:$Y$355,MATCH($C541,Deals!$A$2:$A$355,0))),""))</f>
        <v/>
      </c>
      <c r="V541" s="35">
        <f>IF($U541="",DATE(1900,1,1),$N541)</f>
        <v/>
      </c>
      <c r="W541" s="35">
        <f>IF($U541="",DATE(2100,12,31),$U541)</f>
        <v/>
      </c>
      <c r="X541" s="32">
        <f>IF($U541="",$K541,$K541*$S541)</f>
        <v/>
      </c>
      <c r="Y541" s="35">
        <f>IF($U541="",DATE(2100,12,31),$U541+1)</f>
        <v/>
      </c>
      <c r="Z541" s="35">
        <f>IF($U541="",DATE(1900,1,1),$O541)</f>
        <v/>
      </c>
      <c r="AA541" s="32">
        <f>IF($U541="",0,$K541*$T541)</f>
        <v/>
      </c>
      <c r="AB541" s="21">
        <f>IF($C541="",0,IFERROR(INDEX(Deals!$AD$2:$AD$355,MATCH($C541,Deals!$A$2:$A$355,0)),0))</f>
        <v/>
      </c>
      <c r="AC541" s="32">
        <f>IF(Settings!$B$4="Yes",$I541*$AB541,$I541)</f>
        <v/>
      </c>
      <c r="AD541" s="22">
        <f>IF($C541="","",IFERROR(IF(INDEX(Deals!$AE$2:$AE$355,MATCH($C541,Deals!$A$2:$A$355,0))=0,"",INDEX(Deals!$AE$2:$AE$355,MATCH($C541,Deals!$A$2:$A$355,0))),""))</f>
        <v/>
      </c>
      <c r="AE541" s="22">
        <f>IF($C541="","",IFERROR(IF(INDEX(Deals!$AF$2:$AF$355,MATCH($C541,Deals!$A$2:$A$355,0))=0,"",INDEX(Deals!$AF$2:$AF$355,MATCH($C541,Deals!$A$2:$A$355,0))),""))</f>
        <v/>
      </c>
      <c r="AF541" s="35">
        <f>IF($AD541="",DATE(1900,1,1),$AD541)</f>
        <v/>
      </c>
      <c r="AG541" s="35">
        <f>IF($AE541="",DATE(2100,12,31),$AE541)</f>
        <v/>
      </c>
      <c r="AH541" s="22">
        <f>IF($C541="","",IFERROR(IF(INDEX(Deals!$AG$2:$AG$355,MATCH($C541,Deals!$A$2:$A$355,0))=0,"",INDEX(Deals!$AG$2:$AG$355,MATCH($C541,Deals!$A$2:$A$355,0))),""))</f>
        <v/>
      </c>
      <c r="AI541" s="35">
        <f>IF($AH541="",DATE(1900,1,1),$AF541)</f>
        <v/>
      </c>
      <c r="AJ541" s="35">
        <f>IF($AH541="",DATE(2100,12,31),$AH541)</f>
        <v/>
      </c>
      <c r="AK541" s="32">
        <f>IF($AH541="",$AC541,$AC541*$S541)</f>
        <v/>
      </c>
      <c r="AL541" s="35">
        <f>IF($AH541="",DATE(2100,12,31),$AH541+1)</f>
        <v/>
      </c>
      <c r="AM541" s="35">
        <f>IF($AH541="",DATE(1900,1,1),$AG541)</f>
        <v/>
      </c>
      <c r="AN541" s="32">
        <f>IF($AH541="",0,$AC541*$T541)</f>
        <v/>
      </c>
    </row>
    <row r="542">
      <c r="A542" s="28" t="inlineStr">
        <is>
          <t>Dorian</t>
        </is>
      </c>
      <c r="B542" s="16">
        <f>IF($A542="","",IFERROR(INDEX(Roster!$B$2:$B$40,MATCH($A542,Roster!$A$2:$A$40,0)),"?"))</f>
        <v/>
      </c>
      <c r="C542" s="28" t="inlineStr">
        <is>
          <t>BPF_2</t>
        </is>
      </c>
      <c r="D542" s="16">
        <f>IF($C542="","",IFERROR(IF(INDEX(Deals!$C$2:$C$355,MATCH($C542,Deals!$A$2:$A$355,0))=0,"",INDEX(Deals!$C$2:$C$355,MATCH($C542,Deals!$A$2:$A$355,0))),"?"))</f>
        <v/>
      </c>
      <c r="E542" s="16">
        <f>IF($C542="","",IFERROR(INDEX(Deals!$F$2:$F$355,MATCH($C542,Deals!$A$2:$A$355,0)),"?"))</f>
        <v/>
      </c>
      <c r="F542" s="28" t="inlineStr">
        <is>
          <t>Renewable Specialist</t>
        </is>
      </c>
      <c r="G542" s="28" t="inlineStr">
        <is>
          <t>Active</t>
        </is>
      </c>
      <c r="H542" s="31" t="n"/>
      <c r="I542" s="32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1">
        <f>IF($C542="",0,IFERROR(INDEX(Deals!$H$2:$H$355,MATCH($C542,Deals!$A$2:$A$355,0)),0))</f>
        <v/>
      </c>
      <c r="K542" s="32">
        <f>IF(Settings!$B$4="Yes",$I542*$J542,$I542)</f>
        <v/>
      </c>
      <c r="L542" s="22">
        <f>IF($C542="","",IFERROR(IF(INDEX(Deals!$I$2:$I$355,MATCH($C542,Deals!$A$2:$A$355,0))=0,"",INDEX(Deals!$I$2:$I$355,MATCH($C542,Deals!$A$2:$A$355,0))),""))</f>
        <v/>
      </c>
      <c r="M542" s="22">
        <f>IF($C542="","",IFERROR(IF(INDEX(Deals!$J$2:$J$355,MATCH($C542,Deals!$A$2:$A$355,0))=0,"",INDEX(Deals!$J$2:$J$355,MATCH($C542,Deals!$A$2:$A$355,0))),""))</f>
        <v/>
      </c>
      <c r="N542" s="35">
        <f>IF($L542="",DATE(1900,1,1),$L542)</f>
        <v/>
      </c>
      <c r="O542" s="35">
        <f>IF($M542="",DATE(2100,12,31),$M542)</f>
        <v/>
      </c>
      <c r="P542" s="20" t="inlineStr"/>
      <c r="Q542" s="43" t="inlineStr"/>
      <c r="R542" s="16">
        <f>IF($C542="","",IFERROR(IF(INDEX(Deals!$U$2:$U$355,MATCH($C542,Deals!$A$2:$A$355,0))=0,"",INDEX(Deals!$U$2:$U$355,MATCH($C542,Deals!$A$2:$A$355,0))),""))</f>
        <v/>
      </c>
      <c r="S542" s="34">
        <f>IFERROR(IF($U542="",1,INDEX(Deals!$V$2:$V$355,MATCH($C542,Deals!$A$2:$A$355,0))),1)</f>
        <v/>
      </c>
      <c r="T542" s="34">
        <f>IFERROR(IF($U542="",1,INDEX(Deals!$W$2:$W$355,MATCH($C542,Deals!$A$2:$A$355,0))),1)</f>
        <v/>
      </c>
      <c r="U542" s="22">
        <f>IF($C542="","",IFERROR(IF(INDEX(Deals!$Y$2:$Y$355,MATCH($C542,Deals!$A$2:$A$355,0))=0,"",INDEX(Deals!$Y$2:$Y$355,MATCH($C542,Deals!$A$2:$A$355,0))),""))</f>
        <v/>
      </c>
      <c r="V542" s="35">
        <f>IF($U542="",DATE(1900,1,1),$N542)</f>
        <v/>
      </c>
      <c r="W542" s="35">
        <f>IF($U542="",DATE(2100,12,31),$U542)</f>
        <v/>
      </c>
      <c r="X542" s="32">
        <f>IF($U542="",$K542,$K542*$S542)</f>
        <v/>
      </c>
      <c r="Y542" s="35">
        <f>IF($U542="",DATE(2100,12,31),$U542+1)</f>
        <v/>
      </c>
      <c r="Z542" s="35">
        <f>IF($U542="",DATE(1900,1,1),$O542)</f>
        <v/>
      </c>
      <c r="AA542" s="32">
        <f>IF($U542="",0,$K542*$T542)</f>
        <v/>
      </c>
      <c r="AB542" s="21">
        <f>IF($C542="",0,IFERROR(INDEX(Deals!$AD$2:$AD$355,MATCH($C542,Deals!$A$2:$A$355,0)),0))</f>
        <v/>
      </c>
      <c r="AC542" s="32">
        <f>IF(Settings!$B$4="Yes",$I542*$AB542,$I542)</f>
        <v/>
      </c>
      <c r="AD542" s="22">
        <f>IF($C542="","",IFERROR(IF(INDEX(Deals!$AE$2:$AE$355,MATCH($C542,Deals!$A$2:$A$355,0))=0,"",INDEX(Deals!$AE$2:$AE$355,MATCH($C542,Deals!$A$2:$A$355,0))),""))</f>
        <v/>
      </c>
      <c r="AE542" s="22">
        <f>IF($C542="","",IFERROR(IF(INDEX(Deals!$AF$2:$AF$355,MATCH($C542,Deals!$A$2:$A$355,0))=0,"",INDEX(Deals!$AF$2:$AF$355,MATCH($C542,Deals!$A$2:$A$355,0))),""))</f>
        <v/>
      </c>
      <c r="AF542" s="35">
        <f>IF($AD542="",DATE(1900,1,1),$AD542)</f>
        <v/>
      </c>
      <c r="AG542" s="35">
        <f>IF($AE542="",DATE(2100,12,31),$AE542)</f>
        <v/>
      </c>
      <c r="AH542" s="22">
        <f>IF($C542="","",IFERROR(IF(INDEX(Deals!$AG$2:$AG$355,MATCH($C542,Deals!$A$2:$A$355,0))=0,"",INDEX(Deals!$AG$2:$AG$355,MATCH($C542,Deals!$A$2:$A$355,0))),""))</f>
        <v/>
      </c>
      <c r="AI542" s="35">
        <f>IF($AH542="",DATE(1900,1,1),$AF542)</f>
        <v/>
      </c>
      <c r="AJ542" s="35">
        <f>IF($AH542="",DATE(2100,12,31),$AH542)</f>
        <v/>
      </c>
      <c r="AK542" s="32">
        <f>IF($AH542="",$AC542,$AC542*$S542)</f>
        <v/>
      </c>
      <c r="AL542" s="35">
        <f>IF($AH542="",DATE(2100,12,31),$AH542+1)</f>
        <v/>
      </c>
      <c r="AM542" s="35">
        <f>IF($AH542="",DATE(1900,1,1),$AG542)</f>
        <v/>
      </c>
      <c r="AN542" s="32">
        <f>IF($AH542="",0,$AC542*$T542)</f>
        <v/>
      </c>
    </row>
    <row r="543">
      <c r="A543" s="28" t="inlineStr">
        <is>
          <t>Dorian</t>
        </is>
      </c>
      <c r="B543" s="16">
        <f>IF($A543="","",IFERROR(INDEX(Roster!$B$2:$B$40,MATCH($A543,Roster!$A$2:$A$40,0)),"?"))</f>
        <v/>
      </c>
      <c r="C543" s="28" t="inlineStr">
        <is>
          <t>Brass_2</t>
        </is>
      </c>
      <c r="D543" s="16">
        <f>IF($C543="","",IFERROR(IF(INDEX(Deals!$C$2:$C$355,MATCH($C543,Deals!$A$2:$A$355,0))=0,"",INDEX(Deals!$C$2:$C$355,MATCH($C543,Deals!$A$2:$A$355,0))),"?"))</f>
        <v/>
      </c>
      <c r="E543" s="16">
        <f>IF($C543="","",IFERROR(INDEX(Deals!$F$2:$F$355,MATCH($C543,Deals!$A$2:$A$355,0)),"?"))</f>
        <v/>
      </c>
      <c r="F543" s="28" t="inlineStr">
        <is>
          <t>Renewable Specialist</t>
        </is>
      </c>
      <c r="G543" s="28" t="inlineStr">
        <is>
          <t>Active</t>
        </is>
      </c>
      <c r="H543" s="31" t="n"/>
      <c r="I543" s="32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1">
        <f>IF($C543="",0,IFERROR(INDEX(Deals!$H$2:$H$355,MATCH($C543,Deals!$A$2:$A$355,0)),0))</f>
        <v/>
      </c>
      <c r="K543" s="32">
        <f>IF(Settings!$B$4="Yes",$I543*$J543,$I543)</f>
        <v/>
      </c>
      <c r="L543" s="22">
        <f>IF($C543="","",IFERROR(IF(INDEX(Deals!$I$2:$I$355,MATCH($C543,Deals!$A$2:$A$355,0))=0,"",INDEX(Deals!$I$2:$I$355,MATCH($C543,Deals!$A$2:$A$355,0))),""))</f>
        <v/>
      </c>
      <c r="M543" s="22">
        <f>IF($C543="","",IFERROR(IF(INDEX(Deals!$J$2:$J$355,MATCH($C543,Deals!$A$2:$A$355,0))=0,"",INDEX(Deals!$J$2:$J$355,MATCH($C543,Deals!$A$2:$A$355,0))),""))</f>
        <v/>
      </c>
      <c r="N543" s="35">
        <f>IF($L543="",DATE(1900,1,1),$L543)</f>
        <v/>
      </c>
      <c r="O543" s="35">
        <f>IF($M543="",DATE(2100,12,31),$M543)</f>
        <v/>
      </c>
      <c r="P543" s="20" t="inlineStr"/>
      <c r="Q543" s="43" t="inlineStr"/>
      <c r="R543" s="16">
        <f>IF($C543="","",IFERROR(IF(INDEX(Deals!$U$2:$U$355,MATCH($C543,Deals!$A$2:$A$355,0))=0,"",INDEX(Deals!$U$2:$U$355,MATCH($C543,Deals!$A$2:$A$355,0))),""))</f>
        <v/>
      </c>
      <c r="S543" s="34">
        <f>IFERROR(IF($U543="",1,INDEX(Deals!$V$2:$V$355,MATCH($C543,Deals!$A$2:$A$355,0))),1)</f>
        <v/>
      </c>
      <c r="T543" s="34">
        <f>IFERROR(IF($U543="",1,INDEX(Deals!$W$2:$W$355,MATCH($C543,Deals!$A$2:$A$355,0))),1)</f>
        <v/>
      </c>
      <c r="U543" s="22">
        <f>IF($C543="","",IFERROR(IF(INDEX(Deals!$Y$2:$Y$355,MATCH($C543,Deals!$A$2:$A$355,0))=0,"",INDEX(Deals!$Y$2:$Y$355,MATCH($C543,Deals!$A$2:$A$355,0))),""))</f>
        <v/>
      </c>
      <c r="V543" s="35">
        <f>IF($U543="",DATE(1900,1,1),$N543)</f>
        <v/>
      </c>
      <c r="W543" s="35">
        <f>IF($U543="",DATE(2100,12,31),$U543)</f>
        <v/>
      </c>
      <c r="X543" s="32">
        <f>IF($U543="",$K543,$K543*$S543)</f>
        <v/>
      </c>
      <c r="Y543" s="35">
        <f>IF($U543="",DATE(2100,12,31),$U543+1)</f>
        <v/>
      </c>
      <c r="Z543" s="35">
        <f>IF($U543="",DATE(1900,1,1),$O543)</f>
        <v/>
      </c>
      <c r="AA543" s="32">
        <f>IF($U543="",0,$K543*$T543)</f>
        <v/>
      </c>
      <c r="AB543" s="21">
        <f>IF($C543="",0,IFERROR(INDEX(Deals!$AD$2:$AD$355,MATCH($C543,Deals!$A$2:$A$355,0)),0))</f>
        <v/>
      </c>
      <c r="AC543" s="32">
        <f>IF(Settings!$B$4="Yes",$I543*$AB543,$I543)</f>
        <v/>
      </c>
      <c r="AD543" s="22">
        <f>IF($C543="","",IFERROR(IF(INDEX(Deals!$AE$2:$AE$355,MATCH($C543,Deals!$A$2:$A$355,0))=0,"",INDEX(Deals!$AE$2:$AE$355,MATCH($C543,Deals!$A$2:$A$355,0))),""))</f>
        <v/>
      </c>
      <c r="AE543" s="22">
        <f>IF($C543="","",IFERROR(IF(INDEX(Deals!$AF$2:$AF$355,MATCH($C543,Deals!$A$2:$A$355,0))=0,"",INDEX(Deals!$AF$2:$AF$355,MATCH($C543,Deals!$A$2:$A$355,0))),""))</f>
        <v/>
      </c>
      <c r="AF543" s="35">
        <f>IF($AD543="",DATE(1900,1,1),$AD543)</f>
        <v/>
      </c>
      <c r="AG543" s="35">
        <f>IF($AE543="",DATE(2100,12,31),$AE543)</f>
        <v/>
      </c>
      <c r="AH543" s="22">
        <f>IF($C543="","",IFERROR(IF(INDEX(Deals!$AG$2:$AG$355,MATCH($C543,Deals!$A$2:$A$355,0))=0,"",INDEX(Deals!$AG$2:$AG$355,MATCH($C543,Deals!$A$2:$A$355,0))),""))</f>
        <v/>
      </c>
      <c r="AI543" s="35">
        <f>IF($AH543="",DATE(1900,1,1),$AF543)</f>
        <v/>
      </c>
      <c r="AJ543" s="35">
        <f>IF($AH543="",DATE(2100,12,31),$AH543)</f>
        <v/>
      </c>
      <c r="AK543" s="32">
        <f>IF($AH543="",$AC543,$AC543*$S543)</f>
        <v/>
      </c>
      <c r="AL543" s="35">
        <f>IF($AH543="",DATE(2100,12,31),$AH543+1)</f>
        <v/>
      </c>
      <c r="AM543" s="35">
        <f>IF($AH543="",DATE(1900,1,1),$AG543)</f>
        <v/>
      </c>
      <c r="AN543" s="32">
        <f>IF($AH543="",0,$AC543*$T543)</f>
        <v/>
      </c>
    </row>
    <row r="544">
      <c r="A544" s="28" t="inlineStr">
        <is>
          <t>Dorian</t>
        </is>
      </c>
      <c r="B544" s="16">
        <f>IF($A544="","",IFERROR(INDEX(Roster!$B$2:$B$40,MATCH($A544,Roster!$A$2:$A$40,0)),"?"))</f>
        <v/>
      </c>
      <c r="C544" s="28" t="inlineStr">
        <is>
          <t>Canyon_2</t>
        </is>
      </c>
      <c r="D544" s="16">
        <f>IF($C544="","",IFERROR(IF(INDEX(Deals!$C$2:$C$355,MATCH($C544,Deals!$A$2:$A$355,0))=0,"",INDEX(Deals!$C$2:$C$355,MATCH($C544,Deals!$A$2:$A$355,0))),"?"))</f>
        <v/>
      </c>
      <c r="E544" s="16">
        <f>IF($C544="","",IFERROR(INDEX(Deals!$F$2:$F$355,MATCH($C544,Deals!$A$2:$A$355,0)),"?"))</f>
        <v/>
      </c>
      <c r="F544" s="28" t="inlineStr">
        <is>
          <t>Renewable Specialist</t>
        </is>
      </c>
      <c r="G544" s="28" t="inlineStr">
        <is>
          <t>Active</t>
        </is>
      </c>
      <c r="H544" s="31" t="n"/>
      <c r="I544" s="32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1">
        <f>IF($C544="",0,IFERROR(INDEX(Deals!$H$2:$H$355,MATCH($C544,Deals!$A$2:$A$355,0)),0))</f>
        <v/>
      </c>
      <c r="K544" s="32">
        <f>IF(Settings!$B$4="Yes",$I544*$J544,$I544)</f>
        <v/>
      </c>
      <c r="L544" s="22">
        <f>IF($C544="","",IFERROR(IF(INDEX(Deals!$I$2:$I$355,MATCH($C544,Deals!$A$2:$A$355,0))=0,"",INDEX(Deals!$I$2:$I$355,MATCH($C544,Deals!$A$2:$A$355,0))),""))</f>
        <v/>
      </c>
      <c r="M544" s="22">
        <f>IF($C544="","",IFERROR(IF(INDEX(Deals!$J$2:$J$355,MATCH($C544,Deals!$A$2:$A$355,0))=0,"",INDEX(Deals!$J$2:$J$355,MATCH($C544,Deals!$A$2:$A$355,0))),""))</f>
        <v/>
      </c>
      <c r="N544" s="35">
        <f>IF($L544="",DATE(1900,1,1),$L544)</f>
        <v/>
      </c>
      <c r="O544" s="35">
        <f>IF($M544="",DATE(2100,12,31),$M544)</f>
        <v/>
      </c>
      <c r="P544" s="20" t="inlineStr"/>
      <c r="Q544" s="43" t="inlineStr"/>
      <c r="R544" s="16">
        <f>IF($C544="","",IFERROR(IF(INDEX(Deals!$U$2:$U$355,MATCH($C544,Deals!$A$2:$A$355,0))=0,"",INDEX(Deals!$U$2:$U$355,MATCH($C544,Deals!$A$2:$A$355,0))),""))</f>
        <v/>
      </c>
      <c r="S544" s="34">
        <f>IFERROR(IF($U544="",1,INDEX(Deals!$V$2:$V$355,MATCH($C544,Deals!$A$2:$A$355,0))),1)</f>
        <v/>
      </c>
      <c r="T544" s="34">
        <f>IFERROR(IF($U544="",1,INDEX(Deals!$W$2:$W$355,MATCH($C544,Deals!$A$2:$A$355,0))),1)</f>
        <v/>
      </c>
      <c r="U544" s="22">
        <f>IF($C544="","",IFERROR(IF(INDEX(Deals!$Y$2:$Y$355,MATCH($C544,Deals!$A$2:$A$355,0))=0,"",INDEX(Deals!$Y$2:$Y$355,MATCH($C544,Deals!$A$2:$A$355,0))),""))</f>
        <v/>
      </c>
      <c r="V544" s="35">
        <f>IF($U544="",DATE(1900,1,1),$N544)</f>
        <v/>
      </c>
      <c r="W544" s="35">
        <f>IF($U544="",DATE(2100,12,31),$U544)</f>
        <v/>
      </c>
      <c r="X544" s="32">
        <f>IF($U544="",$K544,$K544*$S544)</f>
        <v/>
      </c>
      <c r="Y544" s="35">
        <f>IF($U544="",DATE(2100,12,31),$U544+1)</f>
        <v/>
      </c>
      <c r="Z544" s="35">
        <f>IF($U544="",DATE(1900,1,1),$O544)</f>
        <v/>
      </c>
      <c r="AA544" s="32">
        <f>IF($U544="",0,$K544*$T544)</f>
        <v/>
      </c>
      <c r="AB544" s="21">
        <f>IF($C544="",0,IFERROR(INDEX(Deals!$AD$2:$AD$355,MATCH($C544,Deals!$A$2:$A$355,0)),0))</f>
        <v/>
      </c>
      <c r="AC544" s="32">
        <f>IF(Settings!$B$4="Yes",$I544*$AB544,$I544)</f>
        <v/>
      </c>
      <c r="AD544" s="22">
        <f>IF($C544="","",IFERROR(IF(INDEX(Deals!$AE$2:$AE$355,MATCH($C544,Deals!$A$2:$A$355,0))=0,"",INDEX(Deals!$AE$2:$AE$355,MATCH($C544,Deals!$A$2:$A$355,0))),""))</f>
        <v/>
      </c>
      <c r="AE544" s="22">
        <f>IF($C544="","",IFERROR(IF(INDEX(Deals!$AF$2:$AF$355,MATCH($C544,Deals!$A$2:$A$355,0))=0,"",INDEX(Deals!$AF$2:$AF$355,MATCH($C544,Deals!$A$2:$A$355,0))),""))</f>
        <v/>
      </c>
      <c r="AF544" s="35">
        <f>IF($AD544="",DATE(1900,1,1),$AD544)</f>
        <v/>
      </c>
      <c r="AG544" s="35">
        <f>IF($AE544="",DATE(2100,12,31),$AE544)</f>
        <v/>
      </c>
      <c r="AH544" s="22">
        <f>IF($C544="","",IFERROR(IF(INDEX(Deals!$AG$2:$AG$355,MATCH($C544,Deals!$A$2:$A$355,0))=0,"",INDEX(Deals!$AG$2:$AG$355,MATCH($C544,Deals!$A$2:$A$355,0))),""))</f>
        <v/>
      </c>
      <c r="AI544" s="35">
        <f>IF($AH544="",DATE(1900,1,1),$AF544)</f>
        <v/>
      </c>
      <c r="AJ544" s="35">
        <f>IF($AH544="",DATE(2100,12,31),$AH544)</f>
        <v/>
      </c>
      <c r="AK544" s="32">
        <f>IF($AH544="",$AC544,$AC544*$S544)</f>
        <v/>
      </c>
      <c r="AL544" s="35">
        <f>IF($AH544="",DATE(2100,12,31),$AH544+1)</f>
        <v/>
      </c>
      <c r="AM544" s="35">
        <f>IF($AH544="",DATE(1900,1,1),$AG544)</f>
        <v/>
      </c>
      <c r="AN544" s="32">
        <f>IF($AH544="",0,$AC544*$T544)</f>
        <v/>
      </c>
    </row>
    <row r="545">
      <c r="A545" s="28" t="inlineStr">
        <is>
          <t>Dorian</t>
        </is>
      </c>
      <c r="B545" s="16">
        <f>IF($A545="","",IFERROR(INDEX(Roster!$B$2:$B$40,MATCH($A545,Roster!$A$2:$A$40,0)),"?"))</f>
        <v/>
      </c>
      <c r="C545" s="28" t="inlineStr">
        <is>
          <t>Circuit_1</t>
        </is>
      </c>
      <c r="D545" s="16">
        <f>IF($C545="","",IFERROR(IF(INDEX(Deals!$C$2:$C$355,MATCH($C545,Deals!$A$2:$A$355,0))=0,"",INDEX(Deals!$C$2:$C$355,MATCH($C545,Deals!$A$2:$A$355,0))),"?"))</f>
        <v/>
      </c>
      <c r="E545" s="16">
        <f>IF($C545="","",IFERROR(INDEX(Deals!$F$2:$F$355,MATCH($C545,Deals!$A$2:$A$355,0)),"?"))</f>
        <v/>
      </c>
      <c r="F545" s="28" t="inlineStr">
        <is>
          <t>Renewable Specialist</t>
        </is>
      </c>
      <c r="G545" s="28" t="inlineStr">
        <is>
          <t>Active</t>
        </is>
      </c>
      <c r="H545" s="31" t="n"/>
      <c r="I545" s="32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1">
        <f>IF($C545="",0,IFERROR(INDEX(Deals!$H$2:$H$355,MATCH($C545,Deals!$A$2:$A$355,0)),0))</f>
        <v/>
      </c>
      <c r="K545" s="32">
        <f>IF(Settings!$B$4="Yes",$I545*$J545,$I545)</f>
        <v/>
      </c>
      <c r="L545" s="22">
        <f>IF($C545="","",IFERROR(IF(INDEX(Deals!$I$2:$I$355,MATCH($C545,Deals!$A$2:$A$355,0))=0,"",INDEX(Deals!$I$2:$I$355,MATCH($C545,Deals!$A$2:$A$355,0))),""))</f>
        <v/>
      </c>
      <c r="M545" s="22">
        <f>IF($C545="","",IFERROR(IF(INDEX(Deals!$J$2:$J$355,MATCH($C545,Deals!$A$2:$A$355,0))=0,"",INDEX(Deals!$J$2:$J$355,MATCH($C545,Deals!$A$2:$A$355,0))),""))</f>
        <v/>
      </c>
      <c r="N545" s="35">
        <f>IF($L545="",DATE(1900,1,1),$L545)</f>
        <v/>
      </c>
      <c r="O545" s="35">
        <f>IF($M545="",DATE(2100,12,31),$M545)</f>
        <v/>
      </c>
      <c r="P545" s="20" t="inlineStr"/>
      <c r="Q545" s="43" t="inlineStr"/>
      <c r="R545" s="16">
        <f>IF($C545="","",IFERROR(IF(INDEX(Deals!$U$2:$U$355,MATCH($C545,Deals!$A$2:$A$355,0))=0,"",INDEX(Deals!$U$2:$U$355,MATCH($C545,Deals!$A$2:$A$355,0))),""))</f>
        <v/>
      </c>
      <c r="S545" s="34">
        <f>IFERROR(IF($U545="",1,INDEX(Deals!$V$2:$V$355,MATCH($C545,Deals!$A$2:$A$355,0))),1)</f>
        <v/>
      </c>
      <c r="T545" s="34">
        <f>IFERROR(IF($U545="",1,INDEX(Deals!$W$2:$W$355,MATCH($C545,Deals!$A$2:$A$355,0))),1)</f>
        <v/>
      </c>
      <c r="U545" s="22">
        <f>IF($C545="","",IFERROR(IF(INDEX(Deals!$Y$2:$Y$355,MATCH($C545,Deals!$A$2:$A$355,0))=0,"",INDEX(Deals!$Y$2:$Y$355,MATCH($C545,Deals!$A$2:$A$355,0))),""))</f>
        <v/>
      </c>
      <c r="V545" s="35">
        <f>IF($U545="",DATE(1900,1,1),$N545)</f>
        <v/>
      </c>
      <c r="W545" s="35">
        <f>IF($U545="",DATE(2100,12,31),$U545)</f>
        <v/>
      </c>
      <c r="X545" s="32">
        <f>IF($U545="",$K545,$K545*$S545)</f>
        <v/>
      </c>
      <c r="Y545" s="35">
        <f>IF($U545="",DATE(2100,12,31),$U545+1)</f>
        <v/>
      </c>
      <c r="Z545" s="35">
        <f>IF($U545="",DATE(1900,1,1),$O545)</f>
        <v/>
      </c>
      <c r="AA545" s="32">
        <f>IF($U545="",0,$K545*$T545)</f>
        <v/>
      </c>
      <c r="AB545" s="21">
        <f>IF($C545="",0,IFERROR(INDEX(Deals!$AD$2:$AD$355,MATCH($C545,Deals!$A$2:$A$355,0)),0))</f>
        <v/>
      </c>
      <c r="AC545" s="32">
        <f>IF(Settings!$B$4="Yes",$I545*$AB545,$I545)</f>
        <v/>
      </c>
      <c r="AD545" s="22">
        <f>IF($C545="","",IFERROR(IF(INDEX(Deals!$AE$2:$AE$355,MATCH($C545,Deals!$A$2:$A$355,0))=0,"",INDEX(Deals!$AE$2:$AE$355,MATCH($C545,Deals!$A$2:$A$355,0))),""))</f>
        <v/>
      </c>
      <c r="AE545" s="22">
        <f>IF($C545="","",IFERROR(IF(INDEX(Deals!$AF$2:$AF$355,MATCH($C545,Deals!$A$2:$A$355,0))=0,"",INDEX(Deals!$AF$2:$AF$355,MATCH($C545,Deals!$A$2:$A$355,0))),""))</f>
        <v/>
      </c>
      <c r="AF545" s="35">
        <f>IF($AD545="",DATE(1900,1,1),$AD545)</f>
        <v/>
      </c>
      <c r="AG545" s="35">
        <f>IF($AE545="",DATE(2100,12,31),$AE545)</f>
        <v/>
      </c>
      <c r="AH545" s="22">
        <f>IF($C545="","",IFERROR(IF(INDEX(Deals!$AG$2:$AG$355,MATCH($C545,Deals!$A$2:$A$355,0))=0,"",INDEX(Deals!$AG$2:$AG$355,MATCH($C545,Deals!$A$2:$A$355,0))),""))</f>
        <v/>
      </c>
      <c r="AI545" s="35">
        <f>IF($AH545="",DATE(1900,1,1),$AF545)</f>
        <v/>
      </c>
      <c r="AJ545" s="35">
        <f>IF($AH545="",DATE(2100,12,31),$AH545)</f>
        <v/>
      </c>
      <c r="AK545" s="32">
        <f>IF($AH545="",$AC545,$AC545*$S545)</f>
        <v/>
      </c>
      <c r="AL545" s="35">
        <f>IF($AH545="",DATE(2100,12,31),$AH545+1)</f>
        <v/>
      </c>
      <c r="AM545" s="35">
        <f>IF($AH545="",DATE(1900,1,1),$AG545)</f>
        <v/>
      </c>
      <c r="AN545" s="32">
        <f>IF($AH545="",0,$AC545*$T545)</f>
        <v/>
      </c>
    </row>
    <row r="546">
      <c r="A546" s="28" t="inlineStr">
        <is>
          <t>Dorian</t>
        </is>
      </c>
      <c r="B546" s="16">
        <f>IF($A546="","",IFERROR(INDEX(Roster!$B$2:$B$40,MATCH($A546,Roster!$A$2:$A$40,0)),"?"))</f>
        <v/>
      </c>
      <c r="C546" s="28" t="inlineStr">
        <is>
          <t>Cowboy_1</t>
        </is>
      </c>
      <c r="D546" s="16">
        <f>IF($C546="","",IFERROR(IF(INDEX(Deals!$C$2:$C$355,MATCH($C546,Deals!$A$2:$A$355,0))=0,"",INDEX(Deals!$C$2:$C$355,MATCH($C546,Deals!$A$2:$A$355,0))),"?"))</f>
        <v/>
      </c>
      <c r="E546" s="16">
        <f>IF($C546="","",IFERROR(INDEX(Deals!$F$2:$F$355,MATCH($C546,Deals!$A$2:$A$355,0)),"?"))</f>
        <v/>
      </c>
      <c r="F546" s="28" t="inlineStr">
        <is>
          <t>Renewable Specialist</t>
        </is>
      </c>
      <c r="G546" s="28" t="inlineStr">
        <is>
          <t>Active</t>
        </is>
      </c>
      <c r="H546" s="31" t="n"/>
      <c r="I546" s="32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1">
        <f>IF($C546="",0,IFERROR(INDEX(Deals!$H$2:$H$355,MATCH($C546,Deals!$A$2:$A$355,0)),0))</f>
        <v/>
      </c>
      <c r="K546" s="32">
        <f>IF(Settings!$B$4="Yes",$I546*$J546,$I546)</f>
        <v/>
      </c>
      <c r="L546" s="22">
        <f>IF($C546="","",IFERROR(IF(INDEX(Deals!$I$2:$I$355,MATCH($C546,Deals!$A$2:$A$355,0))=0,"",INDEX(Deals!$I$2:$I$355,MATCH($C546,Deals!$A$2:$A$355,0))),""))</f>
        <v/>
      </c>
      <c r="M546" s="22">
        <f>IF($C546="","",IFERROR(IF(INDEX(Deals!$J$2:$J$355,MATCH($C546,Deals!$A$2:$A$355,0))=0,"",INDEX(Deals!$J$2:$J$355,MATCH($C546,Deals!$A$2:$A$355,0))),""))</f>
        <v/>
      </c>
      <c r="N546" s="35">
        <f>IF($L546="",DATE(1900,1,1),$L546)</f>
        <v/>
      </c>
      <c r="O546" s="35">
        <f>IF($M546="",DATE(2100,12,31),$M546)</f>
        <v/>
      </c>
      <c r="P546" s="20" t="inlineStr"/>
      <c r="Q546" s="43" t="inlineStr"/>
      <c r="R546" s="16">
        <f>IF($C546="","",IFERROR(IF(INDEX(Deals!$U$2:$U$355,MATCH($C546,Deals!$A$2:$A$355,0))=0,"",INDEX(Deals!$U$2:$U$355,MATCH($C546,Deals!$A$2:$A$355,0))),""))</f>
        <v/>
      </c>
      <c r="S546" s="34">
        <f>IFERROR(IF($U546="",1,INDEX(Deals!$V$2:$V$355,MATCH($C546,Deals!$A$2:$A$355,0))),1)</f>
        <v/>
      </c>
      <c r="T546" s="34">
        <f>IFERROR(IF($U546="",1,INDEX(Deals!$W$2:$W$355,MATCH($C546,Deals!$A$2:$A$355,0))),1)</f>
        <v/>
      </c>
      <c r="U546" s="22">
        <f>IF($C546="","",IFERROR(IF(INDEX(Deals!$Y$2:$Y$355,MATCH($C546,Deals!$A$2:$A$355,0))=0,"",INDEX(Deals!$Y$2:$Y$355,MATCH($C546,Deals!$A$2:$A$355,0))),""))</f>
        <v/>
      </c>
      <c r="V546" s="35">
        <f>IF($U546="",DATE(1900,1,1),$N546)</f>
        <v/>
      </c>
      <c r="W546" s="35">
        <f>IF($U546="",DATE(2100,12,31),$U546)</f>
        <v/>
      </c>
      <c r="X546" s="32">
        <f>IF($U546="",$K546,$K546*$S546)</f>
        <v/>
      </c>
      <c r="Y546" s="35">
        <f>IF($U546="",DATE(2100,12,31),$U546+1)</f>
        <v/>
      </c>
      <c r="Z546" s="35">
        <f>IF($U546="",DATE(1900,1,1),$O546)</f>
        <v/>
      </c>
      <c r="AA546" s="32">
        <f>IF($U546="",0,$K546*$T546)</f>
        <v/>
      </c>
      <c r="AB546" s="21">
        <f>IF($C546="",0,IFERROR(INDEX(Deals!$AD$2:$AD$355,MATCH($C546,Deals!$A$2:$A$355,0)),0))</f>
        <v/>
      </c>
      <c r="AC546" s="32">
        <f>IF(Settings!$B$4="Yes",$I546*$AB546,$I546)</f>
        <v/>
      </c>
      <c r="AD546" s="22">
        <f>IF($C546="","",IFERROR(IF(INDEX(Deals!$AE$2:$AE$355,MATCH($C546,Deals!$A$2:$A$355,0))=0,"",INDEX(Deals!$AE$2:$AE$355,MATCH($C546,Deals!$A$2:$A$355,0))),""))</f>
        <v/>
      </c>
      <c r="AE546" s="22">
        <f>IF($C546="","",IFERROR(IF(INDEX(Deals!$AF$2:$AF$355,MATCH($C546,Deals!$A$2:$A$355,0))=0,"",INDEX(Deals!$AF$2:$AF$355,MATCH($C546,Deals!$A$2:$A$355,0))),""))</f>
        <v/>
      </c>
      <c r="AF546" s="35">
        <f>IF($AD546="",DATE(1900,1,1),$AD546)</f>
        <v/>
      </c>
      <c r="AG546" s="35">
        <f>IF($AE546="",DATE(2100,12,31),$AE546)</f>
        <v/>
      </c>
      <c r="AH546" s="22">
        <f>IF($C546="","",IFERROR(IF(INDEX(Deals!$AG$2:$AG$355,MATCH($C546,Deals!$A$2:$A$355,0))=0,"",INDEX(Deals!$AG$2:$AG$355,MATCH($C546,Deals!$A$2:$A$355,0))),""))</f>
        <v/>
      </c>
      <c r="AI546" s="35">
        <f>IF($AH546="",DATE(1900,1,1),$AF546)</f>
        <v/>
      </c>
      <c r="AJ546" s="35">
        <f>IF($AH546="",DATE(2100,12,31),$AH546)</f>
        <v/>
      </c>
      <c r="AK546" s="32">
        <f>IF($AH546="",$AC546,$AC546*$S546)</f>
        <v/>
      </c>
      <c r="AL546" s="35">
        <f>IF($AH546="",DATE(2100,12,31),$AH546+1)</f>
        <v/>
      </c>
      <c r="AM546" s="35">
        <f>IF($AH546="",DATE(1900,1,1),$AG546)</f>
        <v/>
      </c>
      <c r="AN546" s="32">
        <f>IF($AH546="",0,$AC546*$T546)</f>
        <v/>
      </c>
    </row>
    <row r="547">
      <c r="A547" s="28" t="inlineStr">
        <is>
          <t>Dorian</t>
        </is>
      </c>
      <c r="B547" s="16">
        <f>IF($A547="","",IFERROR(INDEX(Roster!$B$2:$B$40,MATCH($A547,Roster!$A$2:$A$40,0)),"?"))</f>
        <v/>
      </c>
      <c r="C547" s="28" t="inlineStr">
        <is>
          <t>Dawn_1</t>
        </is>
      </c>
      <c r="D547" s="16">
        <f>IF($C547="","",IFERROR(IF(INDEX(Deals!$C$2:$C$355,MATCH($C547,Deals!$A$2:$A$355,0))=0,"",INDEX(Deals!$C$2:$C$355,MATCH($C547,Deals!$A$2:$A$355,0))),"?"))</f>
        <v/>
      </c>
      <c r="E547" s="16">
        <f>IF($C547="","",IFERROR(INDEX(Deals!$F$2:$F$355,MATCH($C547,Deals!$A$2:$A$355,0)),"?"))</f>
        <v/>
      </c>
      <c r="F547" s="28" t="inlineStr">
        <is>
          <t>Renewable Specialist</t>
        </is>
      </c>
      <c r="G547" s="28" t="inlineStr">
        <is>
          <t>Active</t>
        </is>
      </c>
      <c r="H547" s="31" t="n"/>
      <c r="I547" s="32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1">
        <f>IF($C547="",0,IFERROR(INDEX(Deals!$H$2:$H$355,MATCH($C547,Deals!$A$2:$A$355,0)),0))</f>
        <v/>
      </c>
      <c r="K547" s="32">
        <f>IF(Settings!$B$4="Yes",$I547*$J547,$I547)</f>
        <v/>
      </c>
      <c r="L547" s="22">
        <f>IF($C547="","",IFERROR(IF(INDEX(Deals!$I$2:$I$355,MATCH($C547,Deals!$A$2:$A$355,0))=0,"",INDEX(Deals!$I$2:$I$355,MATCH($C547,Deals!$A$2:$A$355,0))),""))</f>
        <v/>
      </c>
      <c r="M547" s="22">
        <f>IF($C547="","",IFERROR(IF(INDEX(Deals!$J$2:$J$355,MATCH($C547,Deals!$A$2:$A$355,0))=0,"",INDEX(Deals!$J$2:$J$355,MATCH($C547,Deals!$A$2:$A$355,0))),""))</f>
        <v/>
      </c>
      <c r="N547" s="35">
        <f>IF($L547="",DATE(1900,1,1),$L547)</f>
        <v/>
      </c>
      <c r="O547" s="35">
        <f>IF($M547="",DATE(2100,12,31),$M547)</f>
        <v/>
      </c>
      <c r="P547" s="20" t="inlineStr"/>
      <c r="Q547" s="43" t="inlineStr"/>
      <c r="R547" s="16">
        <f>IF($C547="","",IFERROR(IF(INDEX(Deals!$U$2:$U$355,MATCH($C547,Deals!$A$2:$A$355,0))=0,"",INDEX(Deals!$U$2:$U$355,MATCH($C547,Deals!$A$2:$A$355,0))),""))</f>
        <v/>
      </c>
      <c r="S547" s="34">
        <f>IFERROR(IF($U547="",1,INDEX(Deals!$V$2:$V$355,MATCH($C547,Deals!$A$2:$A$355,0))),1)</f>
        <v/>
      </c>
      <c r="T547" s="34">
        <f>IFERROR(IF($U547="",1,INDEX(Deals!$W$2:$W$355,MATCH($C547,Deals!$A$2:$A$355,0))),1)</f>
        <v/>
      </c>
      <c r="U547" s="22">
        <f>IF($C547="","",IFERROR(IF(INDEX(Deals!$Y$2:$Y$355,MATCH($C547,Deals!$A$2:$A$355,0))=0,"",INDEX(Deals!$Y$2:$Y$355,MATCH($C547,Deals!$A$2:$A$355,0))),""))</f>
        <v/>
      </c>
      <c r="V547" s="35">
        <f>IF($U547="",DATE(1900,1,1),$N547)</f>
        <v/>
      </c>
      <c r="W547" s="35">
        <f>IF($U547="",DATE(2100,12,31),$U547)</f>
        <v/>
      </c>
      <c r="X547" s="32">
        <f>IF($U547="",$K547,$K547*$S547)</f>
        <v/>
      </c>
      <c r="Y547" s="35">
        <f>IF($U547="",DATE(2100,12,31),$U547+1)</f>
        <v/>
      </c>
      <c r="Z547" s="35">
        <f>IF($U547="",DATE(1900,1,1),$O547)</f>
        <v/>
      </c>
      <c r="AA547" s="32">
        <f>IF($U547="",0,$K547*$T547)</f>
        <v/>
      </c>
      <c r="AB547" s="21">
        <f>IF($C547="",0,IFERROR(INDEX(Deals!$AD$2:$AD$355,MATCH($C547,Deals!$A$2:$A$355,0)),0))</f>
        <v/>
      </c>
      <c r="AC547" s="32">
        <f>IF(Settings!$B$4="Yes",$I547*$AB547,$I547)</f>
        <v/>
      </c>
      <c r="AD547" s="22">
        <f>IF($C547="","",IFERROR(IF(INDEX(Deals!$AE$2:$AE$355,MATCH($C547,Deals!$A$2:$A$355,0))=0,"",INDEX(Deals!$AE$2:$AE$355,MATCH($C547,Deals!$A$2:$A$355,0))),""))</f>
        <v/>
      </c>
      <c r="AE547" s="22">
        <f>IF($C547="","",IFERROR(IF(INDEX(Deals!$AF$2:$AF$355,MATCH($C547,Deals!$A$2:$A$355,0))=0,"",INDEX(Deals!$AF$2:$AF$355,MATCH($C547,Deals!$A$2:$A$355,0))),""))</f>
        <v/>
      </c>
      <c r="AF547" s="35">
        <f>IF($AD547="",DATE(1900,1,1),$AD547)</f>
        <v/>
      </c>
      <c r="AG547" s="35">
        <f>IF($AE547="",DATE(2100,12,31),$AE547)</f>
        <v/>
      </c>
      <c r="AH547" s="22">
        <f>IF($C547="","",IFERROR(IF(INDEX(Deals!$AG$2:$AG$355,MATCH($C547,Deals!$A$2:$A$355,0))=0,"",INDEX(Deals!$AG$2:$AG$355,MATCH($C547,Deals!$A$2:$A$355,0))),""))</f>
        <v/>
      </c>
      <c r="AI547" s="35">
        <f>IF($AH547="",DATE(1900,1,1),$AF547)</f>
        <v/>
      </c>
      <c r="AJ547" s="35">
        <f>IF($AH547="",DATE(2100,12,31),$AH547)</f>
        <v/>
      </c>
      <c r="AK547" s="32">
        <f>IF($AH547="",$AC547,$AC547*$S547)</f>
        <v/>
      </c>
      <c r="AL547" s="35">
        <f>IF($AH547="",DATE(2100,12,31),$AH547+1)</f>
        <v/>
      </c>
      <c r="AM547" s="35">
        <f>IF($AH547="",DATE(1900,1,1),$AG547)</f>
        <v/>
      </c>
      <c r="AN547" s="32">
        <f>IF($AH547="",0,$AC547*$T547)</f>
        <v/>
      </c>
    </row>
    <row r="548">
      <c r="A548" s="28" t="inlineStr">
        <is>
          <t>Dorian</t>
        </is>
      </c>
      <c r="B548" s="16">
        <f>IF($A548="","",IFERROR(INDEX(Roster!$B$2:$B$40,MATCH($A548,Roster!$A$2:$A$40,0)),"?"))</f>
        <v/>
      </c>
      <c r="C548" s="28" t="inlineStr">
        <is>
          <t>Denergy_1</t>
        </is>
      </c>
      <c r="D548" s="16">
        <f>IF($C548="","",IFERROR(IF(INDEX(Deals!$C$2:$C$355,MATCH($C548,Deals!$A$2:$A$355,0))=0,"",INDEX(Deals!$C$2:$C$355,MATCH($C548,Deals!$A$2:$A$355,0))),"?"))</f>
        <v/>
      </c>
      <c r="E548" s="16">
        <f>IF($C548="","",IFERROR(INDEX(Deals!$F$2:$F$355,MATCH($C548,Deals!$A$2:$A$355,0)),"?"))</f>
        <v/>
      </c>
      <c r="F548" s="28" t="inlineStr">
        <is>
          <t>Renewable Specialist</t>
        </is>
      </c>
      <c r="G548" s="28" t="inlineStr">
        <is>
          <t>Active</t>
        </is>
      </c>
      <c r="H548" s="31" t="n"/>
      <c r="I548" s="32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1">
        <f>IF($C548="",0,IFERROR(INDEX(Deals!$H$2:$H$355,MATCH($C548,Deals!$A$2:$A$355,0)),0))</f>
        <v/>
      </c>
      <c r="K548" s="32">
        <f>IF(Settings!$B$4="Yes",$I548*$J548,$I548)</f>
        <v/>
      </c>
      <c r="L548" s="22">
        <f>IF($C548="","",IFERROR(IF(INDEX(Deals!$I$2:$I$355,MATCH($C548,Deals!$A$2:$A$355,0))=0,"",INDEX(Deals!$I$2:$I$355,MATCH($C548,Deals!$A$2:$A$355,0))),""))</f>
        <v/>
      </c>
      <c r="M548" s="22">
        <f>IF($C548="","",IFERROR(IF(INDEX(Deals!$J$2:$J$355,MATCH($C548,Deals!$A$2:$A$355,0))=0,"",INDEX(Deals!$J$2:$J$355,MATCH($C548,Deals!$A$2:$A$355,0))),""))</f>
        <v/>
      </c>
      <c r="N548" s="35">
        <f>IF($L548="",DATE(1900,1,1),$L548)</f>
        <v/>
      </c>
      <c r="O548" s="35">
        <f>IF($M548="",DATE(2100,12,31),$M548)</f>
        <v/>
      </c>
      <c r="P548" s="20" t="inlineStr"/>
      <c r="Q548" s="43" t="inlineStr"/>
      <c r="R548" s="16">
        <f>IF($C548="","",IFERROR(IF(INDEX(Deals!$U$2:$U$355,MATCH($C548,Deals!$A$2:$A$355,0))=0,"",INDEX(Deals!$U$2:$U$355,MATCH($C548,Deals!$A$2:$A$355,0))),""))</f>
        <v/>
      </c>
      <c r="S548" s="34">
        <f>IFERROR(IF($U548="",1,INDEX(Deals!$V$2:$V$355,MATCH($C548,Deals!$A$2:$A$355,0))),1)</f>
        <v/>
      </c>
      <c r="T548" s="34">
        <f>IFERROR(IF($U548="",1,INDEX(Deals!$W$2:$W$355,MATCH($C548,Deals!$A$2:$A$355,0))),1)</f>
        <v/>
      </c>
      <c r="U548" s="22">
        <f>IF($C548="","",IFERROR(IF(INDEX(Deals!$Y$2:$Y$355,MATCH($C548,Deals!$A$2:$A$355,0))=0,"",INDEX(Deals!$Y$2:$Y$355,MATCH($C548,Deals!$A$2:$A$355,0))),""))</f>
        <v/>
      </c>
      <c r="V548" s="35">
        <f>IF($U548="",DATE(1900,1,1),$N548)</f>
        <v/>
      </c>
      <c r="W548" s="35">
        <f>IF($U548="",DATE(2100,12,31),$U548)</f>
        <v/>
      </c>
      <c r="X548" s="32">
        <f>IF($U548="",$K548,$K548*$S548)</f>
        <v/>
      </c>
      <c r="Y548" s="35">
        <f>IF($U548="",DATE(2100,12,31),$U548+1)</f>
        <v/>
      </c>
      <c r="Z548" s="35">
        <f>IF($U548="",DATE(1900,1,1),$O548)</f>
        <v/>
      </c>
      <c r="AA548" s="32">
        <f>IF($U548="",0,$K548*$T548)</f>
        <v/>
      </c>
      <c r="AB548" s="21">
        <f>IF($C548="",0,IFERROR(INDEX(Deals!$AD$2:$AD$355,MATCH($C548,Deals!$A$2:$A$355,0)),0))</f>
        <v/>
      </c>
      <c r="AC548" s="32">
        <f>IF(Settings!$B$4="Yes",$I548*$AB548,$I548)</f>
        <v/>
      </c>
      <c r="AD548" s="22">
        <f>IF($C548="","",IFERROR(IF(INDEX(Deals!$AE$2:$AE$355,MATCH($C548,Deals!$A$2:$A$355,0))=0,"",INDEX(Deals!$AE$2:$AE$355,MATCH($C548,Deals!$A$2:$A$355,0))),""))</f>
        <v/>
      </c>
      <c r="AE548" s="22">
        <f>IF($C548="","",IFERROR(IF(INDEX(Deals!$AF$2:$AF$355,MATCH($C548,Deals!$A$2:$A$355,0))=0,"",INDEX(Deals!$AF$2:$AF$355,MATCH($C548,Deals!$A$2:$A$355,0))),""))</f>
        <v/>
      </c>
      <c r="AF548" s="35">
        <f>IF($AD548="",DATE(1900,1,1),$AD548)</f>
        <v/>
      </c>
      <c r="AG548" s="35">
        <f>IF($AE548="",DATE(2100,12,31),$AE548)</f>
        <v/>
      </c>
      <c r="AH548" s="22">
        <f>IF($C548="","",IFERROR(IF(INDEX(Deals!$AG$2:$AG$355,MATCH($C548,Deals!$A$2:$A$355,0))=0,"",INDEX(Deals!$AG$2:$AG$355,MATCH($C548,Deals!$A$2:$A$355,0))),""))</f>
        <v/>
      </c>
      <c r="AI548" s="35">
        <f>IF($AH548="",DATE(1900,1,1),$AF548)</f>
        <v/>
      </c>
      <c r="AJ548" s="35">
        <f>IF($AH548="",DATE(2100,12,31),$AH548)</f>
        <v/>
      </c>
      <c r="AK548" s="32">
        <f>IF($AH548="",$AC548,$AC548*$S548)</f>
        <v/>
      </c>
      <c r="AL548" s="35">
        <f>IF($AH548="",DATE(2100,12,31),$AH548+1)</f>
        <v/>
      </c>
      <c r="AM548" s="35">
        <f>IF($AH548="",DATE(1900,1,1),$AG548)</f>
        <v/>
      </c>
      <c r="AN548" s="32">
        <f>IF($AH548="",0,$AC548*$T548)</f>
        <v/>
      </c>
    </row>
    <row r="549">
      <c r="A549" s="28" t="inlineStr">
        <is>
          <t>Dorian</t>
        </is>
      </c>
      <c r="B549" s="16">
        <f>IF($A549="","",IFERROR(INDEX(Roster!$B$2:$B$40,MATCH($A549,Roster!$A$2:$A$40,0)),"?"))</f>
        <v/>
      </c>
      <c r="C549" s="28" t="inlineStr">
        <is>
          <t>DIF - Diverso_1</t>
        </is>
      </c>
      <c r="D549" s="16">
        <f>IF($C549="","",IFERROR(IF(INDEX(Deals!$C$2:$C$355,MATCH($C549,Deals!$A$2:$A$355,0))=0,"",INDEX(Deals!$C$2:$C$355,MATCH($C549,Deals!$A$2:$A$355,0))),"?"))</f>
        <v/>
      </c>
      <c r="E549" s="16">
        <f>IF($C549="","",IFERROR(INDEX(Deals!$F$2:$F$355,MATCH($C549,Deals!$A$2:$A$355,0)),"?"))</f>
        <v/>
      </c>
      <c r="F549" s="28" t="inlineStr">
        <is>
          <t>Renewable Specialist</t>
        </is>
      </c>
      <c r="G549" s="28" t="inlineStr">
        <is>
          <t>Active</t>
        </is>
      </c>
      <c r="H549" s="31" t="n"/>
      <c r="I549" s="32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1">
        <f>IF($C549="",0,IFERROR(INDEX(Deals!$H$2:$H$355,MATCH($C549,Deals!$A$2:$A$355,0)),0))</f>
        <v/>
      </c>
      <c r="K549" s="32">
        <f>IF(Settings!$B$4="Yes",$I549*$J549,$I549)</f>
        <v/>
      </c>
      <c r="L549" s="22">
        <f>IF($C549="","",IFERROR(IF(INDEX(Deals!$I$2:$I$355,MATCH($C549,Deals!$A$2:$A$355,0))=0,"",INDEX(Deals!$I$2:$I$355,MATCH($C549,Deals!$A$2:$A$355,0))),""))</f>
        <v/>
      </c>
      <c r="M549" s="22">
        <f>IF($C549="","",IFERROR(IF(INDEX(Deals!$J$2:$J$355,MATCH($C549,Deals!$A$2:$A$355,0))=0,"",INDEX(Deals!$J$2:$J$355,MATCH($C549,Deals!$A$2:$A$355,0))),""))</f>
        <v/>
      </c>
      <c r="N549" s="35">
        <f>IF($L549="",DATE(1900,1,1),$L549)</f>
        <v/>
      </c>
      <c r="O549" s="35">
        <f>IF($M549="",DATE(2100,12,31),$M549)</f>
        <v/>
      </c>
      <c r="P549" s="20" t="inlineStr"/>
      <c r="Q549" s="43" t="inlineStr"/>
      <c r="R549" s="16">
        <f>IF($C549="","",IFERROR(IF(INDEX(Deals!$U$2:$U$355,MATCH($C549,Deals!$A$2:$A$355,0))=0,"",INDEX(Deals!$U$2:$U$355,MATCH($C549,Deals!$A$2:$A$355,0))),""))</f>
        <v/>
      </c>
      <c r="S549" s="34">
        <f>IFERROR(IF($U549="",1,INDEX(Deals!$V$2:$V$355,MATCH($C549,Deals!$A$2:$A$355,0))),1)</f>
        <v/>
      </c>
      <c r="T549" s="34">
        <f>IFERROR(IF($U549="",1,INDEX(Deals!$W$2:$W$355,MATCH($C549,Deals!$A$2:$A$355,0))),1)</f>
        <v/>
      </c>
      <c r="U549" s="22">
        <f>IF($C549="","",IFERROR(IF(INDEX(Deals!$Y$2:$Y$355,MATCH($C549,Deals!$A$2:$A$355,0))=0,"",INDEX(Deals!$Y$2:$Y$355,MATCH($C549,Deals!$A$2:$A$355,0))),""))</f>
        <v/>
      </c>
      <c r="V549" s="35">
        <f>IF($U549="",DATE(1900,1,1),$N549)</f>
        <v/>
      </c>
      <c r="W549" s="35">
        <f>IF($U549="",DATE(2100,12,31),$U549)</f>
        <v/>
      </c>
      <c r="X549" s="32">
        <f>IF($U549="",$K549,$K549*$S549)</f>
        <v/>
      </c>
      <c r="Y549" s="35">
        <f>IF($U549="",DATE(2100,12,31),$U549+1)</f>
        <v/>
      </c>
      <c r="Z549" s="35">
        <f>IF($U549="",DATE(1900,1,1),$O549)</f>
        <v/>
      </c>
      <c r="AA549" s="32">
        <f>IF($U549="",0,$K549*$T549)</f>
        <v/>
      </c>
      <c r="AB549" s="21">
        <f>IF($C549="",0,IFERROR(INDEX(Deals!$AD$2:$AD$355,MATCH($C549,Deals!$A$2:$A$355,0)),0))</f>
        <v/>
      </c>
      <c r="AC549" s="32">
        <f>IF(Settings!$B$4="Yes",$I549*$AB549,$I549)</f>
        <v/>
      </c>
      <c r="AD549" s="22">
        <f>IF($C549="","",IFERROR(IF(INDEX(Deals!$AE$2:$AE$355,MATCH($C549,Deals!$A$2:$A$355,0))=0,"",INDEX(Deals!$AE$2:$AE$355,MATCH($C549,Deals!$A$2:$A$355,0))),""))</f>
        <v/>
      </c>
      <c r="AE549" s="22">
        <f>IF($C549="","",IFERROR(IF(INDEX(Deals!$AF$2:$AF$355,MATCH($C549,Deals!$A$2:$A$355,0))=0,"",INDEX(Deals!$AF$2:$AF$355,MATCH($C549,Deals!$A$2:$A$355,0))),""))</f>
        <v/>
      </c>
      <c r="AF549" s="35">
        <f>IF($AD549="",DATE(1900,1,1),$AD549)</f>
        <v/>
      </c>
      <c r="AG549" s="35">
        <f>IF($AE549="",DATE(2100,12,31),$AE549)</f>
        <v/>
      </c>
      <c r="AH549" s="22">
        <f>IF($C549="","",IFERROR(IF(INDEX(Deals!$AG$2:$AG$355,MATCH($C549,Deals!$A$2:$A$355,0))=0,"",INDEX(Deals!$AG$2:$AG$355,MATCH($C549,Deals!$A$2:$A$355,0))),""))</f>
        <v/>
      </c>
      <c r="AI549" s="35">
        <f>IF($AH549="",DATE(1900,1,1),$AF549)</f>
        <v/>
      </c>
      <c r="AJ549" s="35">
        <f>IF($AH549="",DATE(2100,12,31),$AH549)</f>
        <v/>
      </c>
      <c r="AK549" s="32">
        <f>IF($AH549="",$AC549,$AC549*$S549)</f>
        <v/>
      </c>
      <c r="AL549" s="35">
        <f>IF($AH549="",DATE(2100,12,31),$AH549+1)</f>
        <v/>
      </c>
      <c r="AM549" s="35">
        <f>IF($AH549="",DATE(1900,1,1),$AG549)</f>
        <v/>
      </c>
      <c r="AN549" s="32">
        <f>IF($AH549="",0,$AC549*$T549)</f>
        <v/>
      </c>
    </row>
    <row r="550">
      <c r="A550" s="28" t="inlineStr">
        <is>
          <t>Dorian</t>
        </is>
      </c>
      <c r="B550" s="16">
        <f>IF($A550="","",IFERROR(INDEX(Roster!$B$2:$B$40,MATCH($A550,Roster!$A$2:$A$40,0)),"?"))</f>
        <v/>
      </c>
      <c r="C550" s="28" t="inlineStr">
        <is>
          <t>DIF Brahms_1</t>
        </is>
      </c>
      <c r="D550" s="16">
        <f>IF($C550="","",IFERROR(IF(INDEX(Deals!$C$2:$C$355,MATCH($C550,Deals!$A$2:$A$355,0))=0,"",INDEX(Deals!$C$2:$C$355,MATCH($C550,Deals!$A$2:$A$355,0))),"?"))</f>
        <v/>
      </c>
      <c r="E550" s="16">
        <f>IF($C550="","",IFERROR(INDEX(Deals!$F$2:$F$355,MATCH($C550,Deals!$A$2:$A$355,0)),"?"))</f>
        <v/>
      </c>
      <c r="F550" s="28" t="inlineStr">
        <is>
          <t>Renewable Specialist</t>
        </is>
      </c>
      <c r="G550" s="28" t="inlineStr">
        <is>
          <t>Active</t>
        </is>
      </c>
      <c r="H550" s="31" t="n"/>
      <c r="I550" s="32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1">
        <f>IF($C550="",0,IFERROR(INDEX(Deals!$H$2:$H$355,MATCH($C550,Deals!$A$2:$A$355,0)),0))</f>
        <v/>
      </c>
      <c r="K550" s="32">
        <f>IF(Settings!$B$4="Yes",$I550*$J550,$I550)</f>
        <v/>
      </c>
      <c r="L550" s="22">
        <f>IF($C550="","",IFERROR(IF(INDEX(Deals!$I$2:$I$355,MATCH($C550,Deals!$A$2:$A$355,0))=0,"",INDEX(Deals!$I$2:$I$355,MATCH($C550,Deals!$A$2:$A$355,0))),""))</f>
        <v/>
      </c>
      <c r="M550" s="22">
        <f>IF($C550="","",IFERROR(IF(INDEX(Deals!$J$2:$J$355,MATCH($C550,Deals!$A$2:$A$355,0))=0,"",INDEX(Deals!$J$2:$J$355,MATCH($C550,Deals!$A$2:$A$355,0))),""))</f>
        <v/>
      </c>
      <c r="N550" s="35">
        <f>IF($L550="",DATE(1900,1,1),$L550)</f>
        <v/>
      </c>
      <c r="O550" s="35">
        <f>IF($M550="",DATE(2100,12,31),$M550)</f>
        <v/>
      </c>
      <c r="P550" s="20" t="inlineStr"/>
      <c r="Q550" s="43" t="inlineStr"/>
      <c r="R550" s="16">
        <f>IF($C550="","",IFERROR(IF(INDEX(Deals!$U$2:$U$355,MATCH($C550,Deals!$A$2:$A$355,0))=0,"",INDEX(Deals!$U$2:$U$355,MATCH($C550,Deals!$A$2:$A$355,0))),""))</f>
        <v/>
      </c>
      <c r="S550" s="34">
        <f>IFERROR(IF($U550="",1,INDEX(Deals!$V$2:$V$355,MATCH($C550,Deals!$A$2:$A$355,0))),1)</f>
        <v/>
      </c>
      <c r="T550" s="34">
        <f>IFERROR(IF($U550="",1,INDEX(Deals!$W$2:$W$355,MATCH($C550,Deals!$A$2:$A$355,0))),1)</f>
        <v/>
      </c>
      <c r="U550" s="22">
        <f>IF($C550="","",IFERROR(IF(INDEX(Deals!$Y$2:$Y$355,MATCH($C550,Deals!$A$2:$A$355,0))=0,"",INDEX(Deals!$Y$2:$Y$355,MATCH($C550,Deals!$A$2:$A$355,0))),""))</f>
        <v/>
      </c>
      <c r="V550" s="35">
        <f>IF($U550="",DATE(1900,1,1),$N550)</f>
        <v/>
      </c>
      <c r="W550" s="35">
        <f>IF($U550="",DATE(2100,12,31),$U550)</f>
        <v/>
      </c>
      <c r="X550" s="32">
        <f>IF($U550="",$K550,$K550*$S550)</f>
        <v/>
      </c>
      <c r="Y550" s="35">
        <f>IF($U550="",DATE(2100,12,31),$U550+1)</f>
        <v/>
      </c>
      <c r="Z550" s="35">
        <f>IF($U550="",DATE(1900,1,1),$O550)</f>
        <v/>
      </c>
      <c r="AA550" s="32">
        <f>IF($U550="",0,$K550*$T550)</f>
        <v/>
      </c>
      <c r="AB550" s="21">
        <f>IF($C550="",0,IFERROR(INDEX(Deals!$AD$2:$AD$355,MATCH($C550,Deals!$A$2:$A$355,0)),0))</f>
        <v/>
      </c>
      <c r="AC550" s="32">
        <f>IF(Settings!$B$4="Yes",$I550*$AB550,$I550)</f>
        <v/>
      </c>
      <c r="AD550" s="22">
        <f>IF($C550="","",IFERROR(IF(INDEX(Deals!$AE$2:$AE$355,MATCH($C550,Deals!$A$2:$A$355,0))=0,"",INDEX(Deals!$AE$2:$AE$355,MATCH($C550,Deals!$A$2:$A$355,0))),""))</f>
        <v/>
      </c>
      <c r="AE550" s="22">
        <f>IF($C550="","",IFERROR(IF(INDEX(Deals!$AF$2:$AF$355,MATCH($C550,Deals!$A$2:$A$355,0))=0,"",INDEX(Deals!$AF$2:$AF$355,MATCH($C550,Deals!$A$2:$A$355,0))),""))</f>
        <v/>
      </c>
      <c r="AF550" s="35">
        <f>IF($AD550="",DATE(1900,1,1),$AD550)</f>
        <v/>
      </c>
      <c r="AG550" s="35">
        <f>IF($AE550="",DATE(2100,12,31),$AE550)</f>
        <v/>
      </c>
      <c r="AH550" s="22">
        <f>IF($C550="","",IFERROR(IF(INDEX(Deals!$AG$2:$AG$355,MATCH($C550,Deals!$A$2:$A$355,0))=0,"",INDEX(Deals!$AG$2:$AG$355,MATCH($C550,Deals!$A$2:$A$355,0))),""))</f>
        <v/>
      </c>
      <c r="AI550" s="35">
        <f>IF($AH550="",DATE(1900,1,1),$AF550)</f>
        <v/>
      </c>
      <c r="AJ550" s="35">
        <f>IF($AH550="",DATE(2100,12,31),$AH550)</f>
        <v/>
      </c>
      <c r="AK550" s="32">
        <f>IF($AH550="",$AC550,$AC550*$S550)</f>
        <v/>
      </c>
      <c r="AL550" s="35">
        <f>IF($AH550="",DATE(2100,12,31),$AH550+1)</f>
        <v/>
      </c>
      <c r="AM550" s="35">
        <f>IF($AH550="",DATE(1900,1,1),$AG550)</f>
        <v/>
      </c>
      <c r="AN550" s="32">
        <f>IF($AH550="",0,$AC550*$T550)</f>
        <v/>
      </c>
    </row>
    <row r="551">
      <c r="A551" s="28" t="inlineStr">
        <is>
          <t>Dorian</t>
        </is>
      </c>
      <c r="B551" s="16">
        <f>IF($A551="","",IFERROR(INDEX(Roster!$B$2:$B$40,MATCH($A551,Roster!$A$2:$A$40,0)),"?"))</f>
        <v/>
      </c>
      <c r="C551" s="28" t="inlineStr">
        <is>
          <t>Elk_2</t>
        </is>
      </c>
      <c r="D551" s="16">
        <f>IF($C551="","",IFERROR(IF(INDEX(Deals!$C$2:$C$355,MATCH($C551,Deals!$A$2:$A$355,0))=0,"",INDEX(Deals!$C$2:$C$355,MATCH($C551,Deals!$A$2:$A$355,0))),"?"))</f>
        <v/>
      </c>
      <c r="E551" s="16">
        <f>IF($C551="","",IFERROR(INDEX(Deals!$F$2:$F$355,MATCH($C551,Deals!$A$2:$A$355,0)),"?"))</f>
        <v/>
      </c>
      <c r="F551" s="28" t="inlineStr">
        <is>
          <t>Renewable Specialist</t>
        </is>
      </c>
      <c r="G551" s="28" t="inlineStr">
        <is>
          <t>Active</t>
        </is>
      </c>
      <c r="H551" s="31" t="n"/>
      <c r="I551" s="32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1">
        <f>IF($C551="",0,IFERROR(INDEX(Deals!$H$2:$H$355,MATCH($C551,Deals!$A$2:$A$355,0)),0))</f>
        <v/>
      </c>
      <c r="K551" s="32">
        <f>IF(Settings!$B$4="Yes",$I551*$J551,$I551)</f>
        <v/>
      </c>
      <c r="L551" s="22">
        <f>IF($C551="","",IFERROR(IF(INDEX(Deals!$I$2:$I$355,MATCH($C551,Deals!$A$2:$A$355,0))=0,"",INDEX(Deals!$I$2:$I$355,MATCH($C551,Deals!$A$2:$A$355,0))),""))</f>
        <v/>
      </c>
      <c r="M551" s="22">
        <f>IF($C551="","",IFERROR(IF(INDEX(Deals!$J$2:$J$355,MATCH($C551,Deals!$A$2:$A$355,0))=0,"",INDEX(Deals!$J$2:$J$355,MATCH($C551,Deals!$A$2:$A$355,0))),""))</f>
        <v/>
      </c>
      <c r="N551" s="35">
        <f>IF($L551="",DATE(1900,1,1),$L551)</f>
        <v/>
      </c>
      <c r="O551" s="35">
        <f>IF($M551="",DATE(2100,12,31),$M551)</f>
        <v/>
      </c>
      <c r="P551" s="20" t="inlineStr"/>
      <c r="Q551" s="43" t="inlineStr"/>
      <c r="R551" s="16">
        <f>IF($C551="","",IFERROR(IF(INDEX(Deals!$U$2:$U$355,MATCH($C551,Deals!$A$2:$A$355,0))=0,"",INDEX(Deals!$U$2:$U$355,MATCH($C551,Deals!$A$2:$A$355,0))),""))</f>
        <v/>
      </c>
      <c r="S551" s="34">
        <f>IFERROR(IF($U551="",1,INDEX(Deals!$V$2:$V$355,MATCH($C551,Deals!$A$2:$A$355,0))),1)</f>
        <v/>
      </c>
      <c r="T551" s="34">
        <f>IFERROR(IF($U551="",1,INDEX(Deals!$W$2:$W$355,MATCH($C551,Deals!$A$2:$A$355,0))),1)</f>
        <v/>
      </c>
      <c r="U551" s="22">
        <f>IF($C551="","",IFERROR(IF(INDEX(Deals!$Y$2:$Y$355,MATCH($C551,Deals!$A$2:$A$355,0))=0,"",INDEX(Deals!$Y$2:$Y$355,MATCH($C551,Deals!$A$2:$A$355,0))),""))</f>
        <v/>
      </c>
      <c r="V551" s="35">
        <f>IF($U551="",DATE(1900,1,1),$N551)</f>
        <v/>
      </c>
      <c r="W551" s="35">
        <f>IF($U551="",DATE(2100,12,31),$U551)</f>
        <v/>
      </c>
      <c r="X551" s="32">
        <f>IF($U551="",$K551,$K551*$S551)</f>
        <v/>
      </c>
      <c r="Y551" s="35">
        <f>IF($U551="",DATE(2100,12,31),$U551+1)</f>
        <v/>
      </c>
      <c r="Z551" s="35">
        <f>IF($U551="",DATE(1900,1,1),$O551)</f>
        <v/>
      </c>
      <c r="AA551" s="32">
        <f>IF($U551="",0,$K551*$T551)</f>
        <v/>
      </c>
      <c r="AB551" s="21">
        <f>IF($C551="",0,IFERROR(INDEX(Deals!$AD$2:$AD$355,MATCH($C551,Deals!$A$2:$A$355,0)),0))</f>
        <v/>
      </c>
      <c r="AC551" s="32">
        <f>IF(Settings!$B$4="Yes",$I551*$AB551,$I551)</f>
        <v/>
      </c>
      <c r="AD551" s="22">
        <f>IF($C551="","",IFERROR(IF(INDEX(Deals!$AE$2:$AE$355,MATCH($C551,Deals!$A$2:$A$355,0))=0,"",INDEX(Deals!$AE$2:$AE$355,MATCH($C551,Deals!$A$2:$A$355,0))),""))</f>
        <v/>
      </c>
      <c r="AE551" s="22">
        <f>IF($C551="","",IFERROR(IF(INDEX(Deals!$AF$2:$AF$355,MATCH($C551,Deals!$A$2:$A$355,0))=0,"",INDEX(Deals!$AF$2:$AF$355,MATCH($C551,Deals!$A$2:$A$355,0))),""))</f>
        <v/>
      </c>
      <c r="AF551" s="35">
        <f>IF($AD551="",DATE(1900,1,1),$AD551)</f>
        <v/>
      </c>
      <c r="AG551" s="35">
        <f>IF($AE551="",DATE(2100,12,31),$AE551)</f>
        <v/>
      </c>
      <c r="AH551" s="22">
        <f>IF($C551="","",IFERROR(IF(INDEX(Deals!$AG$2:$AG$355,MATCH($C551,Deals!$A$2:$A$355,0))=0,"",INDEX(Deals!$AG$2:$AG$355,MATCH($C551,Deals!$A$2:$A$355,0))),""))</f>
        <v/>
      </c>
      <c r="AI551" s="35">
        <f>IF($AH551="",DATE(1900,1,1),$AF551)</f>
        <v/>
      </c>
      <c r="AJ551" s="35">
        <f>IF($AH551="",DATE(2100,12,31),$AH551)</f>
        <v/>
      </c>
      <c r="AK551" s="32">
        <f>IF($AH551="",$AC551,$AC551*$S551)</f>
        <v/>
      </c>
      <c r="AL551" s="35">
        <f>IF($AH551="",DATE(2100,12,31),$AH551+1)</f>
        <v/>
      </c>
      <c r="AM551" s="35">
        <f>IF($AH551="",DATE(1900,1,1),$AG551)</f>
        <v/>
      </c>
      <c r="AN551" s="32">
        <f>IF($AH551="",0,$AC551*$T551)</f>
        <v/>
      </c>
    </row>
    <row r="552">
      <c r="A552" s="28" t="inlineStr">
        <is>
          <t>Dorian</t>
        </is>
      </c>
      <c r="B552" s="16">
        <f>IF($A552="","",IFERROR(INDEX(Roster!$B$2:$B$40,MATCH($A552,Roster!$A$2:$A$40,0)),"?"))</f>
        <v/>
      </c>
      <c r="C552" s="28" t="inlineStr">
        <is>
          <t>Etonia_1</t>
        </is>
      </c>
      <c r="D552" s="16">
        <f>IF($C552="","",IFERROR(IF(INDEX(Deals!$C$2:$C$355,MATCH($C552,Deals!$A$2:$A$355,0))=0,"",INDEX(Deals!$C$2:$C$355,MATCH($C552,Deals!$A$2:$A$355,0))),"?"))</f>
        <v/>
      </c>
      <c r="E552" s="16">
        <f>IF($C552="","",IFERROR(INDEX(Deals!$F$2:$F$355,MATCH($C552,Deals!$A$2:$A$355,0)),"?"))</f>
        <v/>
      </c>
      <c r="F552" s="28" t="inlineStr">
        <is>
          <t>Renewable Specialist</t>
        </is>
      </c>
      <c r="G552" s="28" t="inlineStr">
        <is>
          <t>Active</t>
        </is>
      </c>
      <c r="H552" s="31" t="n"/>
      <c r="I552" s="32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1">
        <f>IF($C552="",0,IFERROR(INDEX(Deals!$H$2:$H$355,MATCH($C552,Deals!$A$2:$A$355,0)),0))</f>
        <v/>
      </c>
      <c r="K552" s="32">
        <f>IF(Settings!$B$4="Yes",$I552*$J552,$I552)</f>
        <v/>
      </c>
      <c r="L552" s="22">
        <f>IF($C552="","",IFERROR(IF(INDEX(Deals!$I$2:$I$355,MATCH($C552,Deals!$A$2:$A$355,0))=0,"",INDEX(Deals!$I$2:$I$355,MATCH($C552,Deals!$A$2:$A$355,0))),""))</f>
        <v/>
      </c>
      <c r="M552" s="22">
        <f>IF($C552="","",IFERROR(IF(INDEX(Deals!$J$2:$J$355,MATCH($C552,Deals!$A$2:$A$355,0))=0,"",INDEX(Deals!$J$2:$J$355,MATCH($C552,Deals!$A$2:$A$355,0))),""))</f>
        <v/>
      </c>
      <c r="N552" s="35">
        <f>IF($L552="",DATE(1900,1,1),$L552)</f>
        <v/>
      </c>
      <c r="O552" s="35">
        <f>IF($M552="",DATE(2100,12,31),$M552)</f>
        <v/>
      </c>
      <c r="P552" s="20" t="inlineStr"/>
      <c r="Q552" s="43" t="inlineStr"/>
      <c r="R552" s="16">
        <f>IF($C552="","",IFERROR(IF(INDEX(Deals!$U$2:$U$355,MATCH($C552,Deals!$A$2:$A$355,0))=0,"",INDEX(Deals!$U$2:$U$355,MATCH($C552,Deals!$A$2:$A$355,0))),""))</f>
        <v/>
      </c>
      <c r="S552" s="34">
        <f>IFERROR(IF($U552="",1,INDEX(Deals!$V$2:$V$355,MATCH($C552,Deals!$A$2:$A$355,0))),1)</f>
        <v/>
      </c>
      <c r="T552" s="34">
        <f>IFERROR(IF($U552="",1,INDEX(Deals!$W$2:$W$355,MATCH($C552,Deals!$A$2:$A$355,0))),1)</f>
        <v/>
      </c>
      <c r="U552" s="22">
        <f>IF($C552="","",IFERROR(IF(INDEX(Deals!$Y$2:$Y$355,MATCH($C552,Deals!$A$2:$A$355,0))=0,"",INDEX(Deals!$Y$2:$Y$355,MATCH($C552,Deals!$A$2:$A$355,0))),""))</f>
        <v/>
      </c>
      <c r="V552" s="35">
        <f>IF($U552="",DATE(1900,1,1),$N552)</f>
        <v/>
      </c>
      <c r="W552" s="35">
        <f>IF($U552="",DATE(2100,12,31),$U552)</f>
        <v/>
      </c>
      <c r="X552" s="32">
        <f>IF($U552="",$K552,$K552*$S552)</f>
        <v/>
      </c>
      <c r="Y552" s="35">
        <f>IF($U552="",DATE(2100,12,31),$U552+1)</f>
        <v/>
      </c>
      <c r="Z552" s="35">
        <f>IF($U552="",DATE(1900,1,1),$O552)</f>
        <v/>
      </c>
      <c r="AA552" s="32">
        <f>IF($U552="",0,$K552*$T552)</f>
        <v/>
      </c>
      <c r="AB552" s="21">
        <f>IF($C552="",0,IFERROR(INDEX(Deals!$AD$2:$AD$355,MATCH($C552,Deals!$A$2:$A$355,0)),0))</f>
        <v/>
      </c>
      <c r="AC552" s="32">
        <f>IF(Settings!$B$4="Yes",$I552*$AB552,$I552)</f>
        <v/>
      </c>
      <c r="AD552" s="22">
        <f>IF($C552="","",IFERROR(IF(INDEX(Deals!$AE$2:$AE$355,MATCH($C552,Deals!$A$2:$A$355,0))=0,"",INDEX(Deals!$AE$2:$AE$355,MATCH($C552,Deals!$A$2:$A$355,0))),""))</f>
        <v/>
      </c>
      <c r="AE552" s="22">
        <f>IF($C552="","",IFERROR(IF(INDEX(Deals!$AF$2:$AF$355,MATCH($C552,Deals!$A$2:$A$355,0))=0,"",INDEX(Deals!$AF$2:$AF$355,MATCH($C552,Deals!$A$2:$A$355,0))),""))</f>
        <v/>
      </c>
      <c r="AF552" s="35">
        <f>IF($AD552="",DATE(1900,1,1),$AD552)</f>
        <v/>
      </c>
      <c r="AG552" s="35">
        <f>IF($AE552="",DATE(2100,12,31),$AE552)</f>
        <v/>
      </c>
      <c r="AH552" s="22">
        <f>IF($C552="","",IFERROR(IF(INDEX(Deals!$AG$2:$AG$355,MATCH($C552,Deals!$A$2:$A$355,0))=0,"",INDEX(Deals!$AG$2:$AG$355,MATCH($C552,Deals!$A$2:$A$355,0))),""))</f>
        <v/>
      </c>
      <c r="AI552" s="35">
        <f>IF($AH552="",DATE(1900,1,1),$AF552)</f>
        <v/>
      </c>
      <c r="AJ552" s="35">
        <f>IF($AH552="",DATE(2100,12,31),$AH552)</f>
        <v/>
      </c>
      <c r="AK552" s="32">
        <f>IF($AH552="",$AC552,$AC552*$S552)</f>
        <v/>
      </c>
      <c r="AL552" s="35">
        <f>IF($AH552="",DATE(2100,12,31),$AH552+1)</f>
        <v/>
      </c>
      <c r="AM552" s="35">
        <f>IF($AH552="",DATE(1900,1,1),$AG552)</f>
        <v/>
      </c>
      <c r="AN552" s="32">
        <f>IF($AH552="",0,$AC552*$T552)</f>
        <v/>
      </c>
    </row>
    <row r="553">
      <c r="A553" s="28" t="inlineStr">
        <is>
          <t>Dorian</t>
        </is>
      </c>
      <c r="B553" s="16">
        <f>IF($A553="","",IFERROR(INDEX(Roster!$B$2:$B$40,MATCH($A553,Roster!$A$2:$A$40,0)),"?"))</f>
        <v/>
      </c>
      <c r="C553" s="28" t="inlineStr">
        <is>
          <t>Etude_2</t>
        </is>
      </c>
      <c r="D553" s="16">
        <f>IF($C553="","",IFERROR(IF(INDEX(Deals!$C$2:$C$355,MATCH($C553,Deals!$A$2:$A$355,0))=0,"",INDEX(Deals!$C$2:$C$355,MATCH($C553,Deals!$A$2:$A$355,0))),"?"))</f>
        <v/>
      </c>
      <c r="E553" s="16">
        <f>IF($C553="","",IFERROR(INDEX(Deals!$F$2:$F$355,MATCH($C553,Deals!$A$2:$A$355,0)),"?"))</f>
        <v/>
      </c>
      <c r="F553" s="28" t="inlineStr">
        <is>
          <t>Renewable Specialist</t>
        </is>
      </c>
      <c r="G553" s="28" t="inlineStr">
        <is>
          <t>Active</t>
        </is>
      </c>
      <c r="H553" s="31" t="n"/>
      <c r="I553" s="32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1">
        <f>IF($C553="",0,IFERROR(INDEX(Deals!$H$2:$H$355,MATCH($C553,Deals!$A$2:$A$355,0)),0))</f>
        <v/>
      </c>
      <c r="K553" s="32">
        <f>IF(Settings!$B$4="Yes",$I553*$J553,$I553)</f>
        <v/>
      </c>
      <c r="L553" s="22">
        <f>IF($C553="","",IFERROR(IF(INDEX(Deals!$I$2:$I$355,MATCH($C553,Deals!$A$2:$A$355,0))=0,"",INDEX(Deals!$I$2:$I$355,MATCH($C553,Deals!$A$2:$A$355,0))),""))</f>
        <v/>
      </c>
      <c r="M553" s="22">
        <f>IF($C553="","",IFERROR(IF(INDEX(Deals!$J$2:$J$355,MATCH($C553,Deals!$A$2:$A$355,0))=0,"",INDEX(Deals!$J$2:$J$355,MATCH($C553,Deals!$A$2:$A$355,0))),""))</f>
        <v/>
      </c>
      <c r="N553" s="35">
        <f>IF($L553="",DATE(1900,1,1),$L553)</f>
        <v/>
      </c>
      <c r="O553" s="35">
        <f>IF($M553="",DATE(2100,12,31),$M553)</f>
        <v/>
      </c>
      <c r="P553" s="20" t="inlineStr"/>
      <c r="Q553" s="43" t="inlineStr"/>
      <c r="R553" s="16">
        <f>IF($C553="","",IFERROR(IF(INDEX(Deals!$U$2:$U$355,MATCH($C553,Deals!$A$2:$A$355,0))=0,"",INDEX(Deals!$U$2:$U$355,MATCH($C553,Deals!$A$2:$A$355,0))),""))</f>
        <v/>
      </c>
      <c r="S553" s="34">
        <f>IFERROR(IF($U553="",1,INDEX(Deals!$V$2:$V$355,MATCH($C553,Deals!$A$2:$A$355,0))),1)</f>
        <v/>
      </c>
      <c r="T553" s="34">
        <f>IFERROR(IF($U553="",1,INDEX(Deals!$W$2:$W$355,MATCH($C553,Deals!$A$2:$A$355,0))),1)</f>
        <v/>
      </c>
      <c r="U553" s="22">
        <f>IF($C553="","",IFERROR(IF(INDEX(Deals!$Y$2:$Y$355,MATCH($C553,Deals!$A$2:$A$355,0))=0,"",INDEX(Deals!$Y$2:$Y$355,MATCH($C553,Deals!$A$2:$A$355,0))),""))</f>
        <v/>
      </c>
      <c r="V553" s="35">
        <f>IF($U553="",DATE(1900,1,1),$N553)</f>
        <v/>
      </c>
      <c r="W553" s="35">
        <f>IF($U553="",DATE(2100,12,31),$U553)</f>
        <v/>
      </c>
      <c r="X553" s="32">
        <f>IF($U553="",$K553,$K553*$S553)</f>
        <v/>
      </c>
      <c r="Y553" s="35">
        <f>IF($U553="",DATE(2100,12,31),$U553+1)</f>
        <v/>
      </c>
      <c r="Z553" s="35">
        <f>IF($U553="",DATE(1900,1,1),$O553)</f>
        <v/>
      </c>
      <c r="AA553" s="32">
        <f>IF($U553="",0,$K553*$T553)</f>
        <v/>
      </c>
      <c r="AB553" s="21">
        <f>IF($C553="",0,IFERROR(INDEX(Deals!$AD$2:$AD$355,MATCH($C553,Deals!$A$2:$A$355,0)),0))</f>
        <v/>
      </c>
      <c r="AC553" s="32">
        <f>IF(Settings!$B$4="Yes",$I553*$AB553,$I553)</f>
        <v/>
      </c>
      <c r="AD553" s="22">
        <f>IF($C553="","",IFERROR(IF(INDEX(Deals!$AE$2:$AE$355,MATCH($C553,Deals!$A$2:$A$355,0))=0,"",INDEX(Deals!$AE$2:$AE$355,MATCH($C553,Deals!$A$2:$A$355,0))),""))</f>
        <v/>
      </c>
      <c r="AE553" s="22">
        <f>IF($C553="","",IFERROR(IF(INDEX(Deals!$AF$2:$AF$355,MATCH($C553,Deals!$A$2:$A$355,0))=0,"",INDEX(Deals!$AF$2:$AF$355,MATCH($C553,Deals!$A$2:$A$355,0))),""))</f>
        <v/>
      </c>
      <c r="AF553" s="35">
        <f>IF($AD553="",DATE(1900,1,1),$AD553)</f>
        <v/>
      </c>
      <c r="AG553" s="35">
        <f>IF($AE553="",DATE(2100,12,31),$AE553)</f>
        <v/>
      </c>
      <c r="AH553" s="22">
        <f>IF($C553="","",IFERROR(IF(INDEX(Deals!$AG$2:$AG$355,MATCH($C553,Deals!$A$2:$A$355,0))=0,"",INDEX(Deals!$AG$2:$AG$355,MATCH($C553,Deals!$A$2:$A$355,0))),""))</f>
        <v/>
      </c>
      <c r="AI553" s="35">
        <f>IF($AH553="",DATE(1900,1,1),$AF553)</f>
        <v/>
      </c>
      <c r="AJ553" s="35">
        <f>IF($AH553="",DATE(2100,12,31),$AH553)</f>
        <v/>
      </c>
      <c r="AK553" s="32">
        <f>IF($AH553="",$AC553,$AC553*$S553)</f>
        <v/>
      </c>
      <c r="AL553" s="35">
        <f>IF($AH553="",DATE(2100,12,31),$AH553+1)</f>
        <v/>
      </c>
      <c r="AM553" s="35">
        <f>IF($AH553="",DATE(1900,1,1),$AG553)</f>
        <v/>
      </c>
      <c r="AN553" s="32">
        <f>IF($AH553="",0,$AC553*$T553)</f>
        <v/>
      </c>
    </row>
    <row r="554">
      <c r="A554" s="28" t="inlineStr">
        <is>
          <t>Dorian</t>
        </is>
      </c>
      <c r="B554" s="16">
        <f>IF($A554="","",IFERROR(INDEX(Roster!$B$2:$B$40,MATCH($A554,Roster!$A$2:$A$40,0)),"?"))</f>
        <v/>
      </c>
      <c r="C554" s="28" t="inlineStr">
        <is>
          <t>Fortress_3</t>
        </is>
      </c>
      <c r="D554" s="16">
        <f>IF($C554="","",IFERROR(IF(INDEX(Deals!$C$2:$C$355,MATCH($C554,Deals!$A$2:$A$355,0))=0,"",INDEX(Deals!$C$2:$C$355,MATCH($C554,Deals!$A$2:$A$355,0))),"?"))</f>
        <v/>
      </c>
      <c r="E554" s="16">
        <f>IF($C554="","",IFERROR(INDEX(Deals!$F$2:$F$355,MATCH($C554,Deals!$A$2:$A$355,0)),"?"))</f>
        <v/>
      </c>
      <c r="F554" s="28" t="inlineStr">
        <is>
          <t>Renewable Specialist</t>
        </is>
      </c>
      <c r="G554" s="28" t="inlineStr">
        <is>
          <t>Active</t>
        </is>
      </c>
      <c r="H554" s="31" t="n"/>
      <c r="I554" s="32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1">
        <f>IF($C554="",0,IFERROR(INDEX(Deals!$H$2:$H$355,MATCH($C554,Deals!$A$2:$A$355,0)),0))</f>
        <v/>
      </c>
      <c r="K554" s="32">
        <f>IF(Settings!$B$4="Yes",$I554*$J554,$I554)</f>
        <v/>
      </c>
      <c r="L554" s="22">
        <f>IF($C554="","",IFERROR(IF(INDEX(Deals!$I$2:$I$355,MATCH($C554,Deals!$A$2:$A$355,0))=0,"",INDEX(Deals!$I$2:$I$355,MATCH($C554,Deals!$A$2:$A$355,0))),""))</f>
        <v/>
      </c>
      <c r="M554" s="22">
        <f>IF($C554="","",IFERROR(IF(INDEX(Deals!$J$2:$J$355,MATCH($C554,Deals!$A$2:$A$355,0))=0,"",INDEX(Deals!$J$2:$J$355,MATCH($C554,Deals!$A$2:$A$355,0))),""))</f>
        <v/>
      </c>
      <c r="N554" s="35">
        <f>IF($L554="",DATE(1900,1,1),$L554)</f>
        <v/>
      </c>
      <c r="O554" s="35">
        <f>IF($M554="",DATE(2100,12,31),$M554)</f>
        <v/>
      </c>
      <c r="P554" s="20" t="inlineStr"/>
      <c r="Q554" s="43" t="inlineStr"/>
      <c r="R554" s="16">
        <f>IF($C554="","",IFERROR(IF(INDEX(Deals!$U$2:$U$355,MATCH($C554,Deals!$A$2:$A$355,0))=0,"",INDEX(Deals!$U$2:$U$355,MATCH($C554,Deals!$A$2:$A$355,0))),""))</f>
        <v/>
      </c>
      <c r="S554" s="34">
        <f>IFERROR(IF($U554="",1,INDEX(Deals!$V$2:$V$355,MATCH($C554,Deals!$A$2:$A$355,0))),1)</f>
        <v/>
      </c>
      <c r="T554" s="34">
        <f>IFERROR(IF($U554="",1,INDEX(Deals!$W$2:$W$355,MATCH($C554,Deals!$A$2:$A$355,0))),1)</f>
        <v/>
      </c>
      <c r="U554" s="22">
        <f>IF($C554="","",IFERROR(IF(INDEX(Deals!$Y$2:$Y$355,MATCH($C554,Deals!$A$2:$A$355,0))=0,"",INDEX(Deals!$Y$2:$Y$355,MATCH($C554,Deals!$A$2:$A$355,0))),""))</f>
        <v/>
      </c>
      <c r="V554" s="35">
        <f>IF($U554="",DATE(1900,1,1),$N554)</f>
        <v/>
      </c>
      <c r="W554" s="35">
        <f>IF($U554="",DATE(2100,12,31),$U554)</f>
        <v/>
      </c>
      <c r="X554" s="32">
        <f>IF($U554="",$K554,$K554*$S554)</f>
        <v/>
      </c>
      <c r="Y554" s="35">
        <f>IF($U554="",DATE(2100,12,31),$U554+1)</f>
        <v/>
      </c>
      <c r="Z554" s="35">
        <f>IF($U554="",DATE(1900,1,1),$O554)</f>
        <v/>
      </c>
      <c r="AA554" s="32">
        <f>IF($U554="",0,$K554*$T554)</f>
        <v/>
      </c>
      <c r="AB554" s="21">
        <f>IF($C554="",0,IFERROR(INDEX(Deals!$AD$2:$AD$355,MATCH($C554,Deals!$A$2:$A$355,0)),0))</f>
        <v/>
      </c>
      <c r="AC554" s="32">
        <f>IF(Settings!$B$4="Yes",$I554*$AB554,$I554)</f>
        <v/>
      </c>
      <c r="AD554" s="22">
        <f>IF($C554="","",IFERROR(IF(INDEX(Deals!$AE$2:$AE$355,MATCH($C554,Deals!$A$2:$A$355,0))=0,"",INDEX(Deals!$AE$2:$AE$355,MATCH($C554,Deals!$A$2:$A$355,0))),""))</f>
        <v/>
      </c>
      <c r="AE554" s="22">
        <f>IF($C554="","",IFERROR(IF(INDEX(Deals!$AF$2:$AF$355,MATCH($C554,Deals!$A$2:$A$355,0))=0,"",INDEX(Deals!$AF$2:$AF$355,MATCH($C554,Deals!$A$2:$A$355,0))),""))</f>
        <v/>
      </c>
      <c r="AF554" s="35">
        <f>IF($AD554="",DATE(1900,1,1),$AD554)</f>
        <v/>
      </c>
      <c r="AG554" s="35">
        <f>IF($AE554="",DATE(2100,12,31),$AE554)</f>
        <v/>
      </c>
      <c r="AH554" s="22">
        <f>IF($C554="","",IFERROR(IF(INDEX(Deals!$AG$2:$AG$355,MATCH($C554,Deals!$A$2:$A$355,0))=0,"",INDEX(Deals!$AG$2:$AG$355,MATCH($C554,Deals!$A$2:$A$355,0))),""))</f>
        <v/>
      </c>
      <c r="AI554" s="35">
        <f>IF($AH554="",DATE(1900,1,1),$AF554)</f>
        <v/>
      </c>
      <c r="AJ554" s="35">
        <f>IF($AH554="",DATE(2100,12,31),$AH554)</f>
        <v/>
      </c>
      <c r="AK554" s="32">
        <f>IF($AH554="",$AC554,$AC554*$S554)</f>
        <v/>
      </c>
      <c r="AL554" s="35">
        <f>IF($AH554="",DATE(2100,12,31),$AH554+1)</f>
        <v/>
      </c>
      <c r="AM554" s="35">
        <f>IF($AH554="",DATE(1900,1,1),$AG554)</f>
        <v/>
      </c>
      <c r="AN554" s="32">
        <f>IF($AH554="",0,$AC554*$T554)</f>
        <v/>
      </c>
    </row>
    <row r="555">
      <c r="A555" s="28" t="inlineStr">
        <is>
          <t>Dorian</t>
        </is>
      </c>
      <c r="B555" s="16">
        <f>IF($A555="","",IFERROR(INDEX(Roster!$B$2:$B$40,MATCH($A555,Roster!$A$2:$A$40,0)),"?"))</f>
        <v/>
      </c>
      <c r="C555" s="28" t="inlineStr">
        <is>
          <t>Gravel_1</t>
        </is>
      </c>
      <c r="D555" s="16">
        <f>IF($C555="","",IFERROR(IF(INDEX(Deals!$C$2:$C$355,MATCH($C555,Deals!$A$2:$A$355,0))=0,"",INDEX(Deals!$C$2:$C$355,MATCH($C555,Deals!$A$2:$A$355,0))),"?"))</f>
        <v/>
      </c>
      <c r="E555" s="16">
        <f>IF($C555="","",IFERROR(INDEX(Deals!$F$2:$F$355,MATCH($C555,Deals!$A$2:$A$355,0)),"?"))</f>
        <v/>
      </c>
      <c r="F555" s="28" t="inlineStr">
        <is>
          <t>Renewable Specialist</t>
        </is>
      </c>
      <c r="G555" s="28" t="inlineStr">
        <is>
          <t>Active</t>
        </is>
      </c>
      <c r="H555" s="31" t="n"/>
      <c r="I555" s="32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1">
        <f>IF($C555="",0,IFERROR(INDEX(Deals!$H$2:$H$355,MATCH($C555,Deals!$A$2:$A$355,0)),0))</f>
        <v/>
      </c>
      <c r="K555" s="32">
        <f>IF(Settings!$B$4="Yes",$I555*$J555,$I555)</f>
        <v/>
      </c>
      <c r="L555" s="22">
        <f>IF($C555="","",IFERROR(IF(INDEX(Deals!$I$2:$I$355,MATCH($C555,Deals!$A$2:$A$355,0))=0,"",INDEX(Deals!$I$2:$I$355,MATCH($C555,Deals!$A$2:$A$355,0))),""))</f>
        <v/>
      </c>
      <c r="M555" s="22">
        <f>IF($C555="","",IFERROR(IF(INDEX(Deals!$J$2:$J$355,MATCH($C555,Deals!$A$2:$A$355,0))=0,"",INDEX(Deals!$J$2:$J$355,MATCH($C555,Deals!$A$2:$A$355,0))),""))</f>
        <v/>
      </c>
      <c r="N555" s="35">
        <f>IF($L555="",DATE(1900,1,1),$L555)</f>
        <v/>
      </c>
      <c r="O555" s="35">
        <f>IF($M555="",DATE(2100,12,31),$M555)</f>
        <v/>
      </c>
      <c r="P555" s="20" t="inlineStr"/>
      <c r="Q555" s="43" t="inlineStr"/>
      <c r="R555" s="16">
        <f>IF($C555="","",IFERROR(IF(INDEX(Deals!$U$2:$U$355,MATCH($C555,Deals!$A$2:$A$355,0))=0,"",INDEX(Deals!$U$2:$U$355,MATCH($C555,Deals!$A$2:$A$355,0))),""))</f>
        <v/>
      </c>
      <c r="S555" s="34">
        <f>IFERROR(IF($U555="",1,INDEX(Deals!$V$2:$V$355,MATCH($C555,Deals!$A$2:$A$355,0))),1)</f>
        <v/>
      </c>
      <c r="T555" s="34">
        <f>IFERROR(IF($U555="",1,INDEX(Deals!$W$2:$W$355,MATCH($C555,Deals!$A$2:$A$355,0))),1)</f>
        <v/>
      </c>
      <c r="U555" s="22">
        <f>IF($C555="","",IFERROR(IF(INDEX(Deals!$Y$2:$Y$355,MATCH($C555,Deals!$A$2:$A$355,0))=0,"",INDEX(Deals!$Y$2:$Y$355,MATCH($C555,Deals!$A$2:$A$355,0))),""))</f>
        <v/>
      </c>
      <c r="V555" s="35">
        <f>IF($U555="",DATE(1900,1,1),$N555)</f>
        <v/>
      </c>
      <c r="W555" s="35">
        <f>IF($U555="",DATE(2100,12,31),$U555)</f>
        <v/>
      </c>
      <c r="X555" s="32">
        <f>IF($U555="",$K555,$K555*$S555)</f>
        <v/>
      </c>
      <c r="Y555" s="35">
        <f>IF($U555="",DATE(2100,12,31),$U555+1)</f>
        <v/>
      </c>
      <c r="Z555" s="35">
        <f>IF($U555="",DATE(1900,1,1),$O555)</f>
        <v/>
      </c>
      <c r="AA555" s="32">
        <f>IF($U555="",0,$K555*$T555)</f>
        <v/>
      </c>
      <c r="AB555" s="21">
        <f>IF($C555="",0,IFERROR(INDEX(Deals!$AD$2:$AD$355,MATCH($C555,Deals!$A$2:$A$355,0)),0))</f>
        <v/>
      </c>
      <c r="AC555" s="32">
        <f>IF(Settings!$B$4="Yes",$I555*$AB555,$I555)</f>
        <v/>
      </c>
      <c r="AD555" s="22">
        <f>IF($C555="","",IFERROR(IF(INDEX(Deals!$AE$2:$AE$355,MATCH($C555,Deals!$A$2:$A$355,0))=0,"",INDEX(Deals!$AE$2:$AE$355,MATCH($C555,Deals!$A$2:$A$355,0))),""))</f>
        <v/>
      </c>
      <c r="AE555" s="22">
        <f>IF($C555="","",IFERROR(IF(INDEX(Deals!$AF$2:$AF$355,MATCH($C555,Deals!$A$2:$A$355,0))=0,"",INDEX(Deals!$AF$2:$AF$355,MATCH($C555,Deals!$A$2:$A$355,0))),""))</f>
        <v/>
      </c>
      <c r="AF555" s="35">
        <f>IF($AD555="",DATE(1900,1,1),$AD555)</f>
        <v/>
      </c>
      <c r="AG555" s="35">
        <f>IF($AE555="",DATE(2100,12,31),$AE555)</f>
        <v/>
      </c>
      <c r="AH555" s="22">
        <f>IF($C555="","",IFERROR(IF(INDEX(Deals!$AG$2:$AG$355,MATCH($C555,Deals!$A$2:$A$355,0))=0,"",INDEX(Deals!$AG$2:$AG$355,MATCH($C555,Deals!$A$2:$A$355,0))),""))</f>
        <v/>
      </c>
      <c r="AI555" s="35">
        <f>IF($AH555="",DATE(1900,1,1),$AF555)</f>
        <v/>
      </c>
      <c r="AJ555" s="35">
        <f>IF($AH555="",DATE(2100,12,31),$AH555)</f>
        <v/>
      </c>
      <c r="AK555" s="32">
        <f>IF($AH555="",$AC555,$AC555*$S555)</f>
        <v/>
      </c>
      <c r="AL555" s="35">
        <f>IF($AH555="",DATE(2100,12,31),$AH555+1)</f>
        <v/>
      </c>
      <c r="AM555" s="35">
        <f>IF($AH555="",DATE(1900,1,1),$AG555)</f>
        <v/>
      </c>
      <c r="AN555" s="32">
        <f>IF($AH555="",0,$AC555*$T555)</f>
        <v/>
      </c>
    </row>
    <row r="556">
      <c r="A556" s="28" t="inlineStr">
        <is>
          <t>Dorian</t>
        </is>
      </c>
      <c r="B556" s="16">
        <f>IF($A556="","",IFERROR(INDEX(Roster!$B$2:$B$40,MATCH($A556,Roster!$A$2:$A$40,0)),"?"))</f>
        <v/>
      </c>
      <c r="C556" s="28" t="inlineStr">
        <is>
          <t>Hidden _1</t>
        </is>
      </c>
      <c r="D556" s="16">
        <f>IF($C556="","",IFERROR(IF(INDEX(Deals!$C$2:$C$355,MATCH($C556,Deals!$A$2:$A$355,0))=0,"",INDEX(Deals!$C$2:$C$355,MATCH($C556,Deals!$A$2:$A$355,0))),"?"))</f>
        <v/>
      </c>
      <c r="E556" s="16">
        <f>IF($C556="","",IFERROR(INDEX(Deals!$F$2:$F$355,MATCH($C556,Deals!$A$2:$A$355,0)),"?"))</f>
        <v/>
      </c>
      <c r="F556" s="28" t="inlineStr">
        <is>
          <t>Renewable Specialist</t>
        </is>
      </c>
      <c r="G556" s="28" t="inlineStr">
        <is>
          <t>Active</t>
        </is>
      </c>
      <c r="H556" s="31" t="n"/>
      <c r="I556" s="32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1">
        <f>IF($C556="",0,IFERROR(INDEX(Deals!$H$2:$H$355,MATCH($C556,Deals!$A$2:$A$355,0)),0))</f>
        <v/>
      </c>
      <c r="K556" s="32">
        <f>IF(Settings!$B$4="Yes",$I556*$J556,$I556)</f>
        <v/>
      </c>
      <c r="L556" s="22">
        <f>IF($C556="","",IFERROR(IF(INDEX(Deals!$I$2:$I$355,MATCH($C556,Deals!$A$2:$A$355,0))=0,"",INDEX(Deals!$I$2:$I$355,MATCH($C556,Deals!$A$2:$A$355,0))),""))</f>
        <v/>
      </c>
      <c r="M556" s="22">
        <f>IF($C556="","",IFERROR(IF(INDEX(Deals!$J$2:$J$355,MATCH($C556,Deals!$A$2:$A$355,0))=0,"",INDEX(Deals!$J$2:$J$355,MATCH($C556,Deals!$A$2:$A$355,0))),""))</f>
        <v/>
      </c>
      <c r="N556" s="35">
        <f>IF($L556="",DATE(1900,1,1),$L556)</f>
        <v/>
      </c>
      <c r="O556" s="35">
        <f>IF($M556="",DATE(2100,12,31),$M556)</f>
        <v/>
      </c>
      <c r="P556" s="20" t="inlineStr"/>
      <c r="Q556" s="43" t="inlineStr"/>
      <c r="R556" s="16">
        <f>IF($C556="","",IFERROR(IF(INDEX(Deals!$U$2:$U$355,MATCH($C556,Deals!$A$2:$A$355,0))=0,"",INDEX(Deals!$U$2:$U$355,MATCH($C556,Deals!$A$2:$A$355,0))),""))</f>
        <v/>
      </c>
      <c r="S556" s="34">
        <f>IFERROR(IF($U556="",1,INDEX(Deals!$V$2:$V$355,MATCH($C556,Deals!$A$2:$A$355,0))),1)</f>
        <v/>
      </c>
      <c r="T556" s="34">
        <f>IFERROR(IF($U556="",1,INDEX(Deals!$W$2:$W$355,MATCH($C556,Deals!$A$2:$A$355,0))),1)</f>
        <v/>
      </c>
      <c r="U556" s="22">
        <f>IF($C556="","",IFERROR(IF(INDEX(Deals!$Y$2:$Y$355,MATCH($C556,Deals!$A$2:$A$355,0))=0,"",INDEX(Deals!$Y$2:$Y$355,MATCH($C556,Deals!$A$2:$A$355,0))),""))</f>
        <v/>
      </c>
      <c r="V556" s="35">
        <f>IF($U556="",DATE(1900,1,1),$N556)</f>
        <v/>
      </c>
      <c r="W556" s="35">
        <f>IF($U556="",DATE(2100,12,31),$U556)</f>
        <v/>
      </c>
      <c r="X556" s="32">
        <f>IF($U556="",$K556,$K556*$S556)</f>
        <v/>
      </c>
      <c r="Y556" s="35">
        <f>IF($U556="",DATE(2100,12,31),$U556+1)</f>
        <v/>
      </c>
      <c r="Z556" s="35">
        <f>IF($U556="",DATE(1900,1,1),$O556)</f>
        <v/>
      </c>
      <c r="AA556" s="32">
        <f>IF($U556="",0,$K556*$T556)</f>
        <v/>
      </c>
      <c r="AB556" s="21">
        <f>IF($C556="",0,IFERROR(INDEX(Deals!$AD$2:$AD$355,MATCH($C556,Deals!$A$2:$A$355,0)),0))</f>
        <v/>
      </c>
      <c r="AC556" s="32">
        <f>IF(Settings!$B$4="Yes",$I556*$AB556,$I556)</f>
        <v/>
      </c>
      <c r="AD556" s="22">
        <f>IF($C556="","",IFERROR(IF(INDEX(Deals!$AE$2:$AE$355,MATCH($C556,Deals!$A$2:$A$355,0))=0,"",INDEX(Deals!$AE$2:$AE$355,MATCH($C556,Deals!$A$2:$A$355,0))),""))</f>
        <v/>
      </c>
      <c r="AE556" s="22">
        <f>IF($C556="","",IFERROR(IF(INDEX(Deals!$AF$2:$AF$355,MATCH($C556,Deals!$A$2:$A$355,0))=0,"",INDEX(Deals!$AF$2:$AF$355,MATCH($C556,Deals!$A$2:$A$355,0))),""))</f>
        <v/>
      </c>
      <c r="AF556" s="35">
        <f>IF($AD556="",DATE(1900,1,1),$AD556)</f>
        <v/>
      </c>
      <c r="AG556" s="35">
        <f>IF($AE556="",DATE(2100,12,31),$AE556)</f>
        <v/>
      </c>
      <c r="AH556" s="22">
        <f>IF($C556="","",IFERROR(IF(INDEX(Deals!$AG$2:$AG$355,MATCH($C556,Deals!$A$2:$A$355,0))=0,"",INDEX(Deals!$AG$2:$AG$355,MATCH($C556,Deals!$A$2:$A$355,0))),""))</f>
        <v/>
      </c>
      <c r="AI556" s="35">
        <f>IF($AH556="",DATE(1900,1,1),$AF556)</f>
        <v/>
      </c>
      <c r="AJ556" s="35">
        <f>IF($AH556="",DATE(2100,12,31),$AH556)</f>
        <v/>
      </c>
      <c r="AK556" s="32">
        <f>IF($AH556="",$AC556,$AC556*$S556)</f>
        <v/>
      </c>
      <c r="AL556" s="35">
        <f>IF($AH556="",DATE(2100,12,31),$AH556+1)</f>
        <v/>
      </c>
      <c r="AM556" s="35">
        <f>IF($AH556="",DATE(1900,1,1),$AG556)</f>
        <v/>
      </c>
      <c r="AN556" s="32">
        <f>IF($AH556="",0,$AC556*$T556)</f>
        <v/>
      </c>
    </row>
    <row r="557">
      <c r="A557" s="28" t="inlineStr">
        <is>
          <t>Dorian</t>
        </is>
      </c>
      <c r="B557" s="16">
        <f>IF($A557="","",IFERROR(INDEX(Roster!$B$2:$B$40,MATCH($A557,Roster!$A$2:$A$40,0)),"?"))</f>
        <v/>
      </c>
      <c r="C557" s="28" t="inlineStr">
        <is>
          <t>HVDC Transmission_1</t>
        </is>
      </c>
      <c r="D557" s="16">
        <f>IF($C557="","",IFERROR(IF(INDEX(Deals!$C$2:$C$355,MATCH($C557,Deals!$A$2:$A$355,0))=0,"",INDEX(Deals!$C$2:$C$355,MATCH($C557,Deals!$A$2:$A$355,0))),"?"))</f>
        <v/>
      </c>
      <c r="E557" s="16">
        <f>IF($C557="","",IFERROR(INDEX(Deals!$F$2:$F$355,MATCH($C557,Deals!$A$2:$A$355,0)),"?"))</f>
        <v/>
      </c>
      <c r="F557" s="28" t="inlineStr">
        <is>
          <t>Renewable Specialist</t>
        </is>
      </c>
      <c r="G557" s="28" t="inlineStr">
        <is>
          <t>Active</t>
        </is>
      </c>
      <c r="H557" s="31" t="n"/>
      <c r="I557" s="32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1">
        <f>IF($C557="",0,IFERROR(INDEX(Deals!$H$2:$H$355,MATCH($C557,Deals!$A$2:$A$355,0)),0))</f>
        <v/>
      </c>
      <c r="K557" s="32">
        <f>IF(Settings!$B$4="Yes",$I557*$J557,$I557)</f>
        <v/>
      </c>
      <c r="L557" s="22">
        <f>IF($C557="","",IFERROR(IF(INDEX(Deals!$I$2:$I$355,MATCH($C557,Deals!$A$2:$A$355,0))=0,"",INDEX(Deals!$I$2:$I$355,MATCH($C557,Deals!$A$2:$A$355,0))),""))</f>
        <v/>
      </c>
      <c r="M557" s="22">
        <f>IF($C557="","",IFERROR(IF(INDEX(Deals!$J$2:$J$355,MATCH($C557,Deals!$A$2:$A$355,0))=0,"",INDEX(Deals!$J$2:$J$355,MATCH($C557,Deals!$A$2:$A$355,0))),""))</f>
        <v/>
      </c>
      <c r="N557" s="35">
        <f>IF($L557="",DATE(1900,1,1),$L557)</f>
        <v/>
      </c>
      <c r="O557" s="35">
        <f>IF($M557="",DATE(2100,12,31),$M557)</f>
        <v/>
      </c>
      <c r="P557" s="20" t="inlineStr"/>
      <c r="Q557" s="43" t="inlineStr"/>
      <c r="R557" s="16">
        <f>IF($C557="","",IFERROR(IF(INDEX(Deals!$U$2:$U$355,MATCH($C557,Deals!$A$2:$A$355,0))=0,"",INDEX(Deals!$U$2:$U$355,MATCH($C557,Deals!$A$2:$A$355,0))),""))</f>
        <v/>
      </c>
      <c r="S557" s="34">
        <f>IFERROR(IF($U557="",1,INDEX(Deals!$V$2:$V$355,MATCH($C557,Deals!$A$2:$A$355,0))),1)</f>
        <v/>
      </c>
      <c r="T557" s="34">
        <f>IFERROR(IF($U557="",1,INDEX(Deals!$W$2:$W$355,MATCH($C557,Deals!$A$2:$A$355,0))),1)</f>
        <v/>
      </c>
      <c r="U557" s="22">
        <f>IF($C557="","",IFERROR(IF(INDEX(Deals!$Y$2:$Y$355,MATCH($C557,Deals!$A$2:$A$355,0))=0,"",INDEX(Deals!$Y$2:$Y$355,MATCH($C557,Deals!$A$2:$A$355,0))),""))</f>
        <v/>
      </c>
      <c r="V557" s="35">
        <f>IF($U557="",DATE(1900,1,1),$N557)</f>
        <v/>
      </c>
      <c r="W557" s="35">
        <f>IF($U557="",DATE(2100,12,31),$U557)</f>
        <v/>
      </c>
      <c r="X557" s="32">
        <f>IF($U557="",$K557,$K557*$S557)</f>
        <v/>
      </c>
      <c r="Y557" s="35">
        <f>IF($U557="",DATE(2100,12,31),$U557+1)</f>
        <v/>
      </c>
      <c r="Z557" s="35">
        <f>IF($U557="",DATE(1900,1,1),$O557)</f>
        <v/>
      </c>
      <c r="AA557" s="32">
        <f>IF($U557="",0,$K557*$T557)</f>
        <v/>
      </c>
      <c r="AB557" s="21">
        <f>IF($C557="",0,IFERROR(INDEX(Deals!$AD$2:$AD$355,MATCH($C557,Deals!$A$2:$A$355,0)),0))</f>
        <v/>
      </c>
      <c r="AC557" s="32">
        <f>IF(Settings!$B$4="Yes",$I557*$AB557,$I557)</f>
        <v/>
      </c>
      <c r="AD557" s="22">
        <f>IF($C557="","",IFERROR(IF(INDEX(Deals!$AE$2:$AE$355,MATCH($C557,Deals!$A$2:$A$355,0))=0,"",INDEX(Deals!$AE$2:$AE$355,MATCH($C557,Deals!$A$2:$A$355,0))),""))</f>
        <v/>
      </c>
      <c r="AE557" s="22">
        <f>IF($C557="","",IFERROR(IF(INDEX(Deals!$AF$2:$AF$355,MATCH($C557,Deals!$A$2:$A$355,0))=0,"",INDEX(Deals!$AF$2:$AF$355,MATCH($C557,Deals!$A$2:$A$355,0))),""))</f>
        <v/>
      </c>
      <c r="AF557" s="35">
        <f>IF($AD557="",DATE(1900,1,1),$AD557)</f>
        <v/>
      </c>
      <c r="AG557" s="35">
        <f>IF($AE557="",DATE(2100,12,31),$AE557)</f>
        <v/>
      </c>
      <c r="AH557" s="22">
        <f>IF($C557="","",IFERROR(IF(INDEX(Deals!$AG$2:$AG$355,MATCH($C557,Deals!$A$2:$A$355,0))=0,"",INDEX(Deals!$AG$2:$AG$355,MATCH($C557,Deals!$A$2:$A$355,0))),""))</f>
        <v/>
      </c>
      <c r="AI557" s="35">
        <f>IF($AH557="",DATE(1900,1,1),$AF557)</f>
        <v/>
      </c>
      <c r="AJ557" s="35">
        <f>IF($AH557="",DATE(2100,12,31),$AH557)</f>
        <v/>
      </c>
      <c r="AK557" s="32">
        <f>IF($AH557="",$AC557,$AC557*$S557)</f>
        <v/>
      </c>
      <c r="AL557" s="35">
        <f>IF($AH557="",DATE(2100,12,31),$AH557+1)</f>
        <v/>
      </c>
      <c r="AM557" s="35">
        <f>IF($AH557="",DATE(1900,1,1),$AG557)</f>
        <v/>
      </c>
      <c r="AN557" s="32">
        <f>IF($AH557="",0,$AC557*$T557)</f>
        <v/>
      </c>
    </row>
    <row r="558">
      <c r="A558" s="28" t="inlineStr">
        <is>
          <t>Dorian</t>
        </is>
      </c>
      <c r="B558" s="16">
        <f>IF($A558="","",IFERROR(INDEX(Roster!$B$2:$B$40,MATCH($A558,Roster!$A$2:$A$40,0)),"?"))</f>
        <v/>
      </c>
      <c r="C558" s="28" t="inlineStr">
        <is>
          <t>Hyacinth_1</t>
        </is>
      </c>
      <c r="D558" s="16">
        <f>IF($C558="","",IFERROR(IF(INDEX(Deals!$C$2:$C$355,MATCH($C558,Deals!$A$2:$A$355,0))=0,"",INDEX(Deals!$C$2:$C$355,MATCH($C558,Deals!$A$2:$A$355,0))),"?"))</f>
        <v/>
      </c>
      <c r="E558" s="16">
        <f>IF($C558="","",IFERROR(INDEX(Deals!$F$2:$F$355,MATCH($C558,Deals!$A$2:$A$355,0)),"?"))</f>
        <v/>
      </c>
      <c r="F558" s="28" t="inlineStr">
        <is>
          <t>Renewable Specialist</t>
        </is>
      </c>
      <c r="G558" s="28" t="inlineStr">
        <is>
          <t>Active</t>
        </is>
      </c>
      <c r="H558" s="31" t="n"/>
      <c r="I558" s="32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1">
        <f>IF($C558="",0,IFERROR(INDEX(Deals!$H$2:$H$355,MATCH($C558,Deals!$A$2:$A$355,0)),0))</f>
        <v/>
      </c>
      <c r="K558" s="32">
        <f>IF(Settings!$B$4="Yes",$I558*$J558,$I558)</f>
        <v/>
      </c>
      <c r="L558" s="22">
        <f>IF($C558="","",IFERROR(IF(INDEX(Deals!$I$2:$I$355,MATCH($C558,Deals!$A$2:$A$355,0))=0,"",INDEX(Deals!$I$2:$I$355,MATCH($C558,Deals!$A$2:$A$355,0))),""))</f>
        <v/>
      </c>
      <c r="M558" s="22">
        <f>IF($C558="","",IFERROR(IF(INDEX(Deals!$J$2:$J$355,MATCH($C558,Deals!$A$2:$A$355,0))=0,"",INDEX(Deals!$J$2:$J$355,MATCH($C558,Deals!$A$2:$A$355,0))),""))</f>
        <v/>
      </c>
      <c r="N558" s="35">
        <f>IF($L558="",DATE(1900,1,1),$L558)</f>
        <v/>
      </c>
      <c r="O558" s="35">
        <f>IF($M558="",DATE(2100,12,31),$M558)</f>
        <v/>
      </c>
      <c r="P558" s="20" t="inlineStr"/>
      <c r="Q558" s="43" t="inlineStr"/>
      <c r="R558" s="16">
        <f>IF($C558="","",IFERROR(IF(INDEX(Deals!$U$2:$U$355,MATCH($C558,Deals!$A$2:$A$355,0))=0,"",INDEX(Deals!$U$2:$U$355,MATCH($C558,Deals!$A$2:$A$355,0))),""))</f>
        <v/>
      </c>
      <c r="S558" s="34">
        <f>IFERROR(IF($U558="",1,INDEX(Deals!$V$2:$V$355,MATCH($C558,Deals!$A$2:$A$355,0))),1)</f>
        <v/>
      </c>
      <c r="T558" s="34">
        <f>IFERROR(IF($U558="",1,INDEX(Deals!$W$2:$W$355,MATCH($C558,Deals!$A$2:$A$355,0))),1)</f>
        <v/>
      </c>
      <c r="U558" s="22">
        <f>IF($C558="","",IFERROR(IF(INDEX(Deals!$Y$2:$Y$355,MATCH($C558,Deals!$A$2:$A$355,0))=0,"",INDEX(Deals!$Y$2:$Y$355,MATCH($C558,Deals!$A$2:$A$355,0))),""))</f>
        <v/>
      </c>
      <c r="V558" s="35">
        <f>IF($U558="",DATE(1900,1,1),$N558)</f>
        <v/>
      </c>
      <c r="W558" s="35">
        <f>IF($U558="",DATE(2100,12,31),$U558)</f>
        <v/>
      </c>
      <c r="X558" s="32">
        <f>IF($U558="",$K558,$K558*$S558)</f>
        <v/>
      </c>
      <c r="Y558" s="35">
        <f>IF($U558="",DATE(2100,12,31),$U558+1)</f>
        <v/>
      </c>
      <c r="Z558" s="35">
        <f>IF($U558="",DATE(1900,1,1),$O558)</f>
        <v/>
      </c>
      <c r="AA558" s="32">
        <f>IF($U558="",0,$K558*$T558)</f>
        <v/>
      </c>
      <c r="AB558" s="21">
        <f>IF($C558="",0,IFERROR(INDEX(Deals!$AD$2:$AD$355,MATCH($C558,Deals!$A$2:$A$355,0)),0))</f>
        <v/>
      </c>
      <c r="AC558" s="32">
        <f>IF(Settings!$B$4="Yes",$I558*$AB558,$I558)</f>
        <v/>
      </c>
      <c r="AD558" s="22">
        <f>IF($C558="","",IFERROR(IF(INDEX(Deals!$AE$2:$AE$355,MATCH($C558,Deals!$A$2:$A$355,0))=0,"",INDEX(Deals!$AE$2:$AE$355,MATCH($C558,Deals!$A$2:$A$355,0))),""))</f>
        <v/>
      </c>
      <c r="AE558" s="22">
        <f>IF($C558="","",IFERROR(IF(INDEX(Deals!$AF$2:$AF$355,MATCH($C558,Deals!$A$2:$A$355,0))=0,"",INDEX(Deals!$AF$2:$AF$355,MATCH($C558,Deals!$A$2:$A$355,0))),""))</f>
        <v/>
      </c>
      <c r="AF558" s="35">
        <f>IF($AD558="",DATE(1900,1,1),$AD558)</f>
        <v/>
      </c>
      <c r="AG558" s="35">
        <f>IF($AE558="",DATE(2100,12,31),$AE558)</f>
        <v/>
      </c>
      <c r="AH558" s="22">
        <f>IF($C558="","",IFERROR(IF(INDEX(Deals!$AG$2:$AG$355,MATCH($C558,Deals!$A$2:$A$355,0))=0,"",INDEX(Deals!$AG$2:$AG$355,MATCH($C558,Deals!$A$2:$A$355,0))),""))</f>
        <v/>
      </c>
      <c r="AI558" s="35">
        <f>IF($AH558="",DATE(1900,1,1),$AF558)</f>
        <v/>
      </c>
      <c r="AJ558" s="35">
        <f>IF($AH558="",DATE(2100,12,31),$AH558)</f>
        <v/>
      </c>
      <c r="AK558" s="32">
        <f>IF($AH558="",$AC558,$AC558*$S558)</f>
        <v/>
      </c>
      <c r="AL558" s="35">
        <f>IF($AH558="",DATE(2100,12,31),$AH558+1)</f>
        <v/>
      </c>
      <c r="AM558" s="35">
        <f>IF($AH558="",DATE(1900,1,1),$AG558)</f>
        <v/>
      </c>
      <c r="AN558" s="32">
        <f>IF($AH558="",0,$AC558*$T558)</f>
        <v/>
      </c>
    </row>
    <row r="559">
      <c r="A559" s="28" t="inlineStr">
        <is>
          <t>Dorian</t>
        </is>
      </c>
      <c r="B559" s="16">
        <f>IF($A559="","",IFERROR(INDEX(Roster!$B$2:$B$40,MATCH($A559,Roster!$A$2:$A$40,0)),"?"))</f>
        <v/>
      </c>
      <c r="C559" s="28" t="inlineStr">
        <is>
          <t>Justin_2</t>
        </is>
      </c>
      <c r="D559" s="16">
        <f>IF($C559="","",IFERROR(IF(INDEX(Deals!$C$2:$C$355,MATCH($C559,Deals!$A$2:$A$355,0))=0,"",INDEX(Deals!$C$2:$C$355,MATCH($C559,Deals!$A$2:$A$355,0))),"?"))</f>
        <v/>
      </c>
      <c r="E559" s="16">
        <f>IF($C559="","",IFERROR(INDEX(Deals!$F$2:$F$355,MATCH($C559,Deals!$A$2:$A$355,0)),"?"))</f>
        <v/>
      </c>
      <c r="F559" s="28" t="inlineStr">
        <is>
          <t>Renewable Specialist</t>
        </is>
      </c>
      <c r="G559" s="28" t="inlineStr">
        <is>
          <t>Active</t>
        </is>
      </c>
      <c r="H559" s="31" t="n"/>
      <c r="I559" s="32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1">
        <f>IF($C559="",0,IFERROR(INDEX(Deals!$H$2:$H$355,MATCH($C559,Deals!$A$2:$A$355,0)),0))</f>
        <v/>
      </c>
      <c r="K559" s="32">
        <f>IF(Settings!$B$4="Yes",$I559*$J559,$I559)</f>
        <v/>
      </c>
      <c r="L559" s="22">
        <f>IF($C559="","",IFERROR(IF(INDEX(Deals!$I$2:$I$355,MATCH($C559,Deals!$A$2:$A$355,0))=0,"",INDEX(Deals!$I$2:$I$355,MATCH($C559,Deals!$A$2:$A$355,0))),""))</f>
        <v/>
      </c>
      <c r="M559" s="22">
        <f>IF($C559="","",IFERROR(IF(INDEX(Deals!$J$2:$J$355,MATCH($C559,Deals!$A$2:$A$355,0))=0,"",INDEX(Deals!$J$2:$J$355,MATCH($C559,Deals!$A$2:$A$355,0))),""))</f>
        <v/>
      </c>
      <c r="N559" s="35">
        <f>IF($L559="",DATE(1900,1,1),$L559)</f>
        <v/>
      </c>
      <c r="O559" s="35">
        <f>IF($M559="",DATE(2100,12,31),$M559)</f>
        <v/>
      </c>
      <c r="P559" s="20" t="inlineStr"/>
      <c r="Q559" s="43" t="inlineStr"/>
      <c r="R559" s="16">
        <f>IF($C559="","",IFERROR(IF(INDEX(Deals!$U$2:$U$355,MATCH($C559,Deals!$A$2:$A$355,0))=0,"",INDEX(Deals!$U$2:$U$355,MATCH($C559,Deals!$A$2:$A$355,0))),""))</f>
        <v/>
      </c>
      <c r="S559" s="34">
        <f>IFERROR(IF($U559="",1,INDEX(Deals!$V$2:$V$355,MATCH($C559,Deals!$A$2:$A$355,0))),1)</f>
        <v/>
      </c>
      <c r="T559" s="34">
        <f>IFERROR(IF($U559="",1,INDEX(Deals!$W$2:$W$355,MATCH($C559,Deals!$A$2:$A$355,0))),1)</f>
        <v/>
      </c>
      <c r="U559" s="22">
        <f>IF($C559="","",IFERROR(IF(INDEX(Deals!$Y$2:$Y$355,MATCH($C559,Deals!$A$2:$A$355,0))=0,"",INDEX(Deals!$Y$2:$Y$355,MATCH($C559,Deals!$A$2:$A$355,0))),""))</f>
        <v/>
      </c>
      <c r="V559" s="35">
        <f>IF($U559="",DATE(1900,1,1),$N559)</f>
        <v/>
      </c>
      <c r="W559" s="35">
        <f>IF($U559="",DATE(2100,12,31),$U559)</f>
        <v/>
      </c>
      <c r="X559" s="32">
        <f>IF($U559="",$K559,$K559*$S559)</f>
        <v/>
      </c>
      <c r="Y559" s="35">
        <f>IF($U559="",DATE(2100,12,31),$U559+1)</f>
        <v/>
      </c>
      <c r="Z559" s="35">
        <f>IF($U559="",DATE(1900,1,1),$O559)</f>
        <v/>
      </c>
      <c r="AA559" s="32">
        <f>IF($U559="",0,$K559*$T559)</f>
        <v/>
      </c>
      <c r="AB559" s="21">
        <f>IF($C559="",0,IFERROR(INDEX(Deals!$AD$2:$AD$355,MATCH($C559,Deals!$A$2:$A$355,0)),0))</f>
        <v/>
      </c>
      <c r="AC559" s="32">
        <f>IF(Settings!$B$4="Yes",$I559*$AB559,$I559)</f>
        <v/>
      </c>
      <c r="AD559" s="22">
        <f>IF($C559="","",IFERROR(IF(INDEX(Deals!$AE$2:$AE$355,MATCH($C559,Deals!$A$2:$A$355,0))=0,"",INDEX(Deals!$AE$2:$AE$355,MATCH($C559,Deals!$A$2:$A$355,0))),""))</f>
        <v/>
      </c>
      <c r="AE559" s="22">
        <f>IF($C559="","",IFERROR(IF(INDEX(Deals!$AF$2:$AF$355,MATCH($C559,Deals!$A$2:$A$355,0))=0,"",INDEX(Deals!$AF$2:$AF$355,MATCH($C559,Deals!$A$2:$A$355,0))),""))</f>
        <v/>
      </c>
      <c r="AF559" s="35">
        <f>IF($AD559="",DATE(1900,1,1),$AD559)</f>
        <v/>
      </c>
      <c r="AG559" s="35">
        <f>IF($AE559="",DATE(2100,12,31),$AE559)</f>
        <v/>
      </c>
      <c r="AH559" s="22">
        <f>IF($C559="","",IFERROR(IF(INDEX(Deals!$AG$2:$AG$355,MATCH($C559,Deals!$A$2:$A$355,0))=0,"",INDEX(Deals!$AG$2:$AG$355,MATCH($C559,Deals!$A$2:$A$355,0))),""))</f>
        <v/>
      </c>
      <c r="AI559" s="35">
        <f>IF($AH559="",DATE(1900,1,1),$AF559)</f>
        <v/>
      </c>
      <c r="AJ559" s="35">
        <f>IF($AH559="",DATE(2100,12,31),$AH559)</f>
        <v/>
      </c>
      <c r="AK559" s="32">
        <f>IF($AH559="",$AC559,$AC559*$S559)</f>
        <v/>
      </c>
      <c r="AL559" s="35">
        <f>IF($AH559="",DATE(2100,12,31),$AH559+1)</f>
        <v/>
      </c>
      <c r="AM559" s="35">
        <f>IF($AH559="",DATE(1900,1,1),$AG559)</f>
        <v/>
      </c>
      <c r="AN559" s="32">
        <f>IF($AH559="",0,$AC559*$T559)</f>
        <v/>
      </c>
    </row>
    <row r="560">
      <c r="A560" s="28" t="inlineStr">
        <is>
          <t>Dorian</t>
        </is>
      </c>
      <c r="B560" s="16">
        <f>IF($A560="","",IFERROR(INDEX(Roster!$B$2:$B$40,MATCH($A560,Roster!$A$2:$A$40,0)),"?"))</f>
        <v/>
      </c>
      <c r="C560" s="28" t="inlineStr">
        <is>
          <t>Kanawha_1</t>
        </is>
      </c>
      <c r="D560" s="16">
        <f>IF($C560="","",IFERROR(IF(INDEX(Deals!$C$2:$C$355,MATCH($C560,Deals!$A$2:$A$355,0))=0,"",INDEX(Deals!$C$2:$C$355,MATCH($C560,Deals!$A$2:$A$355,0))),"?"))</f>
        <v/>
      </c>
      <c r="E560" s="16">
        <f>IF($C560="","",IFERROR(INDEX(Deals!$F$2:$F$355,MATCH($C560,Deals!$A$2:$A$355,0)),"?"))</f>
        <v/>
      </c>
      <c r="F560" s="28" t="inlineStr">
        <is>
          <t>Renewable Specialist</t>
        </is>
      </c>
      <c r="G560" s="28" t="inlineStr">
        <is>
          <t>Active</t>
        </is>
      </c>
      <c r="H560" s="31" t="n"/>
      <c r="I560" s="32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1">
        <f>IF($C560="",0,IFERROR(INDEX(Deals!$H$2:$H$355,MATCH($C560,Deals!$A$2:$A$355,0)),0))</f>
        <v/>
      </c>
      <c r="K560" s="32">
        <f>IF(Settings!$B$4="Yes",$I560*$J560,$I560)</f>
        <v/>
      </c>
      <c r="L560" s="22">
        <f>IF($C560="","",IFERROR(IF(INDEX(Deals!$I$2:$I$355,MATCH($C560,Deals!$A$2:$A$355,0))=0,"",INDEX(Deals!$I$2:$I$355,MATCH($C560,Deals!$A$2:$A$355,0))),""))</f>
        <v/>
      </c>
      <c r="M560" s="22">
        <f>IF($C560="","",IFERROR(IF(INDEX(Deals!$J$2:$J$355,MATCH($C560,Deals!$A$2:$A$355,0))=0,"",INDEX(Deals!$J$2:$J$355,MATCH($C560,Deals!$A$2:$A$355,0))),""))</f>
        <v/>
      </c>
      <c r="N560" s="35">
        <f>IF($L560="",DATE(1900,1,1),$L560)</f>
        <v/>
      </c>
      <c r="O560" s="35">
        <f>IF($M560="",DATE(2100,12,31),$M560)</f>
        <v/>
      </c>
      <c r="P560" s="20" t="inlineStr"/>
      <c r="Q560" s="43" t="inlineStr"/>
      <c r="R560" s="16">
        <f>IF($C560="","",IFERROR(IF(INDEX(Deals!$U$2:$U$355,MATCH($C560,Deals!$A$2:$A$355,0))=0,"",INDEX(Deals!$U$2:$U$355,MATCH($C560,Deals!$A$2:$A$355,0))),""))</f>
        <v/>
      </c>
      <c r="S560" s="34">
        <f>IFERROR(IF($U560="",1,INDEX(Deals!$V$2:$V$355,MATCH($C560,Deals!$A$2:$A$355,0))),1)</f>
        <v/>
      </c>
      <c r="T560" s="34">
        <f>IFERROR(IF($U560="",1,INDEX(Deals!$W$2:$W$355,MATCH($C560,Deals!$A$2:$A$355,0))),1)</f>
        <v/>
      </c>
      <c r="U560" s="22">
        <f>IF($C560="","",IFERROR(IF(INDEX(Deals!$Y$2:$Y$355,MATCH($C560,Deals!$A$2:$A$355,0))=0,"",INDEX(Deals!$Y$2:$Y$355,MATCH($C560,Deals!$A$2:$A$355,0))),""))</f>
        <v/>
      </c>
      <c r="V560" s="35">
        <f>IF($U560="",DATE(1900,1,1),$N560)</f>
        <v/>
      </c>
      <c r="W560" s="35">
        <f>IF($U560="",DATE(2100,12,31),$U560)</f>
        <v/>
      </c>
      <c r="X560" s="32">
        <f>IF($U560="",$K560,$K560*$S560)</f>
        <v/>
      </c>
      <c r="Y560" s="35">
        <f>IF($U560="",DATE(2100,12,31),$U560+1)</f>
        <v/>
      </c>
      <c r="Z560" s="35">
        <f>IF($U560="",DATE(1900,1,1),$O560)</f>
        <v/>
      </c>
      <c r="AA560" s="32">
        <f>IF($U560="",0,$K560*$T560)</f>
        <v/>
      </c>
      <c r="AB560" s="21">
        <f>IF($C560="",0,IFERROR(INDEX(Deals!$AD$2:$AD$355,MATCH($C560,Deals!$A$2:$A$355,0)),0))</f>
        <v/>
      </c>
      <c r="AC560" s="32">
        <f>IF(Settings!$B$4="Yes",$I560*$AB560,$I560)</f>
        <v/>
      </c>
      <c r="AD560" s="22">
        <f>IF($C560="","",IFERROR(IF(INDEX(Deals!$AE$2:$AE$355,MATCH($C560,Deals!$A$2:$A$355,0))=0,"",INDEX(Deals!$AE$2:$AE$355,MATCH($C560,Deals!$A$2:$A$355,0))),""))</f>
        <v/>
      </c>
      <c r="AE560" s="22">
        <f>IF($C560="","",IFERROR(IF(INDEX(Deals!$AF$2:$AF$355,MATCH($C560,Deals!$A$2:$A$355,0))=0,"",INDEX(Deals!$AF$2:$AF$355,MATCH($C560,Deals!$A$2:$A$355,0))),""))</f>
        <v/>
      </c>
      <c r="AF560" s="35">
        <f>IF($AD560="",DATE(1900,1,1),$AD560)</f>
        <v/>
      </c>
      <c r="AG560" s="35">
        <f>IF($AE560="",DATE(2100,12,31),$AE560)</f>
        <v/>
      </c>
      <c r="AH560" s="22">
        <f>IF($C560="","",IFERROR(IF(INDEX(Deals!$AG$2:$AG$355,MATCH($C560,Deals!$A$2:$A$355,0))=0,"",INDEX(Deals!$AG$2:$AG$355,MATCH($C560,Deals!$A$2:$A$355,0))),""))</f>
        <v/>
      </c>
      <c r="AI560" s="35">
        <f>IF($AH560="",DATE(1900,1,1),$AF560)</f>
        <v/>
      </c>
      <c r="AJ560" s="35">
        <f>IF($AH560="",DATE(2100,12,31),$AH560)</f>
        <v/>
      </c>
      <c r="AK560" s="32">
        <f>IF($AH560="",$AC560,$AC560*$S560)</f>
        <v/>
      </c>
      <c r="AL560" s="35">
        <f>IF($AH560="",DATE(2100,12,31),$AH560+1)</f>
        <v/>
      </c>
      <c r="AM560" s="35">
        <f>IF($AH560="",DATE(1900,1,1),$AG560)</f>
        <v/>
      </c>
      <c r="AN560" s="32">
        <f>IF($AH560="",0,$AC560*$T560)</f>
        <v/>
      </c>
    </row>
    <row r="561">
      <c r="A561" s="28" t="inlineStr">
        <is>
          <t>Dorian</t>
        </is>
      </c>
      <c r="B561" s="16">
        <f>IF($A561="","",IFERROR(INDEX(Roster!$B$2:$B$40,MATCH($A561,Roster!$A$2:$A$40,0)),"?"))</f>
        <v/>
      </c>
      <c r="C561" s="28" t="inlineStr">
        <is>
          <t>Long_2</t>
        </is>
      </c>
      <c r="D561" s="16">
        <f>IF($C561="","",IFERROR(IF(INDEX(Deals!$C$2:$C$355,MATCH($C561,Deals!$A$2:$A$355,0))=0,"",INDEX(Deals!$C$2:$C$355,MATCH($C561,Deals!$A$2:$A$355,0))),"?"))</f>
        <v/>
      </c>
      <c r="E561" s="16">
        <f>IF($C561="","",IFERROR(INDEX(Deals!$F$2:$F$355,MATCH($C561,Deals!$A$2:$A$355,0)),"?"))</f>
        <v/>
      </c>
      <c r="F561" s="28" t="inlineStr">
        <is>
          <t>Renewable Specialist</t>
        </is>
      </c>
      <c r="G561" s="28" t="inlineStr">
        <is>
          <t>Active</t>
        </is>
      </c>
      <c r="H561" s="31" t="n"/>
      <c r="I561" s="32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1">
        <f>IF($C561="",0,IFERROR(INDEX(Deals!$H$2:$H$355,MATCH($C561,Deals!$A$2:$A$355,0)),0))</f>
        <v/>
      </c>
      <c r="K561" s="32">
        <f>IF(Settings!$B$4="Yes",$I561*$J561,$I561)</f>
        <v/>
      </c>
      <c r="L561" s="22">
        <f>IF($C561="","",IFERROR(IF(INDEX(Deals!$I$2:$I$355,MATCH($C561,Deals!$A$2:$A$355,0))=0,"",INDEX(Deals!$I$2:$I$355,MATCH($C561,Deals!$A$2:$A$355,0))),""))</f>
        <v/>
      </c>
      <c r="M561" s="22">
        <f>IF($C561="","",IFERROR(IF(INDEX(Deals!$J$2:$J$355,MATCH($C561,Deals!$A$2:$A$355,0))=0,"",INDEX(Deals!$J$2:$J$355,MATCH($C561,Deals!$A$2:$A$355,0))),""))</f>
        <v/>
      </c>
      <c r="N561" s="35">
        <f>IF($L561="",DATE(1900,1,1),$L561)</f>
        <v/>
      </c>
      <c r="O561" s="35">
        <f>IF($M561="",DATE(2100,12,31),$M561)</f>
        <v/>
      </c>
      <c r="P561" s="20" t="inlineStr"/>
      <c r="Q561" s="43" t="inlineStr"/>
      <c r="R561" s="16">
        <f>IF($C561="","",IFERROR(IF(INDEX(Deals!$U$2:$U$355,MATCH($C561,Deals!$A$2:$A$355,0))=0,"",INDEX(Deals!$U$2:$U$355,MATCH($C561,Deals!$A$2:$A$355,0))),""))</f>
        <v/>
      </c>
      <c r="S561" s="34">
        <f>IFERROR(IF($U561="",1,INDEX(Deals!$V$2:$V$355,MATCH($C561,Deals!$A$2:$A$355,0))),1)</f>
        <v/>
      </c>
      <c r="T561" s="34">
        <f>IFERROR(IF($U561="",1,INDEX(Deals!$W$2:$W$355,MATCH($C561,Deals!$A$2:$A$355,0))),1)</f>
        <v/>
      </c>
      <c r="U561" s="22">
        <f>IF($C561="","",IFERROR(IF(INDEX(Deals!$Y$2:$Y$355,MATCH($C561,Deals!$A$2:$A$355,0))=0,"",INDEX(Deals!$Y$2:$Y$355,MATCH($C561,Deals!$A$2:$A$355,0))),""))</f>
        <v/>
      </c>
      <c r="V561" s="35">
        <f>IF($U561="",DATE(1900,1,1),$N561)</f>
        <v/>
      </c>
      <c r="W561" s="35">
        <f>IF($U561="",DATE(2100,12,31),$U561)</f>
        <v/>
      </c>
      <c r="X561" s="32">
        <f>IF($U561="",$K561,$K561*$S561)</f>
        <v/>
      </c>
      <c r="Y561" s="35">
        <f>IF($U561="",DATE(2100,12,31),$U561+1)</f>
        <v/>
      </c>
      <c r="Z561" s="35">
        <f>IF($U561="",DATE(1900,1,1),$O561)</f>
        <v/>
      </c>
      <c r="AA561" s="32">
        <f>IF($U561="",0,$K561*$T561)</f>
        <v/>
      </c>
      <c r="AB561" s="21">
        <f>IF($C561="",0,IFERROR(INDEX(Deals!$AD$2:$AD$355,MATCH($C561,Deals!$A$2:$A$355,0)),0))</f>
        <v/>
      </c>
      <c r="AC561" s="32">
        <f>IF(Settings!$B$4="Yes",$I561*$AB561,$I561)</f>
        <v/>
      </c>
      <c r="AD561" s="22">
        <f>IF($C561="","",IFERROR(IF(INDEX(Deals!$AE$2:$AE$355,MATCH($C561,Deals!$A$2:$A$355,0))=0,"",INDEX(Deals!$AE$2:$AE$355,MATCH($C561,Deals!$A$2:$A$355,0))),""))</f>
        <v/>
      </c>
      <c r="AE561" s="22">
        <f>IF($C561="","",IFERROR(IF(INDEX(Deals!$AF$2:$AF$355,MATCH($C561,Deals!$A$2:$A$355,0))=0,"",INDEX(Deals!$AF$2:$AF$355,MATCH($C561,Deals!$A$2:$A$355,0))),""))</f>
        <v/>
      </c>
      <c r="AF561" s="35">
        <f>IF($AD561="",DATE(1900,1,1),$AD561)</f>
        <v/>
      </c>
      <c r="AG561" s="35">
        <f>IF($AE561="",DATE(2100,12,31),$AE561)</f>
        <v/>
      </c>
      <c r="AH561" s="22">
        <f>IF($C561="","",IFERROR(IF(INDEX(Deals!$AG$2:$AG$355,MATCH($C561,Deals!$A$2:$A$355,0))=0,"",INDEX(Deals!$AG$2:$AG$355,MATCH($C561,Deals!$A$2:$A$355,0))),""))</f>
        <v/>
      </c>
      <c r="AI561" s="35">
        <f>IF($AH561="",DATE(1900,1,1),$AF561)</f>
        <v/>
      </c>
      <c r="AJ561" s="35">
        <f>IF($AH561="",DATE(2100,12,31),$AH561)</f>
        <v/>
      </c>
      <c r="AK561" s="32">
        <f>IF($AH561="",$AC561,$AC561*$S561)</f>
        <v/>
      </c>
      <c r="AL561" s="35">
        <f>IF($AH561="",DATE(2100,12,31),$AH561+1)</f>
        <v/>
      </c>
      <c r="AM561" s="35">
        <f>IF($AH561="",DATE(1900,1,1),$AG561)</f>
        <v/>
      </c>
      <c r="AN561" s="32">
        <f>IF($AH561="",0,$AC561*$T561)</f>
        <v/>
      </c>
    </row>
    <row r="562">
      <c r="A562" s="28" t="inlineStr">
        <is>
          <t>Dorian</t>
        </is>
      </c>
      <c r="B562" s="16">
        <f>IF($A562="","",IFERROR(INDEX(Roster!$B$2:$B$40,MATCH($A562,Roster!$A$2:$A$40,0)),"?"))</f>
        <v/>
      </c>
      <c r="C562" s="28" t="inlineStr">
        <is>
          <t>Look Inc - Ethos_1</t>
        </is>
      </c>
      <c r="D562" s="16">
        <f>IF($C562="","",IFERROR(IF(INDEX(Deals!$C$2:$C$355,MATCH($C562,Deals!$A$2:$A$355,0))=0,"",INDEX(Deals!$C$2:$C$355,MATCH($C562,Deals!$A$2:$A$355,0))),"?"))</f>
        <v/>
      </c>
      <c r="E562" s="16">
        <f>IF($C562="","",IFERROR(INDEX(Deals!$F$2:$F$355,MATCH($C562,Deals!$A$2:$A$355,0)),"?"))</f>
        <v/>
      </c>
      <c r="F562" s="28" t="inlineStr">
        <is>
          <t>Renewable Specialist</t>
        </is>
      </c>
      <c r="G562" s="28" t="inlineStr">
        <is>
          <t>Active</t>
        </is>
      </c>
      <c r="H562" s="31" t="n"/>
      <c r="I562" s="32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1">
        <f>IF($C562="",0,IFERROR(INDEX(Deals!$H$2:$H$355,MATCH($C562,Deals!$A$2:$A$355,0)),0))</f>
        <v/>
      </c>
      <c r="K562" s="32">
        <f>IF(Settings!$B$4="Yes",$I562*$J562,$I562)</f>
        <v/>
      </c>
      <c r="L562" s="22">
        <f>IF($C562="","",IFERROR(IF(INDEX(Deals!$I$2:$I$355,MATCH($C562,Deals!$A$2:$A$355,0))=0,"",INDEX(Deals!$I$2:$I$355,MATCH($C562,Deals!$A$2:$A$355,0))),""))</f>
        <v/>
      </c>
      <c r="M562" s="22">
        <f>IF($C562="","",IFERROR(IF(INDEX(Deals!$J$2:$J$355,MATCH($C562,Deals!$A$2:$A$355,0))=0,"",INDEX(Deals!$J$2:$J$355,MATCH($C562,Deals!$A$2:$A$355,0))),""))</f>
        <v/>
      </c>
      <c r="N562" s="35">
        <f>IF($L562="",DATE(1900,1,1),$L562)</f>
        <v/>
      </c>
      <c r="O562" s="35">
        <f>IF($M562="",DATE(2100,12,31),$M562)</f>
        <v/>
      </c>
      <c r="P562" s="20" t="inlineStr"/>
      <c r="Q562" s="43" t="inlineStr"/>
      <c r="R562" s="16">
        <f>IF($C562="","",IFERROR(IF(INDEX(Deals!$U$2:$U$355,MATCH($C562,Deals!$A$2:$A$355,0))=0,"",INDEX(Deals!$U$2:$U$355,MATCH($C562,Deals!$A$2:$A$355,0))),""))</f>
        <v/>
      </c>
      <c r="S562" s="34">
        <f>IFERROR(IF($U562="",1,INDEX(Deals!$V$2:$V$355,MATCH($C562,Deals!$A$2:$A$355,0))),1)</f>
        <v/>
      </c>
      <c r="T562" s="34">
        <f>IFERROR(IF($U562="",1,INDEX(Deals!$W$2:$W$355,MATCH($C562,Deals!$A$2:$A$355,0))),1)</f>
        <v/>
      </c>
      <c r="U562" s="22">
        <f>IF($C562="","",IFERROR(IF(INDEX(Deals!$Y$2:$Y$355,MATCH($C562,Deals!$A$2:$A$355,0))=0,"",INDEX(Deals!$Y$2:$Y$355,MATCH($C562,Deals!$A$2:$A$355,0))),""))</f>
        <v/>
      </c>
      <c r="V562" s="35">
        <f>IF($U562="",DATE(1900,1,1),$N562)</f>
        <v/>
      </c>
      <c r="W562" s="35">
        <f>IF($U562="",DATE(2100,12,31),$U562)</f>
        <v/>
      </c>
      <c r="X562" s="32">
        <f>IF($U562="",$K562,$K562*$S562)</f>
        <v/>
      </c>
      <c r="Y562" s="35">
        <f>IF($U562="",DATE(2100,12,31),$U562+1)</f>
        <v/>
      </c>
      <c r="Z562" s="35">
        <f>IF($U562="",DATE(1900,1,1),$O562)</f>
        <v/>
      </c>
      <c r="AA562" s="32">
        <f>IF($U562="",0,$K562*$T562)</f>
        <v/>
      </c>
      <c r="AB562" s="21">
        <f>IF($C562="",0,IFERROR(INDEX(Deals!$AD$2:$AD$355,MATCH($C562,Deals!$A$2:$A$355,0)),0))</f>
        <v/>
      </c>
      <c r="AC562" s="32">
        <f>IF(Settings!$B$4="Yes",$I562*$AB562,$I562)</f>
        <v/>
      </c>
      <c r="AD562" s="22">
        <f>IF($C562="","",IFERROR(IF(INDEX(Deals!$AE$2:$AE$355,MATCH($C562,Deals!$A$2:$A$355,0))=0,"",INDEX(Deals!$AE$2:$AE$355,MATCH($C562,Deals!$A$2:$A$355,0))),""))</f>
        <v/>
      </c>
      <c r="AE562" s="22">
        <f>IF($C562="","",IFERROR(IF(INDEX(Deals!$AF$2:$AF$355,MATCH($C562,Deals!$A$2:$A$355,0))=0,"",INDEX(Deals!$AF$2:$AF$355,MATCH($C562,Deals!$A$2:$A$355,0))),""))</f>
        <v/>
      </c>
      <c r="AF562" s="35">
        <f>IF($AD562="",DATE(1900,1,1),$AD562)</f>
        <v/>
      </c>
      <c r="AG562" s="35">
        <f>IF($AE562="",DATE(2100,12,31),$AE562)</f>
        <v/>
      </c>
      <c r="AH562" s="22">
        <f>IF($C562="","",IFERROR(IF(INDEX(Deals!$AG$2:$AG$355,MATCH($C562,Deals!$A$2:$A$355,0))=0,"",INDEX(Deals!$AG$2:$AG$355,MATCH($C562,Deals!$A$2:$A$355,0))),""))</f>
        <v/>
      </c>
      <c r="AI562" s="35">
        <f>IF($AH562="",DATE(1900,1,1),$AF562)</f>
        <v/>
      </c>
      <c r="AJ562" s="35">
        <f>IF($AH562="",DATE(2100,12,31),$AH562)</f>
        <v/>
      </c>
      <c r="AK562" s="32">
        <f>IF($AH562="",$AC562,$AC562*$S562)</f>
        <v/>
      </c>
      <c r="AL562" s="35">
        <f>IF($AH562="",DATE(2100,12,31),$AH562+1)</f>
        <v/>
      </c>
      <c r="AM562" s="35">
        <f>IF($AH562="",DATE(1900,1,1),$AG562)</f>
        <v/>
      </c>
      <c r="AN562" s="32">
        <f>IF($AH562="",0,$AC562*$T562)</f>
        <v/>
      </c>
    </row>
    <row r="563">
      <c r="A563" s="28" t="inlineStr">
        <is>
          <t>Dorian</t>
        </is>
      </c>
      <c r="B563" s="16">
        <f>IF($A563="","",IFERROR(INDEX(Roster!$B$2:$B$40,MATCH($A563,Roster!$A$2:$A$40,0)),"?"))</f>
        <v/>
      </c>
      <c r="C563" s="28" t="inlineStr">
        <is>
          <t>MeadowBrook_1</t>
        </is>
      </c>
      <c r="D563" s="16">
        <f>IF($C563="","",IFERROR(IF(INDEX(Deals!$C$2:$C$355,MATCH($C563,Deals!$A$2:$A$355,0))=0,"",INDEX(Deals!$C$2:$C$355,MATCH($C563,Deals!$A$2:$A$355,0))),"?"))</f>
        <v/>
      </c>
      <c r="E563" s="16">
        <f>IF($C563="","",IFERROR(INDEX(Deals!$F$2:$F$355,MATCH($C563,Deals!$A$2:$A$355,0)),"?"))</f>
        <v/>
      </c>
      <c r="F563" s="28" t="inlineStr">
        <is>
          <t>Renewable Specialist</t>
        </is>
      </c>
      <c r="G563" s="28" t="inlineStr">
        <is>
          <t>Active</t>
        </is>
      </c>
      <c r="H563" s="31" t="n"/>
      <c r="I563" s="32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1">
        <f>IF($C563="",0,IFERROR(INDEX(Deals!$H$2:$H$355,MATCH($C563,Deals!$A$2:$A$355,0)),0))</f>
        <v/>
      </c>
      <c r="K563" s="32">
        <f>IF(Settings!$B$4="Yes",$I563*$J563,$I563)</f>
        <v/>
      </c>
      <c r="L563" s="22">
        <f>IF($C563="","",IFERROR(IF(INDEX(Deals!$I$2:$I$355,MATCH($C563,Deals!$A$2:$A$355,0))=0,"",INDEX(Deals!$I$2:$I$355,MATCH($C563,Deals!$A$2:$A$355,0))),""))</f>
        <v/>
      </c>
      <c r="M563" s="22">
        <f>IF($C563="","",IFERROR(IF(INDEX(Deals!$J$2:$J$355,MATCH($C563,Deals!$A$2:$A$355,0))=0,"",INDEX(Deals!$J$2:$J$355,MATCH($C563,Deals!$A$2:$A$355,0))),""))</f>
        <v/>
      </c>
      <c r="N563" s="35">
        <f>IF($L563="",DATE(1900,1,1),$L563)</f>
        <v/>
      </c>
      <c r="O563" s="35">
        <f>IF($M563="",DATE(2100,12,31),$M563)</f>
        <v/>
      </c>
      <c r="P563" s="20" t="inlineStr"/>
      <c r="Q563" s="43" t="inlineStr"/>
      <c r="R563" s="16">
        <f>IF($C563="","",IFERROR(IF(INDEX(Deals!$U$2:$U$355,MATCH($C563,Deals!$A$2:$A$355,0))=0,"",INDEX(Deals!$U$2:$U$355,MATCH($C563,Deals!$A$2:$A$355,0))),""))</f>
        <v/>
      </c>
      <c r="S563" s="34">
        <f>IFERROR(IF($U563="",1,INDEX(Deals!$V$2:$V$355,MATCH($C563,Deals!$A$2:$A$355,0))),1)</f>
        <v/>
      </c>
      <c r="T563" s="34">
        <f>IFERROR(IF($U563="",1,INDEX(Deals!$W$2:$W$355,MATCH($C563,Deals!$A$2:$A$355,0))),1)</f>
        <v/>
      </c>
      <c r="U563" s="22">
        <f>IF($C563="","",IFERROR(IF(INDEX(Deals!$Y$2:$Y$355,MATCH($C563,Deals!$A$2:$A$355,0))=0,"",INDEX(Deals!$Y$2:$Y$355,MATCH($C563,Deals!$A$2:$A$355,0))),""))</f>
        <v/>
      </c>
      <c r="V563" s="35">
        <f>IF($U563="",DATE(1900,1,1),$N563)</f>
        <v/>
      </c>
      <c r="W563" s="35">
        <f>IF($U563="",DATE(2100,12,31),$U563)</f>
        <v/>
      </c>
      <c r="X563" s="32">
        <f>IF($U563="",$K563,$K563*$S563)</f>
        <v/>
      </c>
      <c r="Y563" s="35">
        <f>IF($U563="",DATE(2100,12,31),$U563+1)</f>
        <v/>
      </c>
      <c r="Z563" s="35">
        <f>IF($U563="",DATE(1900,1,1),$O563)</f>
        <v/>
      </c>
      <c r="AA563" s="32">
        <f>IF($U563="",0,$K563*$T563)</f>
        <v/>
      </c>
      <c r="AB563" s="21">
        <f>IF($C563="",0,IFERROR(INDEX(Deals!$AD$2:$AD$355,MATCH($C563,Deals!$A$2:$A$355,0)),0))</f>
        <v/>
      </c>
      <c r="AC563" s="32">
        <f>IF(Settings!$B$4="Yes",$I563*$AB563,$I563)</f>
        <v/>
      </c>
      <c r="AD563" s="22">
        <f>IF($C563="","",IFERROR(IF(INDEX(Deals!$AE$2:$AE$355,MATCH($C563,Deals!$A$2:$A$355,0))=0,"",INDEX(Deals!$AE$2:$AE$355,MATCH($C563,Deals!$A$2:$A$355,0))),""))</f>
        <v/>
      </c>
      <c r="AE563" s="22">
        <f>IF($C563="","",IFERROR(IF(INDEX(Deals!$AF$2:$AF$355,MATCH($C563,Deals!$A$2:$A$355,0))=0,"",INDEX(Deals!$AF$2:$AF$355,MATCH($C563,Deals!$A$2:$A$355,0))),""))</f>
        <v/>
      </c>
      <c r="AF563" s="35">
        <f>IF($AD563="",DATE(1900,1,1),$AD563)</f>
        <v/>
      </c>
      <c r="AG563" s="35">
        <f>IF($AE563="",DATE(2100,12,31),$AE563)</f>
        <v/>
      </c>
      <c r="AH563" s="22">
        <f>IF($C563="","",IFERROR(IF(INDEX(Deals!$AG$2:$AG$355,MATCH($C563,Deals!$A$2:$A$355,0))=0,"",INDEX(Deals!$AG$2:$AG$355,MATCH($C563,Deals!$A$2:$A$355,0))),""))</f>
        <v/>
      </c>
      <c r="AI563" s="35">
        <f>IF($AH563="",DATE(1900,1,1),$AF563)</f>
        <v/>
      </c>
      <c r="AJ563" s="35">
        <f>IF($AH563="",DATE(2100,12,31),$AH563)</f>
        <v/>
      </c>
      <c r="AK563" s="32">
        <f>IF($AH563="",$AC563,$AC563*$S563)</f>
        <v/>
      </c>
      <c r="AL563" s="35">
        <f>IF($AH563="",DATE(2100,12,31),$AH563+1)</f>
        <v/>
      </c>
      <c r="AM563" s="35">
        <f>IF($AH563="",DATE(1900,1,1),$AG563)</f>
        <v/>
      </c>
      <c r="AN563" s="32">
        <f>IF($AH563="",0,$AC563*$T563)</f>
        <v/>
      </c>
    </row>
    <row r="564">
      <c r="A564" s="28" t="inlineStr">
        <is>
          <t>Dorian</t>
        </is>
      </c>
      <c r="B564" s="16">
        <f>IF($A564="","",IFERROR(INDEX(Roster!$B$2:$B$40,MATCH($A564,Roster!$A$2:$A$40,0)),"?"))</f>
        <v/>
      </c>
      <c r="C564" s="28" t="inlineStr">
        <is>
          <t>Modport_1</t>
        </is>
      </c>
      <c r="D564" s="16">
        <f>IF($C564="","",IFERROR(IF(INDEX(Deals!$C$2:$C$355,MATCH($C564,Deals!$A$2:$A$355,0))=0,"",INDEX(Deals!$C$2:$C$355,MATCH($C564,Deals!$A$2:$A$355,0))),"?"))</f>
        <v/>
      </c>
      <c r="E564" s="16">
        <f>IF($C564="","",IFERROR(INDEX(Deals!$F$2:$F$355,MATCH($C564,Deals!$A$2:$A$355,0)),"?"))</f>
        <v/>
      </c>
      <c r="F564" s="28" t="inlineStr">
        <is>
          <t>Renewable Specialist</t>
        </is>
      </c>
      <c r="G564" s="28" t="inlineStr">
        <is>
          <t>Active</t>
        </is>
      </c>
      <c r="H564" s="31" t="n"/>
      <c r="I564" s="32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1">
        <f>IF($C564="",0,IFERROR(INDEX(Deals!$H$2:$H$355,MATCH($C564,Deals!$A$2:$A$355,0)),0))</f>
        <v/>
      </c>
      <c r="K564" s="32">
        <f>IF(Settings!$B$4="Yes",$I564*$J564,$I564)</f>
        <v/>
      </c>
      <c r="L564" s="22">
        <f>IF($C564="","",IFERROR(IF(INDEX(Deals!$I$2:$I$355,MATCH($C564,Deals!$A$2:$A$355,0))=0,"",INDEX(Deals!$I$2:$I$355,MATCH($C564,Deals!$A$2:$A$355,0))),""))</f>
        <v/>
      </c>
      <c r="M564" s="22">
        <f>IF($C564="","",IFERROR(IF(INDEX(Deals!$J$2:$J$355,MATCH($C564,Deals!$A$2:$A$355,0))=0,"",INDEX(Deals!$J$2:$J$355,MATCH($C564,Deals!$A$2:$A$355,0))),""))</f>
        <v/>
      </c>
      <c r="N564" s="35">
        <f>IF($L564="",DATE(1900,1,1),$L564)</f>
        <v/>
      </c>
      <c r="O564" s="35">
        <f>IF($M564="",DATE(2100,12,31),$M564)</f>
        <v/>
      </c>
      <c r="P564" s="20" t="inlineStr"/>
      <c r="Q564" s="43" t="inlineStr"/>
      <c r="R564" s="16">
        <f>IF($C564="","",IFERROR(IF(INDEX(Deals!$U$2:$U$355,MATCH($C564,Deals!$A$2:$A$355,0))=0,"",INDEX(Deals!$U$2:$U$355,MATCH($C564,Deals!$A$2:$A$355,0))),""))</f>
        <v/>
      </c>
      <c r="S564" s="34">
        <f>IFERROR(IF($U564="",1,INDEX(Deals!$V$2:$V$355,MATCH($C564,Deals!$A$2:$A$355,0))),1)</f>
        <v/>
      </c>
      <c r="T564" s="34">
        <f>IFERROR(IF($U564="",1,INDEX(Deals!$W$2:$W$355,MATCH($C564,Deals!$A$2:$A$355,0))),1)</f>
        <v/>
      </c>
      <c r="U564" s="22">
        <f>IF($C564="","",IFERROR(IF(INDEX(Deals!$Y$2:$Y$355,MATCH($C564,Deals!$A$2:$A$355,0))=0,"",INDEX(Deals!$Y$2:$Y$355,MATCH($C564,Deals!$A$2:$A$355,0))),""))</f>
        <v/>
      </c>
      <c r="V564" s="35">
        <f>IF($U564="",DATE(1900,1,1),$N564)</f>
        <v/>
      </c>
      <c r="W564" s="35">
        <f>IF($U564="",DATE(2100,12,31),$U564)</f>
        <v/>
      </c>
      <c r="X564" s="32">
        <f>IF($U564="",$K564,$K564*$S564)</f>
        <v/>
      </c>
      <c r="Y564" s="35">
        <f>IF($U564="",DATE(2100,12,31),$U564+1)</f>
        <v/>
      </c>
      <c r="Z564" s="35">
        <f>IF($U564="",DATE(1900,1,1),$O564)</f>
        <v/>
      </c>
      <c r="AA564" s="32">
        <f>IF($U564="",0,$K564*$T564)</f>
        <v/>
      </c>
      <c r="AB564" s="21">
        <f>IF($C564="",0,IFERROR(INDEX(Deals!$AD$2:$AD$355,MATCH($C564,Deals!$A$2:$A$355,0)),0))</f>
        <v/>
      </c>
      <c r="AC564" s="32">
        <f>IF(Settings!$B$4="Yes",$I564*$AB564,$I564)</f>
        <v/>
      </c>
      <c r="AD564" s="22">
        <f>IF($C564="","",IFERROR(IF(INDEX(Deals!$AE$2:$AE$355,MATCH($C564,Deals!$A$2:$A$355,0))=0,"",INDEX(Deals!$AE$2:$AE$355,MATCH($C564,Deals!$A$2:$A$355,0))),""))</f>
        <v/>
      </c>
      <c r="AE564" s="22">
        <f>IF($C564="","",IFERROR(IF(INDEX(Deals!$AF$2:$AF$355,MATCH($C564,Deals!$A$2:$A$355,0))=0,"",INDEX(Deals!$AF$2:$AF$355,MATCH($C564,Deals!$A$2:$A$355,0))),""))</f>
        <v/>
      </c>
      <c r="AF564" s="35">
        <f>IF($AD564="",DATE(1900,1,1),$AD564)</f>
        <v/>
      </c>
      <c r="AG564" s="35">
        <f>IF($AE564="",DATE(2100,12,31),$AE564)</f>
        <v/>
      </c>
      <c r="AH564" s="22">
        <f>IF($C564="","",IFERROR(IF(INDEX(Deals!$AG$2:$AG$355,MATCH($C564,Deals!$A$2:$A$355,0))=0,"",INDEX(Deals!$AG$2:$AG$355,MATCH($C564,Deals!$A$2:$A$355,0))),""))</f>
        <v/>
      </c>
      <c r="AI564" s="35">
        <f>IF($AH564="",DATE(1900,1,1),$AF564)</f>
        <v/>
      </c>
      <c r="AJ564" s="35">
        <f>IF($AH564="",DATE(2100,12,31),$AH564)</f>
        <v/>
      </c>
      <c r="AK564" s="32">
        <f>IF($AH564="",$AC564,$AC564*$S564)</f>
        <v/>
      </c>
      <c r="AL564" s="35">
        <f>IF($AH564="",DATE(2100,12,31),$AH564+1)</f>
        <v/>
      </c>
      <c r="AM564" s="35">
        <f>IF($AH564="",DATE(1900,1,1),$AG564)</f>
        <v/>
      </c>
      <c r="AN564" s="32">
        <f>IF($AH564="",0,$AC564*$T564)</f>
        <v/>
      </c>
    </row>
    <row r="565">
      <c r="A565" s="28" t="inlineStr">
        <is>
          <t>Dorian</t>
        </is>
      </c>
      <c r="B565" s="16">
        <f>IF($A565="","",IFERROR(INDEX(Roster!$B$2:$B$40,MATCH($A565,Roster!$A$2:$A$40,0)),"?"))</f>
        <v/>
      </c>
      <c r="C565" s="28" t="inlineStr">
        <is>
          <t>Neutrino_1</t>
        </is>
      </c>
      <c r="D565" s="16">
        <f>IF($C565="","",IFERROR(IF(INDEX(Deals!$C$2:$C$355,MATCH($C565,Deals!$A$2:$A$355,0))=0,"",INDEX(Deals!$C$2:$C$355,MATCH($C565,Deals!$A$2:$A$355,0))),"?"))</f>
        <v/>
      </c>
      <c r="E565" s="16">
        <f>IF($C565="","",IFERROR(INDEX(Deals!$F$2:$F$355,MATCH($C565,Deals!$A$2:$A$355,0)),"?"))</f>
        <v/>
      </c>
      <c r="F565" s="28" t="inlineStr">
        <is>
          <t>Renewable Specialist</t>
        </is>
      </c>
      <c r="G565" s="28" t="inlineStr">
        <is>
          <t>Active</t>
        </is>
      </c>
      <c r="H565" s="31" t="n"/>
      <c r="I565" s="32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1">
        <f>IF($C565="",0,IFERROR(INDEX(Deals!$H$2:$H$355,MATCH($C565,Deals!$A$2:$A$355,0)),0))</f>
        <v/>
      </c>
      <c r="K565" s="32">
        <f>IF(Settings!$B$4="Yes",$I565*$J565,$I565)</f>
        <v/>
      </c>
      <c r="L565" s="22">
        <f>IF($C565="","",IFERROR(IF(INDEX(Deals!$I$2:$I$355,MATCH($C565,Deals!$A$2:$A$355,0))=0,"",INDEX(Deals!$I$2:$I$355,MATCH($C565,Deals!$A$2:$A$355,0))),""))</f>
        <v/>
      </c>
      <c r="M565" s="22">
        <f>IF($C565="","",IFERROR(IF(INDEX(Deals!$J$2:$J$355,MATCH($C565,Deals!$A$2:$A$355,0))=0,"",INDEX(Deals!$J$2:$J$355,MATCH($C565,Deals!$A$2:$A$355,0))),""))</f>
        <v/>
      </c>
      <c r="N565" s="35">
        <f>IF($L565="",DATE(1900,1,1),$L565)</f>
        <v/>
      </c>
      <c r="O565" s="35">
        <f>IF($M565="",DATE(2100,12,31),$M565)</f>
        <v/>
      </c>
      <c r="P565" s="20" t="inlineStr"/>
      <c r="Q565" s="43" t="inlineStr"/>
      <c r="R565" s="16">
        <f>IF($C565="","",IFERROR(IF(INDEX(Deals!$U$2:$U$355,MATCH($C565,Deals!$A$2:$A$355,0))=0,"",INDEX(Deals!$U$2:$U$355,MATCH($C565,Deals!$A$2:$A$355,0))),""))</f>
        <v/>
      </c>
      <c r="S565" s="34">
        <f>IFERROR(IF($U565="",1,INDEX(Deals!$V$2:$V$355,MATCH($C565,Deals!$A$2:$A$355,0))),1)</f>
        <v/>
      </c>
      <c r="T565" s="34">
        <f>IFERROR(IF($U565="",1,INDEX(Deals!$W$2:$W$355,MATCH($C565,Deals!$A$2:$A$355,0))),1)</f>
        <v/>
      </c>
      <c r="U565" s="22">
        <f>IF($C565="","",IFERROR(IF(INDEX(Deals!$Y$2:$Y$355,MATCH($C565,Deals!$A$2:$A$355,0))=0,"",INDEX(Deals!$Y$2:$Y$355,MATCH($C565,Deals!$A$2:$A$355,0))),""))</f>
        <v/>
      </c>
      <c r="V565" s="35">
        <f>IF($U565="",DATE(1900,1,1),$N565)</f>
        <v/>
      </c>
      <c r="W565" s="35">
        <f>IF($U565="",DATE(2100,12,31),$U565)</f>
        <v/>
      </c>
      <c r="X565" s="32">
        <f>IF($U565="",$K565,$K565*$S565)</f>
        <v/>
      </c>
      <c r="Y565" s="35">
        <f>IF($U565="",DATE(2100,12,31),$U565+1)</f>
        <v/>
      </c>
      <c r="Z565" s="35">
        <f>IF($U565="",DATE(1900,1,1),$O565)</f>
        <v/>
      </c>
      <c r="AA565" s="32">
        <f>IF($U565="",0,$K565*$T565)</f>
        <v/>
      </c>
      <c r="AB565" s="21">
        <f>IF($C565="",0,IFERROR(INDEX(Deals!$AD$2:$AD$355,MATCH($C565,Deals!$A$2:$A$355,0)),0))</f>
        <v/>
      </c>
      <c r="AC565" s="32">
        <f>IF(Settings!$B$4="Yes",$I565*$AB565,$I565)</f>
        <v/>
      </c>
      <c r="AD565" s="22">
        <f>IF($C565="","",IFERROR(IF(INDEX(Deals!$AE$2:$AE$355,MATCH($C565,Deals!$A$2:$A$355,0))=0,"",INDEX(Deals!$AE$2:$AE$355,MATCH($C565,Deals!$A$2:$A$355,0))),""))</f>
        <v/>
      </c>
      <c r="AE565" s="22">
        <f>IF($C565="","",IFERROR(IF(INDEX(Deals!$AF$2:$AF$355,MATCH($C565,Deals!$A$2:$A$355,0))=0,"",INDEX(Deals!$AF$2:$AF$355,MATCH($C565,Deals!$A$2:$A$355,0))),""))</f>
        <v/>
      </c>
      <c r="AF565" s="35">
        <f>IF($AD565="",DATE(1900,1,1),$AD565)</f>
        <v/>
      </c>
      <c r="AG565" s="35">
        <f>IF($AE565="",DATE(2100,12,31),$AE565)</f>
        <v/>
      </c>
      <c r="AH565" s="22">
        <f>IF($C565="","",IFERROR(IF(INDEX(Deals!$AG$2:$AG$355,MATCH($C565,Deals!$A$2:$A$355,0))=0,"",INDEX(Deals!$AG$2:$AG$355,MATCH($C565,Deals!$A$2:$A$355,0))),""))</f>
        <v/>
      </c>
      <c r="AI565" s="35">
        <f>IF($AH565="",DATE(1900,1,1),$AF565)</f>
        <v/>
      </c>
      <c r="AJ565" s="35">
        <f>IF($AH565="",DATE(2100,12,31),$AH565)</f>
        <v/>
      </c>
      <c r="AK565" s="32">
        <f>IF($AH565="",$AC565,$AC565*$S565)</f>
        <v/>
      </c>
      <c r="AL565" s="35">
        <f>IF($AH565="",DATE(2100,12,31),$AH565+1)</f>
        <v/>
      </c>
      <c r="AM565" s="35">
        <f>IF($AH565="",DATE(1900,1,1),$AG565)</f>
        <v/>
      </c>
      <c r="AN565" s="32">
        <f>IF($AH565="",0,$AC565*$T565)</f>
        <v/>
      </c>
    </row>
    <row r="566">
      <c r="A566" s="28" t="inlineStr">
        <is>
          <t>Dorian</t>
        </is>
      </c>
      <c r="B566" s="16">
        <f>IF($A566="","",IFERROR(INDEX(Roster!$B$2:$B$40,MATCH($A566,Roster!$A$2:$A$40,0)),"?"))</f>
        <v/>
      </c>
      <c r="C566" s="28" t="inlineStr">
        <is>
          <t>New Haven_1</t>
        </is>
      </c>
      <c r="D566" s="16">
        <f>IF($C566="","",IFERROR(IF(INDEX(Deals!$C$2:$C$355,MATCH($C566,Deals!$A$2:$A$355,0))=0,"",INDEX(Deals!$C$2:$C$355,MATCH($C566,Deals!$A$2:$A$355,0))),"?"))</f>
        <v/>
      </c>
      <c r="E566" s="16">
        <f>IF($C566="","",IFERROR(INDEX(Deals!$F$2:$F$355,MATCH($C566,Deals!$A$2:$A$355,0)),"?"))</f>
        <v/>
      </c>
      <c r="F566" s="28" t="inlineStr">
        <is>
          <t>Renewable Specialist</t>
        </is>
      </c>
      <c r="G566" s="28" t="inlineStr">
        <is>
          <t>Active</t>
        </is>
      </c>
      <c r="H566" s="31" t="n"/>
      <c r="I566" s="32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1">
        <f>IF($C566="",0,IFERROR(INDEX(Deals!$H$2:$H$355,MATCH($C566,Deals!$A$2:$A$355,0)),0))</f>
        <v/>
      </c>
      <c r="K566" s="32">
        <f>IF(Settings!$B$4="Yes",$I566*$J566,$I566)</f>
        <v/>
      </c>
      <c r="L566" s="22">
        <f>IF($C566="","",IFERROR(IF(INDEX(Deals!$I$2:$I$355,MATCH($C566,Deals!$A$2:$A$355,0))=0,"",INDEX(Deals!$I$2:$I$355,MATCH($C566,Deals!$A$2:$A$355,0))),""))</f>
        <v/>
      </c>
      <c r="M566" s="22">
        <f>IF($C566="","",IFERROR(IF(INDEX(Deals!$J$2:$J$355,MATCH($C566,Deals!$A$2:$A$355,0))=0,"",INDEX(Deals!$J$2:$J$355,MATCH($C566,Deals!$A$2:$A$355,0))),""))</f>
        <v/>
      </c>
      <c r="N566" s="35">
        <f>IF($L566="",DATE(1900,1,1),$L566)</f>
        <v/>
      </c>
      <c r="O566" s="35">
        <f>IF($M566="",DATE(2100,12,31),$M566)</f>
        <v/>
      </c>
      <c r="P566" s="20" t="inlineStr"/>
      <c r="Q566" s="43" t="inlineStr"/>
      <c r="R566" s="16">
        <f>IF($C566="","",IFERROR(IF(INDEX(Deals!$U$2:$U$355,MATCH($C566,Deals!$A$2:$A$355,0))=0,"",INDEX(Deals!$U$2:$U$355,MATCH($C566,Deals!$A$2:$A$355,0))),""))</f>
        <v/>
      </c>
      <c r="S566" s="34">
        <f>IFERROR(IF($U566="",1,INDEX(Deals!$V$2:$V$355,MATCH($C566,Deals!$A$2:$A$355,0))),1)</f>
        <v/>
      </c>
      <c r="T566" s="34">
        <f>IFERROR(IF($U566="",1,INDEX(Deals!$W$2:$W$355,MATCH($C566,Deals!$A$2:$A$355,0))),1)</f>
        <v/>
      </c>
      <c r="U566" s="22">
        <f>IF($C566="","",IFERROR(IF(INDEX(Deals!$Y$2:$Y$355,MATCH($C566,Deals!$A$2:$A$355,0))=0,"",INDEX(Deals!$Y$2:$Y$355,MATCH($C566,Deals!$A$2:$A$355,0))),""))</f>
        <v/>
      </c>
      <c r="V566" s="35">
        <f>IF($U566="",DATE(1900,1,1),$N566)</f>
        <v/>
      </c>
      <c r="W566" s="35">
        <f>IF($U566="",DATE(2100,12,31),$U566)</f>
        <v/>
      </c>
      <c r="X566" s="32">
        <f>IF($U566="",$K566,$K566*$S566)</f>
        <v/>
      </c>
      <c r="Y566" s="35">
        <f>IF($U566="",DATE(2100,12,31),$U566+1)</f>
        <v/>
      </c>
      <c r="Z566" s="35">
        <f>IF($U566="",DATE(1900,1,1),$O566)</f>
        <v/>
      </c>
      <c r="AA566" s="32">
        <f>IF($U566="",0,$K566*$T566)</f>
        <v/>
      </c>
      <c r="AB566" s="21">
        <f>IF($C566="",0,IFERROR(INDEX(Deals!$AD$2:$AD$355,MATCH($C566,Deals!$A$2:$A$355,0)),0))</f>
        <v/>
      </c>
      <c r="AC566" s="32">
        <f>IF(Settings!$B$4="Yes",$I566*$AB566,$I566)</f>
        <v/>
      </c>
      <c r="AD566" s="22">
        <f>IF($C566="","",IFERROR(IF(INDEX(Deals!$AE$2:$AE$355,MATCH($C566,Deals!$A$2:$A$355,0))=0,"",INDEX(Deals!$AE$2:$AE$355,MATCH($C566,Deals!$A$2:$A$355,0))),""))</f>
        <v/>
      </c>
      <c r="AE566" s="22">
        <f>IF($C566="","",IFERROR(IF(INDEX(Deals!$AF$2:$AF$355,MATCH($C566,Deals!$A$2:$A$355,0))=0,"",INDEX(Deals!$AF$2:$AF$355,MATCH($C566,Deals!$A$2:$A$355,0))),""))</f>
        <v/>
      </c>
      <c r="AF566" s="35">
        <f>IF($AD566="",DATE(1900,1,1),$AD566)</f>
        <v/>
      </c>
      <c r="AG566" s="35">
        <f>IF($AE566="",DATE(2100,12,31),$AE566)</f>
        <v/>
      </c>
      <c r="AH566" s="22">
        <f>IF($C566="","",IFERROR(IF(INDEX(Deals!$AG$2:$AG$355,MATCH($C566,Deals!$A$2:$A$355,0))=0,"",INDEX(Deals!$AG$2:$AG$355,MATCH($C566,Deals!$A$2:$A$355,0))),""))</f>
        <v/>
      </c>
      <c r="AI566" s="35">
        <f>IF($AH566="",DATE(1900,1,1),$AF566)</f>
        <v/>
      </c>
      <c r="AJ566" s="35">
        <f>IF($AH566="",DATE(2100,12,31),$AH566)</f>
        <v/>
      </c>
      <c r="AK566" s="32">
        <f>IF($AH566="",$AC566,$AC566*$S566)</f>
        <v/>
      </c>
      <c r="AL566" s="35">
        <f>IF($AH566="",DATE(2100,12,31),$AH566+1)</f>
        <v/>
      </c>
      <c r="AM566" s="35">
        <f>IF($AH566="",DATE(1900,1,1),$AG566)</f>
        <v/>
      </c>
      <c r="AN566" s="32">
        <f>IF($AH566="",0,$AC566*$T566)</f>
        <v/>
      </c>
    </row>
    <row r="567">
      <c r="A567" s="28" t="inlineStr">
        <is>
          <t>Dorian</t>
        </is>
      </c>
      <c r="B567" s="16">
        <f>IF($A567="","",IFERROR(INDEX(Roster!$B$2:$B$40,MATCH($A567,Roster!$A$2:$A$40,0)),"?"))</f>
        <v/>
      </c>
      <c r="C567" s="28" t="inlineStr">
        <is>
          <t>Ninedot_3</t>
        </is>
      </c>
      <c r="D567" s="16">
        <f>IF($C567="","",IFERROR(IF(INDEX(Deals!$C$2:$C$355,MATCH($C567,Deals!$A$2:$A$355,0))=0,"",INDEX(Deals!$C$2:$C$355,MATCH($C567,Deals!$A$2:$A$355,0))),"?"))</f>
        <v/>
      </c>
      <c r="E567" s="16">
        <f>IF($C567="","",IFERROR(INDEX(Deals!$F$2:$F$355,MATCH($C567,Deals!$A$2:$A$355,0)),"?"))</f>
        <v/>
      </c>
      <c r="F567" s="28" t="inlineStr">
        <is>
          <t>Renewable Specialist</t>
        </is>
      </c>
      <c r="G567" s="28" t="inlineStr">
        <is>
          <t>Active</t>
        </is>
      </c>
      <c r="H567" s="31" t="n"/>
      <c r="I567" s="32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1">
        <f>IF($C567="",0,IFERROR(INDEX(Deals!$H$2:$H$355,MATCH($C567,Deals!$A$2:$A$355,0)),0))</f>
        <v/>
      </c>
      <c r="K567" s="32">
        <f>IF(Settings!$B$4="Yes",$I567*$J567,$I567)</f>
        <v/>
      </c>
      <c r="L567" s="22">
        <f>IF($C567="","",IFERROR(IF(INDEX(Deals!$I$2:$I$355,MATCH($C567,Deals!$A$2:$A$355,0))=0,"",INDEX(Deals!$I$2:$I$355,MATCH($C567,Deals!$A$2:$A$355,0))),""))</f>
        <v/>
      </c>
      <c r="M567" s="22">
        <f>IF($C567="","",IFERROR(IF(INDEX(Deals!$J$2:$J$355,MATCH($C567,Deals!$A$2:$A$355,0))=0,"",INDEX(Deals!$J$2:$J$355,MATCH($C567,Deals!$A$2:$A$355,0))),""))</f>
        <v/>
      </c>
      <c r="N567" s="35">
        <f>IF($L567="",DATE(1900,1,1),$L567)</f>
        <v/>
      </c>
      <c r="O567" s="35">
        <f>IF($M567="",DATE(2100,12,31),$M567)</f>
        <v/>
      </c>
      <c r="P567" s="20" t="inlineStr"/>
      <c r="Q567" s="43" t="inlineStr"/>
      <c r="R567" s="16">
        <f>IF($C567="","",IFERROR(IF(INDEX(Deals!$U$2:$U$355,MATCH($C567,Deals!$A$2:$A$355,0))=0,"",INDEX(Deals!$U$2:$U$355,MATCH($C567,Deals!$A$2:$A$355,0))),""))</f>
        <v/>
      </c>
      <c r="S567" s="34">
        <f>IFERROR(IF($U567="",1,INDEX(Deals!$V$2:$V$355,MATCH($C567,Deals!$A$2:$A$355,0))),1)</f>
        <v/>
      </c>
      <c r="T567" s="34">
        <f>IFERROR(IF($U567="",1,INDEX(Deals!$W$2:$W$355,MATCH($C567,Deals!$A$2:$A$355,0))),1)</f>
        <v/>
      </c>
      <c r="U567" s="22">
        <f>IF($C567="","",IFERROR(IF(INDEX(Deals!$Y$2:$Y$355,MATCH($C567,Deals!$A$2:$A$355,0))=0,"",INDEX(Deals!$Y$2:$Y$355,MATCH($C567,Deals!$A$2:$A$355,0))),""))</f>
        <v/>
      </c>
      <c r="V567" s="35">
        <f>IF($U567="",DATE(1900,1,1),$N567)</f>
        <v/>
      </c>
      <c r="W567" s="35">
        <f>IF($U567="",DATE(2100,12,31),$U567)</f>
        <v/>
      </c>
      <c r="X567" s="32">
        <f>IF($U567="",$K567,$K567*$S567)</f>
        <v/>
      </c>
      <c r="Y567" s="35">
        <f>IF($U567="",DATE(2100,12,31),$U567+1)</f>
        <v/>
      </c>
      <c r="Z567" s="35">
        <f>IF($U567="",DATE(1900,1,1),$O567)</f>
        <v/>
      </c>
      <c r="AA567" s="32">
        <f>IF($U567="",0,$K567*$T567)</f>
        <v/>
      </c>
      <c r="AB567" s="21">
        <f>IF($C567="",0,IFERROR(INDEX(Deals!$AD$2:$AD$355,MATCH($C567,Deals!$A$2:$A$355,0)),0))</f>
        <v/>
      </c>
      <c r="AC567" s="32">
        <f>IF(Settings!$B$4="Yes",$I567*$AB567,$I567)</f>
        <v/>
      </c>
      <c r="AD567" s="22">
        <f>IF($C567="","",IFERROR(IF(INDEX(Deals!$AE$2:$AE$355,MATCH($C567,Deals!$A$2:$A$355,0))=0,"",INDEX(Deals!$AE$2:$AE$355,MATCH($C567,Deals!$A$2:$A$355,0))),""))</f>
        <v/>
      </c>
      <c r="AE567" s="22">
        <f>IF($C567="","",IFERROR(IF(INDEX(Deals!$AF$2:$AF$355,MATCH($C567,Deals!$A$2:$A$355,0))=0,"",INDEX(Deals!$AF$2:$AF$355,MATCH($C567,Deals!$A$2:$A$355,0))),""))</f>
        <v/>
      </c>
      <c r="AF567" s="35">
        <f>IF($AD567="",DATE(1900,1,1),$AD567)</f>
        <v/>
      </c>
      <c r="AG567" s="35">
        <f>IF($AE567="",DATE(2100,12,31),$AE567)</f>
        <v/>
      </c>
      <c r="AH567" s="22">
        <f>IF($C567="","",IFERROR(IF(INDEX(Deals!$AG$2:$AG$355,MATCH($C567,Deals!$A$2:$A$355,0))=0,"",INDEX(Deals!$AG$2:$AG$355,MATCH($C567,Deals!$A$2:$A$355,0))),""))</f>
        <v/>
      </c>
      <c r="AI567" s="35">
        <f>IF($AH567="",DATE(1900,1,1),$AF567)</f>
        <v/>
      </c>
      <c r="AJ567" s="35">
        <f>IF($AH567="",DATE(2100,12,31),$AH567)</f>
        <v/>
      </c>
      <c r="AK567" s="32">
        <f>IF($AH567="",$AC567,$AC567*$S567)</f>
        <v/>
      </c>
      <c r="AL567" s="35">
        <f>IF($AH567="",DATE(2100,12,31),$AH567+1)</f>
        <v/>
      </c>
      <c r="AM567" s="35">
        <f>IF($AH567="",DATE(1900,1,1),$AG567)</f>
        <v/>
      </c>
      <c r="AN567" s="32">
        <f>IF($AH567="",0,$AC567*$T567)</f>
        <v/>
      </c>
    </row>
    <row r="568">
      <c r="A568" s="28" t="inlineStr">
        <is>
          <t>Dorian</t>
        </is>
      </c>
      <c r="B568" s="16">
        <f>IF($A568="","",IFERROR(INDEX(Roster!$B$2:$B$40,MATCH($A568,Roster!$A$2:$A$40,0)),"?"))</f>
        <v/>
      </c>
      <c r="C568" s="28" t="inlineStr">
        <is>
          <t>Palmetto_3</t>
        </is>
      </c>
      <c r="D568" s="16">
        <f>IF($C568="","",IFERROR(IF(INDEX(Deals!$C$2:$C$355,MATCH($C568,Deals!$A$2:$A$355,0))=0,"",INDEX(Deals!$C$2:$C$355,MATCH($C568,Deals!$A$2:$A$355,0))),"?"))</f>
        <v/>
      </c>
      <c r="E568" s="16">
        <f>IF($C568="","",IFERROR(INDEX(Deals!$F$2:$F$355,MATCH($C568,Deals!$A$2:$A$355,0)),"?"))</f>
        <v/>
      </c>
      <c r="F568" s="28" t="inlineStr">
        <is>
          <t>Renewable Specialist</t>
        </is>
      </c>
      <c r="G568" s="28" t="inlineStr">
        <is>
          <t>Active</t>
        </is>
      </c>
      <c r="H568" s="31" t="n"/>
      <c r="I568" s="32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1">
        <f>IF($C568="",0,IFERROR(INDEX(Deals!$H$2:$H$355,MATCH($C568,Deals!$A$2:$A$355,0)),0))</f>
        <v/>
      </c>
      <c r="K568" s="32">
        <f>IF(Settings!$B$4="Yes",$I568*$J568,$I568)</f>
        <v/>
      </c>
      <c r="L568" s="22">
        <f>IF($C568="","",IFERROR(IF(INDEX(Deals!$I$2:$I$355,MATCH($C568,Deals!$A$2:$A$355,0))=0,"",INDEX(Deals!$I$2:$I$355,MATCH($C568,Deals!$A$2:$A$355,0))),""))</f>
        <v/>
      </c>
      <c r="M568" s="22">
        <f>IF($C568="","",IFERROR(IF(INDEX(Deals!$J$2:$J$355,MATCH($C568,Deals!$A$2:$A$355,0))=0,"",INDEX(Deals!$J$2:$J$355,MATCH($C568,Deals!$A$2:$A$355,0))),""))</f>
        <v/>
      </c>
      <c r="N568" s="35">
        <f>IF($L568="",DATE(1900,1,1),$L568)</f>
        <v/>
      </c>
      <c r="O568" s="35">
        <f>IF($M568="",DATE(2100,12,31),$M568)</f>
        <v/>
      </c>
      <c r="P568" s="20" t="inlineStr"/>
      <c r="Q568" s="43" t="inlineStr"/>
      <c r="R568" s="16">
        <f>IF($C568="","",IFERROR(IF(INDEX(Deals!$U$2:$U$355,MATCH($C568,Deals!$A$2:$A$355,0))=0,"",INDEX(Deals!$U$2:$U$355,MATCH($C568,Deals!$A$2:$A$355,0))),""))</f>
        <v/>
      </c>
      <c r="S568" s="34">
        <f>IFERROR(IF($U568="",1,INDEX(Deals!$V$2:$V$355,MATCH($C568,Deals!$A$2:$A$355,0))),1)</f>
        <v/>
      </c>
      <c r="T568" s="34">
        <f>IFERROR(IF($U568="",1,INDEX(Deals!$W$2:$W$355,MATCH($C568,Deals!$A$2:$A$355,0))),1)</f>
        <v/>
      </c>
      <c r="U568" s="22">
        <f>IF($C568="","",IFERROR(IF(INDEX(Deals!$Y$2:$Y$355,MATCH($C568,Deals!$A$2:$A$355,0))=0,"",INDEX(Deals!$Y$2:$Y$355,MATCH($C568,Deals!$A$2:$A$355,0))),""))</f>
        <v/>
      </c>
      <c r="V568" s="35">
        <f>IF($U568="",DATE(1900,1,1),$N568)</f>
        <v/>
      </c>
      <c r="W568" s="35">
        <f>IF($U568="",DATE(2100,12,31),$U568)</f>
        <v/>
      </c>
      <c r="X568" s="32">
        <f>IF($U568="",$K568,$K568*$S568)</f>
        <v/>
      </c>
      <c r="Y568" s="35">
        <f>IF($U568="",DATE(2100,12,31),$U568+1)</f>
        <v/>
      </c>
      <c r="Z568" s="35">
        <f>IF($U568="",DATE(1900,1,1),$O568)</f>
        <v/>
      </c>
      <c r="AA568" s="32">
        <f>IF($U568="",0,$K568*$T568)</f>
        <v/>
      </c>
      <c r="AB568" s="21">
        <f>IF($C568="",0,IFERROR(INDEX(Deals!$AD$2:$AD$355,MATCH($C568,Deals!$A$2:$A$355,0)),0))</f>
        <v/>
      </c>
      <c r="AC568" s="32">
        <f>IF(Settings!$B$4="Yes",$I568*$AB568,$I568)</f>
        <v/>
      </c>
      <c r="AD568" s="22">
        <f>IF($C568="","",IFERROR(IF(INDEX(Deals!$AE$2:$AE$355,MATCH($C568,Deals!$A$2:$A$355,0))=0,"",INDEX(Deals!$AE$2:$AE$355,MATCH($C568,Deals!$A$2:$A$355,0))),""))</f>
        <v/>
      </c>
      <c r="AE568" s="22">
        <f>IF($C568="","",IFERROR(IF(INDEX(Deals!$AF$2:$AF$355,MATCH($C568,Deals!$A$2:$A$355,0))=0,"",INDEX(Deals!$AF$2:$AF$355,MATCH($C568,Deals!$A$2:$A$355,0))),""))</f>
        <v/>
      </c>
      <c r="AF568" s="35">
        <f>IF($AD568="",DATE(1900,1,1),$AD568)</f>
        <v/>
      </c>
      <c r="AG568" s="35">
        <f>IF($AE568="",DATE(2100,12,31),$AE568)</f>
        <v/>
      </c>
      <c r="AH568" s="22">
        <f>IF($C568="","",IFERROR(IF(INDEX(Deals!$AG$2:$AG$355,MATCH($C568,Deals!$A$2:$A$355,0))=0,"",INDEX(Deals!$AG$2:$AG$355,MATCH($C568,Deals!$A$2:$A$355,0))),""))</f>
        <v/>
      </c>
      <c r="AI568" s="35">
        <f>IF($AH568="",DATE(1900,1,1),$AF568)</f>
        <v/>
      </c>
      <c r="AJ568" s="35">
        <f>IF($AH568="",DATE(2100,12,31),$AH568)</f>
        <v/>
      </c>
      <c r="AK568" s="32">
        <f>IF($AH568="",$AC568,$AC568*$S568)</f>
        <v/>
      </c>
      <c r="AL568" s="35">
        <f>IF($AH568="",DATE(2100,12,31),$AH568+1)</f>
        <v/>
      </c>
      <c r="AM568" s="35">
        <f>IF($AH568="",DATE(1900,1,1),$AG568)</f>
        <v/>
      </c>
      <c r="AN568" s="32">
        <f>IF($AH568="",0,$AC568*$T568)</f>
        <v/>
      </c>
    </row>
    <row r="569">
      <c r="A569" s="28" t="inlineStr">
        <is>
          <t>Dorian</t>
        </is>
      </c>
      <c r="B569" s="16">
        <f>IF($A569="","",IFERROR(INDEX(Roster!$B$2:$B$40,MATCH($A569,Roster!$A$2:$A$40,0)),"?"))</f>
        <v/>
      </c>
      <c r="C569" s="28" t="inlineStr">
        <is>
          <t>Pine_1</t>
        </is>
      </c>
      <c r="D569" s="16">
        <f>IF($C569="","",IFERROR(IF(INDEX(Deals!$C$2:$C$355,MATCH($C569,Deals!$A$2:$A$355,0))=0,"",INDEX(Deals!$C$2:$C$355,MATCH($C569,Deals!$A$2:$A$355,0))),"?"))</f>
        <v/>
      </c>
      <c r="E569" s="16">
        <f>IF($C569="","",IFERROR(INDEX(Deals!$F$2:$F$355,MATCH($C569,Deals!$A$2:$A$355,0)),"?"))</f>
        <v/>
      </c>
      <c r="F569" s="28" t="inlineStr">
        <is>
          <t>Renewable Specialist</t>
        </is>
      </c>
      <c r="G569" s="28" t="inlineStr">
        <is>
          <t>Active</t>
        </is>
      </c>
      <c r="H569" s="31" t="n"/>
      <c r="I569" s="32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1">
        <f>IF($C569="",0,IFERROR(INDEX(Deals!$H$2:$H$355,MATCH($C569,Deals!$A$2:$A$355,0)),0))</f>
        <v/>
      </c>
      <c r="K569" s="32">
        <f>IF(Settings!$B$4="Yes",$I569*$J569,$I569)</f>
        <v/>
      </c>
      <c r="L569" s="22">
        <f>IF($C569="","",IFERROR(IF(INDEX(Deals!$I$2:$I$355,MATCH($C569,Deals!$A$2:$A$355,0))=0,"",INDEX(Deals!$I$2:$I$355,MATCH($C569,Deals!$A$2:$A$355,0))),""))</f>
        <v/>
      </c>
      <c r="M569" s="22">
        <f>IF($C569="","",IFERROR(IF(INDEX(Deals!$J$2:$J$355,MATCH($C569,Deals!$A$2:$A$355,0))=0,"",INDEX(Deals!$J$2:$J$355,MATCH($C569,Deals!$A$2:$A$355,0))),""))</f>
        <v/>
      </c>
      <c r="N569" s="35">
        <f>IF($L569="",DATE(1900,1,1),$L569)</f>
        <v/>
      </c>
      <c r="O569" s="35">
        <f>IF($M569="",DATE(2100,12,31),$M569)</f>
        <v/>
      </c>
      <c r="P569" s="20" t="inlineStr"/>
      <c r="Q569" s="43" t="inlineStr"/>
      <c r="R569" s="16">
        <f>IF($C569="","",IFERROR(IF(INDEX(Deals!$U$2:$U$355,MATCH($C569,Deals!$A$2:$A$355,0))=0,"",INDEX(Deals!$U$2:$U$355,MATCH($C569,Deals!$A$2:$A$355,0))),""))</f>
        <v/>
      </c>
      <c r="S569" s="34">
        <f>IFERROR(IF($U569="",1,INDEX(Deals!$V$2:$V$355,MATCH($C569,Deals!$A$2:$A$355,0))),1)</f>
        <v/>
      </c>
      <c r="T569" s="34">
        <f>IFERROR(IF($U569="",1,INDEX(Deals!$W$2:$W$355,MATCH($C569,Deals!$A$2:$A$355,0))),1)</f>
        <v/>
      </c>
      <c r="U569" s="22">
        <f>IF($C569="","",IFERROR(IF(INDEX(Deals!$Y$2:$Y$355,MATCH($C569,Deals!$A$2:$A$355,0))=0,"",INDEX(Deals!$Y$2:$Y$355,MATCH($C569,Deals!$A$2:$A$355,0))),""))</f>
        <v/>
      </c>
      <c r="V569" s="35">
        <f>IF($U569="",DATE(1900,1,1),$N569)</f>
        <v/>
      </c>
      <c r="W569" s="35">
        <f>IF($U569="",DATE(2100,12,31),$U569)</f>
        <v/>
      </c>
      <c r="X569" s="32">
        <f>IF($U569="",$K569,$K569*$S569)</f>
        <v/>
      </c>
      <c r="Y569" s="35">
        <f>IF($U569="",DATE(2100,12,31),$U569+1)</f>
        <v/>
      </c>
      <c r="Z569" s="35">
        <f>IF($U569="",DATE(1900,1,1),$O569)</f>
        <v/>
      </c>
      <c r="AA569" s="32">
        <f>IF($U569="",0,$K569*$T569)</f>
        <v/>
      </c>
      <c r="AB569" s="21">
        <f>IF($C569="",0,IFERROR(INDEX(Deals!$AD$2:$AD$355,MATCH($C569,Deals!$A$2:$A$355,0)),0))</f>
        <v/>
      </c>
      <c r="AC569" s="32">
        <f>IF(Settings!$B$4="Yes",$I569*$AB569,$I569)</f>
        <v/>
      </c>
      <c r="AD569" s="22">
        <f>IF($C569="","",IFERROR(IF(INDEX(Deals!$AE$2:$AE$355,MATCH($C569,Deals!$A$2:$A$355,0))=0,"",INDEX(Deals!$AE$2:$AE$355,MATCH($C569,Deals!$A$2:$A$355,0))),""))</f>
        <v/>
      </c>
      <c r="AE569" s="22">
        <f>IF($C569="","",IFERROR(IF(INDEX(Deals!$AF$2:$AF$355,MATCH($C569,Deals!$A$2:$A$355,0))=0,"",INDEX(Deals!$AF$2:$AF$355,MATCH($C569,Deals!$A$2:$A$355,0))),""))</f>
        <v/>
      </c>
      <c r="AF569" s="35">
        <f>IF($AD569="",DATE(1900,1,1),$AD569)</f>
        <v/>
      </c>
      <c r="AG569" s="35">
        <f>IF($AE569="",DATE(2100,12,31),$AE569)</f>
        <v/>
      </c>
      <c r="AH569" s="22">
        <f>IF($C569="","",IFERROR(IF(INDEX(Deals!$AG$2:$AG$355,MATCH($C569,Deals!$A$2:$A$355,0))=0,"",INDEX(Deals!$AG$2:$AG$355,MATCH($C569,Deals!$A$2:$A$355,0))),""))</f>
        <v/>
      </c>
      <c r="AI569" s="35">
        <f>IF($AH569="",DATE(1900,1,1),$AF569)</f>
        <v/>
      </c>
      <c r="AJ569" s="35">
        <f>IF($AH569="",DATE(2100,12,31),$AH569)</f>
        <v/>
      </c>
      <c r="AK569" s="32">
        <f>IF($AH569="",$AC569,$AC569*$S569)</f>
        <v/>
      </c>
      <c r="AL569" s="35">
        <f>IF($AH569="",DATE(2100,12,31),$AH569+1)</f>
        <v/>
      </c>
      <c r="AM569" s="35">
        <f>IF($AH569="",DATE(1900,1,1),$AG569)</f>
        <v/>
      </c>
      <c r="AN569" s="32">
        <f>IF($AH569="",0,$AC569*$T569)</f>
        <v/>
      </c>
    </row>
    <row r="570">
      <c r="A570" s="28" t="inlineStr">
        <is>
          <t>Dorian</t>
        </is>
      </c>
      <c r="B570" s="16">
        <f>IF($A570="","",IFERROR(INDEX(Roster!$B$2:$B$40,MATCH($A570,Roster!$A$2:$A$40,0)),"?"))</f>
        <v/>
      </c>
      <c r="C570" s="28" t="inlineStr">
        <is>
          <t>Pivot_3</t>
        </is>
      </c>
      <c r="D570" s="16">
        <f>IF($C570="","",IFERROR(IF(INDEX(Deals!$C$2:$C$355,MATCH($C570,Deals!$A$2:$A$355,0))=0,"",INDEX(Deals!$C$2:$C$355,MATCH($C570,Deals!$A$2:$A$355,0))),"?"))</f>
        <v/>
      </c>
      <c r="E570" s="16">
        <f>IF($C570="","",IFERROR(INDEX(Deals!$F$2:$F$355,MATCH($C570,Deals!$A$2:$A$355,0)),"?"))</f>
        <v/>
      </c>
      <c r="F570" s="28" t="inlineStr">
        <is>
          <t>Renewable Specialist</t>
        </is>
      </c>
      <c r="G570" s="28" t="inlineStr">
        <is>
          <t>Active</t>
        </is>
      </c>
      <c r="H570" s="31" t="n"/>
      <c r="I570" s="32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1">
        <f>IF($C570="",0,IFERROR(INDEX(Deals!$H$2:$H$355,MATCH($C570,Deals!$A$2:$A$355,0)),0))</f>
        <v/>
      </c>
      <c r="K570" s="32">
        <f>IF(Settings!$B$4="Yes",$I570*$J570,$I570)</f>
        <v/>
      </c>
      <c r="L570" s="22">
        <f>IF($C570="","",IFERROR(IF(INDEX(Deals!$I$2:$I$355,MATCH($C570,Deals!$A$2:$A$355,0))=0,"",INDEX(Deals!$I$2:$I$355,MATCH($C570,Deals!$A$2:$A$355,0))),""))</f>
        <v/>
      </c>
      <c r="M570" s="22">
        <f>IF($C570="","",IFERROR(IF(INDEX(Deals!$J$2:$J$355,MATCH($C570,Deals!$A$2:$A$355,0))=0,"",INDEX(Deals!$J$2:$J$355,MATCH($C570,Deals!$A$2:$A$355,0))),""))</f>
        <v/>
      </c>
      <c r="N570" s="35">
        <f>IF($L570="",DATE(1900,1,1),$L570)</f>
        <v/>
      </c>
      <c r="O570" s="35">
        <f>IF($M570="",DATE(2100,12,31),$M570)</f>
        <v/>
      </c>
      <c r="P570" s="20" t="inlineStr"/>
      <c r="Q570" s="43" t="inlineStr"/>
      <c r="R570" s="16">
        <f>IF($C570="","",IFERROR(IF(INDEX(Deals!$U$2:$U$355,MATCH($C570,Deals!$A$2:$A$355,0))=0,"",INDEX(Deals!$U$2:$U$355,MATCH($C570,Deals!$A$2:$A$355,0))),""))</f>
        <v/>
      </c>
      <c r="S570" s="34">
        <f>IFERROR(IF($U570="",1,INDEX(Deals!$V$2:$V$355,MATCH($C570,Deals!$A$2:$A$355,0))),1)</f>
        <v/>
      </c>
      <c r="T570" s="34">
        <f>IFERROR(IF($U570="",1,INDEX(Deals!$W$2:$W$355,MATCH($C570,Deals!$A$2:$A$355,0))),1)</f>
        <v/>
      </c>
      <c r="U570" s="22">
        <f>IF($C570="","",IFERROR(IF(INDEX(Deals!$Y$2:$Y$355,MATCH($C570,Deals!$A$2:$A$355,0))=0,"",INDEX(Deals!$Y$2:$Y$355,MATCH($C570,Deals!$A$2:$A$355,0))),""))</f>
        <v/>
      </c>
      <c r="V570" s="35">
        <f>IF($U570="",DATE(1900,1,1),$N570)</f>
        <v/>
      </c>
      <c r="W570" s="35">
        <f>IF($U570="",DATE(2100,12,31),$U570)</f>
        <v/>
      </c>
      <c r="X570" s="32">
        <f>IF($U570="",$K570,$K570*$S570)</f>
        <v/>
      </c>
      <c r="Y570" s="35">
        <f>IF($U570="",DATE(2100,12,31),$U570+1)</f>
        <v/>
      </c>
      <c r="Z570" s="35">
        <f>IF($U570="",DATE(1900,1,1),$O570)</f>
        <v/>
      </c>
      <c r="AA570" s="32">
        <f>IF($U570="",0,$K570*$T570)</f>
        <v/>
      </c>
      <c r="AB570" s="21">
        <f>IF($C570="",0,IFERROR(INDEX(Deals!$AD$2:$AD$355,MATCH($C570,Deals!$A$2:$A$355,0)),0))</f>
        <v/>
      </c>
      <c r="AC570" s="32">
        <f>IF(Settings!$B$4="Yes",$I570*$AB570,$I570)</f>
        <v/>
      </c>
      <c r="AD570" s="22">
        <f>IF($C570="","",IFERROR(IF(INDEX(Deals!$AE$2:$AE$355,MATCH($C570,Deals!$A$2:$A$355,0))=0,"",INDEX(Deals!$AE$2:$AE$355,MATCH($C570,Deals!$A$2:$A$355,0))),""))</f>
        <v/>
      </c>
      <c r="AE570" s="22">
        <f>IF($C570="","",IFERROR(IF(INDEX(Deals!$AF$2:$AF$355,MATCH($C570,Deals!$A$2:$A$355,0))=0,"",INDEX(Deals!$AF$2:$AF$355,MATCH($C570,Deals!$A$2:$A$355,0))),""))</f>
        <v/>
      </c>
      <c r="AF570" s="35">
        <f>IF($AD570="",DATE(1900,1,1),$AD570)</f>
        <v/>
      </c>
      <c r="AG570" s="35">
        <f>IF($AE570="",DATE(2100,12,31),$AE570)</f>
        <v/>
      </c>
      <c r="AH570" s="22">
        <f>IF($C570="","",IFERROR(IF(INDEX(Deals!$AG$2:$AG$355,MATCH($C570,Deals!$A$2:$A$355,0))=0,"",INDEX(Deals!$AG$2:$AG$355,MATCH($C570,Deals!$A$2:$A$355,0))),""))</f>
        <v/>
      </c>
      <c r="AI570" s="35">
        <f>IF($AH570="",DATE(1900,1,1),$AF570)</f>
        <v/>
      </c>
      <c r="AJ570" s="35">
        <f>IF($AH570="",DATE(2100,12,31),$AH570)</f>
        <v/>
      </c>
      <c r="AK570" s="32">
        <f>IF($AH570="",$AC570,$AC570*$S570)</f>
        <v/>
      </c>
      <c r="AL570" s="35">
        <f>IF($AH570="",DATE(2100,12,31),$AH570+1)</f>
        <v/>
      </c>
      <c r="AM570" s="35">
        <f>IF($AH570="",DATE(1900,1,1),$AG570)</f>
        <v/>
      </c>
      <c r="AN570" s="32">
        <f>IF($AH570="",0,$AC570*$T570)</f>
        <v/>
      </c>
    </row>
    <row r="571">
      <c r="A571" s="28" t="inlineStr">
        <is>
          <t>Dorian</t>
        </is>
      </c>
      <c r="B571" s="16">
        <f>IF($A571="","",IFERROR(INDEX(Roster!$B$2:$B$40,MATCH($A571,Roster!$A$2:$A$40,0)),"?"))</f>
        <v/>
      </c>
      <c r="C571" s="28" t="inlineStr">
        <is>
          <t>Realty_1</t>
        </is>
      </c>
      <c r="D571" s="16">
        <f>IF($C571="","",IFERROR(IF(INDEX(Deals!$C$2:$C$355,MATCH($C571,Deals!$A$2:$A$355,0))=0,"",INDEX(Deals!$C$2:$C$355,MATCH($C571,Deals!$A$2:$A$355,0))),"?"))</f>
        <v/>
      </c>
      <c r="E571" s="16">
        <f>IF($C571="","",IFERROR(INDEX(Deals!$F$2:$F$355,MATCH($C571,Deals!$A$2:$A$355,0)),"?"))</f>
        <v/>
      </c>
      <c r="F571" s="28" t="inlineStr">
        <is>
          <t>Renewable Specialist</t>
        </is>
      </c>
      <c r="G571" s="28" t="inlineStr">
        <is>
          <t>Active</t>
        </is>
      </c>
      <c r="H571" s="31" t="n"/>
      <c r="I571" s="32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1">
        <f>IF($C571="",0,IFERROR(INDEX(Deals!$H$2:$H$355,MATCH($C571,Deals!$A$2:$A$355,0)),0))</f>
        <v/>
      </c>
      <c r="K571" s="32">
        <f>IF(Settings!$B$4="Yes",$I571*$J571,$I571)</f>
        <v/>
      </c>
      <c r="L571" s="22">
        <f>IF($C571="","",IFERROR(IF(INDEX(Deals!$I$2:$I$355,MATCH($C571,Deals!$A$2:$A$355,0))=0,"",INDEX(Deals!$I$2:$I$355,MATCH($C571,Deals!$A$2:$A$355,0))),""))</f>
        <v/>
      </c>
      <c r="M571" s="22">
        <f>IF($C571="","",IFERROR(IF(INDEX(Deals!$J$2:$J$355,MATCH($C571,Deals!$A$2:$A$355,0))=0,"",INDEX(Deals!$J$2:$J$355,MATCH($C571,Deals!$A$2:$A$355,0))),""))</f>
        <v/>
      </c>
      <c r="N571" s="35">
        <f>IF($L571="",DATE(1900,1,1),$L571)</f>
        <v/>
      </c>
      <c r="O571" s="35">
        <f>IF($M571="",DATE(2100,12,31),$M571)</f>
        <v/>
      </c>
      <c r="P571" s="20" t="inlineStr"/>
      <c r="Q571" s="43" t="inlineStr"/>
      <c r="R571" s="16">
        <f>IF($C571="","",IFERROR(IF(INDEX(Deals!$U$2:$U$355,MATCH($C571,Deals!$A$2:$A$355,0))=0,"",INDEX(Deals!$U$2:$U$355,MATCH($C571,Deals!$A$2:$A$355,0))),""))</f>
        <v/>
      </c>
      <c r="S571" s="34">
        <f>IFERROR(IF($U571="",1,INDEX(Deals!$V$2:$V$355,MATCH($C571,Deals!$A$2:$A$355,0))),1)</f>
        <v/>
      </c>
      <c r="T571" s="34">
        <f>IFERROR(IF($U571="",1,INDEX(Deals!$W$2:$W$355,MATCH($C571,Deals!$A$2:$A$355,0))),1)</f>
        <v/>
      </c>
      <c r="U571" s="22">
        <f>IF($C571="","",IFERROR(IF(INDEX(Deals!$Y$2:$Y$355,MATCH($C571,Deals!$A$2:$A$355,0))=0,"",INDEX(Deals!$Y$2:$Y$355,MATCH($C571,Deals!$A$2:$A$355,0))),""))</f>
        <v/>
      </c>
      <c r="V571" s="35">
        <f>IF($U571="",DATE(1900,1,1),$N571)</f>
        <v/>
      </c>
      <c r="W571" s="35">
        <f>IF($U571="",DATE(2100,12,31),$U571)</f>
        <v/>
      </c>
      <c r="X571" s="32">
        <f>IF($U571="",$K571,$K571*$S571)</f>
        <v/>
      </c>
      <c r="Y571" s="35">
        <f>IF($U571="",DATE(2100,12,31),$U571+1)</f>
        <v/>
      </c>
      <c r="Z571" s="35">
        <f>IF($U571="",DATE(1900,1,1),$O571)</f>
        <v/>
      </c>
      <c r="AA571" s="32">
        <f>IF($U571="",0,$K571*$T571)</f>
        <v/>
      </c>
      <c r="AB571" s="21">
        <f>IF($C571="",0,IFERROR(INDEX(Deals!$AD$2:$AD$355,MATCH($C571,Deals!$A$2:$A$355,0)),0))</f>
        <v/>
      </c>
      <c r="AC571" s="32">
        <f>IF(Settings!$B$4="Yes",$I571*$AB571,$I571)</f>
        <v/>
      </c>
      <c r="AD571" s="22">
        <f>IF($C571="","",IFERROR(IF(INDEX(Deals!$AE$2:$AE$355,MATCH($C571,Deals!$A$2:$A$355,0))=0,"",INDEX(Deals!$AE$2:$AE$355,MATCH($C571,Deals!$A$2:$A$355,0))),""))</f>
        <v/>
      </c>
      <c r="AE571" s="22">
        <f>IF($C571="","",IFERROR(IF(INDEX(Deals!$AF$2:$AF$355,MATCH($C571,Deals!$A$2:$A$355,0))=0,"",INDEX(Deals!$AF$2:$AF$355,MATCH($C571,Deals!$A$2:$A$355,0))),""))</f>
        <v/>
      </c>
      <c r="AF571" s="35">
        <f>IF($AD571="",DATE(1900,1,1),$AD571)</f>
        <v/>
      </c>
      <c r="AG571" s="35">
        <f>IF($AE571="",DATE(2100,12,31),$AE571)</f>
        <v/>
      </c>
      <c r="AH571" s="22">
        <f>IF($C571="","",IFERROR(IF(INDEX(Deals!$AG$2:$AG$355,MATCH($C571,Deals!$A$2:$A$355,0))=0,"",INDEX(Deals!$AG$2:$AG$355,MATCH($C571,Deals!$A$2:$A$355,0))),""))</f>
        <v/>
      </c>
      <c r="AI571" s="35">
        <f>IF($AH571="",DATE(1900,1,1),$AF571)</f>
        <v/>
      </c>
      <c r="AJ571" s="35">
        <f>IF($AH571="",DATE(2100,12,31),$AH571)</f>
        <v/>
      </c>
      <c r="AK571" s="32">
        <f>IF($AH571="",$AC571,$AC571*$S571)</f>
        <v/>
      </c>
      <c r="AL571" s="35">
        <f>IF($AH571="",DATE(2100,12,31),$AH571+1)</f>
        <v/>
      </c>
      <c r="AM571" s="35">
        <f>IF($AH571="",DATE(1900,1,1),$AG571)</f>
        <v/>
      </c>
      <c r="AN571" s="32">
        <f>IF($AH571="",0,$AC571*$T571)</f>
        <v/>
      </c>
    </row>
    <row r="572">
      <c r="A572" s="28" t="inlineStr">
        <is>
          <t>Dorian</t>
        </is>
      </c>
      <c r="B572" s="16">
        <f>IF($A572="","",IFERROR(INDEX(Roster!$B$2:$B$40,MATCH($A572,Roster!$A$2:$A$40,0)),"?"))</f>
        <v/>
      </c>
      <c r="C572" s="28" t="inlineStr">
        <is>
          <t>Shika_1</t>
        </is>
      </c>
      <c r="D572" s="16">
        <f>IF($C572="","",IFERROR(IF(INDEX(Deals!$C$2:$C$355,MATCH($C572,Deals!$A$2:$A$355,0))=0,"",INDEX(Deals!$C$2:$C$355,MATCH($C572,Deals!$A$2:$A$355,0))),"?"))</f>
        <v/>
      </c>
      <c r="E572" s="16">
        <f>IF($C572="","",IFERROR(INDEX(Deals!$F$2:$F$355,MATCH($C572,Deals!$A$2:$A$355,0)),"?"))</f>
        <v/>
      </c>
      <c r="F572" s="28" t="inlineStr">
        <is>
          <t>Renewable Specialist</t>
        </is>
      </c>
      <c r="G572" s="28" t="inlineStr">
        <is>
          <t>Active</t>
        </is>
      </c>
      <c r="H572" s="31" t="n"/>
      <c r="I572" s="32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1">
        <f>IF($C572="",0,IFERROR(INDEX(Deals!$H$2:$H$355,MATCH($C572,Deals!$A$2:$A$355,0)),0))</f>
        <v/>
      </c>
      <c r="K572" s="32">
        <f>IF(Settings!$B$4="Yes",$I572*$J572,$I572)</f>
        <v/>
      </c>
      <c r="L572" s="22">
        <f>IF($C572="","",IFERROR(IF(INDEX(Deals!$I$2:$I$355,MATCH($C572,Deals!$A$2:$A$355,0))=0,"",INDEX(Deals!$I$2:$I$355,MATCH($C572,Deals!$A$2:$A$355,0))),""))</f>
        <v/>
      </c>
      <c r="M572" s="22">
        <f>IF($C572="","",IFERROR(IF(INDEX(Deals!$J$2:$J$355,MATCH($C572,Deals!$A$2:$A$355,0))=0,"",INDEX(Deals!$J$2:$J$355,MATCH($C572,Deals!$A$2:$A$355,0))),""))</f>
        <v/>
      </c>
      <c r="N572" s="35">
        <f>IF($L572="",DATE(1900,1,1),$L572)</f>
        <v/>
      </c>
      <c r="O572" s="35">
        <f>IF($M572="",DATE(2100,12,31),$M572)</f>
        <v/>
      </c>
      <c r="P572" s="20" t="inlineStr"/>
      <c r="Q572" s="43" t="inlineStr"/>
      <c r="R572" s="16">
        <f>IF($C572="","",IFERROR(IF(INDEX(Deals!$U$2:$U$355,MATCH($C572,Deals!$A$2:$A$355,0))=0,"",INDEX(Deals!$U$2:$U$355,MATCH($C572,Deals!$A$2:$A$355,0))),""))</f>
        <v/>
      </c>
      <c r="S572" s="34">
        <f>IFERROR(IF($U572="",1,INDEX(Deals!$V$2:$V$355,MATCH($C572,Deals!$A$2:$A$355,0))),1)</f>
        <v/>
      </c>
      <c r="T572" s="34">
        <f>IFERROR(IF($U572="",1,INDEX(Deals!$W$2:$W$355,MATCH($C572,Deals!$A$2:$A$355,0))),1)</f>
        <v/>
      </c>
      <c r="U572" s="22">
        <f>IF($C572="","",IFERROR(IF(INDEX(Deals!$Y$2:$Y$355,MATCH($C572,Deals!$A$2:$A$355,0))=0,"",INDEX(Deals!$Y$2:$Y$355,MATCH($C572,Deals!$A$2:$A$355,0))),""))</f>
        <v/>
      </c>
      <c r="V572" s="35">
        <f>IF($U572="",DATE(1900,1,1),$N572)</f>
        <v/>
      </c>
      <c r="W572" s="35">
        <f>IF($U572="",DATE(2100,12,31),$U572)</f>
        <v/>
      </c>
      <c r="X572" s="32">
        <f>IF($U572="",$K572,$K572*$S572)</f>
        <v/>
      </c>
      <c r="Y572" s="35">
        <f>IF($U572="",DATE(2100,12,31),$U572+1)</f>
        <v/>
      </c>
      <c r="Z572" s="35">
        <f>IF($U572="",DATE(1900,1,1),$O572)</f>
        <v/>
      </c>
      <c r="AA572" s="32">
        <f>IF($U572="",0,$K572*$T572)</f>
        <v/>
      </c>
      <c r="AB572" s="21">
        <f>IF($C572="",0,IFERROR(INDEX(Deals!$AD$2:$AD$355,MATCH($C572,Deals!$A$2:$A$355,0)),0))</f>
        <v/>
      </c>
      <c r="AC572" s="32">
        <f>IF(Settings!$B$4="Yes",$I572*$AB572,$I572)</f>
        <v/>
      </c>
      <c r="AD572" s="22">
        <f>IF($C572="","",IFERROR(IF(INDEX(Deals!$AE$2:$AE$355,MATCH($C572,Deals!$A$2:$A$355,0))=0,"",INDEX(Deals!$AE$2:$AE$355,MATCH($C572,Deals!$A$2:$A$355,0))),""))</f>
        <v/>
      </c>
      <c r="AE572" s="22">
        <f>IF($C572="","",IFERROR(IF(INDEX(Deals!$AF$2:$AF$355,MATCH($C572,Deals!$A$2:$A$355,0))=0,"",INDEX(Deals!$AF$2:$AF$355,MATCH($C572,Deals!$A$2:$A$355,0))),""))</f>
        <v/>
      </c>
      <c r="AF572" s="35">
        <f>IF($AD572="",DATE(1900,1,1),$AD572)</f>
        <v/>
      </c>
      <c r="AG572" s="35">
        <f>IF($AE572="",DATE(2100,12,31),$AE572)</f>
        <v/>
      </c>
      <c r="AH572" s="22">
        <f>IF($C572="","",IFERROR(IF(INDEX(Deals!$AG$2:$AG$355,MATCH($C572,Deals!$A$2:$A$355,0))=0,"",INDEX(Deals!$AG$2:$AG$355,MATCH($C572,Deals!$A$2:$A$355,0))),""))</f>
        <v/>
      </c>
      <c r="AI572" s="35">
        <f>IF($AH572="",DATE(1900,1,1),$AF572)</f>
        <v/>
      </c>
      <c r="AJ572" s="35">
        <f>IF($AH572="",DATE(2100,12,31),$AH572)</f>
        <v/>
      </c>
      <c r="AK572" s="32">
        <f>IF($AH572="",$AC572,$AC572*$S572)</f>
        <v/>
      </c>
      <c r="AL572" s="35">
        <f>IF($AH572="",DATE(2100,12,31),$AH572+1)</f>
        <v/>
      </c>
      <c r="AM572" s="35">
        <f>IF($AH572="",DATE(1900,1,1),$AG572)</f>
        <v/>
      </c>
      <c r="AN572" s="32">
        <f>IF($AH572="",0,$AC572*$T572)</f>
        <v/>
      </c>
    </row>
    <row r="573">
      <c r="A573" s="28" t="inlineStr">
        <is>
          <t>Dorian</t>
        </is>
      </c>
      <c r="B573" s="16">
        <f>IF($A573="","",IFERROR(INDEX(Roster!$B$2:$B$40,MATCH($A573,Roster!$A$2:$A$40,0)),"?"))</f>
        <v/>
      </c>
      <c r="C573" s="28" t="inlineStr">
        <is>
          <t>Sun Pond_1</t>
        </is>
      </c>
      <c r="D573" s="16">
        <f>IF($C573="","",IFERROR(IF(INDEX(Deals!$C$2:$C$355,MATCH($C573,Deals!$A$2:$A$355,0))=0,"",INDEX(Deals!$C$2:$C$355,MATCH($C573,Deals!$A$2:$A$355,0))),"?"))</f>
        <v/>
      </c>
      <c r="E573" s="16">
        <f>IF($C573="","",IFERROR(INDEX(Deals!$F$2:$F$355,MATCH($C573,Deals!$A$2:$A$355,0)),"?"))</f>
        <v/>
      </c>
      <c r="F573" s="28" t="inlineStr">
        <is>
          <t>Renewable Specialist</t>
        </is>
      </c>
      <c r="G573" s="28" t="inlineStr">
        <is>
          <t>Active</t>
        </is>
      </c>
      <c r="H573" s="31" t="n"/>
      <c r="I573" s="32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1">
        <f>IF($C573="",0,IFERROR(INDEX(Deals!$H$2:$H$355,MATCH($C573,Deals!$A$2:$A$355,0)),0))</f>
        <v/>
      </c>
      <c r="K573" s="32">
        <f>IF(Settings!$B$4="Yes",$I573*$J573,$I573)</f>
        <v/>
      </c>
      <c r="L573" s="22">
        <f>IF($C573="","",IFERROR(IF(INDEX(Deals!$I$2:$I$355,MATCH($C573,Deals!$A$2:$A$355,0))=0,"",INDEX(Deals!$I$2:$I$355,MATCH($C573,Deals!$A$2:$A$355,0))),""))</f>
        <v/>
      </c>
      <c r="M573" s="22">
        <f>IF($C573="","",IFERROR(IF(INDEX(Deals!$J$2:$J$355,MATCH($C573,Deals!$A$2:$A$355,0))=0,"",INDEX(Deals!$J$2:$J$355,MATCH($C573,Deals!$A$2:$A$355,0))),""))</f>
        <v/>
      </c>
      <c r="N573" s="35">
        <f>IF($L573="",DATE(1900,1,1),$L573)</f>
        <v/>
      </c>
      <c r="O573" s="35">
        <f>IF($M573="",DATE(2100,12,31),$M573)</f>
        <v/>
      </c>
      <c r="P573" s="20" t="inlineStr"/>
      <c r="Q573" s="43" t="inlineStr"/>
      <c r="R573" s="16">
        <f>IF($C573="","",IFERROR(IF(INDEX(Deals!$U$2:$U$355,MATCH($C573,Deals!$A$2:$A$355,0))=0,"",INDEX(Deals!$U$2:$U$355,MATCH($C573,Deals!$A$2:$A$355,0))),""))</f>
        <v/>
      </c>
      <c r="S573" s="34">
        <f>IFERROR(IF($U573="",1,INDEX(Deals!$V$2:$V$355,MATCH($C573,Deals!$A$2:$A$355,0))),1)</f>
        <v/>
      </c>
      <c r="T573" s="34">
        <f>IFERROR(IF($U573="",1,INDEX(Deals!$W$2:$W$355,MATCH($C573,Deals!$A$2:$A$355,0))),1)</f>
        <v/>
      </c>
      <c r="U573" s="22">
        <f>IF($C573="","",IFERROR(IF(INDEX(Deals!$Y$2:$Y$355,MATCH($C573,Deals!$A$2:$A$355,0))=0,"",INDEX(Deals!$Y$2:$Y$355,MATCH($C573,Deals!$A$2:$A$355,0))),""))</f>
        <v/>
      </c>
      <c r="V573" s="35">
        <f>IF($U573="",DATE(1900,1,1),$N573)</f>
        <v/>
      </c>
      <c r="W573" s="35">
        <f>IF($U573="",DATE(2100,12,31),$U573)</f>
        <v/>
      </c>
      <c r="X573" s="32">
        <f>IF($U573="",$K573,$K573*$S573)</f>
        <v/>
      </c>
      <c r="Y573" s="35">
        <f>IF($U573="",DATE(2100,12,31),$U573+1)</f>
        <v/>
      </c>
      <c r="Z573" s="35">
        <f>IF($U573="",DATE(1900,1,1),$O573)</f>
        <v/>
      </c>
      <c r="AA573" s="32">
        <f>IF($U573="",0,$K573*$T573)</f>
        <v/>
      </c>
      <c r="AB573" s="21">
        <f>IF($C573="",0,IFERROR(INDEX(Deals!$AD$2:$AD$355,MATCH($C573,Deals!$A$2:$A$355,0)),0))</f>
        <v/>
      </c>
      <c r="AC573" s="32">
        <f>IF(Settings!$B$4="Yes",$I573*$AB573,$I573)</f>
        <v/>
      </c>
      <c r="AD573" s="22">
        <f>IF($C573="","",IFERROR(IF(INDEX(Deals!$AE$2:$AE$355,MATCH($C573,Deals!$A$2:$A$355,0))=0,"",INDEX(Deals!$AE$2:$AE$355,MATCH($C573,Deals!$A$2:$A$355,0))),""))</f>
        <v/>
      </c>
      <c r="AE573" s="22">
        <f>IF($C573="","",IFERROR(IF(INDEX(Deals!$AF$2:$AF$355,MATCH($C573,Deals!$A$2:$A$355,0))=0,"",INDEX(Deals!$AF$2:$AF$355,MATCH($C573,Deals!$A$2:$A$355,0))),""))</f>
        <v/>
      </c>
      <c r="AF573" s="35">
        <f>IF($AD573="",DATE(1900,1,1),$AD573)</f>
        <v/>
      </c>
      <c r="AG573" s="35">
        <f>IF($AE573="",DATE(2100,12,31),$AE573)</f>
        <v/>
      </c>
      <c r="AH573" s="22">
        <f>IF($C573="","",IFERROR(IF(INDEX(Deals!$AG$2:$AG$355,MATCH($C573,Deals!$A$2:$A$355,0))=0,"",INDEX(Deals!$AG$2:$AG$355,MATCH($C573,Deals!$A$2:$A$355,0))),""))</f>
        <v/>
      </c>
      <c r="AI573" s="35">
        <f>IF($AH573="",DATE(1900,1,1),$AF573)</f>
        <v/>
      </c>
      <c r="AJ573" s="35">
        <f>IF($AH573="",DATE(2100,12,31),$AH573)</f>
        <v/>
      </c>
      <c r="AK573" s="32">
        <f>IF($AH573="",$AC573,$AC573*$S573)</f>
        <v/>
      </c>
      <c r="AL573" s="35">
        <f>IF($AH573="",DATE(2100,12,31),$AH573+1)</f>
        <v/>
      </c>
      <c r="AM573" s="35">
        <f>IF($AH573="",DATE(1900,1,1),$AG573)</f>
        <v/>
      </c>
      <c r="AN573" s="32">
        <f>IF($AH573="",0,$AC573*$T573)</f>
        <v/>
      </c>
    </row>
    <row r="574">
      <c r="A574" s="28" t="inlineStr">
        <is>
          <t>Dorian</t>
        </is>
      </c>
      <c r="B574" s="16">
        <f>IF($A574="","",IFERROR(INDEX(Roster!$B$2:$B$40,MATCH($A574,Roster!$A$2:$A$40,0)),"?"))</f>
        <v/>
      </c>
      <c r="C574" s="28" t="inlineStr">
        <is>
          <t>Sunshine_4</t>
        </is>
      </c>
      <c r="D574" s="16">
        <f>IF($C574="","",IFERROR(IF(INDEX(Deals!$C$2:$C$355,MATCH($C574,Deals!$A$2:$A$355,0))=0,"",INDEX(Deals!$C$2:$C$355,MATCH($C574,Deals!$A$2:$A$355,0))),"?"))</f>
        <v/>
      </c>
      <c r="E574" s="16">
        <f>IF($C574="","",IFERROR(INDEX(Deals!$F$2:$F$355,MATCH($C574,Deals!$A$2:$A$355,0)),"?"))</f>
        <v/>
      </c>
      <c r="F574" s="28" t="inlineStr">
        <is>
          <t>Renewable Specialist</t>
        </is>
      </c>
      <c r="G574" s="28" t="inlineStr">
        <is>
          <t>Active</t>
        </is>
      </c>
      <c r="H574" s="31" t="n"/>
      <c r="I574" s="32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1">
        <f>IF($C574="",0,IFERROR(INDEX(Deals!$H$2:$H$355,MATCH($C574,Deals!$A$2:$A$355,0)),0))</f>
        <v/>
      </c>
      <c r="K574" s="32">
        <f>IF(Settings!$B$4="Yes",$I574*$J574,$I574)</f>
        <v/>
      </c>
      <c r="L574" s="22">
        <f>IF($C574="","",IFERROR(IF(INDEX(Deals!$I$2:$I$355,MATCH($C574,Deals!$A$2:$A$355,0))=0,"",INDEX(Deals!$I$2:$I$355,MATCH($C574,Deals!$A$2:$A$355,0))),""))</f>
        <v/>
      </c>
      <c r="M574" s="22">
        <f>IF($C574="","",IFERROR(IF(INDEX(Deals!$J$2:$J$355,MATCH($C574,Deals!$A$2:$A$355,0))=0,"",INDEX(Deals!$J$2:$J$355,MATCH($C574,Deals!$A$2:$A$355,0))),""))</f>
        <v/>
      </c>
      <c r="N574" s="35">
        <f>IF($L574="",DATE(1900,1,1),$L574)</f>
        <v/>
      </c>
      <c r="O574" s="35">
        <f>IF($M574="",DATE(2100,12,31),$M574)</f>
        <v/>
      </c>
      <c r="P574" s="20" t="inlineStr"/>
      <c r="Q574" s="43" t="inlineStr"/>
      <c r="R574" s="16">
        <f>IF($C574="","",IFERROR(IF(INDEX(Deals!$U$2:$U$355,MATCH($C574,Deals!$A$2:$A$355,0))=0,"",INDEX(Deals!$U$2:$U$355,MATCH($C574,Deals!$A$2:$A$355,0))),""))</f>
        <v/>
      </c>
      <c r="S574" s="34">
        <f>IFERROR(IF($U574="",1,INDEX(Deals!$V$2:$V$355,MATCH($C574,Deals!$A$2:$A$355,0))),1)</f>
        <v/>
      </c>
      <c r="T574" s="34">
        <f>IFERROR(IF($U574="",1,INDEX(Deals!$W$2:$W$355,MATCH($C574,Deals!$A$2:$A$355,0))),1)</f>
        <v/>
      </c>
      <c r="U574" s="22">
        <f>IF($C574="","",IFERROR(IF(INDEX(Deals!$Y$2:$Y$355,MATCH($C574,Deals!$A$2:$A$355,0))=0,"",INDEX(Deals!$Y$2:$Y$355,MATCH($C574,Deals!$A$2:$A$355,0))),""))</f>
        <v/>
      </c>
      <c r="V574" s="35">
        <f>IF($U574="",DATE(1900,1,1),$N574)</f>
        <v/>
      </c>
      <c r="W574" s="35">
        <f>IF($U574="",DATE(2100,12,31),$U574)</f>
        <v/>
      </c>
      <c r="X574" s="32">
        <f>IF($U574="",$K574,$K574*$S574)</f>
        <v/>
      </c>
      <c r="Y574" s="35">
        <f>IF($U574="",DATE(2100,12,31),$U574+1)</f>
        <v/>
      </c>
      <c r="Z574" s="35">
        <f>IF($U574="",DATE(1900,1,1),$O574)</f>
        <v/>
      </c>
      <c r="AA574" s="32">
        <f>IF($U574="",0,$K574*$T574)</f>
        <v/>
      </c>
      <c r="AB574" s="21">
        <f>IF($C574="",0,IFERROR(INDEX(Deals!$AD$2:$AD$355,MATCH($C574,Deals!$A$2:$A$355,0)),0))</f>
        <v/>
      </c>
      <c r="AC574" s="32">
        <f>IF(Settings!$B$4="Yes",$I574*$AB574,$I574)</f>
        <v/>
      </c>
      <c r="AD574" s="22">
        <f>IF($C574="","",IFERROR(IF(INDEX(Deals!$AE$2:$AE$355,MATCH($C574,Deals!$A$2:$A$355,0))=0,"",INDEX(Deals!$AE$2:$AE$355,MATCH($C574,Deals!$A$2:$A$355,0))),""))</f>
        <v/>
      </c>
      <c r="AE574" s="22">
        <f>IF($C574="","",IFERROR(IF(INDEX(Deals!$AF$2:$AF$355,MATCH($C574,Deals!$A$2:$A$355,0))=0,"",INDEX(Deals!$AF$2:$AF$355,MATCH($C574,Deals!$A$2:$A$355,0))),""))</f>
        <v/>
      </c>
      <c r="AF574" s="35">
        <f>IF($AD574="",DATE(1900,1,1),$AD574)</f>
        <v/>
      </c>
      <c r="AG574" s="35">
        <f>IF($AE574="",DATE(2100,12,31),$AE574)</f>
        <v/>
      </c>
      <c r="AH574" s="22">
        <f>IF($C574="","",IFERROR(IF(INDEX(Deals!$AG$2:$AG$355,MATCH($C574,Deals!$A$2:$A$355,0))=0,"",INDEX(Deals!$AG$2:$AG$355,MATCH($C574,Deals!$A$2:$A$355,0))),""))</f>
        <v/>
      </c>
      <c r="AI574" s="35">
        <f>IF($AH574="",DATE(1900,1,1),$AF574)</f>
        <v/>
      </c>
      <c r="AJ574" s="35">
        <f>IF($AH574="",DATE(2100,12,31),$AH574)</f>
        <v/>
      </c>
      <c r="AK574" s="32">
        <f>IF($AH574="",$AC574,$AC574*$S574)</f>
        <v/>
      </c>
      <c r="AL574" s="35">
        <f>IF($AH574="",DATE(2100,12,31),$AH574+1)</f>
        <v/>
      </c>
      <c r="AM574" s="35">
        <f>IF($AH574="",DATE(1900,1,1),$AG574)</f>
        <v/>
      </c>
      <c r="AN574" s="32">
        <f>IF($AH574="",0,$AC574*$T574)</f>
        <v/>
      </c>
    </row>
    <row r="575">
      <c r="A575" s="28" t="inlineStr">
        <is>
          <t>Dorian</t>
        </is>
      </c>
      <c r="B575" s="16">
        <f>IF($A575="","",IFERROR(INDEX(Roster!$B$2:$B$40,MATCH($A575,Roster!$A$2:$A$40,0)),"?"))</f>
        <v/>
      </c>
      <c r="C575" s="28" t="inlineStr">
        <is>
          <t>Sunzia_3</t>
        </is>
      </c>
      <c r="D575" s="16">
        <f>IF($C575="","",IFERROR(IF(INDEX(Deals!$C$2:$C$355,MATCH($C575,Deals!$A$2:$A$355,0))=0,"",INDEX(Deals!$C$2:$C$355,MATCH($C575,Deals!$A$2:$A$355,0))),"?"))</f>
        <v/>
      </c>
      <c r="E575" s="16">
        <f>IF($C575="","",IFERROR(INDEX(Deals!$F$2:$F$355,MATCH($C575,Deals!$A$2:$A$355,0)),"?"))</f>
        <v/>
      </c>
      <c r="F575" s="28" t="inlineStr">
        <is>
          <t>Renewable Specialist</t>
        </is>
      </c>
      <c r="G575" s="28" t="inlineStr">
        <is>
          <t>Active</t>
        </is>
      </c>
      <c r="H575" s="31" t="n"/>
      <c r="I575" s="32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1">
        <f>IF($C575="",0,IFERROR(INDEX(Deals!$H$2:$H$355,MATCH($C575,Deals!$A$2:$A$355,0)),0))</f>
        <v/>
      </c>
      <c r="K575" s="32">
        <f>IF(Settings!$B$4="Yes",$I575*$J575,$I575)</f>
        <v/>
      </c>
      <c r="L575" s="22">
        <f>IF($C575="","",IFERROR(IF(INDEX(Deals!$I$2:$I$355,MATCH($C575,Deals!$A$2:$A$355,0))=0,"",INDEX(Deals!$I$2:$I$355,MATCH($C575,Deals!$A$2:$A$355,0))),""))</f>
        <v/>
      </c>
      <c r="M575" s="22">
        <f>IF($C575="","",IFERROR(IF(INDEX(Deals!$J$2:$J$355,MATCH($C575,Deals!$A$2:$A$355,0))=0,"",INDEX(Deals!$J$2:$J$355,MATCH($C575,Deals!$A$2:$A$355,0))),""))</f>
        <v/>
      </c>
      <c r="N575" s="35">
        <f>IF($L575="",DATE(1900,1,1),$L575)</f>
        <v/>
      </c>
      <c r="O575" s="35">
        <f>IF($M575="",DATE(2100,12,31),$M575)</f>
        <v/>
      </c>
      <c r="P575" s="20" t="inlineStr"/>
      <c r="Q575" s="43" t="inlineStr"/>
      <c r="R575" s="16">
        <f>IF($C575="","",IFERROR(IF(INDEX(Deals!$U$2:$U$355,MATCH($C575,Deals!$A$2:$A$355,0))=0,"",INDEX(Deals!$U$2:$U$355,MATCH($C575,Deals!$A$2:$A$355,0))),""))</f>
        <v/>
      </c>
      <c r="S575" s="34">
        <f>IFERROR(IF($U575="",1,INDEX(Deals!$V$2:$V$355,MATCH($C575,Deals!$A$2:$A$355,0))),1)</f>
        <v/>
      </c>
      <c r="T575" s="34">
        <f>IFERROR(IF($U575="",1,INDEX(Deals!$W$2:$W$355,MATCH($C575,Deals!$A$2:$A$355,0))),1)</f>
        <v/>
      </c>
      <c r="U575" s="22">
        <f>IF($C575="","",IFERROR(IF(INDEX(Deals!$Y$2:$Y$355,MATCH($C575,Deals!$A$2:$A$355,0))=0,"",INDEX(Deals!$Y$2:$Y$355,MATCH($C575,Deals!$A$2:$A$355,0))),""))</f>
        <v/>
      </c>
      <c r="V575" s="35">
        <f>IF($U575="",DATE(1900,1,1),$N575)</f>
        <v/>
      </c>
      <c r="W575" s="35">
        <f>IF($U575="",DATE(2100,12,31),$U575)</f>
        <v/>
      </c>
      <c r="X575" s="32">
        <f>IF($U575="",$K575,$K575*$S575)</f>
        <v/>
      </c>
      <c r="Y575" s="35">
        <f>IF($U575="",DATE(2100,12,31),$U575+1)</f>
        <v/>
      </c>
      <c r="Z575" s="35">
        <f>IF($U575="",DATE(1900,1,1),$O575)</f>
        <v/>
      </c>
      <c r="AA575" s="32">
        <f>IF($U575="",0,$K575*$T575)</f>
        <v/>
      </c>
      <c r="AB575" s="21">
        <f>IF($C575="",0,IFERROR(INDEX(Deals!$AD$2:$AD$355,MATCH($C575,Deals!$A$2:$A$355,0)),0))</f>
        <v/>
      </c>
      <c r="AC575" s="32">
        <f>IF(Settings!$B$4="Yes",$I575*$AB575,$I575)</f>
        <v/>
      </c>
      <c r="AD575" s="22">
        <f>IF($C575="","",IFERROR(IF(INDEX(Deals!$AE$2:$AE$355,MATCH($C575,Deals!$A$2:$A$355,0))=0,"",INDEX(Deals!$AE$2:$AE$355,MATCH($C575,Deals!$A$2:$A$355,0))),""))</f>
        <v/>
      </c>
      <c r="AE575" s="22">
        <f>IF($C575="","",IFERROR(IF(INDEX(Deals!$AF$2:$AF$355,MATCH($C575,Deals!$A$2:$A$355,0))=0,"",INDEX(Deals!$AF$2:$AF$355,MATCH($C575,Deals!$A$2:$A$355,0))),""))</f>
        <v/>
      </c>
      <c r="AF575" s="35">
        <f>IF($AD575="",DATE(1900,1,1),$AD575)</f>
        <v/>
      </c>
      <c r="AG575" s="35">
        <f>IF($AE575="",DATE(2100,12,31),$AE575)</f>
        <v/>
      </c>
      <c r="AH575" s="22">
        <f>IF($C575="","",IFERROR(IF(INDEX(Deals!$AG$2:$AG$355,MATCH($C575,Deals!$A$2:$A$355,0))=0,"",INDEX(Deals!$AG$2:$AG$355,MATCH($C575,Deals!$A$2:$A$355,0))),""))</f>
        <v/>
      </c>
      <c r="AI575" s="35">
        <f>IF($AH575="",DATE(1900,1,1),$AF575)</f>
        <v/>
      </c>
      <c r="AJ575" s="35">
        <f>IF($AH575="",DATE(2100,12,31),$AH575)</f>
        <v/>
      </c>
      <c r="AK575" s="32">
        <f>IF($AH575="",$AC575,$AC575*$S575)</f>
        <v/>
      </c>
      <c r="AL575" s="35">
        <f>IF($AH575="",DATE(2100,12,31),$AH575+1)</f>
        <v/>
      </c>
      <c r="AM575" s="35">
        <f>IF($AH575="",DATE(1900,1,1),$AG575)</f>
        <v/>
      </c>
      <c r="AN575" s="32">
        <f>IF($AH575="",0,$AC575*$T575)</f>
        <v/>
      </c>
    </row>
    <row r="576">
      <c r="A576" s="28" t="inlineStr">
        <is>
          <t>Dorian</t>
        </is>
      </c>
      <c r="B576" s="16">
        <f>IF($A576="","",IFERROR(INDEX(Roster!$B$2:$B$40,MATCH($A576,Roster!$A$2:$A$40,0)),"?"))</f>
        <v/>
      </c>
      <c r="C576" s="28" t="inlineStr">
        <is>
          <t>Tax_7</t>
        </is>
      </c>
      <c r="D576" s="16">
        <f>IF($C576="","",IFERROR(IF(INDEX(Deals!$C$2:$C$355,MATCH($C576,Deals!$A$2:$A$355,0))=0,"",INDEX(Deals!$C$2:$C$355,MATCH($C576,Deals!$A$2:$A$355,0))),"?"))</f>
        <v/>
      </c>
      <c r="E576" s="16">
        <f>IF($C576="","",IFERROR(INDEX(Deals!$F$2:$F$355,MATCH($C576,Deals!$A$2:$A$355,0)),"?"))</f>
        <v/>
      </c>
      <c r="F576" s="28" t="inlineStr">
        <is>
          <t>Renewable Specialist</t>
        </is>
      </c>
      <c r="G576" s="28" t="inlineStr">
        <is>
          <t>Active</t>
        </is>
      </c>
      <c r="H576" s="31" t="n"/>
      <c r="I576" s="32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1">
        <f>IF($C576="",0,IFERROR(INDEX(Deals!$H$2:$H$355,MATCH($C576,Deals!$A$2:$A$355,0)),0))</f>
        <v/>
      </c>
      <c r="K576" s="32">
        <f>IF(Settings!$B$4="Yes",$I576*$J576,$I576)</f>
        <v/>
      </c>
      <c r="L576" s="22">
        <f>IF($C576="","",IFERROR(IF(INDEX(Deals!$I$2:$I$355,MATCH($C576,Deals!$A$2:$A$355,0))=0,"",INDEX(Deals!$I$2:$I$355,MATCH($C576,Deals!$A$2:$A$355,0))),""))</f>
        <v/>
      </c>
      <c r="M576" s="22">
        <f>IF($C576="","",IFERROR(IF(INDEX(Deals!$J$2:$J$355,MATCH($C576,Deals!$A$2:$A$355,0))=0,"",INDEX(Deals!$J$2:$J$355,MATCH($C576,Deals!$A$2:$A$355,0))),""))</f>
        <v/>
      </c>
      <c r="N576" s="35">
        <f>IF($L576="",DATE(1900,1,1),$L576)</f>
        <v/>
      </c>
      <c r="O576" s="35">
        <f>IF($M576="",DATE(2100,12,31),$M576)</f>
        <v/>
      </c>
      <c r="P576" s="20" t="inlineStr"/>
      <c r="Q576" s="43" t="inlineStr"/>
      <c r="R576" s="16">
        <f>IF($C576="","",IFERROR(IF(INDEX(Deals!$U$2:$U$355,MATCH($C576,Deals!$A$2:$A$355,0))=0,"",INDEX(Deals!$U$2:$U$355,MATCH($C576,Deals!$A$2:$A$355,0))),""))</f>
        <v/>
      </c>
      <c r="S576" s="34">
        <f>IFERROR(IF($U576="",1,INDEX(Deals!$V$2:$V$355,MATCH($C576,Deals!$A$2:$A$355,0))),1)</f>
        <v/>
      </c>
      <c r="T576" s="34">
        <f>IFERROR(IF($U576="",1,INDEX(Deals!$W$2:$W$355,MATCH($C576,Deals!$A$2:$A$355,0))),1)</f>
        <v/>
      </c>
      <c r="U576" s="22">
        <f>IF($C576="","",IFERROR(IF(INDEX(Deals!$Y$2:$Y$355,MATCH($C576,Deals!$A$2:$A$355,0))=0,"",INDEX(Deals!$Y$2:$Y$355,MATCH($C576,Deals!$A$2:$A$355,0))),""))</f>
        <v/>
      </c>
      <c r="V576" s="35">
        <f>IF($U576="",DATE(1900,1,1),$N576)</f>
        <v/>
      </c>
      <c r="W576" s="35">
        <f>IF($U576="",DATE(2100,12,31),$U576)</f>
        <v/>
      </c>
      <c r="X576" s="32">
        <f>IF($U576="",$K576,$K576*$S576)</f>
        <v/>
      </c>
      <c r="Y576" s="35">
        <f>IF($U576="",DATE(2100,12,31),$U576+1)</f>
        <v/>
      </c>
      <c r="Z576" s="35">
        <f>IF($U576="",DATE(1900,1,1),$O576)</f>
        <v/>
      </c>
      <c r="AA576" s="32">
        <f>IF($U576="",0,$K576*$T576)</f>
        <v/>
      </c>
      <c r="AB576" s="21">
        <f>IF($C576="",0,IFERROR(INDEX(Deals!$AD$2:$AD$355,MATCH($C576,Deals!$A$2:$A$355,0)),0))</f>
        <v/>
      </c>
      <c r="AC576" s="32">
        <f>IF(Settings!$B$4="Yes",$I576*$AB576,$I576)</f>
        <v/>
      </c>
      <c r="AD576" s="22">
        <f>IF($C576="","",IFERROR(IF(INDEX(Deals!$AE$2:$AE$355,MATCH($C576,Deals!$A$2:$A$355,0))=0,"",INDEX(Deals!$AE$2:$AE$355,MATCH($C576,Deals!$A$2:$A$355,0))),""))</f>
        <v/>
      </c>
      <c r="AE576" s="22">
        <f>IF($C576="","",IFERROR(IF(INDEX(Deals!$AF$2:$AF$355,MATCH($C576,Deals!$A$2:$A$355,0))=0,"",INDEX(Deals!$AF$2:$AF$355,MATCH($C576,Deals!$A$2:$A$355,0))),""))</f>
        <v/>
      </c>
      <c r="AF576" s="35">
        <f>IF($AD576="",DATE(1900,1,1),$AD576)</f>
        <v/>
      </c>
      <c r="AG576" s="35">
        <f>IF($AE576="",DATE(2100,12,31),$AE576)</f>
        <v/>
      </c>
      <c r="AH576" s="22">
        <f>IF($C576="","",IFERROR(IF(INDEX(Deals!$AG$2:$AG$355,MATCH($C576,Deals!$A$2:$A$355,0))=0,"",INDEX(Deals!$AG$2:$AG$355,MATCH($C576,Deals!$A$2:$A$355,0))),""))</f>
        <v/>
      </c>
      <c r="AI576" s="35">
        <f>IF($AH576="",DATE(1900,1,1),$AF576)</f>
        <v/>
      </c>
      <c r="AJ576" s="35">
        <f>IF($AH576="",DATE(2100,12,31),$AH576)</f>
        <v/>
      </c>
      <c r="AK576" s="32">
        <f>IF($AH576="",$AC576,$AC576*$S576)</f>
        <v/>
      </c>
      <c r="AL576" s="35">
        <f>IF($AH576="",DATE(2100,12,31),$AH576+1)</f>
        <v/>
      </c>
      <c r="AM576" s="35">
        <f>IF($AH576="",DATE(1900,1,1),$AG576)</f>
        <v/>
      </c>
      <c r="AN576" s="32">
        <f>IF($AH576="",0,$AC576*$T576)</f>
        <v/>
      </c>
    </row>
    <row r="577">
      <c r="A577" s="28" t="inlineStr">
        <is>
          <t>Dorian</t>
        </is>
      </c>
      <c r="B577" s="16">
        <f>IF($A577="","",IFERROR(INDEX(Roster!$B$2:$B$40,MATCH($A577,Roster!$A$2:$A$40,0)),"?"))</f>
        <v/>
      </c>
      <c r="C577" s="28" t="inlineStr">
        <is>
          <t>Tax_8</t>
        </is>
      </c>
      <c r="D577" s="16">
        <f>IF($C577="","",IFERROR(IF(INDEX(Deals!$C$2:$C$355,MATCH($C577,Deals!$A$2:$A$355,0))=0,"",INDEX(Deals!$C$2:$C$355,MATCH($C577,Deals!$A$2:$A$355,0))),"?"))</f>
        <v/>
      </c>
      <c r="E577" s="16">
        <f>IF($C577="","",IFERROR(INDEX(Deals!$F$2:$F$355,MATCH($C577,Deals!$A$2:$A$355,0)),"?"))</f>
        <v/>
      </c>
      <c r="F577" s="28" t="inlineStr">
        <is>
          <t>Renewable Specialist</t>
        </is>
      </c>
      <c r="G577" s="28" t="inlineStr">
        <is>
          <t>Active</t>
        </is>
      </c>
      <c r="H577" s="31" t="n"/>
      <c r="I577" s="32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1">
        <f>IF($C577="",0,IFERROR(INDEX(Deals!$H$2:$H$355,MATCH($C577,Deals!$A$2:$A$355,0)),0))</f>
        <v/>
      </c>
      <c r="K577" s="32">
        <f>IF(Settings!$B$4="Yes",$I577*$J577,$I577)</f>
        <v/>
      </c>
      <c r="L577" s="22">
        <f>IF($C577="","",IFERROR(IF(INDEX(Deals!$I$2:$I$355,MATCH($C577,Deals!$A$2:$A$355,0))=0,"",INDEX(Deals!$I$2:$I$355,MATCH($C577,Deals!$A$2:$A$355,0))),""))</f>
        <v/>
      </c>
      <c r="M577" s="22">
        <f>IF($C577="","",IFERROR(IF(INDEX(Deals!$J$2:$J$355,MATCH($C577,Deals!$A$2:$A$355,0))=0,"",INDEX(Deals!$J$2:$J$355,MATCH($C577,Deals!$A$2:$A$355,0))),""))</f>
        <v/>
      </c>
      <c r="N577" s="35">
        <f>IF($L577="",DATE(1900,1,1),$L577)</f>
        <v/>
      </c>
      <c r="O577" s="35">
        <f>IF($M577="",DATE(2100,12,31),$M577)</f>
        <v/>
      </c>
      <c r="P577" s="20" t="inlineStr"/>
      <c r="Q577" s="43" t="inlineStr"/>
      <c r="R577" s="16">
        <f>IF($C577="","",IFERROR(IF(INDEX(Deals!$U$2:$U$355,MATCH($C577,Deals!$A$2:$A$355,0))=0,"",INDEX(Deals!$U$2:$U$355,MATCH($C577,Deals!$A$2:$A$355,0))),""))</f>
        <v/>
      </c>
      <c r="S577" s="34">
        <f>IFERROR(IF($U577="",1,INDEX(Deals!$V$2:$V$355,MATCH($C577,Deals!$A$2:$A$355,0))),1)</f>
        <v/>
      </c>
      <c r="T577" s="34">
        <f>IFERROR(IF($U577="",1,INDEX(Deals!$W$2:$W$355,MATCH($C577,Deals!$A$2:$A$355,0))),1)</f>
        <v/>
      </c>
      <c r="U577" s="22">
        <f>IF($C577="","",IFERROR(IF(INDEX(Deals!$Y$2:$Y$355,MATCH($C577,Deals!$A$2:$A$355,0))=0,"",INDEX(Deals!$Y$2:$Y$355,MATCH($C577,Deals!$A$2:$A$355,0))),""))</f>
        <v/>
      </c>
      <c r="V577" s="35">
        <f>IF($U577="",DATE(1900,1,1),$N577)</f>
        <v/>
      </c>
      <c r="W577" s="35">
        <f>IF($U577="",DATE(2100,12,31),$U577)</f>
        <v/>
      </c>
      <c r="X577" s="32">
        <f>IF($U577="",$K577,$K577*$S577)</f>
        <v/>
      </c>
      <c r="Y577" s="35">
        <f>IF($U577="",DATE(2100,12,31),$U577+1)</f>
        <v/>
      </c>
      <c r="Z577" s="35">
        <f>IF($U577="",DATE(1900,1,1),$O577)</f>
        <v/>
      </c>
      <c r="AA577" s="32">
        <f>IF($U577="",0,$K577*$T577)</f>
        <v/>
      </c>
      <c r="AB577" s="21">
        <f>IF($C577="",0,IFERROR(INDEX(Deals!$AD$2:$AD$355,MATCH($C577,Deals!$A$2:$A$355,0)),0))</f>
        <v/>
      </c>
      <c r="AC577" s="32">
        <f>IF(Settings!$B$4="Yes",$I577*$AB577,$I577)</f>
        <v/>
      </c>
      <c r="AD577" s="22">
        <f>IF($C577="","",IFERROR(IF(INDEX(Deals!$AE$2:$AE$355,MATCH($C577,Deals!$A$2:$A$355,0))=0,"",INDEX(Deals!$AE$2:$AE$355,MATCH($C577,Deals!$A$2:$A$355,0))),""))</f>
        <v/>
      </c>
      <c r="AE577" s="22">
        <f>IF($C577="","",IFERROR(IF(INDEX(Deals!$AF$2:$AF$355,MATCH($C577,Deals!$A$2:$A$355,0))=0,"",INDEX(Deals!$AF$2:$AF$355,MATCH($C577,Deals!$A$2:$A$355,0))),""))</f>
        <v/>
      </c>
      <c r="AF577" s="35">
        <f>IF($AD577="",DATE(1900,1,1),$AD577)</f>
        <v/>
      </c>
      <c r="AG577" s="35">
        <f>IF($AE577="",DATE(2100,12,31),$AE577)</f>
        <v/>
      </c>
      <c r="AH577" s="22">
        <f>IF($C577="","",IFERROR(IF(INDEX(Deals!$AG$2:$AG$355,MATCH($C577,Deals!$A$2:$A$355,0))=0,"",INDEX(Deals!$AG$2:$AG$355,MATCH($C577,Deals!$A$2:$A$355,0))),""))</f>
        <v/>
      </c>
      <c r="AI577" s="35">
        <f>IF($AH577="",DATE(1900,1,1),$AF577)</f>
        <v/>
      </c>
      <c r="AJ577" s="35">
        <f>IF($AH577="",DATE(2100,12,31),$AH577)</f>
        <v/>
      </c>
      <c r="AK577" s="32">
        <f>IF($AH577="",$AC577,$AC577*$S577)</f>
        <v/>
      </c>
      <c r="AL577" s="35">
        <f>IF($AH577="",DATE(2100,12,31),$AH577+1)</f>
        <v/>
      </c>
      <c r="AM577" s="35">
        <f>IF($AH577="",DATE(1900,1,1),$AG577)</f>
        <v/>
      </c>
      <c r="AN577" s="32">
        <f>IF($AH577="",0,$AC577*$T577)</f>
        <v/>
      </c>
    </row>
    <row r="578">
      <c r="A578" s="28" t="inlineStr">
        <is>
          <t>Dorian</t>
        </is>
      </c>
      <c r="B578" s="16">
        <f>IF($A578="","",IFERROR(INDEX(Roster!$B$2:$B$40,MATCH($A578,Roster!$A$2:$A$40,0)),"?"))</f>
        <v/>
      </c>
      <c r="C578" s="28" t="inlineStr">
        <is>
          <t>TEP Tax_1</t>
        </is>
      </c>
      <c r="D578" s="16">
        <f>IF($C578="","",IFERROR(IF(INDEX(Deals!$C$2:$C$355,MATCH($C578,Deals!$A$2:$A$355,0))=0,"",INDEX(Deals!$C$2:$C$355,MATCH($C578,Deals!$A$2:$A$355,0))),"?"))</f>
        <v/>
      </c>
      <c r="E578" s="16">
        <f>IF($C578="","",IFERROR(INDEX(Deals!$F$2:$F$355,MATCH($C578,Deals!$A$2:$A$355,0)),"?"))</f>
        <v/>
      </c>
      <c r="F578" s="28" t="inlineStr">
        <is>
          <t>Renewable Specialist</t>
        </is>
      </c>
      <c r="G578" s="28" t="inlineStr">
        <is>
          <t>Active</t>
        </is>
      </c>
      <c r="H578" s="31" t="n"/>
      <c r="I578" s="32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1">
        <f>IF($C578="",0,IFERROR(INDEX(Deals!$H$2:$H$355,MATCH($C578,Deals!$A$2:$A$355,0)),0))</f>
        <v/>
      </c>
      <c r="K578" s="32">
        <f>IF(Settings!$B$4="Yes",$I578*$J578,$I578)</f>
        <v/>
      </c>
      <c r="L578" s="22">
        <f>IF($C578="","",IFERROR(IF(INDEX(Deals!$I$2:$I$355,MATCH($C578,Deals!$A$2:$A$355,0))=0,"",INDEX(Deals!$I$2:$I$355,MATCH($C578,Deals!$A$2:$A$355,0))),""))</f>
        <v/>
      </c>
      <c r="M578" s="22">
        <f>IF($C578="","",IFERROR(IF(INDEX(Deals!$J$2:$J$355,MATCH($C578,Deals!$A$2:$A$355,0))=0,"",INDEX(Deals!$J$2:$J$355,MATCH($C578,Deals!$A$2:$A$355,0))),""))</f>
        <v/>
      </c>
      <c r="N578" s="35">
        <f>IF($L578="",DATE(1900,1,1),$L578)</f>
        <v/>
      </c>
      <c r="O578" s="35">
        <f>IF($M578="",DATE(2100,12,31),$M578)</f>
        <v/>
      </c>
      <c r="P578" s="20" t="inlineStr"/>
      <c r="Q578" s="43" t="inlineStr"/>
      <c r="R578" s="16">
        <f>IF($C578="","",IFERROR(IF(INDEX(Deals!$U$2:$U$355,MATCH($C578,Deals!$A$2:$A$355,0))=0,"",INDEX(Deals!$U$2:$U$355,MATCH($C578,Deals!$A$2:$A$355,0))),""))</f>
        <v/>
      </c>
      <c r="S578" s="34">
        <f>IFERROR(IF($U578="",1,INDEX(Deals!$V$2:$V$355,MATCH($C578,Deals!$A$2:$A$355,0))),1)</f>
        <v/>
      </c>
      <c r="T578" s="34">
        <f>IFERROR(IF($U578="",1,INDEX(Deals!$W$2:$W$355,MATCH($C578,Deals!$A$2:$A$355,0))),1)</f>
        <v/>
      </c>
      <c r="U578" s="22">
        <f>IF($C578="","",IFERROR(IF(INDEX(Deals!$Y$2:$Y$355,MATCH($C578,Deals!$A$2:$A$355,0))=0,"",INDEX(Deals!$Y$2:$Y$355,MATCH($C578,Deals!$A$2:$A$355,0))),""))</f>
        <v/>
      </c>
      <c r="V578" s="35">
        <f>IF($U578="",DATE(1900,1,1),$N578)</f>
        <v/>
      </c>
      <c r="W578" s="35">
        <f>IF($U578="",DATE(2100,12,31),$U578)</f>
        <v/>
      </c>
      <c r="X578" s="32">
        <f>IF($U578="",$K578,$K578*$S578)</f>
        <v/>
      </c>
      <c r="Y578" s="35">
        <f>IF($U578="",DATE(2100,12,31),$U578+1)</f>
        <v/>
      </c>
      <c r="Z578" s="35">
        <f>IF($U578="",DATE(1900,1,1),$O578)</f>
        <v/>
      </c>
      <c r="AA578" s="32">
        <f>IF($U578="",0,$K578*$T578)</f>
        <v/>
      </c>
      <c r="AB578" s="21">
        <f>IF($C578="",0,IFERROR(INDEX(Deals!$AD$2:$AD$355,MATCH($C578,Deals!$A$2:$A$355,0)),0))</f>
        <v/>
      </c>
      <c r="AC578" s="32">
        <f>IF(Settings!$B$4="Yes",$I578*$AB578,$I578)</f>
        <v/>
      </c>
      <c r="AD578" s="22">
        <f>IF($C578="","",IFERROR(IF(INDEX(Deals!$AE$2:$AE$355,MATCH($C578,Deals!$A$2:$A$355,0))=0,"",INDEX(Deals!$AE$2:$AE$355,MATCH($C578,Deals!$A$2:$A$355,0))),""))</f>
        <v/>
      </c>
      <c r="AE578" s="22">
        <f>IF($C578="","",IFERROR(IF(INDEX(Deals!$AF$2:$AF$355,MATCH($C578,Deals!$A$2:$A$355,0))=0,"",INDEX(Deals!$AF$2:$AF$355,MATCH($C578,Deals!$A$2:$A$355,0))),""))</f>
        <v/>
      </c>
      <c r="AF578" s="35">
        <f>IF($AD578="",DATE(1900,1,1),$AD578)</f>
        <v/>
      </c>
      <c r="AG578" s="35">
        <f>IF($AE578="",DATE(2100,12,31),$AE578)</f>
        <v/>
      </c>
      <c r="AH578" s="22">
        <f>IF($C578="","",IFERROR(IF(INDEX(Deals!$AG$2:$AG$355,MATCH($C578,Deals!$A$2:$A$355,0))=0,"",INDEX(Deals!$AG$2:$AG$355,MATCH($C578,Deals!$A$2:$A$355,0))),""))</f>
        <v/>
      </c>
      <c r="AI578" s="35">
        <f>IF($AH578="",DATE(1900,1,1),$AF578)</f>
        <v/>
      </c>
      <c r="AJ578" s="35">
        <f>IF($AH578="",DATE(2100,12,31),$AH578)</f>
        <v/>
      </c>
      <c r="AK578" s="32">
        <f>IF($AH578="",$AC578,$AC578*$S578)</f>
        <v/>
      </c>
      <c r="AL578" s="35">
        <f>IF($AH578="",DATE(2100,12,31),$AH578+1)</f>
        <v/>
      </c>
      <c r="AM578" s="35">
        <f>IF($AH578="",DATE(1900,1,1),$AG578)</f>
        <v/>
      </c>
      <c r="AN578" s="32">
        <f>IF($AH578="",0,$AC578*$T578)</f>
        <v/>
      </c>
    </row>
    <row r="579">
      <c r="A579" s="28" t="inlineStr">
        <is>
          <t>Dorian</t>
        </is>
      </c>
      <c r="B579" s="16">
        <f>IF($A579="","",IFERROR(INDEX(Roster!$B$2:$B$40,MATCH($A579,Roster!$A$2:$A$40,0)),"?"))</f>
        <v/>
      </c>
      <c r="C579" s="28" t="inlineStr">
        <is>
          <t>Upstream_3</t>
        </is>
      </c>
      <c r="D579" s="16">
        <f>IF($C579="","",IFERROR(IF(INDEX(Deals!$C$2:$C$355,MATCH($C579,Deals!$A$2:$A$355,0))=0,"",INDEX(Deals!$C$2:$C$355,MATCH($C579,Deals!$A$2:$A$355,0))),"?"))</f>
        <v/>
      </c>
      <c r="E579" s="16">
        <f>IF($C579="","",IFERROR(INDEX(Deals!$F$2:$F$355,MATCH($C579,Deals!$A$2:$A$355,0)),"?"))</f>
        <v/>
      </c>
      <c r="F579" s="28" t="inlineStr">
        <is>
          <t>Renewable Specialist</t>
        </is>
      </c>
      <c r="G579" s="28" t="inlineStr">
        <is>
          <t>Active</t>
        </is>
      </c>
      <c r="H579" s="31" t="n"/>
      <c r="I579" s="32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1">
        <f>IF($C579="",0,IFERROR(INDEX(Deals!$H$2:$H$355,MATCH($C579,Deals!$A$2:$A$355,0)),0))</f>
        <v/>
      </c>
      <c r="K579" s="32">
        <f>IF(Settings!$B$4="Yes",$I579*$J579,$I579)</f>
        <v/>
      </c>
      <c r="L579" s="22">
        <f>IF($C579="","",IFERROR(IF(INDEX(Deals!$I$2:$I$355,MATCH($C579,Deals!$A$2:$A$355,0))=0,"",INDEX(Deals!$I$2:$I$355,MATCH($C579,Deals!$A$2:$A$355,0))),""))</f>
        <v/>
      </c>
      <c r="M579" s="22">
        <f>IF($C579="","",IFERROR(IF(INDEX(Deals!$J$2:$J$355,MATCH($C579,Deals!$A$2:$A$355,0))=0,"",INDEX(Deals!$J$2:$J$355,MATCH($C579,Deals!$A$2:$A$355,0))),""))</f>
        <v/>
      </c>
      <c r="N579" s="35">
        <f>IF($L579="",DATE(1900,1,1),$L579)</f>
        <v/>
      </c>
      <c r="O579" s="35">
        <f>IF($M579="",DATE(2100,12,31),$M579)</f>
        <v/>
      </c>
      <c r="P579" s="20" t="inlineStr"/>
      <c r="Q579" s="43" t="inlineStr"/>
      <c r="R579" s="16">
        <f>IF($C579="","",IFERROR(IF(INDEX(Deals!$U$2:$U$355,MATCH($C579,Deals!$A$2:$A$355,0))=0,"",INDEX(Deals!$U$2:$U$355,MATCH($C579,Deals!$A$2:$A$355,0))),""))</f>
        <v/>
      </c>
      <c r="S579" s="34">
        <f>IFERROR(IF($U579="",1,INDEX(Deals!$V$2:$V$355,MATCH($C579,Deals!$A$2:$A$355,0))),1)</f>
        <v/>
      </c>
      <c r="T579" s="34">
        <f>IFERROR(IF($U579="",1,INDEX(Deals!$W$2:$W$355,MATCH($C579,Deals!$A$2:$A$355,0))),1)</f>
        <v/>
      </c>
      <c r="U579" s="22">
        <f>IF($C579="","",IFERROR(IF(INDEX(Deals!$Y$2:$Y$355,MATCH($C579,Deals!$A$2:$A$355,0))=0,"",INDEX(Deals!$Y$2:$Y$355,MATCH($C579,Deals!$A$2:$A$355,0))),""))</f>
        <v/>
      </c>
      <c r="V579" s="35">
        <f>IF($U579="",DATE(1900,1,1),$N579)</f>
        <v/>
      </c>
      <c r="W579" s="35">
        <f>IF($U579="",DATE(2100,12,31),$U579)</f>
        <v/>
      </c>
      <c r="X579" s="32">
        <f>IF($U579="",$K579,$K579*$S579)</f>
        <v/>
      </c>
      <c r="Y579" s="35">
        <f>IF($U579="",DATE(2100,12,31),$U579+1)</f>
        <v/>
      </c>
      <c r="Z579" s="35">
        <f>IF($U579="",DATE(1900,1,1),$O579)</f>
        <v/>
      </c>
      <c r="AA579" s="32">
        <f>IF($U579="",0,$K579*$T579)</f>
        <v/>
      </c>
      <c r="AB579" s="21">
        <f>IF($C579="",0,IFERROR(INDEX(Deals!$AD$2:$AD$355,MATCH($C579,Deals!$A$2:$A$355,0)),0))</f>
        <v/>
      </c>
      <c r="AC579" s="32">
        <f>IF(Settings!$B$4="Yes",$I579*$AB579,$I579)</f>
        <v/>
      </c>
      <c r="AD579" s="22">
        <f>IF($C579="","",IFERROR(IF(INDEX(Deals!$AE$2:$AE$355,MATCH($C579,Deals!$A$2:$A$355,0))=0,"",INDEX(Deals!$AE$2:$AE$355,MATCH($C579,Deals!$A$2:$A$355,0))),""))</f>
        <v/>
      </c>
      <c r="AE579" s="22">
        <f>IF($C579="","",IFERROR(IF(INDEX(Deals!$AF$2:$AF$355,MATCH($C579,Deals!$A$2:$A$355,0))=0,"",INDEX(Deals!$AF$2:$AF$355,MATCH($C579,Deals!$A$2:$A$355,0))),""))</f>
        <v/>
      </c>
      <c r="AF579" s="35">
        <f>IF($AD579="",DATE(1900,1,1),$AD579)</f>
        <v/>
      </c>
      <c r="AG579" s="35">
        <f>IF($AE579="",DATE(2100,12,31),$AE579)</f>
        <v/>
      </c>
      <c r="AH579" s="22">
        <f>IF($C579="","",IFERROR(IF(INDEX(Deals!$AG$2:$AG$355,MATCH($C579,Deals!$A$2:$A$355,0))=0,"",INDEX(Deals!$AG$2:$AG$355,MATCH($C579,Deals!$A$2:$A$355,0))),""))</f>
        <v/>
      </c>
      <c r="AI579" s="35">
        <f>IF($AH579="",DATE(1900,1,1),$AF579)</f>
        <v/>
      </c>
      <c r="AJ579" s="35">
        <f>IF($AH579="",DATE(2100,12,31),$AH579)</f>
        <v/>
      </c>
      <c r="AK579" s="32">
        <f>IF($AH579="",$AC579,$AC579*$S579)</f>
        <v/>
      </c>
      <c r="AL579" s="35">
        <f>IF($AH579="",DATE(2100,12,31),$AH579+1)</f>
        <v/>
      </c>
      <c r="AM579" s="35">
        <f>IF($AH579="",DATE(1900,1,1),$AG579)</f>
        <v/>
      </c>
      <c r="AN579" s="32">
        <f>IF($AH579="",0,$AC579*$T579)</f>
        <v/>
      </c>
    </row>
    <row r="580">
      <c r="A580" s="28" t="inlineStr">
        <is>
          <t>Dorian</t>
        </is>
      </c>
      <c r="B580" s="16">
        <f>IF($A580="","",IFERROR(INDEX(Roster!$B$2:$B$40,MATCH($A580,Roster!$A$2:$A$40,0)),"?"))</f>
        <v/>
      </c>
      <c r="C580" s="28" t="inlineStr">
        <is>
          <t>Vega_1</t>
        </is>
      </c>
      <c r="D580" s="16">
        <f>IF($C580="","",IFERROR(IF(INDEX(Deals!$C$2:$C$355,MATCH($C580,Deals!$A$2:$A$355,0))=0,"",INDEX(Deals!$C$2:$C$355,MATCH($C580,Deals!$A$2:$A$355,0))),"?"))</f>
        <v/>
      </c>
      <c r="E580" s="16">
        <f>IF($C580="","",IFERROR(INDEX(Deals!$F$2:$F$355,MATCH($C580,Deals!$A$2:$A$355,0)),"?"))</f>
        <v/>
      </c>
      <c r="F580" s="28" t="inlineStr">
        <is>
          <t>Renewable Specialist</t>
        </is>
      </c>
      <c r="G580" s="28" t="inlineStr">
        <is>
          <t>Active</t>
        </is>
      </c>
      <c r="H580" s="31" t="n"/>
      <c r="I580" s="32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1">
        <f>IF($C580="",0,IFERROR(INDEX(Deals!$H$2:$H$355,MATCH($C580,Deals!$A$2:$A$355,0)),0))</f>
        <v/>
      </c>
      <c r="K580" s="32">
        <f>IF(Settings!$B$4="Yes",$I580*$J580,$I580)</f>
        <v/>
      </c>
      <c r="L580" s="22">
        <f>IF($C580="","",IFERROR(IF(INDEX(Deals!$I$2:$I$355,MATCH($C580,Deals!$A$2:$A$355,0))=0,"",INDEX(Deals!$I$2:$I$355,MATCH($C580,Deals!$A$2:$A$355,0))),""))</f>
        <v/>
      </c>
      <c r="M580" s="22">
        <f>IF($C580="","",IFERROR(IF(INDEX(Deals!$J$2:$J$355,MATCH($C580,Deals!$A$2:$A$355,0))=0,"",INDEX(Deals!$J$2:$J$355,MATCH($C580,Deals!$A$2:$A$355,0))),""))</f>
        <v/>
      </c>
      <c r="N580" s="35">
        <f>IF($L580="",DATE(1900,1,1),$L580)</f>
        <v/>
      </c>
      <c r="O580" s="35">
        <f>IF($M580="",DATE(2100,12,31),$M580)</f>
        <v/>
      </c>
      <c r="P580" s="20" t="inlineStr"/>
      <c r="Q580" s="43" t="inlineStr"/>
      <c r="R580" s="16">
        <f>IF($C580="","",IFERROR(IF(INDEX(Deals!$U$2:$U$355,MATCH($C580,Deals!$A$2:$A$355,0))=0,"",INDEX(Deals!$U$2:$U$355,MATCH($C580,Deals!$A$2:$A$355,0))),""))</f>
        <v/>
      </c>
      <c r="S580" s="34">
        <f>IFERROR(IF($U580="",1,INDEX(Deals!$V$2:$V$355,MATCH($C580,Deals!$A$2:$A$355,0))),1)</f>
        <v/>
      </c>
      <c r="T580" s="34">
        <f>IFERROR(IF($U580="",1,INDEX(Deals!$W$2:$W$355,MATCH($C580,Deals!$A$2:$A$355,0))),1)</f>
        <v/>
      </c>
      <c r="U580" s="22">
        <f>IF($C580="","",IFERROR(IF(INDEX(Deals!$Y$2:$Y$355,MATCH($C580,Deals!$A$2:$A$355,0))=0,"",INDEX(Deals!$Y$2:$Y$355,MATCH($C580,Deals!$A$2:$A$355,0))),""))</f>
        <v/>
      </c>
      <c r="V580" s="35">
        <f>IF($U580="",DATE(1900,1,1),$N580)</f>
        <v/>
      </c>
      <c r="W580" s="35">
        <f>IF($U580="",DATE(2100,12,31),$U580)</f>
        <v/>
      </c>
      <c r="X580" s="32">
        <f>IF($U580="",$K580,$K580*$S580)</f>
        <v/>
      </c>
      <c r="Y580" s="35">
        <f>IF($U580="",DATE(2100,12,31),$U580+1)</f>
        <v/>
      </c>
      <c r="Z580" s="35">
        <f>IF($U580="",DATE(1900,1,1),$O580)</f>
        <v/>
      </c>
      <c r="AA580" s="32">
        <f>IF($U580="",0,$K580*$T580)</f>
        <v/>
      </c>
      <c r="AB580" s="21">
        <f>IF($C580="",0,IFERROR(INDEX(Deals!$AD$2:$AD$355,MATCH($C580,Deals!$A$2:$A$355,0)),0))</f>
        <v/>
      </c>
      <c r="AC580" s="32">
        <f>IF(Settings!$B$4="Yes",$I580*$AB580,$I580)</f>
        <v/>
      </c>
      <c r="AD580" s="22">
        <f>IF($C580="","",IFERROR(IF(INDEX(Deals!$AE$2:$AE$355,MATCH($C580,Deals!$A$2:$A$355,0))=0,"",INDEX(Deals!$AE$2:$AE$355,MATCH($C580,Deals!$A$2:$A$355,0))),""))</f>
        <v/>
      </c>
      <c r="AE580" s="22">
        <f>IF($C580="","",IFERROR(IF(INDEX(Deals!$AF$2:$AF$355,MATCH($C580,Deals!$A$2:$A$355,0))=0,"",INDEX(Deals!$AF$2:$AF$355,MATCH($C580,Deals!$A$2:$A$355,0))),""))</f>
        <v/>
      </c>
      <c r="AF580" s="35">
        <f>IF($AD580="",DATE(1900,1,1),$AD580)</f>
        <v/>
      </c>
      <c r="AG580" s="35">
        <f>IF($AE580="",DATE(2100,12,31),$AE580)</f>
        <v/>
      </c>
      <c r="AH580" s="22">
        <f>IF($C580="","",IFERROR(IF(INDEX(Deals!$AG$2:$AG$355,MATCH($C580,Deals!$A$2:$A$355,0))=0,"",INDEX(Deals!$AG$2:$AG$355,MATCH($C580,Deals!$A$2:$A$355,0))),""))</f>
        <v/>
      </c>
      <c r="AI580" s="35">
        <f>IF($AH580="",DATE(1900,1,1),$AF580)</f>
        <v/>
      </c>
      <c r="AJ580" s="35">
        <f>IF($AH580="",DATE(2100,12,31),$AH580)</f>
        <v/>
      </c>
      <c r="AK580" s="32">
        <f>IF($AH580="",$AC580,$AC580*$S580)</f>
        <v/>
      </c>
      <c r="AL580" s="35">
        <f>IF($AH580="",DATE(2100,12,31),$AH580+1)</f>
        <v/>
      </c>
      <c r="AM580" s="35">
        <f>IF($AH580="",DATE(1900,1,1),$AG580)</f>
        <v/>
      </c>
      <c r="AN580" s="32">
        <f>IF($AH580="",0,$AC580*$T580)</f>
        <v/>
      </c>
    </row>
    <row r="581">
      <c r="A581" s="28" t="inlineStr">
        <is>
          <t>Dorian</t>
        </is>
      </c>
      <c r="B581" s="16">
        <f>IF($A581="","",IFERROR(INDEX(Roster!$B$2:$B$40,MATCH($A581,Roster!$A$2:$A$40,0)),"?"))</f>
        <v/>
      </c>
      <c r="C581" s="28" t="inlineStr">
        <is>
          <t>Whale_3</t>
        </is>
      </c>
      <c r="D581" s="16">
        <f>IF($C581="","",IFERROR(IF(INDEX(Deals!$C$2:$C$355,MATCH($C581,Deals!$A$2:$A$355,0))=0,"",INDEX(Deals!$C$2:$C$355,MATCH($C581,Deals!$A$2:$A$355,0))),"?"))</f>
        <v/>
      </c>
      <c r="E581" s="16">
        <f>IF($C581="","",IFERROR(INDEX(Deals!$F$2:$F$355,MATCH($C581,Deals!$A$2:$A$355,0)),"?"))</f>
        <v/>
      </c>
      <c r="F581" s="28" t="inlineStr">
        <is>
          <t>Renewable Specialist</t>
        </is>
      </c>
      <c r="G581" s="28" t="inlineStr">
        <is>
          <t>Active</t>
        </is>
      </c>
      <c r="H581" s="31" t="n"/>
      <c r="I581" s="32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1">
        <f>IF($C581="",0,IFERROR(INDEX(Deals!$H$2:$H$355,MATCH($C581,Deals!$A$2:$A$355,0)),0))</f>
        <v/>
      </c>
      <c r="K581" s="32">
        <f>IF(Settings!$B$4="Yes",$I581*$J581,$I581)</f>
        <v/>
      </c>
      <c r="L581" s="22">
        <f>IF($C581="","",IFERROR(IF(INDEX(Deals!$I$2:$I$355,MATCH($C581,Deals!$A$2:$A$355,0))=0,"",INDEX(Deals!$I$2:$I$355,MATCH($C581,Deals!$A$2:$A$355,0))),""))</f>
        <v/>
      </c>
      <c r="M581" s="22">
        <f>IF($C581="","",IFERROR(IF(INDEX(Deals!$J$2:$J$355,MATCH($C581,Deals!$A$2:$A$355,0))=0,"",INDEX(Deals!$J$2:$J$355,MATCH($C581,Deals!$A$2:$A$355,0))),""))</f>
        <v/>
      </c>
      <c r="N581" s="35">
        <f>IF($L581="",DATE(1900,1,1),$L581)</f>
        <v/>
      </c>
      <c r="O581" s="35">
        <f>IF($M581="",DATE(2100,12,31),$M581)</f>
        <v/>
      </c>
      <c r="P581" s="20" t="inlineStr"/>
      <c r="Q581" s="43" t="inlineStr"/>
      <c r="R581" s="16">
        <f>IF($C581="","",IFERROR(IF(INDEX(Deals!$U$2:$U$355,MATCH($C581,Deals!$A$2:$A$355,0))=0,"",INDEX(Deals!$U$2:$U$355,MATCH($C581,Deals!$A$2:$A$355,0))),""))</f>
        <v/>
      </c>
      <c r="S581" s="34">
        <f>IFERROR(IF($U581="",1,INDEX(Deals!$V$2:$V$355,MATCH($C581,Deals!$A$2:$A$355,0))),1)</f>
        <v/>
      </c>
      <c r="T581" s="34">
        <f>IFERROR(IF($U581="",1,INDEX(Deals!$W$2:$W$355,MATCH($C581,Deals!$A$2:$A$355,0))),1)</f>
        <v/>
      </c>
      <c r="U581" s="22">
        <f>IF($C581="","",IFERROR(IF(INDEX(Deals!$Y$2:$Y$355,MATCH($C581,Deals!$A$2:$A$355,0))=0,"",INDEX(Deals!$Y$2:$Y$355,MATCH($C581,Deals!$A$2:$A$355,0))),""))</f>
        <v/>
      </c>
      <c r="V581" s="35">
        <f>IF($U581="",DATE(1900,1,1),$N581)</f>
        <v/>
      </c>
      <c r="W581" s="35">
        <f>IF($U581="",DATE(2100,12,31),$U581)</f>
        <v/>
      </c>
      <c r="X581" s="32">
        <f>IF($U581="",$K581,$K581*$S581)</f>
        <v/>
      </c>
      <c r="Y581" s="35">
        <f>IF($U581="",DATE(2100,12,31),$U581+1)</f>
        <v/>
      </c>
      <c r="Z581" s="35">
        <f>IF($U581="",DATE(1900,1,1),$O581)</f>
        <v/>
      </c>
      <c r="AA581" s="32">
        <f>IF($U581="",0,$K581*$T581)</f>
        <v/>
      </c>
      <c r="AB581" s="21">
        <f>IF($C581="",0,IFERROR(INDEX(Deals!$AD$2:$AD$355,MATCH($C581,Deals!$A$2:$A$355,0)),0))</f>
        <v/>
      </c>
      <c r="AC581" s="32">
        <f>IF(Settings!$B$4="Yes",$I581*$AB581,$I581)</f>
        <v/>
      </c>
      <c r="AD581" s="22">
        <f>IF($C581="","",IFERROR(IF(INDEX(Deals!$AE$2:$AE$355,MATCH($C581,Deals!$A$2:$A$355,0))=0,"",INDEX(Deals!$AE$2:$AE$355,MATCH($C581,Deals!$A$2:$A$355,0))),""))</f>
        <v/>
      </c>
      <c r="AE581" s="22">
        <f>IF($C581="","",IFERROR(IF(INDEX(Deals!$AF$2:$AF$355,MATCH($C581,Deals!$A$2:$A$355,0))=0,"",INDEX(Deals!$AF$2:$AF$355,MATCH($C581,Deals!$A$2:$A$355,0))),""))</f>
        <v/>
      </c>
      <c r="AF581" s="35">
        <f>IF($AD581="",DATE(1900,1,1),$AD581)</f>
        <v/>
      </c>
      <c r="AG581" s="35">
        <f>IF($AE581="",DATE(2100,12,31),$AE581)</f>
        <v/>
      </c>
      <c r="AH581" s="22">
        <f>IF($C581="","",IFERROR(IF(INDEX(Deals!$AG$2:$AG$355,MATCH($C581,Deals!$A$2:$A$355,0))=0,"",INDEX(Deals!$AG$2:$AG$355,MATCH($C581,Deals!$A$2:$A$355,0))),""))</f>
        <v/>
      </c>
      <c r="AI581" s="35">
        <f>IF($AH581="",DATE(1900,1,1),$AF581)</f>
        <v/>
      </c>
      <c r="AJ581" s="35">
        <f>IF($AH581="",DATE(2100,12,31),$AH581)</f>
        <v/>
      </c>
      <c r="AK581" s="32">
        <f>IF($AH581="",$AC581,$AC581*$S581)</f>
        <v/>
      </c>
      <c r="AL581" s="35">
        <f>IF($AH581="",DATE(2100,12,31),$AH581+1)</f>
        <v/>
      </c>
      <c r="AM581" s="35">
        <f>IF($AH581="",DATE(1900,1,1),$AG581)</f>
        <v/>
      </c>
      <c r="AN581" s="32">
        <f>IF($AH581="",0,$AC581*$T581)</f>
        <v/>
      </c>
    </row>
    <row r="582">
      <c r="A582" s="28" t="inlineStr">
        <is>
          <t>Dorian</t>
        </is>
      </c>
      <c r="B582" s="16">
        <f>IF($A582="","",IFERROR(INDEX(Roster!$B$2:$B$40,MATCH($A582,Roster!$A$2:$A$40,0)),"?"))</f>
        <v/>
      </c>
      <c r="C582" s="28" t="inlineStr">
        <is>
          <t>Zora_1</t>
        </is>
      </c>
      <c r="D582" s="16">
        <f>IF($C582="","",IFERROR(IF(INDEX(Deals!$C$2:$C$355,MATCH($C582,Deals!$A$2:$A$355,0))=0,"",INDEX(Deals!$C$2:$C$355,MATCH($C582,Deals!$A$2:$A$355,0))),"?"))</f>
        <v/>
      </c>
      <c r="E582" s="16">
        <f>IF($C582="","",IFERROR(INDEX(Deals!$F$2:$F$355,MATCH($C582,Deals!$A$2:$A$355,0)),"?"))</f>
        <v/>
      </c>
      <c r="F582" s="28" t="inlineStr">
        <is>
          <t>Renewable Specialist</t>
        </is>
      </c>
      <c r="G582" s="28" t="inlineStr">
        <is>
          <t>Active</t>
        </is>
      </c>
      <c r="H582" s="31" t="n"/>
      <c r="I582" s="32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1">
        <f>IF($C582="",0,IFERROR(INDEX(Deals!$H$2:$H$355,MATCH($C582,Deals!$A$2:$A$355,0)),0))</f>
        <v/>
      </c>
      <c r="K582" s="32">
        <f>IF(Settings!$B$4="Yes",$I582*$J582,$I582)</f>
        <v/>
      </c>
      <c r="L582" s="22">
        <f>IF($C582="","",IFERROR(IF(INDEX(Deals!$I$2:$I$355,MATCH($C582,Deals!$A$2:$A$355,0))=0,"",INDEX(Deals!$I$2:$I$355,MATCH($C582,Deals!$A$2:$A$355,0))),""))</f>
        <v/>
      </c>
      <c r="M582" s="22">
        <f>IF($C582="","",IFERROR(IF(INDEX(Deals!$J$2:$J$355,MATCH($C582,Deals!$A$2:$A$355,0))=0,"",INDEX(Deals!$J$2:$J$355,MATCH($C582,Deals!$A$2:$A$355,0))),""))</f>
        <v/>
      </c>
      <c r="N582" s="35">
        <f>IF($L582="",DATE(1900,1,1),$L582)</f>
        <v/>
      </c>
      <c r="O582" s="35">
        <f>IF($M582="",DATE(2100,12,31),$M582)</f>
        <v/>
      </c>
      <c r="P582" s="20" t="inlineStr"/>
      <c r="Q582" s="43" t="inlineStr"/>
      <c r="R582" s="16">
        <f>IF($C582="","",IFERROR(IF(INDEX(Deals!$U$2:$U$355,MATCH($C582,Deals!$A$2:$A$355,0))=0,"",INDEX(Deals!$U$2:$U$355,MATCH($C582,Deals!$A$2:$A$355,0))),""))</f>
        <v/>
      </c>
      <c r="S582" s="34">
        <f>IFERROR(IF($U582="",1,INDEX(Deals!$V$2:$V$355,MATCH($C582,Deals!$A$2:$A$355,0))),1)</f>
        <v/>
      </c>
      <c r="T582" s="34">
        <f>IFERROR(IF($U582="",1,INDEX(Deals!$W$2:$W$355,MATCH($C582,Deals!$A$2:$A$355,0))),1)</f>
        <v/>
      </c>
      <c r="U582" s="22">
        <f>IF($C582="","",IFERROR(IF(INDEX(Deals!$Y$2:$Y$355,MATCH($C582,Deals!$A$2:$A$355,0))=0,"",INDEX(Deals!$Y$2:$Y$355,MATCH($C582,Deals!$A$2:$A$355,0))),""))</f>
        <v/>
      </c>
      <c r="V582" s="35">
        <f>IF($U582="",DATE(1900,1,1),$N582)</f>
        <v/>
      </c>
      <c r="W582" s="35">
        <f>IF($U582="",DATE(2100,12,31),$U582)</f>
        <v/>
      </c>
      <c r="X582" s="32">
        <f>IF($U582="",$K582,$K582*$S582)</f>
        <v/>
      </c>
      <c r="Y582" s="35">
        <f>IF($U582="",DATE(2100,12,31),$U582+1)</f>
        <v/>
      </c>
      <c r="Z582" s="35">
        <f>IF($U582="",DATE(1900,1,1),$O582)</f>
        <v/>
      </c>
      <c r="AA582" s="32">
        <f>IF($U582="",0,$K582*$T582)</f>
        <v/>
      </c>
      <c r="AB582" s="21">
        <f>IF($C582="",0,IFERROR(INDEX(Deals!$AD$2:$AD$355,MATCH($C582,Deals!$A$2:$A$355,0)),0))</f>
        <v/>
      </c>
      <c r="AC582" s="32">
        <f>IF(Settings!$B$4="Yes",$I582*$AB582,$I582)</f>
        <v/>
      </c>
      <c r="AD582" s="22">
        <f>IF($C582="","",IFERROR(IF(INDEX(Deals!$AE$2:$AE$355,MATCH($C582,Deals!$A$2:$A$355,0))=0,"",INDEX(Deals!$AE$2:$AE$355,MATCH($C582,Deals!$A$2:$A$355,0))),""))</f>
        <v/>
      </c>
      <c r="AE582" s="22">
        <f>IF($C582="","",IFERROR(IF(INDEX(Deals!$AF$2:$AF$355,MATCH($C582,Deals!$A$2:$A$355,0))=0,"",INDEX(Deals!$AF$2:$AF$355,MATCH($C582,Deals!$A$2:$A$355,0))),""))</f>
        <v/>
      </c>
      <c r="AF582" s="35">
        <f>IF($AD582="",DATE(1900,1,1),$AD582)</f>
        <v/>
      </c>
      <c r="AG582" s="35">
        <f>IF($AE582="",DATE(2100,12,31),$AE582)</f>
        <v/>
      </c>
      <c r="AH582" s="22">
        <f>IF($C582="","",IFERROR(IF(INDEX(Deals!$AG$2:$AG$355,MATCH($C582,Deals!$A$2:$A$355,0))=0,"",INDEX(Deals!$AG$2:$AG$355,MATCH($C582,Deals!$A$2:$A$355,0))),""))</f>
        <v/>
      </c>
      <c r="AI582" s="35">
        <f>IF($AH582="",DATE(1900,1,1),$AF582)</f>
        <v/>
      </c>
      <c r="AJ582" s="35">
        <f>IF($AH582="",DATE(2100,12,31),$AH582)</f>
        <v/>
      </c>
      <c r="AK582" s="32">
        <f>IF($AH582="",$AC582,$AC582*$S582)</f>
        <v/>
      </c>
      <c r="AL582" s="35">
        <f>IF($AH582="",DATE(2100,12,31),$AH582+1)</f>
        <v/>
      </c>
      <c r="AM582" s="35">
        <f>IF($AH582="",DATE(1900,1,1),$AG582)</f>
        <v/>
      </c>
      <c r="AN582" s="32">
        <f>IF($AH582="",0,$AC582*$T582)</f>
        <v/>
      </c>
    </row>
    <row r="583">
      <c r="A583" s="28" t="inlineStr">
        <is>
          <t>Yiyi</t>
        </is>
      </c>
      <c r="B583" s="16">
        <f>IF($A583="","",IFERROR(INDEX(Roster!$B$2:$B$40,MATCH($A583,Roster!$A$2:$A$40,0)),"?"))</f>
        <v/>
      </c>
      <c r="C583" s="28" t="inlineStr">
        <is>
          <t>80/20 Assistance_1</t>
        </is>
      </c>
      <c r="D583" s="16">
        <f>IF($C583="","",IFERROR(IF(INDEX(Deals!$C$2:$C$355,MATCH($C583,Deals!$A$2:$A$355,0))=0,"",INDEX(Deals!$C$2:$C$355,MATCH($C583,Deals!$A$2:$A$355,0))),"?"))</f>
        <v/>
      </c>
      <c r="E583" s="16">
        <f>IF($C583="","",IFERROR(INDEX(Deals!$F$2:$F$355,MATCH($C583,Deals!$A$2:$A$355,0)),"?"))</f>
        <v/>
      </c>
      <c r="F583" s="28" t="inlineStr">
        <is>
          <t>Renewable Specialist</t>
        </is>
      </c>
      <c r="G583" s="28" t="inlineStr">
        <is>
          <t>Active</t>
        </is>
      </c>
      <c r="H583" s="31" t="n"/>
      <c r="I583" s="32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1">
        <f>IF($C583="",0,IFERROR(INDEX(Deals!$H$2:$H$355,MATCH($C583,Deals!$A$2:$A$355,0)),0))</f>
        <v/>
      </c>
      <c r="K583" s="32">
        <f>IF(Settings!$B$4="Yes",$I583*$J583,$I583)</f>
        <v/>
      </c>
      <c r="L583" s="22">
        <f>IF($C583="","",IFERROR(IF(INDEX(Deals!$I$2:$I$355,MATCH($C583,Deals!$A$2:$A$355,0))=0,"",INDEX(Deals!$I$2:$I$355,MATCH($C583,Deals!$A$2:$A$355,0))),""))</f>
        <v/>
      </c>
      <c r="M583" s="22">
        <f>IF($C583="","",IFERROR(IF(INDEX(Deals!$J$2:$J$355,MATCH($C583,Deals!$A$2:$A$355,0))=0,"",INDEX(Deals!$J$2:$J$355,MATCH($C583,Deals!$A$2:$A$355,0))),""))</f>
        <v/>
      </c>
      <c r="N583" s="35">
        <f>IF($L583="",DATE(1900,1,1),$L583)</f>
        <v/>
      </c>
      <c r="O583" s="35">
        <f>IF($M583="",DATE(2100,12,31),$M583)</f>
        <v/>
      </c>
      <c r="P583" s="20" t="inlineStr"/>
      <c r="Q583" s="43" t="inlineStr"/>
      <c r="R583" s="16">
        <f>IF($C583="","",IFERROR(IF(INDEX(Deals!$U$2:$U$355,MATCH($C583,Deals!$A$2:$A$355,0))=0,"",INDEX(Deals!$U$2:$U$355,MATCH($C583,Deals!$A$2:$A$355,0))),""))</f>
        <v/>
      </c>
      <c r="S583" s="34">
        <f>IFERROR(IF($U583="",1,INDEX(Deals!$V$2:$V$355,MATCH($C583,Deals!$A$2:$A$355,0))),1)</f>
        <v/>
      </c>
      <c r="T583" s="34">
        <f>IFERROR(IF($U583="",1,INDEX(Deals!$W$2:$W$355,MATCH($C583,Deals!$A$2:$A$355,0))),1)</f>
        <v/>
      </c>
      <c r="U583" s="22">
        <f>IF($C583="","",IFERROR(IF(INDEX(Deals!$Y$2:$Y$355,MATCH($C583,Deals!$A$2:$A$355,0))=0,"",INDEX(Deals!$Y$2:$Y$355,MATCH($C583,Deals!$A$2:$A$355,0))),""))</f>
        <v/>
      </c>
      <c r="V583" s="35">
        <f>IF($U583="",DATE(1900,1,1),$N583)</f>
        <v/>
      </c>
      <c r="W583" s="35">
        <f>IF($U583="",DATE(2100,12,31),$U583)</f>
        <v/>
      </c>
      <c r="X583" s="32">
        <f>IF($U583="",$K583,$K583*$S583)</f>
        <v/>
      </c>
      <c r="Y583" s="35">
        <f>IF($U583="",DATE(2100,12,31),$U583+1)</f>
        <v/>
      </c>
      <c r="Z583" s="35">
        <f>IF($U583="",DATE(1900,1,1),$O583)</f>
        <v/>
      </c>
      <c r="AA583" s="32">
        <f>IF($U583="",0,$K583*$T583)</f>
        <v/>
      </c>
      <c r="AB583" s="21">
        <f>IF($C583="",0,IFERROR(INDEX(Deals!$AD$2:$AD$355,MATCH($C583,Deals!$A$2:$A$355,0)),0))</f>
        <v/>
      </c>
      <c r="AC583" s="32">
        <f>IF(Settings!$B$4="Yes",$I583*$AB583,$I583)</f>
        <v/>
      </c>
      <c r="AD583" s="22">
        <f>IF($C583="","",IFERROR(IF(INDEX(Deals!$AE$2:$AE$355,MATCH($C583,Deals!$A$2:$A$355,0))=0,"",INDEX(Deals!$AE$2:$AE$355,MATCH($C583,Deals!$A$2:$A$355,0))),""))</f>
        <v/>
      </c>
      <c r="AE583" s="22">
        <f>IF($C583="","",IFERROR(IF(INDEX(Deals!$AF$2:$AF$355,MATCH($C583,Deals!$A$2:$A$355,0))=0,"",INDEX(Deals!$AF$2:$AF$355,MATCH($C583,Deals!$A$2:$A$355,0))),""))</f>
        <v/>
      </c>
      <c r="AF583" s="35">
        <f>IF($AD583="",DATE(1900,1,1),$AD583)</f>
        <v/>
      </c>
      <c r="AG583" s="35">
        <f>IF($AE583="",DATE(2100,12,31),$AE583)</f>
        <v/>
      </c>
      <c r="AH583" s="22">
        <f>IF($C583="","",IFERROR(IF(INDEX(Deals!$AG$2:$AG$355,MATCH($C583,Deals!$A$2:$A$355,0))=0,"",INDEX(Deals!$AG$2:$AG$355,MATCH($C583,Deals!$A$2:$A$355,0))),""))</f>
        <v/>
      </c>
      <c r="AI583" s="35">
        <f>IF($AH583="",DATE(1900,1,1),$AF583)</f>
        <v/>
      </c>
      <c r="AJ583" s="35">
        <f>IF($AH583="",DATE(2100,12,31),$AH583)</f>
        <v/>
      </c>
      <c r="AK583" s="32">
        <f>IF($AH583="",$AC583,$AC583*$S583)</f>
        <v/>
      </c>
      <c r="AL583" s="35">
        <f>IF($AH583="",DATE(2100,12,31),$AH583+1)</f>
        <v/>
      </c>
      <c r="AM583" s="35">
        <f>IF($AH583="",DATE(1900,1,1),$AG583)</f>
        <v/>
      </c>
      <c r="AN583" s="32">
        <f>IF($AH583="",0,$AC583*$T583)</f>
        <v/>
      </c>
    </row>
    <row r="584">
      <c r="A584" s="28" t="inlineStr">
        <is>
          <t>Yiyi</t>
        </is>
      </c>
      <c r="B584" s="16">
        <f>IF($A584="","",IFERROR(INDEX(Roster!$B$2:$B$40,MATCH($A584,Roster!$A$2:$A$40,0)),"?"))</f>
        <v/>
      </c>
      <c r="C584" s="28" t="inlineStr">
        <is>
          <t>Amp_1</t>
        </is>
      </c>
      <c r="D584" s="16">
        <f>IF($C584="","",IFERROR(IF(INDEX(Deals!$C$2:$C$355,MATCH($C584,Deals!$A$2:$A$355,0))=0,"",INDEX(Deals!$C$2:$C$355,MATCH($C584,Deals!$A$2:$A$355,0))),"?"))</f>
        <v/>
      </c>
      <c r="E584" s="16">
        <f>IF($C584="","",IFERROR(INDEX(Deals!$F$2:$F$355,MATCH($C584,Deals!$A$2:$A$355,0)),"?"))</f>
        <v/>
      </c>
      <c r="F584" s="28" t="inlineStr">
        <is>
          <t>Renewable Specialist</t>
        </is>
      </c>
      <c r="G584" s="28" t="inlineStr">
        <is>
          <t>Active</t>
        </is>
      </c>
      <c r="H584" s="31" t="n"/>
      <c r="I584" s="32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1">
        <f>IF($C584="",0,IFERROR(INDEX(Deals!$H$2:$H$355,MATCH($C584,Deals!$A$2:$A$355,0)),0))</f>
        <v/>
      </c>
      <c r="K584" s="32">
        <f>IF(Settings!$B$4="Yes",$I584*$J584,$I584)</f>
        <v/>
      </c>
      <c r="L584" s="22">
        <f>IF($C584="","",IFERROR(IF(INDEX(Deals!$I$2:$I$355,MATCH($C584,Deals!$A$2:$A$355,0))=0,"",INDEX(Deals!$I$2:$I$355,MATCH($C584,Deals!$A$2:$A$355,0))),""))</f>
        <v/>
      </c>
      <c r="M584" s="22">
        <f>IF($C584="","",IFERROR(IF(INDEX(Deals!$J$2:$J$355,MATCH($C584,Deals!$A$2:$A$355,0))=0,"",INDEX(Deals!$J$2:$J$355,MATCH($C584,Deals!$A$2:$A$355,0))),""))</f>
        <v/>
      </c>
      <c r="N584" s="35">
        <f>IF($L584="",DATE(1900,1,1),$L584)</f>
        <v/>
      </c>
      <c r="O584" s="35">
        <f>IF($M584="",DATE(2100,12,31),$M584)</f>
        <v/>
      </c>
      <c r="P584" s="20" t="inlineStr"/>
      <c r="Q584" s="43" t="inlineStr"/>
      <c r="R584" s="16">
        <f>IF($C584="","",IFERROR(IF(INDEX(Deals!$U$2:$U$355,MATCH($C584,Deals!$A$2:$A$355,0))=0,"",INDEX(Deals!$U$2:$U$355,MATCH($C584,Deals!$A$2:$A$355,0))),""))</f>
        <v/>
      </c>
      <c r="S584" s="34">
        <f>IFERROR(IF($U584="",1,INDEX(Deals!$V$2:$V$355,MATCH($C584,Deals!$A$2:$A$355,0))),1)</f>
        <v/>
      </c>
      <c r="T584" s="34">
        <f>IFERROR(IF($U584="",1,INDEX(Deals!$W$2:$W$355,MATCH($C584,Deals!$A$2:$A$355,0))),1)</f>
        <v/>
      </c>
      <c r="U584" s="22">
        <f>IF($C584="","",IFERROR(IF(INDEX(Deals!$Y$2:$Y$355,MATCH($C584,Deals!$A$2:$A$355,0))=0,"",INDEX(Deals!$Y$2:$Y$355,MATCH($C584,Deals!$A$2:$A$355,0))),""))</f>
        <v/>
      </c>
      <c r="V584" s="35">
        <f>IF($U584="",DATE(1900,1,1),$N584)</f>
        <v/>
      </c>
      <c r="W584" s="35">
        <f>IF($U584="",DATE(2100,12,31),$U584)</f>
        <v/>
      </c>
      <c r="X584" s="32">
        <f>IF($U584="",$K584,$K584*$S584)</f>
        <v/>
      </c>
      <c r="Y584" s="35">
        <f>IF($U584="",DATE(2100,12,31),$U584+1)</f>
        <v/>
      </c>
      <c r="Z584" s="35">
        <f>IF($U584="",DATE(1900,1,1),$O584)</f>
        <v/>
      </c>
      <c r="AA584" s="32">
        <f>IF($U584="",0,$K584*$T584)</f>
        <v/>
      </c>
      <c r="AB584" s="21">
        <f>IF($C584="",0,IFERROR(INDEX(Deals!$AD$2:$AD$355,MATCH($C584,Deals!$A$2:$A$355,0)),0))</f>
        <v/>
      </c>
      <c r="AC584" s="32">
        <f>IF(Settings!$B$4="Yes",$I584*$AB584,$I584)</f>
        <v/>
      </c>
      <c r="AD584" s="22">
        <f>IF($C584="","",IFERROR(IF(INDEX(Deals!$AE$2:$AE$355,MATCH($C584,Deals!$A$2:$A$355,0))=0,"",INDEX(Deals!$AE$2:$AE$355,MATCH($C584,Deals!$A$2:$A$355,0))),""))</f>
        <v/>
      </c>
      <c r="AE584" s="22">
        <f>IF($C584="","",IFERROR(IF(INDEX(Deals!$AF$2:$AF$355,MATCH($C584,Deals!$A$2:$A$355,0))=0,"",INDEX(Deals!$AF$2:$AF$355,MATCH($C584,Deals!$A$2:$A$355,0))),""))</f>
        <v/>
      </c>
      <c r="AF584" s="35">
        <f>IF($AD584="",DATE(1900,1,1),$AD584)</f>
        <v/>
      </c>
      <c r="AG584" s="35">
        <f>IF($AE584="",DATE(2100,12,31),$AE584)</f>
        <v/>
      </c>
      <c r="AH584" s="22">
        <f>IF($C584="","",IFERROR(IF(INDEX(Deals!$AG$2:$AG$355,MATCH($C584,Deals!$A$2:$A$355,0))=0,"",INDEX(Deals!$AG$2:$AG$355,MATCH($C584,Deals!$A$2:$A$355,0))),""))</f>
        <v/>
      </c>
      <c r="AI584" s="35">
        <f>IF($AH584="",DATE(1900,1,1),$AF584)</f>
        <v/>
      </c>
      <c r="AJ584" s="35">
        <f>IF($AH584="",DATE(2100,12,31),$AH584)</f>
        <v/>
      </c>
      <c r="AK584" s="32">
        <f>IF($AH584="",$AC584,$AC584*$S584)</f>
        <v/>
      </c>
      <c r="AL584" s="35">
        <f>IF($AH584="",DATE(2100,12,31),$AH584+1)</f>
        <v/>
      </c>
      <c r="AM584" s="35">
        <f>IF($AH584="",DATE(1900,1,1),$AG584)</f>
        <v/>
      </c>
      <c r="AN584" s="32">
        <f>IF($AH584="",0,$AC584*$T584)</f>
        <v/>
      </c>
    </row>
    <row r="585">
      <c r="A585" s="28" t="inlineStr">
        <is>
          <t>Yiyi</t>
        </is>
      </c>
      <c r="B585" s="16">
        <f>IF($A585="","",IFERROR(INDEX(Roster!$B$2:$B$40,MATCH($A585,Roster!$A$2:$A$40,0)),"?"))</f>
        <v/>
      </c>
      <c r="C585" s="28" t="inlineStr">
        <is>
          <t>Big_4</t>
        </is>
      </c>
      <c r="D585" s="16">
        <f>IF($C585="","",IFERROR(IF(INDEX(Deals!$C$2:$C$355,MATCH($C585,Deals!$A$2:$A$355,0))=0,"",INDEX(Deals!$C$2:$C$355,MATCH($C585,Deals!$A$2:$A$355,0))),"?"))</f>
        <v/>
      </c>
      <c r="E585" s="16">
        <f>IF($C585="","",IFERROR(INDEX(Deals!$F$2:$F$355,MATCH($C585,Deals!$A$2:$A$355,0)),"?"))</f>
        <v/>
      </c>
      <c r="F585" s="28" t="inlineStr">
        <is>
          <t>Renewable Specialist</t>
        </is>
      </c>
      <c r="G585" s="28" t="inlineStr">
        <is>
          <t>Active</t>
        </is>
      </c>
      <c r="H585" s="31" t="n"/>
      <c r="I585" s="32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1">
        <f>IF($C585="",0,IFERROR(INDEX(Deals!$H$2:$H$355,MATCH($C585,Deals!$A$2:$A$355,0)),0))</f>
        <v/>
      </c>
      <c r="K585" s="32">
        <f>IF(Settings!$B$4="Yes",$I585*$J585,$I585)</f>
        <v/>
      </c>
      <c r="L585" s="22">
        <f>IF($C585="","",IFERROR(IF(INDEX(Deals!$I$2:$I$355,MATCH($C585,Deals!$A$2:$A$355,0))=0,"",INDEX(Deals!$I$2:$I$355,MATCH($C585,Deals!$A$2:$A$355,0))),""))</f>
        <v/>
      </c>
      <c r="M585" s="22">
        <f>IF($C585="","",IFERROR(IF(INDEX(Deals!$J$2:$J$355,MATCH($C585,Deals!$A$2:$A$355,0))=0,"",INDEX(Deals!$J$2:$J$355,MATCH($C585,Deals!$A$2:$A$355,0))),""))</f>
        <v/>
      </c>
      <c r="N585" s="35">
        <f>IF($L585="",DATE(1900,1,1),$L585)</f>
        <v/>
      </c>
      <c r="O585" s="35">
        <f>IF($M585="",DATE(2100,12,31),$M585)</f>
        <v/>
      </c>
      <c r="P585" s="20" t="inlineStr"/>
      <c r="Q585" s="43" t="inlineStr"/>
      <c r="R585" s="16">
        <f>IF($C585="","",IFERROR(IF(INDEX(Deals!$U$2:$U$355,MATCH($C585,Deals!$A$2:$A$355,0))=0,"",INDEX(Deals!$U$2:$U$355,MATCH($C585,Deals!$A$2:$A$355,0))),""))</f>
        <v/>
      </c>
      <c r="S585" s="34">
        <f>IFERROR(IF($U585="",1,INDEX(Deals!$V$2:$V$355,MATCH($C585,Deals!$A$2:$A$355,0))),1)</f>
        <v/>
      </c>
      <c r="T585" s="34">
        <f>IFERROR(IF($U585="",1,INDEX(Deals!$W$2:$W$355,MATCH($C585,Deals!$A$2:$A$355,0))),1)</f>
        <v/>
      </c>
      <c r="U585" s="22">
        <f>IF($C585="","",IFERROR(IF(INDEX(Deals!$Y$2:$Y$355,MATCH($C585,Deals!$A$2:$A$355,0))=0,"",INDEX(Deals!$Y$2:$Y$355,MATCH($C585,Deals!$A$2:$A$355,0))),""))</f>
        <v/>
      </c>
      <c r="V585" s="35">
        <f>IF($U585="",DATE(1900,1,1),$N585)</f>
        <v/>
      </c>
      <c r="W585" s="35">
        <f>IF($U585="",DATE(2100,12,31),$U585)</f>
        <v/>
      </c>
      <c r="X585" s="32">
        <f>IF($U585="",$K585,$K585*$S585)</f>
        <v/>
      </c>
      <c r="Y585" s="35">
        <f>IF($U585="",DATE(2100,12,31),$U585+1)</f>
        <v/>
      </c>
      <c r="Z585" s="35">
        <f>IF($U585="",DATE(1900,1,1),$O585)</f>
        <v/>
      </c>
      <c r="AA585" s="32">
        <f>IF($U585="",0,$K585*$T585)</f>
        <v/>
      </c>
      <c r="AB585" s="21">
        <f>IF($C585="",0,IFERROR(INDEX(Deals!$AD$2:$AD$355,MATCH($C585,Deals!$A$2:$A$355,0)),0))</f>
        <v/>
      </c>
      <c r="AC585" s="32">
        <f>IF(Settings!$B$4="Yes",$I585*$AB585,$I585)</f>
        <v/>
      </c>
      <c r="AD585" s="22">
        <f>IF($C585="","",IFERROR(IF(INDEX(Deals!$AE$2:$AE$355,MATCH($C585,Deals!$A$2:$A$355,0))=0,"",INDEX(Deals!$AE$2:$AE$355,MATCH($C585,Deals!$A$2:$A$355,0))),""))</f>
        <v/>
      </c>
      <c r="AE585" s="22">
        <f>IF($C585="","",IFERROR(IF(INDEX(Deals!$AF$2:$AF$355,MATCH($C585,Deals!$A$2:$A$355,0))=0,"",INDEX(Deals!$AF$2:$AF$355,MATCH($C585,Deals!$A$2:$A$355,0))),""))</f>
        <v/>
      </c>
      <c r="AF585" s="35">
        <f>IF($AD585="",DATE(1900,1,1),$AD585)</f>
        <v/>
      </c>
      <c r="AG585" s="35">
        <f>IF($AE585="",DATE(2100,12,31),$AE585)</f>
        <v/>
      </c>
      <c r="AH585" s="22">
        <f>IF($C585="","",IFERROR(IF(INDEX(Deals!$AG$2:$AG$355,MATCH($C585,Deals!$A$2:$A$355,0))=0,"",INDEX(Deals!$AG$2:$AG$355,MATCH($C585,Deals!$A$2:$A$355,0))),""))</f>
        <v/>
      </c>
      <c r="AI585" s="35">
        <f>IF($AH585="",DATE(1900,1,1),$AF585)</f>
        <v/>
      </c>
      <c r="AJ585" s="35">
        <f>IF($AH585="",DATE(2100,12,31),$AH585)</f>
        <v/>
      </c>
      <c r="AK585" s="32">
        <f>IF($AH585="",$AC585,$AC585*$S585)</f>
        <v/>
      </c>
      <c r="AL585" s="35">
        <f>IF($AH585="",DATE(2100,12,31),$AH585+1)</f>
        <v/>
      </c>
      <c r="AM585" s="35">
        <f>IF($AH585="",DATE(1900,1,1),$AG585)</f>
        <v/>
      </c>
      <c r="AN585" s="32">
        <f>IF($AH585="",0,$AC585*$T585)</f>
        <v/>
      </c>
    </row>
    <row r="586">
      <c r="A586" s="28" t="inlineStr">
        <is>
          <t>Yiyi</t>
        </is>
      </c>
      <c r="B586" s="16">
        <f>IF($A586="","",IFERROR(INDEX(Roster!$B$2:$B$40,MATCH($A586,Roster!$A$2:$A$40,0)),"?"))</f>
        <v/>
      </c>
      <c r="C586" s="28" t="inlineStr">
        <is>
          <t>Biochar_1</t>
        </is>
      </c>
      <c r="D586" s="16">
        <f>IF($C586="","",IFERROR(IF(INDEX(Deals!$C$2:$C$355,MATCH($C586,Deals!$A$2:$A$355,0))=0,"",INDEX(Deals!$C$2:$C$355,MATCH($C586,Deals!$A$2:$A$355,0))),"?"))</f>
        <v/>
      </c>
      <c r="E586" s="16">
        <f>IF($C586="","",IFERROR(INDEX(Deals!$F$2:$F$355,MATCH($C586,Deals!$A$2:$A$355,0)),"?"))</f>
        <v/>
      </c>
      <c r="F586" s="28" t="inlineStr">
        <is>
          <t>Renewable Specialist</t>
        </is>
      </c>
      <c r="G586" s="28" t="inlineStr">
        <is>
          <t>Active</t>
        </is>
      </c>
      <c r="H586" s="31" t="n"/>
      <c r="I586" s="32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1">
        <f>IF($C586="",0,IFERROR(INDEX(Deals!$H$2:$H$355,MATCH($C586,Deals!$A$2:$A$355,0)),0))</f>
        <v/>
      </c>
      <c r="K586" s="32">
        <f>IF(Settings!$B$4="Yes",$I586*$J586,$I586)</f>
        <v/>
      </c>
      <c r="L586" s="22">
        <f>IF($C586="","",IFERROR(IF(INDEX(Deals!$I$2:$I$355,MATCH($C586,Deals!$A$2:$A$355,0))=0,"",INDEX(Deals!$I$2:$I$355,MATCH($C586,Deals!$A$2:$A$355,0))),""))</f>
        <v/>
      </c>
      <c r="M586" s="22">
        <f>IF($C586="","",IFERROR(IF(INDEX(Deals!$J$2:$J$355,MATCH($C586,Deals!$A$2:$A$355,0))=0,"",INDEX(Deals!$J$2:$J$355,MATCH($C586,Deals!$A$2:$A$355,0))),""))</f>
        <v/>
      </c>
      <c r="N586" s="35">
        <f>IF($L586="",DATE(1900,1,1),$L586)</f>
        <v/>
      </c>
      <c r="O586" s="35">
        <f>IF($M586="",DATE(2100,12,31),$M586)</f>
        <v/>
      </c>
      <c r="P586" s="20" t="inlineStr"/>
      <c r="Q586" s="43" t="inlineStr"/>
      <c r="R586" s="16">
        <f>IF($C586="","",IFERROR(IF(INDEX(Deals!$U$2:$U$355,MATCH($C586,Deals!$A$2:$A$355,0))=0,"",INDEX(Deals!$U$2:$U$355,MATCH($C586,Deals!$A$2:$A$355,0))),""))</f>
        <v/>
      </c>
      <c r="S586" s="34">
        <f>IFERROR(IF($U586="",1,INDEX(Deals!$V$2:$V$355,MATCH($C586,Deals!$A$2:$A$355,0))),1)</f>
        <v/>
      </c>
      <c r="T586" s="34">
        <f>IFERROR(IF($U586="",1,INDEX(Deals!$W$2:$W$355,MATCH($C586,Deals!$A$2:$A$355,0))),1)</f>
        <v/>
      </c>
      <c r="U586" s="22">
        <f>IF($C586="","",IFERROR(IF(INDEX(Deals!$Y$2:$Y$355,MATCH($C586,Deals!$A$2:$A$355,0))=0,"",INDEX(Deals!$Y$2:$Y$355,MATCH($C586,Deals!$A$2:$A$355,0))),""))</f>
        <v/>
      </c>
      <c r="V586" s="35">
        <f>IF($U586="",DATE(1900,1,1),$N586)</f>
        <v/>
      </c>
      <c r="W586" s="35">
        <f>IF($U586="",DATE(2100,12,31),$U586)</f>
        <v/>
      </c>
      <c r="X586" s="32">
        <f>IF($U586="",$K586,$K586*$S586)</f>
        <v/>
      </c>
      <c r="Y586" s="35">
        <f>IF($U586="",DATE(2100,12,31),$U586+1)</f>
        <v/>
      </c>
      <c r="Z586" s="35">
        <f>IF($U586="",DATE(1900,1,1),$O586)</f>
        <v/>
      </c>
      <c r="AA586" s="32">
        <f>IF($U586="",0,$K586*$T586)</f>
        <v/>
      </c>
      <c r="AB586" s="21">
        <f>IF($C586="",0,IFERROR(INDEX(Deals!$AD$2:$AD$355,MATCH($C586,Deals!$A$2:$A$355,0)),0))</f>
        <v/>
      </c>
      <c r="AC586" s="32">
        <f>IF(Settings!$B$4="Yes",$I586*$AB586,$I586)</f>
        <v/>
      </c>
      <c r="AD586" s="22">
        <f>IF($C586="","",IFERROR(IF(INDEX(Deals!$AE$2:$AE$355,MATCH($C586,Deals!$A$2:$A$355,0))=0,"",INDEX(Deals!$AE$2:$AE$355,MATCH($C586,Deals!$A$2:$A$355,0))),""))</f>
        <v/>
      </c>
      <c r="AE586" s="22">
        <f>IF($C586="","",IFERROR(IF(INDEX(Deals!$AF$2:$AF$355,MATCH($C586,Deals!$A$2:$A$355,0))=0,"",INDEX(Deals!$AF$2:$AF$355,MATCH($C586,Deals!$A$2:$A$355,0))),""))</f>
        <v/>
      </c>
      <c r="AF586" s="35">
        <f>IF($AD586="",DATE(1900,1,1),$AD586)</f>
        <v/>
      </c>
      <c r="AG586" s="35">
        <f>IF($AE586="",DATE(2100,12,31),$AE586)</f>
        <v/>
      </c>
      <c r="AH586" s="22">
        <f>IF($C586="","",IFERROR(IF(INDEX(Deals!$AG$2:$AG$355,MATCH($C586,Deals!$A$2:$A$355,0))=0,"",INDEX(Deals!$AG$2:$AG$355,MATCH($C586,Deals!$A$2:$A$355,0))),""))</f>
        <v/>
      </c>
      <c r="AI586" s="35">
        <f>IF($AH586="",DATE(1900,1,1),$AF586)</f>
        <v/>
      </c>
      <c r="AJ586" s="35">
        <f>IF($AH586="",DATE(2100,12,31),$AH586)</f>
        <v/>
      </c>
      <c r="AK586" s="32">
        <f>IF($AH586="",$AC586,$AC586*$S586)</f>
        <v/>
      </c>
      <c r="AL586" s="35">
        <f>IF($AH586="",DATE(2100,12,31),$AH586+1)</f>
        <v/>
      </c>
      <c r="AM586" s="35">
        <f>IF($AH586="",DATE(1900,1,1),$AG586)</f>
        <v/>
      </c>
      <c r="AN586" s="32">
        <f>IF($AH586="",0,$AC586*$T586)</f>
        <v/>
      </c>
    </row>
    <row r="587">
      <c r="A587" s="28" t="inlineStr">
        <is>
          <t>Yiyi</t>
        </is>
      </c>
      <c r="B587" s="16">
        <f>IF($A587="","",IFERROR(INDEX(Roster!$B$2:$B$40,MATCH($A587,Roster!$A$2:$A$40,0)),"?"))</f>
        <v/>
      </c>
      <c r="C587" s="28" t="inlineStr">
        <is>
          <t>Bishopville_1</t>
        </is>
      </c>
      <c r="D587" s="16">
        <f>IF($C587="","",IFERROR(IF(INDEX(Deals!$C$2:$C$355,MATCH($C587,Deals!$A$2:$A$355,0))=0,"",INDEX(Deals!$C$2:$C$355,MATCH($C587,Deals!$A$2:$A$355,0))),"?"))</f>
        <v/>
      </c>
      <c r="E587" s="16">
        <f>IF($C587="","",IFERROR(INDEX(Deals!$F$2:$F$355,MATCH($C587,Deals!$A$2:$A$355,0)),"?"))</f>
        <v/>
      </c>
      <c r="F587" s="28" t="inlineStr">
        <is>
          <t>Renewable Specialist</t>
        </is>
      </c>
      <c r="G587" s="28" t="inlineStr">
        <is>
          <t>Active</t>
        </is>
      </c>
      <c r="H587" s="31" t="n"/>
      <c r="I587" s="32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1">
        <f>IF($C587="",0,IFERROR(INDEX(Deals!$H$2:$H$355,MATCH($C587,Deals!$A$2:$A$355,0)),0))</f>
        <v/>
      </c>
      <c r="K587" s="32">
        <f>IF(Settings!$B$4="Yes",$I587*$J587,$I587)</f>
        <v/>
      </c>
      <c r="L587" s="22">
        <f>IF($C587="","",IFERROR(IF(INDEX(Deals!$I$2:$I$355,MATCH($C587,Deals!$A$2:$A$355,0))=0,"",INDEX(Deals!$I$2:$I$355,MATCH($C587,Deals!$A$2:$A$355,0))),""))</f>
        <v/>
      </c>
      <c r="M587" s="22">
        <f>IF($C587="","",IFERROR(IF(INDEX(Deals!$J$2:$J$355,MATCH($C587,Deals!$A$2:$A$355,0))=0,"",INDEX(Deals!$J$2:$J$355,MATCH($C587,Deals!$A$2:$A$355,0))),""))</f>
        <v/>
      </c>
      <c r="N587" s="35">
        <f>IF($L587="",DATE(1900,1,1),$L587)</f>
        <v/>
      </c>
      <c r="O587" s="35">
        <f>IF($M587="",DATE(2100,12,31),$M587)</f>
        <v/>
      </c>
      <c r="P587" s="20" t="inlineStr"/>
      <c r="Q587" s="43" t="inlineStr"/>
      <c r="R587" s="16">
        <f>IF($C587="","",IFERROR(IF(INDEX(Deals!$U$2:$U$355,MATCH($C587,Deals!$A$2:$A$355,0))=0,"",INDEX(Deals!$U$2:$U$355,MATCH($C587,Deals!$A$2:$A$355,0))),""))</f>
        <v/>
      </c>
      <c r="S587" s="34">
        <f>IFERROR(IF($U587="",1,INDEX(Deals!$V$2:$V$355,MATCH($C587,Deals!$A$2:$A$355,0))),1)</f>
        <v/>
      </c>
      <c r="T587" s="34">
        <f>IFERROR(IF($U587="",1,INDEX(Deals!$W$2:$W$355,MATCH($C587,Deals!$A$2:$A$355,0))),1)</f>
        <v/>
      </c>
      <c r="U587" s="22">
        <f>IF($C587="","",IFERROR(IF(INDEX(Deals!$Y$2:$Y$355,MATCH($C587,Deals!$A$2:$A$355,0))=0,"",INDEX(Deals!$Y$2:$Y$355,MATCH($C587,Deals!$A$2:$A$355,0))),""))</f>
        <v/>
      </c>
      <c r="V587" s="35">
        <f>IF($U587="",DATE(1900,1,1),$N587)</f>
        <v/>
      </c>
      <c r="W587" s="35">
        <f>IF($U587="",DATE(2100,12,31),$U587)</f>
        <v/>
      </c>
      <c r="X587" s="32">
        <f>IF($U587="",$K587,$K587*$S587)</f>
        <v/>
      </c>
      <c r="Y587" s="35">
        <f>IF($U587="",DATE(2100,12,31),$U587+1)</f>
        <v/>
      </c>
      <c r="Z587" s="35">
        <f>IF($U587="",DATE(1900,1,1),$O587)</f>
        <v/>
      </c>
      <c r="AA587" s="32">
        <f>IF($U587="",0,$K587*$T587)</f>
        <v/>
      </c>
      <c r="AB587" s="21">
        <f>IF($C587="",0,IFERROR(INDEX(Deals!$AD$2:$AD$355,MATCH($C587,Deals!$A$2:$A$355,0)),0))</f>
        <v/>
      </c>
      <c r="AC587" s="32">
        <f>IF(Settings!$B$4="Yes",$I587*$AB587,$I587)</f>
        <v/>
      </c>
      <c r="AD587" s="22">
        <f>IF($C587="","",IFERROR(IF(INDEX(Deals!$AE$2:$AE$355,MATCH($C587,Deals!$A$2:$A$355,0))=0,"",INDEX(Deals!$AE$2:$AE$355,MATCH($C587,Deals!$A$2:$A$355,0))),""))</f>
        <v/>
      </c>
      <c r="AE587" s="22">
        <f>IF($C587="","",IFERROR(IF(INDEX(Deals!$AF$2:$AF$355,MATCH($C587,Deals!$A$2:$A$355,0))=0,"",INDEX(Deals!$AF$2:$AF$355,MATCH($C587,Deals!$A$2:$A$355,0))),""))</f>
        <v/>
      </c>
      <c r="AF587" s="35">
        <f>IF($AD587="",DATE(1900,1,1),$AD587)</f>
        <v/>
      </c>
      <c r="AG587" s="35">
        <f>IF($AE587="",DATE(2100,12,31),$AE587)</f>
        <v/>
      </c>
      <c r="AH587" s="22">
        <f>IF($C587="","",IFERROR(IF(INDEX(Deals!$AG$2:$AG$355,MATCH($C587,Deals!$A$2:$A$355,0))=0,"",INDEX(Deals!$AG$2:$AG$355,MATCH($C587,Deals!$A$2:$A$355,0))),""))</f>
        <v/>
      </c>
      <c r="AI587" s="35">
        <f>IF($AH587="",DATE(1900,1,1),$AF587)</f>
        <v/>
      </c>
      <c r="AJ587" s="35">
        <f>IF($AH587="",DATE(2100,12,31),$AH587)</f>
        <v/>
      </c>
      <c r="AK587" s="32">
        <f>IF($AH587="",$AC587,$AC587*$S587)</f>
        <v/>
      </c>
      <c r="AL587" s="35">
        <f>IF($AH587="",DATE(2100,12,31),$AH587+1)</f>
        <v/>
      </c>
      <c r="AM587" s="35">
        <f>IF($AH587="",DATE(1900,1,1),$AG587)</f>
        <v/>
      </c>
      <c r="AN587" s="32">
        <f>IF($AH587="",0,$AC587*$T587)</f>
        <v/>
      </c>
    </row>
    <row r="588">
      <c r="A588" s="28" t="inlineStr">
        <is>
          <t>Yiyi</t>
        </is>
      </c>
      <c r="B588" s="16">
        <f>IF($A588="","",IFERROR(INDEX(Roster!$B$2:$B$40,MATCH($A588,Roster!$A$2:$A$40,0)),"?"))</f>
        <v/>
      </c>
      <c r="C588" s="28" t="inlineStr">
        <is>
          <t>Bocce_2</t>
        </is>
      </c>
      <c r="D588" s="16">
        <f>IF($C588="","",IFERROR(IF(INDEX(Deals!$C$2:$C$355,MATCH($C588,Deals!$A$2:$A$355,0))=0,"",INDEX(Deals!$C$2:$C$355,MATCH($C588,Deals!$A$2:$A$355,0))),"?"))</f>
        <v/>
      </c>
      <c r="E588" s="16">
        <f>IF($C588="","",IFERROR(INDEX(Deals!$F$2:$F$355,MATCH($C588,Deals!$A$2:$A$355,0)),"?"))</f>
        <v/>
      </c>
      <c r="F588" s="28" t="inlineStr">
        <is>
          <t>Renewable Specialist</t>
        </is>
      </c>
      <c r="G588" s="28" t="inlineStr">
        <is>
          <t>Active</t>
        </is>
      </c>
      <c r="H588" s="31" t="n"/>
      <c r="I588" s="32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1">
        <f>IF($C588="",0,IFERROR(INDEX(Deals!$H$2:$H$355,MATCH($C588,Deals!$A$2:$A$355,0)),0))</f>
        <v/>
      </c>
      <c r="K588" s="32">
        <f>IF(Settings!$B$4="Yes",$I588*$J588,$I588)</f>
        <v/>
      </c>
      <c r="L588" s="22">
        <f>IF($C588="","",IFERROR(IF(INDEX(Deals!$I$2:$I$355,MATCH($C588,Deals!$A$2:$A$355,0))=0,"",INDEX(Deals!$I$2:$I$355,MATCH($C588,Deals!$A$2:$A$355,0))),""))</f>
        <v/>
      </c>
      <c r="M588" s="22">
        <f>IF($C588="","",IFERROR(IF(INDEX(Deals!$J$2:$J$355,MATCH($C588,Deals!$A$2:$A$355,0))=0,"",INDEX(Deals!$J$2:$J$355,MATCH($C588,Deals!$A$2:$A$355,0))),""))</f>
        <v/>
      </c>
      <c r="N588" s="35">
        <f>IF($L588="",DATE(1900,1,1),$L588)</f>
        <v/>
      </c>
      <c r="O588" s="35">
        <f>IF($M588="",DATE(2100,12,31),$M588)</f>
        <v/>
      </c>
      <c r="P588" s="20" t="inlineStr"/>
      <c r="Q588" s="43" t="inlineStr"/>
      <c r="R588" s="16">
        <f>IF($C588="","",IFERROR(IF(INDEX(Deals!$U$2:$U$355,MATCH($C588,Deals!$A$2:$A$355,0))=0,"",INDEX(Deals!$U$2:$U$355,MATCH($C588,Deals!$A$2:$A$355,0))),""))</f>
        <v/>
      </c>
      <c r="S588" s="34">
        <f>IFERROR(IF($U588="",1,INDEX(Deals!$V$2:$V$355,MATCH($C588,Deals!$A$2:$A$355,0))),1)</f>
        <v/>
      </c>
      <c r="T588" s="34">
        <f>IFERROR(IF($U588="",1,INDEX(Deals!$W$2:$W$355,MATCH($C588,Deals!$A$2:$A$355,0))),1)</f>
        <v/>
      </c>
      <c r="U588" s="22">
        <f>IF($C588="","",IFERROR(IF(INDEX(Deals!$Y$2:$Y$355,MATCH($C588,Deals!$A$2:$A$355,0))=0,"",INDEX(Deals!$Y$2:$Y$355,MATCH($C588,Deals!$A$2:$A$355,0))),""))</f>
        <v/>
      </c>
      <c r="V588" s="35">
        <f>IF($U588="",DATE(1900,1,1),$N588)</f>
        <v/>
      </c>
      <c r="W588" s="35">
        <f>IF($U588="",DATE(2100,12,31),$U588)</f>
        <v/>
      </c>
      <c r="X588" s="32">
        <f>IF($U588="",$K588,$K588*$S588)</f>
        <v/>
      </c>
      <c r="Y588" s="35">
        <f>IF($U588="",DATE(2100,12,31),$U588+1)</f>
        <v/>
      </c>
      <c r="Z588" s="35">
        <f>IF($U588="",DATE(1900,1,1),$O588)</f>
        <v/>
      </c>
      <c r="AA588" s="32">
        <f>IF($U588="",0,$K588*$T588)</f>
        <v/>
      </c>
      <c r="AB588" s="21">
        <f>IF($C588="",0,IFERROR(INDEX(Deals!$AD$2:$AD$355,MATCH($C588,Deals!$A$2:$A$355,0)),0))</f>
        <v/>
      </c>
      <c r="AC588" s="32">
        <f>IF(Settings!$B$4="Yes",$I588*$AB588,$I588)</f>
        <v/>
      </c>
      <c r="AD588" s="22">
        <f>IF($C588="","",IFERROR(IF(INDEX(Deals!$AE$2:$AE$355,MATCH($C588,Deals!$A$2:$A$355,0))=0,"",INDEX(Deals!$AE$2:$AE$355,MATCH($C588,Deals!$A$2:$A$355,0))),""))</f>
        <v/>
      </c>
      <c r="AE588" s="22">
        <f>IF($C588="","",IFERROR(IF(INDEX(Deals!$AF$2:$AF$355,MATCH($C588,Deals!$A$2:$A$355,0))=0,"",INDEX(Deals!$AF$2:$AF$355,MATCH($C588,Deals!$A$2:$A$355,0))),""))</f>
        <v/>
      </c>
      <c r="AF588" s="35">
        <f>IF($AD588="",DATE(1900,1,1),$AD588)</f>
        <v/>
      </c>
      <c r="AG588" s="35">
        <f>IF($AE588="",DATE(2100,12,31),$AE588)</f>
        <v/>
      </c>
      <c r="AH588" s="22">
        <f>IF($C588="","",IFERROR(IF(INDEX(Deals!$AG$2:$AG$355,MATCH($C588,Deals!$A$2:$A$355,0))=0,"",INDEX(Deals!$AG$2:$AG$355,MATCH($C588,Deals!$A$2:$A$355,0))),""))</f>
        <v/>
      </c>
      <c r="AI588" s="35">
        <f>IF($AH588="",DATE(1900,1,1),$AF588)</f>
        <v/>
      </c>
      <c r="AJ588" s="35">
        <f>IF($AH588="",DATE(2100,12,31),$AH588)</f>
        <v/>
      </c>
      <c r="AK588" s="32">
        <f>IF($AH588="",$AC588,$AC588*$S588)</f>
        <v/>
      </c>
      <c r="AL588" s="35">
        <f>IF($AH588="",DATE(2100,12,31),$AH588+1)</f>
        <v/>
      </c>
      <c r="AM588" s="35">
        <f>IF($AH588="",DATE(1900,1,1),$AG588)</f>
        <v/>
      </c>
      <c r="AN588" s="32">
        <f>IF($AH588="",0,$AC588*$T588)</f>
        <v/>
      </c>
    </row>
    <row r="589">
      <c r="A589" s="28" t="inlineStr">
        <is>
          <t>Yiyi</t>
        </is>
      </c>
      <c r="B589" s="16">
        <f>IF($A589="","",IFERROR(INDEX(Roster!$B$2:$B$40,MATCH($A589,Roster!$A$2:$A$40,0)),"?"))</f>
        <v/>
      </c>
      <c r="C589" s="28" t="inlineStr">
        <is>
          <t>Brass_2</t>
        </is>
      </c>
      <c r="D589" s="16">
        <f>IF($C589="","",IFERROR(IF(INDEX(Deals!$C$2:$C$355,MATCH($C589,Deals!$A$2:$A$355,0))=0,"",INDEX(Deals!$C$2:$C$355,MATCH($C589,Deals!$A$2:$A$355,0))),"?"))</f>
        <v/>
      </c>
      <c r="E589" s="16">
        <f>IF($C589="","",IFERROR(INDEX(Deals!$F$2:$F$355,MATCH($C589,Deals!$A$2:$A$355,0)),"?"))</f>
        <v/>
      </c>
      <c r="F589" s="28" t="inlineStr">
        <is>
          <t>Renewable Specialist</t>
        </is>
      </c>
      <c r="G589" s="28" t="inlineStr">
        <is>
          <t>Active</t>
        </is>
      </c>
      <c r="H589" s="31" t="n"/>
      <c r="I589" s="32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1">
        <f>IF($C589="",0,IFERROR(INDEX(Deals!$H$2:$H$355,MATCH($C589,Deals!$A$2:$A$355,0)),0))</f>
        <v/>
      </c>
      <c r="K589" s="32">
        <f>IF(Settings!$B$4="Yes",$I589*$J589,$I589)</f>
        <v/>
      </c>
      <c r="L589" s="22">
        <f>IF($C589="","",IFERROR(IF(INDEX(Deals!$I$2:$I$355,MATCH($C589,Deals!$A$2:$A$355,0))=0,"",INDEX(Deals!$I$2:$I$355,MATCH($C589,Deals!$A$2:$A$355,0))),""))</f>
        <v/>
      </c>
      <c r="M589" s="22">
        <f>IF($C589="","",IFERROR(IF(INDEX(Deals!$J$2:$J$355,MATCH($C589,Deals!$A$2:$A$355,0))=0,"",INDEX(Deals!$J$2:$J$355,MATCH($C589,Deals!$A$2:$A$355,0))),""))</f>
        <v/>
      </c>
      <c r="N589" s="35">
        <f>IF($L589="",DATE(1900,1,1),$L589)</f>
        <v/>
      </c>
      <c r="O589" s="35">
        <f>IF($M589="",DATE(2100,12,31),$M589)</f>
        <v/>
      </c>
      <c r="P589" s="20" t="inlineStr"/>
      <c r="Q589" s="43" t="inlineStr"/>
      <c r="R589" s="16">
        <f>IF($C589="","",IFERROR(IF(INDEX(Deals!$U$2:$U$355,MATCH($C589,Deals!$A$2:$A$355,0))=0,"",INDEX(Deals!$U$2:$U$355,MATCH($C589,Deals!$A$2:$A$355,0))),""))</f>
        <v/>
      </c>
      <c r="S589" s="34">
        <f>IFERROR(IF($U589="",1,INDEX(Deals!$V$2:$V$355,MATCH($C589,Deals!$A$2:$A$355,0))),1)</f>
        <v/>
      </c>
      <c r="T589" s="34">
        <f>IFERROR(IF($U589="",1,INDEX(Deals!$W$2:$W$355,MATCH($C589,Deals!$A$2:$A$355,0))),1)</f>
        <v/>
      </c>
      <c r="U589" s="22">
        <f>IF($C589="","",IFERROR(IF(INDEX(Deals!$Y$2:$Y$355,MATCH($C589,Deals!$A$2:$A$355,0))=0,"",INDEX(Deals!$Y$2:$Y$355,MATCH($C589,Deals!$A$2:$A$355,0))),""))</f>
        <v/>
      </c>
      <c r="V589" s="35">
        <f>IF($U589="",DATE(1900,1,1),$N589)</f>
        <v/>
      </c>
      <c r="W589" s="35">
        <f>IF($U589="",DATE(2100,12,31),$U589)</f>
        <v/>
      </c>
      <c r="X589" s="32">
        <f>IF($U589="",$K589,$K589*$S589)</f>
        <v/>
      </c>
      <c r="Y589" s="35">
        <f>IF($U589="",DATE(2100,12,31),$U589+1)</f>
        <v/>
      </c>
      <c r="Z589" s="35">
        <f>IF($U589="",DATE(1900,1,1),$O589)</f>
        <v/>
      </c>
      <c r="AA589" s="32">
        <f>IF($U589="",0,$K589*$T589)</f>
        <v/>
      </c>
      <c r="AB589" s="21">
        <f>IF($C589="",0,IFERROR(INDEX(Deals!$AD$2:$AD$355,MATCH($C589,Deals!$A$2:$A$355,0)),0))</f>
        <v/>
      </c>
      <c r="AC589" s="32">
        <f>IF(Settings!$B$4="Yes",$I589*$AB589,$I589)</f>
        <v/>
      </c>
      <c r="AD589" s="22">
        <f>IF($C589="","",IFERROR(IF(INDEX(Deals!$AE$2:$AE$355,MATCH($C589,Deals!$A$2:$A$355,0))=0,"",INDEX(Deals!$AE$2:$AE$355,MATCH($C589,Deals!$A$2:$A$355,0))),""))</f>
        <v/>
      </c>
      <c r="AE589" s="22">
        <f>IF($C589="","",IFERROR(IF(INDEX(Deals!$AF$2:$AF$355,MATCH($C589,Deals!$A$2:$A$355,0))=0,"",INDEX(Deals!$AF$2:$AF$355,MATCH($C589,Deals!$A$2:$A$355,0))),""))</f>
        <v/>
      </c>
      <c r="AF589" s="35">
        <f>IF($AD589="",DATE(1900,1,1),$AD589)</f>
        <v/>
      </c>
      <c r="AG589" s="35">
        <f>IF($AE589="",DATE(2100,12,31),$AE589)</f>
        <v/>
      </c>
      <c r="AH589" s="22">
        <f>IF($C589="","",IFERROR(IF(INDEX(Deals!$AG$2:$AG$355,MATCH($C589,Deals!$A$2:$A$355,0))=0,"",INDEX(Deals!$AG$2:$AG$355,MATCH($C589,Deals!$A$2:$A$355,0))),""))</f>
        <v/>
      </c>
      <c r="AI589" s="35">
        <f>IF($AH589="",DATE(1900,1,1),$AF589)</f>
        <v/>
      </c>
      <c r="AJ589" s="35">
        <f>IF($AH589="",DATE(2100,12,31),$AH589)</f>
        <v/>
      </c>
      <c r="AK589" s="32">
        <f>IF($AH589="",$AC589,$AC589*$S589)</f>
        <v/>
      </c>
      <c r="AL589" s="35">
        <f>IF($AH589="",DATE(2100,12,31),$AH589+1)</f>
        <v/>
      </c>
      <c r="AM589" s="35">
        <f>IF($AH589="",DATE(1900,1,1),$AG589)</f>
        <v/>
      </c>
      <c r="AN589" s="32">
        <f>IF($AH589="",0,$AC589*$T589)</f>
        <v/>
      </c>
    </row>
    <row r="590">
      <c r="A590" s="28" t="inlineStr">
        <is>
          <t>Yiyi</t>
        </is>
      </c>
      <c r="B590" s="16">
        <f>IF($A590="","",IFERROR(INDEX(Roster!$B$2:$B$40,MATCH($A590,Roster!$A$2:$A$40,0)),"?"))</f>
        <v/>
      </c>
      <c r="C590" s="28" t="inlineStr">
        <is>
          <t>Calistoga_1</t>
        </is>
      </c>
      <c r="D590" s="16">
        <f>IF($C590="","",IFERROR(IF(INDEX(Deals!$C$2:$C$355,MATCH($C590,Deals!$A$2:$A$355,0))=0,"",INDEX(Deals!$C$2:$C$355,MATCH($C590,Deals!$A$2:$A$355,0))),"?"))</f>
        <v/>
      </c>
      <c r="E590" s="16">
        <f>IF($C590="","",IFERROR(INDEX(Deals!$F$2:$F$355,MATCH($C590,Deals!$A$2:$A$355,0)),"?"))</f>
        <v/>
      </c>
      <c r="F590" s="28" t="inlineStr">
        <is>
          <t>Renewable Specialist</t>
        </is>
      </c>
      <c r="G590" s="28" t="inlineStr">
        <is>
          <t>Active</t>
        </is>
      </c>
      <c r="H590" s="31" t="n"/>
      <c r="I590" s="32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1">
        <f>IF($C590="",0,IFERROR(INDEX(Deals!$H$2:$H$355,MATCH($C590,Deals!$A$2:$A$355,0)),0))</f>
        <v/>
      </c>
      <c r="K590" s="32">
        <f>IF(Settings!$B$4="Yes",$I590*$J590,$I590)</f>
        <v/>
      </c>
      <c r="L590" s="22">
        <f>IF($C590="","",IFERROR(IF(INDEX(Deals!$I$2:$I$355,MATCH($C590,Deals!$A$2:$A$355,0))=0,"",INDEX(Deals!$I$2:$I$355,MATCH($C590,Deals!$A$2:$A$355,0))),""))</f>
        <v/>
      </c>
      <c r="M590" s="22">
        <f>IF($C590="","",IFERROR(IF(INDEX(Deals!$J$2:$J$355,MATCH($C590,Deals!$A$2:$A$355,0))=0,"",INDEX(Deals!$J$2:$J$355,MATCH($C590,Deals!$A$2:$A$355,0))),""))</f>
        <v/>
      </c>
      <c r="N590" s="35">
        <f>IF($L590="",DATE(1900,1,1),$L590)</f>
        <v/>
      </c>
      <c r="O590" s="35">
        <f>IF($M590="",DATE(2100,12,31),$M590)</f>
        <v/>
      </c>
      <c r="P590" s="20" t="inlineStr"/>
      <c r="Q590" s="43" t="inlineStr"/>
      <c r="R590" s="16">
        <f>IF($C590="","",IFERROR(IF(INDEX(Deals!$U$2:$U$355,MATCH($C590,Deals!$A$2:$A$355,0))=0,"",INDEX(Deals!$U$2:$U$355,MATCH($C590,Deals!$A$2:$A$355,0))),""))</f>
        <v/>
      </c>
      <c r="S590" s="34">
        <f>IFERROR(IF($U590="",1,INDEX(Deals!$V$2:$V$355,MATCH($C590,Deals!$A$2:$A$355,0))),1)</f>
        <v/>
      </c>
      <c r="T590" s="34">
        <f>IFERROR(IF($U590="",1,INDEX(Deals!$W$2:$W$355,MATCH($C590,Deals!$A$2:$A$355,0))),1)</f>
        <v/>
      </c>
      <c r="U590" s="22">
        <f>IF($C590="","",IFERROR(IF(INDEX(Deals!$Y$2:$Y$355,MATCH($C590,Deals!$A$2:$A$355,0))=0,"",INDEX(Deals!$Y$2:$Y$355,MATCH($C590,Deals!$A$2:$A$355,0))),""))</f>
        <v/>
      </c>
      <c r="V590" s="35">
        <f>IF($U590="",DATE(1900,1,1),$N590)</f>
        <v/>
      </c>
      <c r="W590" s="35">
        <f>IF($U590="",DATE(2100,12,31),$U590)</f>
        <v/>
      </c>
      <c r="X590" s="32">
        <f>IF($U590="",$K590,$K590*$S590)</f>
        <v/>
      </c>
      <c r="Y590" s="35">
        <f>IF($U590="",DATE(2100,12,31),$U590+1)</f>
        <v/>
      </c>
      <c r="Z590" s="35">
        <f>IF($U590="",DATE(1900,1,1),$O590)</f>
        <v/>
      </c>
      <c r="AA590" s="32">
        <f>IF($U590="",0,$K590*$T590)</f>
        <v/>
      </c>
      <c r="AB590" s="21">
        <f>IF($C590="",0,IFERROR(INDEX(Deals!$AD$2:$AD$355,MATCH($C590,Deals!$A$2:$A$355,0)),0))</f>
        <v/>
      </c>
      <c r="AC590" s="32">
        <f>IF(Settings!$B$4="Yes",$I590*$AB590,$I590)</f>
        <v/>
      </c>
      <c r="AD590" s="22">
        <f>IF($C590="","",IFERROR(IF(INDEX(Deals!$AE$2:$AE$355,MATCH($C590,Deals!$A$2:$A$355,0))=0,"",INDEX(Deals!$AE$2:$AE$355,MATCH($C590,Deals!$A$2:$A$355,0))),""))</f>
        <v/>
      </c>
      <c r="AE590" s="22">
        <f>IF($C590="","",IFERROR(IF(INDEX(Deals!$AF$2:$AF$355,MATCH($C590,Deals!$A$2:$A$355,0))=0,"",INDEX(Deals!$AF$2:$AF$355,MATCH($C590,Deals!$A$2:$A$355,0))),""))</f>
        <v/>
      </c>
      <c r="AF590" s="35">
        <f>IF($AD590="",DATE(1900,1,1),$AD590)</f>
        <v/>
      </c>
      <c r="AG590" s="35">
        <f>IF($AE590="",DATE(2100,12,31),$AE590)</f>
        <v/>
      </c>
      <c r="AH590" s="22">
        <f>IF($C590="","",IFERROR(IF(INDEX(Deals!$AG$2:$AG$355,MATCH($C590,Deals!$A$2:$A$355,0))=0,"",INDEX(Deals!$AG$2:$AG$355,MATCH($C590,Deals!$A$2:$A$355,0))),""))</f>
        <v/>
      </c>
      <c r="AI590" s="35">
        <f>IF($AH590="",DATE(1900,1,1),$AF590)</f>
        <v/>
      </c>
      <c r="AJ590" s="35">
        <f>IF($AH590="",DATE(2100,12,31),$AH590)</f>
        <v/>
      </c>
      <c r="AK590" s="32">
        <f>IF($AH590="",$AC590,$AC590*$S590)</f>
        <v/>
      </c>
      <c r="AL590" s="35">
        <f>IF($AH590="",DATE(2100,12,31),$AH590+1)</f>
        <v/>
      </c>
      <c r="AM590" s="35">
        <f>IF($AH590="",DATE(1900,1,1),$AG590)</f>
        <v/>
      </c>
      <c r="AN590" s="32">
        <f>IF($AH590="",0,$AC590*$T590)</f>
        <v/>
      </c>
    </row>
    <row r="591">
      <c r="A591" s="28" t="inlineStr">
        <is>
          <t>Yiyi</t>
        </is>
      </c>
      <c r="B591" s="16">
        <f>IF($A591="","",IFERROR(INDEX(Roster!$B$2:$B$40,MATCH($A591,Roster!$A$2:$A$40,0)),"?"))</f>
        <v/>
      </c>
      <c r="C591" s="28" t="inlineStr">
        <is>
          <t>CFlats_1</t>
        </is>
      </c>
      <c r="D591" s="16">
        <f>IF($C591="","",IFERROR(IF(INDEX(Deals!$C$2:$C$355,MATCH($C591,Deals!$A$2:$A$355,0))=0,"",INDEX(Deals!$C$2:$C$355,MATCH($C591,Deals!$A$2:$A$355,0))),"?"))</f>
        <v/>
      </c>
      <c r="E591" s="16">
        <f>IF($C591="","",IFERROR(INDEX(Deals!$F$2:$F$355,MATCH($C591,Deals!$A$2:$A$355,0)),"?"))</f>
        <v/>
      </c>
      <c r="F591" s="28" t="inlineStr">
        <is>
          <t>Renewable Specialist</t>
        </is>
      </c>
      <c r="G591" s="28" t="inlineStr">
        <is>
          <t>Active</t>
        </is>
      </c>
      <c r="H591" s="31" t="n"/>
      <c r="I591" s="32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1">
        <f>IF($C591="",0,IFERROR(INDEX(Deals!$H$2:$H$355,MATCH($C591,Deals!$A$2:$A$355,0)),0))</f>
        <v/>
      </c>
      <c r="K591" s="32">
        <f>IF(Settings!$B$4="Yes",$I591*$J591,$I591)</f>
        <v/>
      </c>
      <c r="L591" s="22">
        <f>IF($C591="","",IFERROR(IF(INDEX(Deals!$I$2:$I$355,MATCH($C591,Deals!$A$2:$A$355,0))=0,"",INDEX(Deals!$I$2:$I$355,MATCH($C591,Deals!$A$2:$A$355,0))),""))</f>
        <v/>
      </c>
      <c r="M591" s="22">
        <f>IF($C591="","",IFERROR(IF(INDEX(Deals!$J$2:$J$355,MATCH($C591,Deals!$A$2:$A$355,0))=0,"",INDEX(Deals!$J$2:$J$355,MATCH($C591,Deals!$A$2:$A$355,0))),""))</f>
        <v/>
      </c>
      <c r="N591" s="35">
        <f>IF($L591="",DATE(1900,1,1),$L591)</f>
        <v/>
      </c>
      <c r="O591" s="35">
        <f>IF($M591="",DATE(2100,12,31),$M591)</f>
        <v/>
      </c>
      <c r="P591" s="20" t="inlineStr"/>
      <c r="Q591" s="43" t="inlineStr"/>
      <c r="R591" s="16">
        <f>IF($C591="","",IFERROR(IF(INDEX(Deals!$U$2:$U$355,MATCH($C591,Deals!$A$2:$A$355,0))=0,"",INDEX(Deals!$U$2:$U$355,MATCH($C591,Deals!$A$2:$A$355,0))),""))</f>
        <v/>
      </c>
      <c r="S591" s="34">
        <f>IFERROR(IF($U591="",1,INDEX(Deals!$V$2:$V$355,MATCH($C591,Deals!$A$2:$A$355,0))),1)</f>
        <v/>
      </c>
      <c r="T591" s="34">
        <f>IFERROR(IF($U591="",1,INDEX(Deals!$W$2:$W$355,MATCH($C591,Deals!$A$2:$A$355,0))),1)</f>
        <v/>
      </c>
      <c r="U591" s="22">
        <f>IF($C591="","",IFERROR(IF(INDEX(Deals!$Y$2:$Y$355,MATCH($C591,Deals!$A$2:$A$355,0))=0,"",INDEX(Deals!$Y$2:$Y$355,MATCH($C591,Deals!$A$2:$A$355,0))),""))</f>
        <v/>
      </c>
      <c r="V591" s="35">
        <f>IF($U591="",DATE(1900,1,1),$N591)</f>
        <v/>
      </c>
      <c r="W591" s="35">
        <f>IF($U591="",DATE(2100,12,31),$U591)</f>
        <v/>
      </c>
      <c r="X591" s="32">
        <f>IF($U591="",$K591,$K591*$S591)</f>
        <v/>
      </c>
      <c r="Y591" s="35">
        <f>IF($U591="",DATE(2100,12,31),$U591+1)</f>
        <v/>
      </c>
      <c r="Z591" s="35">
        <f>IF($U591="",DATE(1900,1,1),$O591)</f>
        <v/>
      </c>
      <c r="AA591" s="32">
        <f>IF($U591="",0,$K591*$T591)</f>
        <v/>
      </c>
      <c r="AB591" s="21">
        <f>IF($C591="",0,IFERROR(INDEX(Deals!$AD$2:$AD$355,MATCH($C591,Deals!$A$2:$A$355,0)),0))</f>
        <v/>
      </c>
      <c r="AC591" s="32">
        <f>IF(Settings!$B$4="Yes",$I591*$AB591,$I591)</f>
        <v/>
      </c>
      <c r="AD591" s="22">
        <f>IF($C591="","",IFERROR(IF(INDEX(Deals!$AE$2:$AE$355,MATCH($C591,Deals!$A$2:$A$355,0))=0,"",INDEX(Deals!$AE$2:$AE$355,MATCH($C591,Deals!$A$2:$A$355,0))),""))</f>
        <v/>
      </c>
      <c r="AE591" s="22">
        <f>IF($C591="","",IFERROR(IF(INDEX(Deals!$AF$2:$AF$355,MATCH($C591,Deals!$A$2:$A$355,0))=0,"",INDEX(Deals!$AF$2:$AF$355,MATCH($C591,Deals!$A$2:$A$355,0))),""))</f>
        <v/>
      </c>
      <c r="AF591" s="35">
        <f>IF($AD591="",DATE(1900,1,1),$AD591)</f>
        <v/>
      </c>
      <c r="AG591" s="35">
        <f>IF($AE591="",DATE(2100,12,31),$AE591)</f>
        <v/>
      </c>
      <c r="AH591" s="22">
        <f>IF($C591="","",IFERROR(IF(INDEX(Deals!$AG$2:$AG$355,MATCH($C591,Deals!$A$2:$A$355,0))=0,"",INDEX(Deals!$AG$2:$AG$355,MATCH($C591,Deals!$A$2:$A$355,0))),""))</f>
        <v/>
      </c>
      <c r="AI591" s="35">
        <f>IF($AH591="",DATE(1900,1,1),$AF591)</f>
        <v/>
      </c>
      <c r="AJ591" s="35">
        <f>IF($AH591="",DATE(2100,12,31),$AH591)</f>
        <v/>
      </c>
      <c r="AK591" s="32">
        <f>IF($AH591="",$AC591,$AC591*$S591)</f>
        <v/>
      </c>
      <c r="AL591" s="35">
        <f>IF($AH591="",DATE(2100,12,31),$AH591+1)</f>
        <v/>
      </c>
      <c r="AM591" s="35">
        <f>IF($AH591="",DATE(1900,1,1),$AG591)</f>
        <v/>
      </c>
      <c r="AN591" s="32">
        <f>IF($AH591="",0,$AC591*$T591)</f>
        <v/>
      </c>
    </row>
    <row r="592">
      <c r="A592" s="28" t="inlineStr">
        <is>
          <t>Yiyi</t>
        </is>
      </c>
      <c r="B592" s="16">
        <f>IF($A592="","",IFERROR(INDEX(Roster!$B$2:$B$40,MATCH($A592,Roster!$A$2:$A$40,0)),"?"))</f>
        <v/>
      </c>
      <c r="C592" s="28" t="inlineStr">
        <is>
          <t>Clenara_1</t>
        </is>
      </c>
      <c r="D592" s="16">
        <f>IF($C592="","",IFERROR(IF(INDEX(Deals!$C$2:$C$355,MATCH($C592,Deals!$A$2:$A$355,0))=0,"",INDEX(Deals!$C$2:$C$355,MATCH($C592,Deals!$A$2:$A$355,0))),"?"))</f>
        <v/>
      </c>
      <c r="E592" s="16">
        <f>IF($C592="","",IFERROR(INDEX(Deals!$F$2:$F$355,MATCH($C592,Deals!$A$2:$A$355,0)),"?"))</f>
        <v/>
      </c>
      <c r="F592" s="28" t="inlineStr">
        <is>
          <t>Renewable Specialist</t>
        </is>
      </c>
      <c r="G592" s="28" t="inlineStr">
        <is>
          <t>Active</t>
        </is>
      </c>
      <c r="H592" s="31" t="n"/>
      <c r="I592" s="32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1">
        <f>IF($C592="",0,IFERROR(INDEX(Deals!$H$2:$H$355,MATCH($C592,Deals!$A$2:$A$355,0)),0))</f>
        <v/>
      </c>
      <c r="K592" s="32">
        <f>IF(Settings!$B$4="Yes",$I592*$J592,$I592)</f>
        <v/>
      </c>
      <c r="L592" s="22">
        <f>IF($C592="","",IFERROR(IF(INDEX(Deals!$I$2:$I$355,MATCH($C592,Deals!$A$2:$A$355,0))=0,"",INDEX(Deals!$I$2:$I$355,MATCH($C592,Deals!$A$2:$A$355,0))),""))</f>
        <v/>
      </c>
      <c r="M592" s="22">
        <f>IF($C592="","",IFERROR(IF(INDEX(Deals!$J$2:$J$355,MATCH($C592,Deals!$A$2:$A$355,0))=0,"",INDEX(Deals!$J$2:$J$355,MATCH($C592,Deals!$A$2:$A$355,0))),""))</f>
        <v/>
      </c>
      <c r="N592" s="35">
        <f>IF($L592="",DATE(1900,1,1),$L592)</f>
        <v/>
      </c>
      <c r="O592" s="35">
        <f>IF($M592="",DATE(2100,12,31),$M592)</f>
        <v/>
      </c>
      <c r="P592" s="20" t="inlineStr"/>
      <c r="Q592" s="43" t="inlineStr"/>
      <c r="R592" s="16">
        <f>IF($C592="","",IFERROR(IF(INDEX(Deals!$U$2:$U$355,MATCH($C592,Deals!$A$2:$A$355,0))=0,"",INDEX(Deals!$U$2:$U$355,MATCH($C592,Deals!$A$2:$A$355,0))),""))</f>
        <v/>
      </c>
      <c r="S592" s="34">
        <f>IFERROR(IF($U592="",1,INDEX(Deals!$V$2:$V$355,MATCH($C592,Deals!$A$2:$A$355,0))),1)</f>
        <v/>
      </c>
      <c r="T592" s="34">
        <f>IFERROR(IF($U592="",1,INDEX(Deals!$W$2:$W$355,MATCH($C592,Deals!$A$2:$A$355,0))),1)</f>
        <v/>
      </c>
      <c r="U592" s="22">
        <f>IF($C592="","",IFERROR(IF(INDEX(Deals!$Y$2:$Y$355,MATCH($C592,Deals!$A$2:$A$355,0))=0,"",INDEX(Deals!$Y$2:$Y$355,MATCH($C592,Deals!$A$2:$A$355,0))),""))</f>
        <v/>
      </c>
      <c r="V592" s="35">
        <f>IF($U592="",DATE(1900,1,1),$N592)</f>
        <v/>
      </c>
      <c r="W592" s="35">
        <f>IF($U592="",DATE(2100,12,31),$U592)</f>
        <v/>
      </c>
      <c r="X592" s="32">
        <f>IF($U592="",$K592,$K592*$S592)</f>
        <v/>
      </c>
      <c r="Y592" s="35">
        <f>IF($U592="",DATE(2100,12,31),$U592+1)</f>
        <v/>
      </c>
      <c r="Z592" s="35">
        <f>IF($U592="",DATE(1900,1,1),$O592)</f>
        <v/>
      </c>
      <c r="AA592" s="32">
        <f>IF($U592="",0,$K592*$T592)</f>
        <v/>
      </c>
      <c r="AB592" s="21">
        <f>IF($C592="",0,IFERROR(INDEX(Deals!$AD$2:$AD$355,MATCH($C592,Deals!$A$2:$A$355,0)),0))</f>
        <v/>
      </c>
      <c r="AC592" s="32">
        <f>IF(Settings!$B$4="Yes",$I592*$AB592,$I592)</f>
        <v/>
      </c>
      <c r="AD592" s="22">
        <f>IF($C592="","",IFERROR(IF(INDEX(Deals!$AE$2:$AE$355,MATCH($C592,Deals!$A$2:$A$355,0))=0,"",INDEX(Deals!$AE$2:$AE$355,MATCH($C592,Deals!$A$2:$A$355,0))),""))</f>
        <v/>
      </c>
      <c r="AE592" s="22">
        <f>IF($C592="","",IFERROR(IF(INDEX(Deals!$AF$2:$AF$355,MATCH($C592,Deals!$A$2:$A$355,0))=0,"",INDEX(Deals!$AF$2:$AF$355,MATCH($C592,Deals!$A$2:$A$355,0))),""))</f>
        <v/>
      </c>
      <c r="AF592" s="35">
        <f>IF($AD592="",DATE(1900,1,1),$AD592)</f>
        <v/>
      </c>
      <c r="AG592" s="35">
        <f>IF($AE592="",DATE(2100,12,31),$AE592)</f>
        <v/>
      </c>
      <c r="AH592" s="22">
        <f>IF($C592="","",IFERROR(IF(INDEX(Deals!$AG$2:$AG$355,MATCH($C592,Deals!$A$2:$A$355,0))=0,"",INDEX(Deals!$AG$2:$AG$355,MATCH($C592,Deals!$A$2:$A$355,0))),""))</f>
        <v/>
      </c>
      <c r="AI592" s="35">
        <f>IF($AH592="",DATE(1900,1,1),$AF592)</f>
        <v/>
      </c>
      <c r="AJ592" s="35">
        <f>IF($AH592="",DATE(2100,12,31),$AH592)</f>
        <v/>
      </c>
      <c r="AK592" s="32">
        <f>IF($AH592="",$AC592,$AC592*$S592)</f>
        <v/>
      </c>
      <c r="AL592" s="35">
        <f>IF($AH592="",DATE(2100,12,31),$AH592+1)</f>
        <v/>
      </c>
      <c r="AM592" s="35">
        <f>IF($AH592="",DATE(1900,1,1),$AG592)</f>
        <v/>
      </c>
      <c r="AN592" s="32">
        <f>IF($AH592="",0,$AC592*$T592)</f>
        <v/>
      </c>
    </row>
    <row r="593">
      <c r="A593" s="28" t="inlineStr">
        <is>
          <t>Yiyi</t>
        </is>
      </c>
      <c r="B593" s="16">
        <f>IF($A593="","",IFERROR(INDEX(Roster!$B$2:$B$40,MATCH($A593,Roster!$A$2:$A$40,0)),"?"))</f>
        <v/>
      </c>
      <c r="C593" s="28" t="inlineStr">
        <is>
          <t>CNX_1</t>
        </is>
      </c>
      <c r="D593" s="16">
        <f>IF($C593="","",IFERROR(IF(INDEX(Deals!$C$2:$C$355,MATCH($C593,Deals!$A$2:$A$355,0))=0,"",INDEX(Deals!$C$2:$C$355,MATCH($C593,Deals!$A$2:$A$355,0))),"?"))</f>
        <v/>
      </c>
      <c r="E593" s="16">
        <f>IF($C593="","",IFERROR(INDEX(Deals!$F$2:$F$355,MATCH($C593,Deals!$A$2:$A$355,0)),"?"))</f>
        <v/>
      </c>
      <c r="F593" s="28" t="inlineStr">
        <is>
          <t>Renewable Specialist</t>
        </is>
      </c>
      <c r="G593" s="28" t="inlineStr">
        <is>
          <t>Active</t>
        </is>
      </c>
      <c r="H593" s="31" t="n"/>
      <c r="I593" s="32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1">
        <f>IF($C593="",0,IFERROR(INDEX(Deals!$H$2:$H$355,MATCH($C593,Deals!$A$2:$A$355,0)),0))</f>
        <v/>
      </c>
      <c r="K593" s="32">
        <f>IF(Settings!$B$4="Yes",$I593*$J593,$I593)</f>
        <v/>
      </c>
      <c r="L593" s="22">
        <f>IF($C593="","",IFERROR(IF(INDEX(Deals!$I$2:$I$355,MATCH($C593,Deals!$A$2:$A$355,0))=0,"",INDEX(Deals!$I$2:$I$355,MATCH($C593,Deals!$A$2:$A$355,0))),""))</f>
        <v/>
      </c>
      <c r="M593" s="22">
        <f>IF($C593="","",IFERROR(IF(INDEX(Deals!$J$2:$J$355,MATCH($C593,Deals!$A$2:$A$355,0))=0,"",INDEX(Deals!$J$2:$J$355,MATCH($C593,Deals!$A$2:$A$355,0))),""))</f>
        <v/>
      </c>
      <c r="N593" s="35">
        <f>IF($L593="",DATE(1900,1,1),$L593)</f>
        <v/>
      </c>
      <c r="O593" s="35">
        <f>IF($M593="",DATE(2100,12,31),$M593)</f>
        <v/>
      </c>
      <c r="P593" s="20" t="inlineStr"/>
      <c r="Q593" s="43" t="inlineStr"/>
      <c r="R593" s="16">
        <f>IF($C593="","",IFERROR(IF(INDEX(Deals!$U$2:$U$355,MATCH($C593,Deals!$A$2:$A$355,0))=0,"",INDEX(Deals!$U$2:$U$355,MATCH($C593,Deals!$A$2:$A$355,0))),""))</f>
        <v/>
      </c>
      <c r="S593" s="34">
        <f>IFERROR(IF($U593="",1,INDEX(Deals!$V$2:$V$355,MATCH($C593,Deals!$A$2:$A$355,0))),1)</f>
        <v/>
      </c>
      <c r="T593" s="34">
        <f>IFERROR(IF($U593="",1,INDEX(Deals!$W$2:$W$355,MATCH($C593,Deals!$A$2:$A$355,0))),1)</f>
        <v/>
      </c>
      <c r="U593" s="22">
        <f>IF($C593="","",IFERROR(IF(INDEX(Deals!$Y$2:$Y$355,MATCH($C593,Deals!$A$2:$A$355,0))=0,"",INDEX(Deals!$Y$2:$Y$355,MATCH($C593,Deals!$A$2:$A$355,0))),""))</f>
        <v/>
      </c>
      <c r="V593" s="35">
        <f>IF($U593="",DATE(1900,1,1),$N593)</f>
        <v/>
      </c>
      <c r="W593" s="35">
        <f>IF($U593="",DATE(2100,12,31),$U593)</f>
        <v/>
      </c>
      <c r="X593" s="32">
        <f>IF($U593="",$K593,$K593*$S593)</f>
        <v/>
      </c>
      <c r="Y593" s="35">
        <f>IF($U593="",DATE(2100,12,31),$U593+1)</f>
        <v/>
      </c>
      <c r="Z593" s="35">
        <f>IF($U593="",DATE(1900,1,1),$O593)</f>
        <v/>
      </c>
      <c r="AA593" s="32">
        <f>IF($U593="",0,$K593*$T593)</f>
        <v/>
      </c>
      <c r="AB593" s="21">
        <f>IF($C593="",0,IFERROR(INDEX(Deals!$AD$2:$AD$355,MATCH($C593,Deals!$A$2:$A$355,0)),0))</f>
        <v/>
      </c>
      <c r="AC593" s="32">
        <f>IF(Settings!$B$4="Yes",$I593*$AB593,$I593)</f>
        <v/>
      </c>
      <c r="AD593" s="22">
        <f>IF($C593="","",IFERROR(IF(INDEX(Deals!$AE$2:$AE$355,MATCH($C593,Deals!$A$2:$A$355,0))=0,"",INDEX(Deals!$AE$2:$AE$355,MATCH($C593,Deals!$A$2:$A$355,0))),""))</f>
        <v/>
      </c>
      <c r="AE593" s="22">
        <f>IF($C593="","",IFERROR(IF(INDEX(Deals!$AF$2:$AF$355,MATCH($C593,Deals!$A$2:$A$355,0))=0,"",INDEX(Deals!$AF$2:$AF$355,MATCH($C593,Deals!$A$2:$A$355,0))),""))</f>
        <v/>
      </c>
      <c r="AF593" s="35">
        <f>IF($AD593="",DATE(1900,1,1),$AD593)</f>
        <v/>
      </c>
      <c r="AG593" s="35">
        <f>IF($AE593="",DATE(2100,12,31),$AE593)</f>
        <v/>
      </c>
      <c r="AH593" s="22">
        <f>IF($C593="","",IFERROR(IF(INDEX(Deals!$AG$2:$AG$355,MATCH($C593,Deals!$A$2:$A$355,0))=0,"",INDEX(Deals!$AG$2:$AG$355,MATCH($C593,Deals!$A$2:$A$355,0))),""))</f>
        <v/>
      </c>
      <c r="AI593" s="35">
        <f>IF($AH593="",DATE(1900,1,1),$AF593)</f>
        <v/>
      </c>
      <c r="AJ593" s="35">
        <f>IF($AH593="",DATE(2100,12,31),$AH593)</f>
        <v/>
      </c>
      <c r="AK593" s="32">
        <f>IF($AH593="",$AC593,$AC593*$S593)</f>
        <v/>
      </c>
      <c r="AL593" s="35">
        <f>IF($AH593="",DATE(2100,12,31),$AH593+1)</f>
        <v/>
      </c>
      <c r="AM593" s="35">
        <f>IF($AH593="",DATE(1900,1,1),$AG593)</f>
        <v/>
      </c>
      <c r="AN593" s="32">
        <f>IF($AH593="",0,$AC593*$T593)</f>
        <v/>
      </c>
    </row>
    <row r="594">
      <c r="A594" s="28" t="inlineStr">
        <is>
          <t>Yiyi</t>
        </is>
      </c>
      <c r="B594" s="16">
        <f>IF($A594="","",IFERROR(INDEX(Roster!$B$2:$B$40,MATCH($A594,Roster!$A$2:$A$40,0)),"?"))</f>
        <v/>
      </c>
      <c r="C594" s="28" t="inlineStr">
        <is>
          <t>Contango_1</t>
        </is>
      </c>
      <c r="D594" s="16">
        <f>IF($C594="","",IFERROR(IF(INDEX(Deals!$C$2:$C$355,MATCH($C594,Deals!$A$2:$A$355,0))=0,"",INDEX(Deals!$C$2:$C$355,MATCH($C594,Deals!$A$2:$A$355,0))),"?"))</f>
        <v/>
      </c>
      <c r="E594" s="16">
        <f>IF($C594="","",IFERROR(INDEX(Deals!$F$2:$F$355,MATCH($C594,Deals!$A$2:$A$355,0)),"?"))</f>
        <v/>
      </c>
      <c r="F594" s="28" t="inlineStr">
        <is>
          <t>Renewable Specialist</t>
        </is>
      </c>
      <c r="G594" s="28" t="inlineStr">
        <is>
          <t>Active</t>
        </is>
      </c>
      <c r="H594" s="31" t="n"/>
      <c r="I594" s="32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1">
        <f>IF($C594="",0,IFERROR(INDEX(Deals!$H$2:$H$355,MATCH($C594,Deals!$A$2:$A$355,0)),0))</f>
        <v/>
      </c>
      <c r="K594" s="32">
        <f>IF(Settings!$B$4="Yes",$I594*$J594,$I594)</f>
        <v/>
      </c>
      <c r="L594" s="22">
        <f>IF($C594="","",IFERROR(IF(INDEX(Deals!$I$2:$I$355,MATCH($C594,Deals!$A$2:$A$355,0))=0,"",INDEX(Deals!$I$2:$I$355,MATCH($C594,Deals!$A$2:$A$355,0))),""))</f>
        <v/>
      </c>
      <c r="M594" s="22">
        <f>IF($C594="","",IFERROR(IF(INDEX(Deals!$J$2:$J$355,MATCH($C594,Deals!$A$2:$A$355,0))=0,"",INDEX(Deals!$J$2:$J$355,MATCH($C594,Deals!$A$2:$A$355,0))),""))</f>
        <v/>
      </c>
      <c r="N594" s="35">
        <f>IF($L594="",DATE(1900,1,1),$L594)</f>
        <v/>
      </c>
      <c r="O594" s="35">
        <f>IF($M594="",DATE(2100,12,31),$M594)</f>
        <v/>
      </c>
      <c r="P594" s="20" t="inlineStr"/>
      <c r="Q594" s="43" t="inlineStr"/>
      <c r="R594" s="16">
        <f>IF($C594="","",IFERROR(IF(INDEX(Deals!$U$2:$U$355,MATCH($C594,Deals!$A$2:$A$355,0))=0,"",INDEX(Deals!$U$2:$U$355,MATCH($C594,Deals!$A$2:$A$355,0))),""))</f>
        <v/>
      </c>
      <c r="S594" s="34">
        <f>IFERROR(IF($U594="",1,INDEX(Deals!$V$2:$V$355,MATCH($C594,Deals!$A$2:$A$355,0))),1)</f>
        <v/>
      </c>
      <c r="T594" s="34">
        <f>IFERROR(IF($U594="",1,INDEX(Deals!$W$2:$W$355,MATCH($C594,Deals!$A$2:$A$355,0))),1)</f>
        <v/>
      </c>
      <c r="U594" s="22">
        <f>IF($C594="","",IFERROR(IF(INDEX(Deals!$Y$2:$Y$355,MATCH($C594,Deals!$A$2:$A$355,0))=0,"",INDEX(Deals!$Y$2:$Y$355,MATCH($C594,Deals!$A$2:$A$355,0))),""))</f>
        <v/>
      </c>
      <c r="V594" s="35">
        <f>IF($U594="",DATE(1900,1,1),$N594)</f>
        <v/>
      </c>
      <c r="W594" s="35">
        <f>IF($U594="",DATE(2100,12,31),$U594)</f>
        <v/>
      </c>
      <c r="X594" s="32">
        <f>IF($U594="",$K594,$K594*$S594)</f>
        <v/>
      </c>
      <c r="Y594" s="35">
        <f>IF($U594="",DATE(2100,12,31),$U594+1)</f>
        <v/>
      </c>
      <c r="Z594" s="35">
        <f>IF($U594="",DATE(1900,1,1),$O594)</f>
        <v/>
      </c>
      <c r="AA594" s="32">
        <f>IF($U594="",0,$K594*$T594)</f>
        <v/>
      </c>
      <c r="AB594" s="21">
        <f>IF($C594="",0,IFERROR(INDEX(Deals!$AD$2:$AD$355,MATCH($C594,Deals!$A$2:$A$355,0)),0))</f>
        <v/>
      </c>
      <c r="AC594" s="32">
        <f>IF(Settings!$B$4="Yes",$I594*$AB594,$I594)</f>
        <v/>
      </c>
      <c r="AD594" s="22">
        <f>IF($C594="","",IFERROR(IF(INDEX(Deals!$AE$2:$AE$355,MATCH($C594,Deals!$A$2:$A$355,0))=0,"",INDEX(Deals!$AE$2:$AE$355,MATCH($C594,Deals!$A$2:$A$355,0))),""))</f>
        <v/>
      </c>
      <c r="AE594" s="22">
        <f>IF($C594="","",IFERROR(IF(INDEX(Deals!$AF$2:$AF$355,MATCH($C594,Deals!$A$2:$A$355,0))=0,"",INDEX(Deals!$AF$2:$AF$355,MATCH($C594,Deals!$A$2:$A$355,0))),""))</f>
        <v/>
      </c>
      <c r="AF594" s="35">
        <f>IF($AD594="",DATE(1900,1,1),$AD594)</f>
        <v/>
      </c>
      <c r="AG594" s="35">
        <f>IF($AE594="",DATE(2100,12,31),$AE594)</f>
        <v/>
      </c>
      <c r="AH594" s="22">
        <f>IF($C594="","",IFERROR(IF(INDEX(Deals!$AG$2:$AG$355,MATCH($C594,Deals!$A$2:$A$355,0))=0,"",INDEX(Deals!$AG$2:$AG$355,MATCH($C594,Deals!$A$2:$A$355,0))),""))</f>
        <v/>
      </c>
      <c r="AI594" s="35">
        <f>IF($AH594="",DATE(1900,1,1),$AF594)</f>
        <v/>
      </c>
      <c r="AJ594" s="35">
        <f>IF($AH594="",DATE(2100,12,31),$AH594)</f>
        <v/>
      </c>
      <c r="AK594" s="32">
        <f>IF($AH594="",$AC594,$AC594*$S594)</f>
        <v/>
      </c>
      <c r="AL594" s="35">
        <f>IF($AH594="",DATE(2100,12,31),$AH594+1)</f>
        <v/>
      </c>
      <c r="AM594" s="35">
        <f>IF($AH594="",DATE(1900,1,1),$AG594)</f>
        <v/>
      </c>
      <c r="AN594" s="32">
        <f>IF($AH594="",0,$AC594*$T594)</f>
        <v/>
      </c>
    </row>
    <row r="595">
      <c r="A595" s="28" t="inlineStr">
        <is>
          <t>Yiyi</t>
        </is>
      </c>
      <c r="B595" s="16">
        <f>IF($A595="","",IFERROR(INDEX(Roster!$B$2:$B$40,MATCH($A595,Roster!$A$2:$A$40,0)),"?"))</f>
        <v/>
      </c>
      <c r="C595" s="28" t="inlineStr">
        <is>
          <t>Cross_1</t>
        </is>
      </c>
      <c r="D595" s="16">
        <f>IF($C595="","",IFERROR(IF(INDEX(Deals!$C$2:$C$355,MATCH($C595,Deals!$A$2:$A$355,0))=0,"",INDEX(Deals!$C$2:$C$355,MATCH($C595,Deals!$A$2:$A$355,0))),"?"))</f>
        <v/>
      </c>
      <c r="E595" s="16">
        <f>IF($C595="","",IFERROR(INDEX(Deals!$F$2:$F$355,MATCH($C595,Deals!$A$2:$A$355,0)),"?"))</f>
        <v/>
      </c>
      <c r="F595" s="28" t="inlineStr">
        <is>
          <t>Renewable Specialist</t>
        </is>
      </c>
      <c r="G595" s="28" t="inlineStr">
        <is>
          <t>Active</t>
        </is>
      </c>
      <c r="H595" s="31" t="n"/>
      <c r="I595" s="32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1">
        <f>IF($C595="",0,IFERROR(INDEX(Deals!$H$2:$H$355,MATCH($C595,Deals!$A$2:$A$355,0)),0))</f>
        <v/>
      </c>
      <c r="K595" s="32">
        <f>IF(Settings!$B$4="Yes",$I595*$J595,$I595)</f>
        <v/>
      </c>
      <c r="L595" s="22">
        <f>IF($C595="","",IFERROR(IF(INDEX(Deals!$I$2:$I$355,MATCH($C595,Deals!$A$2:$A$355,0))=0,"",INDEX(Deals!$I$2:$I$355,MATCH($C595,Deals!$A$2:$A$355,0))),""))</f>
        <v/>
      </c>
      <c r="M595" s="22">
        <f>IF($C595="","",IFERROR(IF(INDEX(Deals!$J$2:$J$355,MATCH($C595,Deals!$A$2:$A$355,0))=0,"",INDEX(Deals!$J$2:$J$355,MATCH($C595,Deals!$A$2:$A$355,0))),""))</f>
        <v/>
      </c>
      <c r="N595" s="35">
        <f>IF($L595="",DATE(1900,1,1),$L595)</f>
        <v/>
      </c>
      <c r="O595" s="35">
        <f>IF($M595="",DATE(2100,12,31),$M595)</f>
        <v/>
      </c>
      <c r="P595" s="20" t="inlineStr"/>
      <c r="Q595" s="43" t="inlineStr"/>
      <c r="R595" s="16">
        <f>IF($C595="","",IFERROR(IF(INDEX(Deals!$U$2:$U$355,MATCH($C595,Deals!$A$2:$A$355,0))=0,"",INDEX(Deals!$U$2:$U$355,MATCH($C595,Deals!$A$2:$A$355,0))),""))</f>
        <v/>
      </c>
      <c r="S595" s="34">
        <f>IFERROR(IF($U595="",1,INDEX(Deals!$V$2:$V$355,MATCH($C595,Deals!$A$2:$A$355,0))),1)</f>
        <v/>
      </c>
      <c r="T595" s="34">
        <f>IFERROR(IF($U595="",1,INDEX(Deals!$W$2:$W$355,MATCH($C595,Deals!$A$2:$A$355,0))),1)</f>
        <v/>
      </c>
      <c r="U595" s="22">
        <f>IF($C595="","",IFERROR(IF(INDEX(Deals!$Y$2:$Y$355,MATCH($C595,Deals!$A$2:$A$355,0))=0,"",INDEX(Deals!$Y$2:$Y$355,MATCH($C595,Deals!$A$2:$A$355,0))),""))</f>
        <v/>
      </c>
      <c r="V595" s="35">
        <f>IF($U595="",DATE(1900,1,1),$N595)</f>
        <v/>
      </c>
      <c r="W595" s="35">
        <f>IF($U595="",DATE(2100,12,31),$U595)</f>
        <v/>
      </c>
      <c r="X595" s="32">
        <f>IF($U595="",$K595,$K595*$S595)</f>
        <v/>
      </c>
      <c r="Y595" s="35">
        <f>IF($U595="",DATE(2100,12,31),$U595+1)</f>
        <v/>
      </c>
      <c r="Z595" s="35">
        <f>IF($U595="",DATE(1900,1,1),$O595)</f>
        <v/>
      </c>
      <c r="AA595" s="32">
        <f>IF($U595="",0,$K595*$T595)</f>
        <v/>
      </c>
      <c r="AB595" s="21">
        <f>IF($C595="",0,IFERROR(INDEX(Deals!$AD$2:$AD$355,MATCH($C595,Deals!$A$2:$A$355,0)),0))</f>
        <v/>
      </c>
      <c r="AC595" s="32">
        <f>IF(Settings!$B$4="Yes",$I595*$AB595,$I595)</f>
        <v/>
      </c>
      <c r="AD595" s="22">
        <f>IF($C595="","",IFERROR(IF(INDEX(Deals!$AE$2:$AE$355,MATCH($C595,Deals!$A$2:$A$355,0))=0,"",INDEX(Deals!$AE$2:$AE$355,MATCH($C595,Deals!$A$2:$A$355,0))),""))</f>
        <v/>
      </c>
      <c r="AE595" s="22">
        <f>IF($C595="","",IFERROR(IF(INDEX(Deals!$AF$2:$AF$355,MATCH($C595,Deals!$A$2:$A$355,0))=0,"",INDEX(Deals!$AF$2:$AF$355,MATCH($C595,Deals!$A$2:$A$355,0))),""))</f>
        <v/>
      </c>
      <c r="AF595" s="35">
        <f>IF($AD595="",DATE(1900,1,1),$AD595)</f>
        <v/>
      </c>
      <c r="AG595" s="35">
        <f>IF($AE595="",DATE(2100,12,31),$AE595)</f>
        <v/>
      </c>
      <c r="AH595" s="22">
        <f>IF($C595="","",IFERROR(IF(INDEX(Deals!$AG$2:$AG$355,MATCH($C595,Deals!$A$2:$A$355,0))=0,"",INDEX(Deals!$AG$2:$AG$355,MATCH($C595,Deals!$A$2:$A$355,0))),""))</f>
        <v/>
      </c>
      <c r="AI595" s="35">
        <f>IF($AH595="",DATE(1900,1,1),$AF595)</f>
        <v/>
      </c>
      <c r="AJ595" s="35">
        <f>IF($AH595="",DATE(2100,12,31),$AH595)</f>
        <v/>
      </c>
      <c r="AK595" s="32">
        <f>IF($AH595="",$AC595,$AC595*$S595)</f>
        <v/>
      </c>
      <c r="AL595" s="35">
        <f>IF($AH595="",DATE(2100,12,31),$AH595+1)</f>
        <v/>
      </c>
      <c r="AM595" s="35">
        <f>IF($AH595="",DATE(1900,1,1),$AG595)</f>
        <v/>
      </c>
      <c r="AN595" s="32">
        <f>IF($AH595="",0,$AC595*$T595)</f>
        <v/>
      </c>
    </row>
    <row r="596">
      <c r="A596" s="28" t="inlineStr">
        <is>
          <t>Yiyi</t>
        </is>
      </c>
      <c r="B596" s="16">
        <f>IF($A596="","",IFERROR(INDEX(Roster!$B$2:$B$40,MATCH($A596,Roster!$A$2:$A$40,0)),"?"))</f>
        <v/>
      </c>
      <c r="C596" s="28" t="inlineStr">
        <is>
          <t>Destiny_1</t>
        </is>
      </c>
      <c r="D596" s="16">
        <f>IF($C596="","",IFERROR(IF(INDEX(Deals!$C$2:$C$355,MATCH($C596,Deals!$A$2:$A$355,0))=0,"",INDEX(Deals!$C$2:$C$355,MATCH($C596,Deals!$A$2:$A$355,0))),"?"))</f>
        <v/>
      </c>
      <c r="E596" s="16">
        <f>IF($C596="","",IFERROR(INDEX(Deals!$F$2:$F$355,MATCH($C596,Deals!$A$2:$A$355,0)),"?"))</f>
        <v/>
      </c>
      <c r="F596" s="28" t="inlineStr">
        <is>
          <t>Renewable Specialist</t>
        </is>
      </c>
      <c r="G596" s="28" t="inlineStr">
        <is>
          <t>Active</t>
        </is>
      </c>
      <c r="H596" s="31" t="n"/>
      <c r="I596" s="32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1">
        <f>IF($C596="",0,IFERROR(INDEX(Deals!$H$2:$H$355,MATCH($C596,Deals!$A$2:$A$355,0)),0))</f>
        <v/>
      </c>
      <c r="K596" s="32">
        <f>IF(Settings!$B$4="Yes",$I596*$J596,$I596)</f>
        <v/>
      </c>
      <c r="L596" s="22">
        <f>IF($C596="","",IFERROR(IF(INDEX(Deals!$I$2:$I$355,MATCH($C596,Deals!$A$2:$A$355,0))=0,"",INDEX(Deals!$I$2:$I$355,MATCH($C596,Deals!$A$2:$A$355,0))),""))</f>
        <v/>
      </c>
      <c r="M596" s="22">
        <f>IF($C596="","",IFERROR(IF(INDEX(Deals!$J$2:$J$355,MATCH($C596,Deals!$A$2:$A$355,0))=0,"",INDEX(Deals!$J$2:$J$355,MATCH($C596,Deals!$A$2:$A$355,0))),""))</f>
        <v/>
      </c>
      <c r="N596" s="35">
        <f>IF($L596="",DATE(1900,1,1),$L596)</f>
        <v/>
      </c>
      <c r="O596" s="35">
        <f>IF($M596="",DATE(2100,12,31),$M596)</f>
        <v/>
      </c>
      <c r="P596" s="20" t="inlineStr"/>
      <c r="Q596" s="43" t="inlineStr"/>
      <c r="R596" s="16">
        <f>IF($C596="","",IFERROR(IF(INDEX(Deals!$U$2:$U$355,MATCH($C596,Deals!$A$2:$A$355,0))=0,"",INDEX(Deals!$U$2:$U$355,MATCH($C596,Deals!$A$2:$A$355,0))),""))</f>
        <v/>
      </c>
      <c r="S596" s="34">
        <f>IFERROR(IF($U596="",1,INDEX(Deals!$V$2:$V$355,MATCH($C596,Deals!$A$2:$A$355,0))),1)</f>
        <v/>
      </c>
      <c r="T596" s="34">
        <f>IFERROR(IF($U596="",1,INDEX(Deals!$W$2:$W$355,MATCH($C596,Deals!$A$2:$A$355,0))),1)</f>
        <v/>
      </c>
      <c r="U596" s="22">
        <f>IF($C596="","",IFERROR(IF(INDEX(Deals!$Y$2:$Y$355,MATCH($C596,Deals!$A$2:$A$355,0))=0,"",INDEX(Deals!$Y$2:$Y$355,MATCH($C596,Deals!$A$2:$A$355,0))),""))</f>
        <v/>
      </c>
      <c r="V596" s="35">
        <f>IF($U596="",DATE(1900,1,1),$N596)</f>
        <v/>
      </c>
      <c r="W596" s="35">
        <f>IF($U596="",DATE(2100,12,31),$U596)</f>
        <v/>
      </c>
      <c r="X596" s="32">
        <f>IF($U596="",$K596,$K596*$S596)</f>
        <v/>
      </c>
      <c r="Y596" s="35">
        <f>IF($U596="",DATE(2100,12,31),$U596+1)</f>
        <v/>
      </c>
      <c r="Z596" s="35">
        <f>IF($U596="",DATE(1900,1,1),$O596)</f>
        <v/>
      </c>
      <c r="AA596" s="32">
        <f>IF($U596="",0,$K596*$T596)</f>
        <v/>
      </c>
      <c r="AB596" s="21">
        <f>IF($C596="",0,IFERROR(INDEX(Deals!$AD$2:$AD$355,MATCH($C596,Deals!$A$2:$A$355,0)),0))</f>
        <v/>
      </c>
      <c r="AC596" s="32">
        <f>IF(Settings!$B$4="Yes",$I596*$AB596,$I596)</f>
        <v/>
      </c>
      <c r="AD596" s="22">
        <f>IF($C596="","",IFERROR(IF(INDEX(Deals!$AE$2:$AE$355,MATCH($C596,Deals!$A$2:$A$355,0))=0,"",INDEX(Deals!$AE$2:$AE$355,MATCH($C596,Deals!$A$2:$A$355,0))),""))</f>
        <v/>
      </c>
      <c r="AE596" s="22">
        <f>IF($C596="","",IFERROR(IF(INDEX(Deals!$AF$2:$AF$355,MATCH($C596,Deals!$A$2:$A$355,0))=0,"",INDEX(Deals!$AF$2:$AF$355,MATCH($C596,Deals!$A$2:$A$355,0))),""))</f>
        <v/>
      </c>
      <c r="AF596" s="35">
        <f>IF($AD596="",DATE(1900,1,1),$AD596)</f>
        <v/>
      </c>
      <c r="AG596" s="35">
        <f>IF($AE596="",DATE(2100,12,31),$AE596)</f>
        <v/>
      </c>
      <c r="AH596" s="22">
        <f>IF($C596="","",IFERROR(IF(INDEX(Deals!$AG$2:$AG$355,MATCH($C596,Deals!$A$2:$A$355,0))=0,"",INDEX(Deals!$AG$2:$AG$355,MATCH($C596,Deals!$A$2:$A$355,0))),""))</f>
        <v/>
      </c>
      <c r="AI596" s="35">
        <f>IF($AH596="",DATE(1900,1,1),$AF596)</f>
        <v/>
      </c>
      <c r="AJ596" s="35">
        <f>IF($AH596="",DATE(2100,12,31),$AH596)</f>
        <v/>
      </c>
      <c r="AK596" s="32">
        <f>IF($AH596="",$AC596,$AC596*$S596)</f>
        <v/>
      </c>
      <c r="AL596" s="35">
        <f>IF($AH596="",DATE(2100,12,31),$AH596+1)</f>
        <v/>
      </c>
      <c r="AM596" s="35">
        <f>IF($AH596="",DATE(1900,1,1),$AG596)</f>
        <v/>
      </c>
      <c r="AN596" s="32">
        <f>IF($AH596="",0,$AC596*$T596)</f>
        <v/>
      </c>
    </row>
    <row r="597">
      <c r="A597" s="28" t="inlineStr">
        <is>
          <t>Yiyi</t>
        </is>
      </c>
      <c r="B597" s="16">
        <f>IF($A597="","",IFERROR(INDEX(Roster!$B$2:$B$40,MATCH($A597,Roster!$A$2:$A$40,0)),"?"))</f>
        <v/>
      </c>
      <c r="C597" s="28" t="inlineStr">
        <is>
          <t>DIF Twister_2</t>
        </is>
      </c>
      <c r="D597" s="16">
        <f>IF($C597="","",IFERROR(IF(INDEX(Deals!$C$2:$C$355,MATCH($C597,Deals!$A$2:$A$355,0))=0,"",INDEX(Deals!$C$2:$C$355,MATCH($C597,Deals!$A$2:$A$355,0))),"?"))</f>
        <v/>
      </c>
      <c r="E597" s="16">
        <f>IF($C597="","",IFERROR(INDEX(Deals!$F$2:$F$355,MATCH($C597,Deals!$A$2:$A$355,0)),"?"))</f>
        <v/>
      </c>
      <c r="F597" s="28" t="inlineStr">
        <is>
          <t>Renewable Specialist</t>
        </is>
      </c>
      <c r="G597" s="28" t="inlineStr">
        <is>
          <t>Active</t>
        </is>
      </c>
      <c r="H597" s="31" t="n"/>
      <c r="I597" s="32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1">
        <f>IF($C597="",0,IFERROR(INDEX(Deals!$H$2:$H$355,MATCH($C597,Deals!$A$2:$A$355,0)),0))</f>
        <v/>
      </c>
      <c r="K597" s="32">
        <f>IF(Settings!$B$4="Yes",$I597*$J597,$I597)</f>
        <v/>
      </c>
      <c r="L597" s="22">
        <f>IF($C597="","",IFERROR(IF(INDEX(Deals!$I$2:$I$355,MATCH($C597,Deals!$A$2:$A$355,0))=0,"",INDEX(Deals!$I$2:$I$355,MATCH($C597,Deals!$A$2:$A$355,0))),""))</f>
        <v/>
      </c>
      <c r="M597" s="22">
        <f>IF($C597="","",IFERROR(IF(INDEX(Deals!$J$2:$J$355,MATCH($C597,Deals!$A$2:$A$355,0))=0,"",INDEX(Deals!$J$2:$J$355,MATCH($C597,Deals!$A$2:$A$355,0))),""))</f>
        <v/>
      </c>
      <c r="N597" s="35">
        <f>IF($L597="",DATE(1900,1,1),$L597)</f>
        <v/>
      </c>
      <c r="O597" s="35">
        <f>IF($M597="",DATE(2100,12,31),$M597)</f>
        <v/>
      </c>
      <c r="P597" s="20" t="inlineStr"/>
      <c r="Q597" s="43" t="inlineStr"/>
      <c r="R597" s="16">
        <f>IF($C597="","",IFERROR(IF(INDEX(Deals!$U$2:$U$355,MATCH($C597,Deals!$A$2:$A$355,0))=0,"",INDEX(Deals!$U$2:$U$355,MATCH($C597,Deals!$A$2:$A$355,0))),""))</f>
        <v/>
      </c>
      <c r="S597" s="34">
        <f>IFERROR(IF($U597="",1,INDEX(Deals!$V$2:$V$355,MATCH($C597,Deals!$A$2:$A$355,0))),1)</f>
        <v/>
      </c>
      <c r="T597" s="34">
        <f>IFERROR(IF($U597="",1,INDEX(Deals!$W$2:$W$355,MATCH($C597,Deals!$A$2:$A$355,0))),1)</f>
        <v/>
      </c>
      <c r="U597" s="22">
        <f>IF($C597="","",IFERROR(IF(INDEX(Deals!$Y$2:$Y$355,MATCH($C597,Deals!$A$2:$A$355,0))=0,"",INDEX(Deals!$Y$2:$Y$355,MATCH($C597,Deals!$A$2:$A$355,0))),""))</f>
        <v/>
      </c>
      <c r="V597" s="35">
        <f>IF($U597="",DATE(1900,1,1),$N597)</f>
        <v/>
      </c>
      <c r="W597" s="35">
        <f>IF($U597="",DATE(2100,12,31),$U597)</f>
        <v/>
      </c>
      <c r="X597" s="32">
        <f>IF($U597="",$K597,$K597*$S597)</f>
        <v/>
      </c>
      <c r="Y597" s="35">
        <f>IF($U597="",DATE(2100,12,31),$U597+1)</f>
        <v/>
      </c>
      <c r="Z597" s="35">
        <f>IF($U597="",DATE(1900,1,1),$O597)</f>
        <v/>
      </c>
      <c r="AA597" s="32">
        <f>IF($U597="",0,$K597*$T597)</f>
        <v/>
      </c>
      <c r="AB597" s="21">
        <f>IF($C597="",0,IFERROR(INDEX(Deals!$AD$2:$AD$355,MATCH($C597,Deals!$A$2:$A$355,0)),0))</f>
        <v/>
      </c>
      <c r="AC597" s="32">
        <f>IF(Settings!$B$4="Yes",$I597*$AB597,$I597)</f>
        <v/>
      </c>
      <c r="AD597" s="22">
        <f>IF($C597="","",IFERROR(IF(INDEX(Deals!$AE$2:$AE$355,MATCH($C597,Deals!$A$2:$A$355,0))=0,"",INDEX(Deals!$AE$2:$AE$355,MATCH($C597,Deals!$A$2:$A$355,0))),""))</f>
        <v/>
      </c>
      <c r="AE597" s="22">
        <f>IF($C597="","",IFERROR(IF(INDEX(Deals!$AF$2:$AF$355,MATCH($C597,Deals!$A$2:$A$355,0))=0,"",INDEX(Deals!$AF$2:$AF$355,MATCH($C597,Deals!$A$2:$A$355,0))),""))</f>
        <v/>
      </c>
      <c r="AF597" s="35">
        <f>IF($AD597="",DATE(1900,1,1),$AD597)</f>
        <v/>
      </c>
      <c r="AG597" s="35">
        <f>IF($AE597="",DATE(2100,12,31),$AE597)</f>
        <v/>
      </c>
      <c r="AH597" s="22">
        <f>IF($C597="","",IFERROR(IF(INDEX(Deals!$AG$2:$AG$355,MATCH($C597,Deals!$A$2:$A$355,0))=0,"",INDEX(Deals!$AG$2:$AG$355,MATCH($C597,Deals!$A$2:$A$355,0))),""))</f>
        <v/>
      </c>
      <c r="AI597" s="35">
        <f>IF($AH597="",DATE(1900,1,1),$AF597)</f>
        <v/>
      </c>
      <c r="AJ597" s="35">
        <f>IF($AH597="",DATE(2100,12,31),$AH597)</f>
        <v/>
      </c>
      <c r="AK597" s="32">
        <f>IF($AH597="",$AC597,$AC597*$S597)</f>
        <v/>
      </c>
      <c r="AL597" s="35">
        <f>IF($AH597="",DATE(2100,12,31),$AH597+1)</f>
        <v/>
      </c>
      <c r="AM597" s="35">
        <f>IF($AH597="",DATE(1900,1,1),$AG597)</f>
        <v/>
      </c>
      <c r="AN597" s="32">
        <f>IF($AH597="",0,$AC597*$T597)</f>
        <v/>
      </c>
    </row>
    <row r="598">
      <c r="A598" s="28" t="inlineStr">
        <is>
          <t>Yiyi</t>
        </is>
      </c>
      <c r="B598" s="16">
        <f>IF($A598="","",IFERROR(INDEX(Roster!$B$2:$B$40,MATCH($A598,Roster!$A$2:$A$40,0)),"?"))</f>
        <v/>
      </c>
      <c r="C598" s="28" t="inlineStr">
        <is>
          <t>Doc_1</t>
        </is>
      </c>
      <c r="D598" s="16">
        <f>IF($C598="","",IFERROR(IF(INDEX(Deals!$C$2:$C$355,MATCH($C598,Deals!$A$2:$A$355,0))=0,"",INDEX(Deals!$C$2:$C$355,MATCH($C598,Deals!$A$2:$A$355,0))),"?"))</f>
        <v/>
      </c>
      <c r="E598" s="16">
        <f>IF($C598="","",IFERROR(INDEX(Deals!$F$2:$F$355,MATCH($C598,Deals!$A$2:$A$355,0)),"?"))</f>
        <v/>
      </c>
      <c r="F598" s="28" t="inlineStr">
        <is>
          <t>Renewable Specialist</t>
        </is>
      </c>
      <c r="G598" s="28" t="inlineStr">
        <is>
          <t>Active</t>
        </is>
      </c>
      <c r="H598" s="31" t="n"/>
      <c r="I598" s="32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1">
        <f>IF($C598="",0,IFERROR(INDEX(Deals!$H$2:$H$355,MATCH($C598,Deals!$A$2:$A$355,0)),0))</f>
        <v/>
      </c>
      <c r="K598" s="32">
        <f>IF(Settings!$B$4="Yes",$I598*$J598,$I598)</f>
        <v/>
      </c>
      <c r="L598" s="22">
        <f>IF($C598="","",IFERROR(IF(INDEX(Deals!$I$2:$I$355,MATCH($C598,Deals!$A$2:$A$355,0))=0,"",INDEX(Deals!$I$2:$I$355,MATCH($C598,Deals!$A$2:$A$355,0))),""))</f>
        <v/>
      </c>
      <c r="M598" s="22">
        <f>IF($C598="","",IFERROR(IF(INDEX(Deals!$J$2:$J$355,MATCH($C598,Deals!$A$2:$A$355,0))=0,"",INDEX(Deals!$J$2:$J$355,MATCH($C598,Deals!$A$2:$A$355,0))),""))</f>
        <v/>
      </c>
      <c r="N598" s="35">
        <f>IF($L598="",DATE(1900,1,1),$L598)</f>
        <v/>
      </c>
      <c r="O598" s="35">
        <f>IF($M598="",DATE(2100,12,31),$M598)</f>
        <v/>
      </c>
      <c r="P598" s="20" t="inlineStr"/>
      <c r="Q598" s="43" t="inlineStr"/>
      <c r="R598" s="16">
        <f>IF($C598="","",IFERROR(IF(INDEX(Deals!$U$2:$U$355,MATCH($C598,Deals!$A$2:$A$355,0))=0,"",INDEX(Deals!$U$2:$U$355,MATCH($C598,Deals!$A$2:$A$355,0))),""))</f>
        <v/>
      </c>
      <c r="S598" s="34">
        <f>IFERROR(IF($U598="",1,INDEX(Deals!$V$2:$V$355,MATCH($C598,Deals!$A$2:$A$355,0))),1)</f>
        <v/>
      </c>
      <c r="T598" s="34">
        <f>IFERROR(IF($U598="",1,INDEX(Deals!$W$2:$W$355,MATCH($C598,Deals!$A$2:$A$355,0))),1)</f>
        <v/>
      </c>
      <c r="U598" s="22">
        <f>IF($C598="","",IFERROR(IF(INDEX(Deals!$Y$2:$Y$355,MATCH($C598,Deals!$A$2:$A$355,0))=0,"",INDEX(Deals!$Y$2:$Y$355,MATCH($C598,Deals!$A$2:$A$355,0))),""))</f>
        <v/>
      </c>
      <c r="V598" s="35">
        <f>IF($U598="",DATE(1900,1,1),$N598)</f>
        <v/>
      </c>
      <c r="W598" s="35">
        <f>IF($U598="",DATE(2100,12,31),$U598)</f>
        <v/>
      </c>
      <c r="X598" s="32">
        <f>IF($U598="",$K598,$K598*$S598)</f>
        <v/>
      </c>
      <c r="Y598" s="35">
        <f>IF($U598="",DATE(2100,12,31),$U598+1)</f>
        <v/>
      </c>
      <c r="Z598" s="35">
        <f>IF($U598="",DATE(1900,1,1),$O598)</f>
        <v/>
      </c>
      <c r="AA598" s="32">
        <f>IF($U598="",0,$K598*$T598)</f>
        <v/>
      </c>
      <c r="AB598" s="21">
        <f>IF($C598="",0,IFERROR(INDEX(Deals!$AD$2:$AD$355,MATCH($C598,Deals!$A$2:$A$355,0)),0))</f>
        <v/>
      </c>
      <c r="AC598" s="32">
        <f>IF(Settings!$B$4="Yes",$I598*$AB598,$I598)</f>
        <v/>
      </c>
      <c r="AD598" s="22">
        <f>IF($C598="","",IFERROR(IF(INDEX(Deals!$AE$2:$AE$355,MATCH($C598,Deals!$A$2:$A$355,0))=0,"",INDEX(Deals!$AE$2:$AE$355,MATCH($C598,Deals!$A$2:$A$355,0))),""))</f>
        <v/>
      </c>
      <c r="AE598" s="22">
        <f>IF($C598="","",IFERROR(IF(INDEX(Deals!$AF$2:$AF$355,MATCH($C598,Deals!$A$2:$A$355,0))=0,"",INDEX(Deals!$AF$2:$AF$355,MATCH($C598,Deals!$A$2:$A$355,0))),""))</f>
        <v/>
      </c>
      <c r="AF598" s="35">
        <f>IF($AD598="",DATE(1900,1,1),$AD598)</f>
        <v/>
      </c>
      <c r="AG598" s="35">
        <f>IF($AE598="",DATE(2100,12,31),$AE598)</f>
        <v/>
      </c>
      <c r="AH598" s="22">
        <f>IF($C598="","",IFERROR(IF(INDEX(Deals!$AG$2:$AG$355,MATCH($C598,Deals!$A$2:$A$355,0))=0,"",INDEX(Deals!$AG$2:$AG$355,MATCH($C598,Deals!$A$2:$A$355,0))),""))</f>
        <v/>
      </c>
      <c r="AI598" s="35">
        <f>IF($AH598="",DATE(1900,1,1),$AF598)</f>
        <v/>
      </c>
      <c r="AJ598" s="35">
        <f>IF($AH598="",DATE(2100,12,31),$AH598)</f>
        <v/>
      </c>
      <c r="AK598" s="32">
        <f>IF($AH598="",$AC598,$AC598*$S598)</f>
        <v/>
      </c>
      <c r="AL598" s="35">
        <f>IF($AH598="",DATE(2100,12,31),$AH598+1)</f>
        <v/>
      </c>
      <c r="AM598" s="35">
        <f>IF($AH598="",DATE(1900,1,1),$AG598)</f>
        <v/>
      </c>
      <c r="AN598" s="32">
        <f>IF($AH598="",0,$AC598*$T598)</f>
        <v/>
      </c>
    </row>
    <row r="599">
      <c r="A599" s="28" t="inlineStr">
        <is>
          <t>Yiyi</t>
        </is>
      </c>
      <c r="B599" s="16">
        <f>IF($A599="","",IFERROR(INDEX(Roster!$B$2:$B$40,MATCH($A599,Roster!$A$2:$A$40,0)),"?"))</f>
        <v/>
      </c>
      <c r="C599" s="28" t="inlineStr">
        <is>
          <t>Eagle_7</t>
        </is>
      </c>
      <c r="D599" s="16">
        <f>IF($C599="","",IFERROR(IF(INDEX(Deals!$C$2:$C$355,MATCH($C599,Deals!$A$2:$A$355,0))=0,"",INDEX(Deals!$C$2:$C$355,MATCH($C599,Deals!$A$2:$A$355,0))),"?"))</f>
        <v/>
      </c>
      <c r="E599" s="16">
        <f>IF($C599="","",IFERROR(INDEX(Deals!$F$2:$F$355,MATCH($C599,Deals!$A$2:$A$355,0)),"?"))</f>
        <v/>
      </c>
      <c r="F599" s="28" t="inlineStr">
        <is>
          <t>Renewable Specialist</t>
        </is>
      </c>
      <c r="G599" s="28" t="inlineStr">
        <is>
          <t>Active</t>
        </is>
      </c>
      <c r="H599" s="31" t="n"/>
      <c r="I599" s="32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1">
        <f>IF($C599="",0,IFERROR(INDEX(Deals!$H$2:$H$355,MATCH($C599,Deals!$A$2:$A$355,0)),0))</f>
        <v/>
      </c>
      <c r="K599" s="32">
        <f>IF(Settings!$B$4="Yes",$I599*$J599,$I599)</f>
        <v/>
      </c>
      <c r="L599" s="22">
        <f>IF($C599="","",IFERROR(IF(INDEX(Deals!$I$2:$I$355,MATCH($C599,Deals!$A$2:$A$355,0))=0,"",INDEX(Deals!$I$2:$I$355,MATCH($C599,Deals!$A$2:$A$355,0))),""))</f>
        <v/>
      </c>
      <c r="M599" s="22">
        <f>IF($C599="","",IFERROR(IF(INDEX(Deals!$J$2:$J$355,MATCH($C599,Deals!$A$2:$A$355,0))=0,"",INDEX(Deals!$J$2:$J$355,MATCH($C599,Deals!$A$2:$A$355,0))),""))</f>
        <v/>
      </c>
      <c r="N599" s="35">
        <f>IF($L599="",DATE(1900,1,1),$L599)</f>
        <v/>
      </c>
      <c r="O599" s="35">
        <f>IF($M599="",DATE(2100,12,31),$M599)</f>
        <v/>
      </c>
      <c r="P599" s="20" t="inlineStr"/>
      <c r="Q599" s="43" t="inlineStr"/>
      <c r="R599" s="16">
        <f>IF($C599="","",IFERROR(IF(INDEX(Deals!$U$2:$U$355,MATCH($C599,Deals!$A$2:$A$355,0))=0,"",INDEX(Deals!$U$2:$U$355,MATCH($C599,Deals!$A$2:$A$355,0))),""))</f>
        <v/>
      </c>
      <c r="S599" s="34">
        <f>IFERROR(IF($U599="",1,INDEX(Deals!$V$2:$V$355,MATCH($C599,Deals!$A$2:$A$355,0))),1)</f>
        <v/>
      </c>
      <c r="T599" s="34">
        <f>IFERROR(IF($U599="",1,INDEX(Deals!$W$2:$W$355,MATCH($C599,Deals!$A$2:$A$355,0))),1)</f>
        <v/>
      </c>
      <c r="U599" s="22">
        <f>IF($C599="","",IFERROR(IF(INDEX(Deals!$Y$2:$Y$355,MATCH($C599,Deals!$A$2:$A$355,0))=0,"",INDEX(Deals!$Y$2:$Y$355,MATCH($C599,Deals!$A$2:$A$355,0))),""))</f>
        <v/>
      </c>
      <c r="V599" s="35">
        <f>IF($U599="",DATE(1900,1,1),$N599)</f>
        <v/>
      </c>
      <c r="W599" s="35">
        <f>IF($U599="",DATE(2100,12,31),$U599)</f>
        <v/>
      </c>
      <c r="X599" s="32">
        <f>IF($U599="",$K599,$K599*$S599)</f>
        <v/>
      </c>
      <c r="Y599" s="35">
        <f>IF($U599="",DATE(2100,12,31),$U599+1)</f>
        <v/>
      </c>
      <c r="Z599" s="35">
        <f>IF($U599="",DATE(1900,1,1),$O599)</f>
        <v/>
      </c>
      <c r="AA599" s="32">
        <f>IF($U599="",0,$K599*$T599)</f>
        <v/>
      </c>
      <c r="AB599" s="21">
        <f>IF($C599="",0,IFERROR(INDEX(Deals!$AD$2:$AD$355,MATCH($C599,Deals!$A$2:$A$355,0)),0))</f>
        <v/>
      </c>
      <c r="AC599" s="32">
        <f>IF(Settings!$B$4="Yes",$I599*$AB599,$I599)</f>
        <v/>
      </c>
      <c r="AD599" s="22">
        <f>IF($C599="","",IFERROR(IF(INDEX(Deals!$AE$2:$AE$355,MATCH($C599,Deals!$A$2:$A$355,0))=0,"",INDEX(Deals!$AE$2:$AE$355,MATCH($C599,Deals!$A$2:$A$355,0))),""))</f>
        <v/>
      </c>
      <c r="AE599" s="22">
        <f>IF($C599="","",IFERROR(IF(INDEX(Deals!$AF$2:$AF$355,MATCH($C599,Deals!$A$2:$A$355,0))=0,"",INDEX(Deals!$AF$2:$AF$355,MATCH($C599,Deals!$A$2:$A$355,0))),""))</f>
        <v/>
      </c>
      <c r="AF599" s="35">
        <f>IF($AD599="",DATE(1900,1,1),$AD599)</f>
        <v/>
      </c>
      <c r="AG599" s="35">
        <f>IF($AE599="",DATE(2100,12,31),$AE599)</f>
        <v/>
      </c>
      <c r="AH599" s="22">
        <f>IF($C599="","",IFERROR(IF(INDEX(Deals!$AG$2:$AG$355,MATCH($C599,Deals!$A$2:$A$355,0))=0,"",INDEX(Deals!$AG$2:$AG$355,MATCH($C599,Deals!$A$2:$A$355,0))),""))</f>
        <v/>
      </c>
      <c r="AI599" s="35">
        <f>IF($AH599="",DATE(1900,1,1),$AF599)</f>
        <v/>
      </c>
      <c r="AJ599" s="35">
        <f>IF($AH599="",DATE(2100,12,31),$AH599)</f>
        <v/>
      </c>
      <c r="AK599" s="32">
        <f>IF($AH599="",$AC599,$AC599*$S599)</f>
        <v/>
      </c>
      <c r="AL599" s="35">
        <f>IF($AH599="",DATE(2100,12,31),$AH599+1)</f>
        <v/>
      </c>
      <c r="AM599" s="35">
        <f>IF($AH599="",DATE(1900,1,1),$AG599)</f>
        <v/>
      </c>
      <c r="AN599" s="32">
        <f>IF($AH599="",0,$AC599*$T599)</f>
        <v/>
      </c>
    </row>
    <row r="600">
      <c r="A600" s="28" t="inlineStr">
        <is>
          <t>Yiyi</t>
        </is>
      </c>
      <c r="B600" s="16">
        <f>IF($A600="","",IFERROR(INDEX(Roster!$B$2:$B$40,MATCH($A600,Roster!$A$2:$A$40,0)),"?"))</f>
        <v/>
      </c>
      <c r="C600" s="28" t="inlineStr">
        <is>
          <t>Earthshine_2</t>
        </is>
      </c>
      <c r="D600" s="16">
        <f>IF($C600="","",IFERROR(IF(INDEX(Deals!$C$2:$C$355,MATCH($C600,Deals!$A$2:$A$355,0))=0,"",INDEX(Deals!$C$2:$C$355,MATCH($C600,Deals!$A$2:$A$355,0))),"?"))</f>
        <v/>
      </c>
      <c r="E600" s="16">
        <f>IF($C600="","",IFERROR(INDEX(Deals!$F$2:$F$355,MATCH($C600,Deals!$A$2:$A$355,0)),"?"))</f>
        <v/>
      </c>
      <c r="F600" s="28" t="inlineStr">
        <is>
          <t>Renewable Specialist</t>
        </is>
      </c>
      <c r="G600" s="28" t="inlineStr">
        <is>
          <t>Active</t>
        </is>
      </c>
      <c r="H600" s="31" t="n"/>
      <c r="I600" s="32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1">
        <f>IF($C600="",0,IFERROR(INDEX(Deals!$H$2:$H$355,MATCH($C600,Deals!$A$2:$A$355,0)),0))</f>
        <v/>
      </c>
      <c r="K600" s="32">
        <f>IF(Settings!$B$4="Yes",$I600*$J600,$I600)</f>
        <v/>
      </c>
      <c r="L600" s="22">
        <f>IF($C600="","",IFERROR(IF(INDEX(Deals!$I$2:$I$355,MATCH($C600,Deals!$A$2:$A$355,0))=0,"",INDEX(Deals!$I$2:$I$355,MATCH($C600,Deals!$A$2:$A$355,0))),""))</f>
        <v/>
      </c>
      <c r="M600" s="22">
        <f>IF($C600="","",IFERROR(IF(INDEX(Deals!$J$2:$J$355,MATCH($C600,Deals!$A$2:$A$355,0))=0,"",INDEX(Deals!$J$2:$J$355,MATCH($C600,Deals!$A$2:$A$355,0))),""))</f>
        <v/>
      </c>
      <c r="N600" s="35">
        <f>IF($L600="",DATE(1900,1,1),$L600)</f>
        <v/>
      </c>
      <c r="O600" s="35">
        <f>IF($M600="",DATE(2100,12,31),$M600)</f>
        <v/>
      </c>
      <c r="P600" s="20" t="inlineStr"/>
      <c r="Q600" s="43" t="inlineStr"/>
      <c r="R600" s="16">
        <f>IF($C600="","",IFERROR(IF(INDEX(Deals!$U$2:$U$355,MATCH($C600,Deals!$A$2:$A$355,0))=0,"",INDEX(Deals!$U$2:$U$355,MATCH($C600,Deals!$A$2:$A$355,0))),""))</f>
        <v/>
      </c>
      <c r="S600" s="34">
        <f>IFERROR(IF($U600="",1,INDEX(Deals!$V$2:$V$355,MATCH($C600,Deals!$A$2:$A$355,0))),1)</f>
        <v/>
      </c>
      <c r="T600" s="34">
        <f>IFERROR(IF($U600="",1,INDEX(Deals!$W$2:$W$355,MATCH($C600,Deals!$A$2:$A$355,0))),1)</f>
        <v/>
      </c>
      <c r="U600" s="22">
        <f>IF($C600="","",IFERROR(IF(INDEX(Deals!$Y$2:$Y$355,MATCH($C600,Deals!$A$2:$A$355,0))=0,"",INDEX(Deals!$Y$2:$Y$355,MATCH($C600,Deals!$A$2:$A$355,0))),""))</f>
        <v/>
      </c>
      <c r="V600" s="35">
        <f>IF($U600="",DATE(1900,1,1),$N600)</f>
        <v/>
      </c>
      <c r="W600" s="35">
        <f>IF($U600="",DATE(2100,12,31),$U600)</f>
        <v/>
      </c>
      <c r="X600" s="32">
        <f>IF($U600="",$K600,$K600*$S600)</f>
        <v/>
      </c>
      <c r="Y600" s="35">
        <f>IF($U600="",DATE(2100,12,31),$U600+1)</f>
        <v/>
      </c>
      <c r="Z600" s="35">
        <f>IF($U600="",DATE(1900,1,1),$O600)</f>
        <v/>
      </c>
      <c r="AA600" s="32">
        <f>IF($U600="",0,$K600*$T600)</f>
        <v/>
      </c>
      <c r="AB600" s="21">
        <f>IF($C600="",0,IFERROR(INDEX(Deals!$AD$2:$AD$355,MATCH($C600,Deals!$A$2:$A$355,0)),0))</f>
        <v/>
      </c>
      <c r="AC600" s="32">
        <f>IF(Settings!$B$4="Yes",$I600*$AB600,$I600)</f>
        <v/>
      </c>
      <c r="AD600" s="22">
        <f>IF($C600="","",IFERROR(IF(INDEX(Deals!$AE$2:$AE$355,MATCH($C600,Deals!$A$2:$A$355,0))=0,"",INDEX(Deals!$AE$2:$AE$355,MATCH($C600,Deals!$A$2:$A$355,0))),""))</f>
        <v/>
      </c>
      <c r="AE600" s="22">
        <f>IF($C600="","",IFERROR(IF(INDEX(Deals!$AF$2:$AF$355,MATCH($C600,Deals!$A$2:$A$355,0))=0,"",INDEX(Deals!$AF$2:$AF$355,MATCH($C600,Deals!$A$2:$A$355,0))),""))</f>
        <v/>
      </c>
      <c r="AF600" s="35">
        <f>IF($AD600="",DATE(1900,1,1),$AD600)</f>
        <v/>
      </c>
      <c r="AG600" s="35">
        <f>IF($AE600="",DATE(2100,12,31),$AE600)</f>
        <v/>
      </c>
      <c r="AH600" s="22">
        <f>IF($C600="","",IFERROR(IF(INDEX(Deals!$AG$2:$AG$355,MATCH($C600,Deals!$A$2:$A$355,0))=0,"",INDEX(Deals!$AG$2:$AG$355,MATCH($C600,Deals!$A$2:$A$355,0))),""))</f>
        <v/>
      </c>
      <c r="AI600" s="35">
        <f>IF($AH600="",DATE(1900,1,1),$AF600)</f>
        <v/>
      </c>
      <c r="AJ600" s="35">
        <f>IF($AH600="",DATE(2100,12,31),$AH600)</f>
        <v/>
      </c>
      <c r="AK600" s="32">
        <f>IF($AH600="",$AC600,$AC600*$S600)</f>
        <v/>
      </c>
      <c r="AL600" s="35">
        <f>IF($AH600="",DATE(2100,12,31),$AH600+1)</f>
        <v/>
      </c>
      <c r="AM600" s="35">
        <f>IF($AH600="",DATE(1900,1,1),$AG600)</f>
        <v/>
      </c>
      <c r="AN600" s="32">
        <f>IF($AH600="",0,$AC600*$T600)</f>
        <v/>
      </c>
    </row>
    <row r="601">
      <c r="A601" s="28" t="inlineStr">
        <is>
          <t>Yiyi</t>
        </is>
      </c>
      <c r="B601" s="16">
        <f>IF($A601="","",IFERROR(INDEX(Roster!$B$2:$B$40,MATCH($A601,Roster!$A$2:$A$40,0)),"?"))</f>
        <v/>
      </c>
      <c r="C601" s="28" t="inlineStr">
        <is>
          <t>Elektron_1</t>
        </is>
      </c>
      <c r="D601" s="16">
        <f>IF($C601="","",IFERROR(IF(INDEX(Deals!$C$2:$C$355,MATCH($C601,Deals!$A$2:$A$355,0))=0,"",INDEX(Deals!$C$2:$C$355,MATCH($C601,Deals!$A$2:$A$355,0))),"?"))</f>
        <v/>
      </c>
      <c r="E601" s="16">
        <f>IF($C601="","",IFERROR(INDEX(Deals!$F$2:$F$355,MATCH($C601,Deals!$A$2:$A$355,0)),"?"))</f>
        <v/>
      </c>
      <c r="F601" s="28" t="inlineStr">
        <is>
          <t>Renewable Specialist</t>
        </is>
      </c>
      <c r="G601" s="28" t="inlineStr">
        <is>
          <t>Active</t>
        </is>
      </c>
      <c r="H601" s="31" t="n"/>
      <c r="I601" s="32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1">
        <f>IF($C601="",0,IFERROR(INDEX(Deals!$H$2:$H$355,MATCH($C601,Deals!$A$2:$A$355,0)),0))</f>
        <v/>
      </c>
      <c r="K601" s="32">
        <f>IF(Settings!$B$4="Yes",$I601*$J601,$I601)</f>
        <v/>
      </c>
      <c r="L601" s="22">
        <f>IF($C601="","",IFERROR(IF(INDEX(Deals!$I$2:$I$355,MATCH($C601,Deals!$A$2:$A$355,0))=0,"",INDEX(Deals!$I$2:$I$355,MATCH($C601,Deals!$A$2:$A$355,0))),""))</f>
        <v/>
      </c>
      <c r="M601" s="22">
        <f>IF($C601="","",IFERROR(IF(INDEX(Deals!$J$2:$J$355,MATCH($C601,Deals!$A$2:$A$355,0))=0,"",INDEX(Deals!$J$2:$J$355,MATCH($C601,Deals!$A$2:$A$355,0))),""))</f>
        <v/>
      </c>
      <c r="N601" s="35">
        <f>IF($L601="",DATE(1900,1,1),$L601)</f>
        <v/>
      </c>
      <c r="O601" s="35">
        <f>IF($M601="",DATE(2100,12,31),$M601)</f>
        <v/>
      </c>
      <c r="P601" s="20" t="inlineStr"/>
      <c r="Q601" s="43" t="inlineStr"/>
      <c r="R601" s="16">
        <f>IF($C601="","",IFERROR(IF(INDEX(Deals!$U$2:$U$355,MATCH($C601,Deals!$A$2:$A$355,0))=0,"",INDEX(Deals!$U$2:$U$355,MATCH($C601,Deals!$A$2:$A$355,0))),""))</f>
        <v/>
      </c>
      <c r="S601" s="34">
        <f>IFERROR(IF($U601="",1,INDEX(Deals!$V$2:$V$355,MATCH($C601,Deals!$A$2:$A$355,0))),1)</f>
        <v/>
      </c>
      <c r="T601" s="34">
        <f>IFERROR(IF($U601="",1,INDEX(Deals!$W$2:$W$355,MATCH($C601,Deals!$A$2:$A$355,0))),1)</f>
        <v/>
      </c>
      <c r="U601" s="22">
        <f>IF($C601="","",IFERROR(IF(INDEX(Deals!$Y$2:$Y$355,MATCH($C601,Deals!$A$2:$A$355,0))=0,"",INDEX(Deals!$Y$2:$Y$355,MATCH($C601,Deals!$A$2:$A$355,0))),""))</f>
        <v/>
      </c>
      <c r="V601" s="35">
        <f>IF($U601="",DATE(1900,1,1),$N601)</f>
        <v/>
      </c>
      <c r="W601" s="35">
        <f>IF($U601="",DATE(2100,12,31),$U601)</f>
        <v/>
      </c>
      <c r="X601" s="32">
        <f>IF($U601="",$K601,$K601*$S601)</f>
        <v/>
      </c>
      <c r="Y601" s="35">
        <f>IF($U601="",DATE(2100,12,31),$U601+1)</f>
        <v/>
      </c>
      <c r="Z601" s="35">
        <f>IF($U601="",DATE(1900,1,1),$O601)</f>
        <v/>
      </c>
      <c r="AA601" s="32">
        <f>IF($U601="",0,$K601*$T601)</f>
        <v/>
      </c>
      <c r="AB601" s="21">
        <f>IF($C601="",0,IFERROR(INDEX(Deals!$AD$2:$AD$355,MATCH($C601,Deals!$A$2:$A$355,0)),0))</f>
        <v/>
      </c>
      <c r="AC601" s="32">
        <f>IF(Settings!$B$4="Yes",$I601*$AB601,$I601)</f>
        <v/>
      </c>
      <c r="AD601" s="22">
        <f>IF($C601="","",IFERROR(IF(INDEX(Deals!$AE$2:$AE$355,MATCH($C601,Deals!$A$2:$A$355,0))=0,"",INDEX(Deals!$AE$2:$AE$355,MATCH($C601,Deals!$A$2:$A$355,0))),""))</f>
        <v/>
      </c>
      <c r="AE601" s="22">
        <f>IF($C601="","",IFERROR(IF(INDEX(Deals!$AF$2:$AF$355,MATCH($C601,Deals!$A$2:$A$355,0))=0,"",INDEX(Deals!$AF$2:$AF$355,MATCH($C601,Deals!$A$2:$A$355,0))),""))</f>
        <v/>
      </c>
      <c r="AF601" s="35">
        <f>IF($AD601="",DATE(1900,1,1),$AD601)</f>
        <v/>
      </c>
      <c r="AG601" s="35">
        <f>IF($AE601="",DATE(2100,12,31),$AE601)</f>
        <v/>
      </c>
      <c r="AH601" s="22">
        <f>IF($C601="","",IFERROR(IF(INDEX(Deals!$AG$2:$AG$355,MATCH($C601,Deals!$A$2:$A$355,0))=0,"",INDEX(Deals!$AG$2:$AG$355,MATCH($C601,Deals!$A$2:$A$355,0))),""))</f>
        <v/>
      </c>
      <c r="AI601" s="35">
        <f>IF($AH601="",DATE(1900,1,1),$AF601)</f>
        <v/>
      </c>
      <c r="AJ601" s="35">
        <f>IF($AH601="",DATE(2100,12,31),$AH601)</f>
        <v/>
      </c>
      <c r="AK601" s="32">
        <f>IF($AH601="",$AC601,$AC601*$S601)</f>
        <v/>
      </c>
      <c r="AL601" s="35">
        <f>IF($AH601="",DATE(2100,12,31),$AH601+1)</f>
        <v/>
      </c>
      <c r="AM601" s="35">
        <f>IF($AH601="",DATE(1900,1,1),$AG601)</f>
        <v/>
      </c>
      <c r="AN601" s="32">
        <f>IF($AH601="",0,$AC601*$T601)</f>
        <v/>
      </c>
    </row>
    <row r="602">
      <c r="A602" s="28" t="inlineStr">
        <is>
          <t>Yiyi</t>
        </is>
      </c>
      <c r="B602" s="16">
        <f>IF($A602="","",IFERROR(INDEX(Roster!$B$2:$B$40,MATCH($A602,Roster!$A$2:$A$40,0)),"?"))</f>
        <v/>
      </c>
      <c r="C602" s="28" t="inlineStr">
        <is>
          <t>Elk_2</t>
        </is>
      </c>
      <c r="D602" s="16">
        <f>IF($C602="","",IFERROR(IF(INDEX(Deals!$C$2:$C$355,MATCH($C602,Deals!$A$2:$A$355,0))=0,"",INDEX(Deals!$C$2:$C$355,MATCH($C602,Deals!$A$2:$A$355,0))),"?"))</f>
        <v/>
      </c>
      <c r="E602" s="16">
        <f>IF($C602="","",IFERROR(INDEX(Deals!$F$2:$F$355,MATCH($C602,Deals!$A$2:$A$355,0)),"?"))</f>
        <v/>
      </c>
      <c r="F602" s="28" t="inlineStr">
        <is>
          <t>Renewable Specialist</t>
        </is>
      </c>
      <c r="G602" s="28" t="inlineStr">
        <is>
          <t>Active</t>
        </is>
      </c>
      <c r="H602" s="31" t="n"/>
      <c r="I602" s="32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1">
        <f>IF($C602="",0,IFERROR(INDEX(Deals!$H$2:$H$355,MATCH($C602,Deals!$A$2:$A$355,0)),0))</f>
        <v/>
      </c>
      <c r="K602" s="32">
        <f>IF(Settings!$B$4="Yes",$I602*$J602,$I602)</f>
        <v/>
      </c>
      <c r="L602" s="22">
        <f>IF($C602="","",IFERROR(IF(INDEX(Deals!$I$2:$I$355,MATCH($C602,Deals!$A$2:$A$355,0))=0,"",INDEX(Deals!$I$2:$I$355,MATCH($C602,Deals!$A$2:$A$355,0))),""))</f>
        <v/>
      </c>
      <c r="M602" s="22">
        <f>IF($C602="","",IFERROR(IF(INDEX(Deals!$J$2:$J$355,MATCH($C602,Deals!$A$2:$A$355,0))=0,"",INDEX(Deals!$J$2:$J$355,MATCH($C602,Deals!$A$2:$A$355,0))),""))</f>
        <v/>
      </c>
      <c r="N602" s="35">
        <f>IF($L602="",DATE(1900,1,1),$L602)</f>
        <v/>
      </c>
      <c r="O602" s="35">
        <f>IF($M602="",DATE(2100,12,31),$M602)</f>
        <v/>
      </c>
      <c r="P602" s="20" t="inlineStr"/>
      <c r="Q602" s="43" t="inlineStr"/>
      <c r="R602" s="16">
        <f>IF($C602="","",IFERROR(IF(INDEX(Deals!$U$2:$U$355,MATCH($C602,Deals!$A$2:$A$355,0))=0,"",INDEX(Deals!$U$2:$U$355,MATCH($C602,Deals!$A$2:$A$355,0))),""))</f>
        <v/>
      </c>
      <c r="S602" s="34">
        <f>IFERROR(IF($U602="",1,INDEX(Deals!$V$2:$V$355,MATCH($C602,Deals!$A$2:$A$355,0))),1)</f>
        <v/>
      </c>
      <c r="T602" s="34">
        <f>IFERROR(IF($U602="",1,INDEX(Deals!$W$2:$W$355,MATCH($C602,Deals!$A$2:$A$355,0))),1)</f>
        <v/>
      </c>
      <c r="U602" s="22">
        <f>IF($C602="","",IFERROR(IF(INDEX(Deals!$Y$2:$Y$355,MATCH($C602,Deals!$A$2:$A$355,0))=0,"",INDEX(Deals!$Y$2:$Y$355,MATCH($C602,Deals!$A$2:$A$355,0))),""))</f>
        <v/>
      </c>
      <c r="V602" s="35">
        <f>IF($U602="",DATE(1900,1,1),$N602)</f>
        <v/>
      </c>
      <c r="W602" s="35">
        <f>IF($U602="",DATE(2100,12,31),$U602)</f>
        <v/>
      </c>
      <c r="X602" s="32">
        <f>IF($U602="",$K602,$K602*$S602)</f>
        <v/>
      </c>
      <c r="Y602" s="35">
        <f>IF($U602="",DATE(2100,12,31),$U602+1)</f>
        <v/>
      </c>
      <c r="Z602" s="35">
        <f>IF($U602="",DATE(1900,1,1),$O602)</f>
        <v/>
      </c>
      <c r="AA602" s="32">
        <f>IF($U602="",0,$K602*$T602)</f>
        <v/>
      </c>
      <c r="AB602" s="21">
        <f>IF($C602="",0,IFERROR(INDEX(Deals!$AD$2:$AD$355,MATCH($C602,Deals!$A$2:$A$355,0)),0))</f>
        <v/>
      </c>
      <c r="AC602" s="32">
        <f>IF(Settings!$B$4="Yes",$I602*$AB602,$I602)</f>
        <v/>
      </c>
      <c r="AD602" s="22">
        <f>IF($C602="","",IFERROR(IF(INDEX(Deals!$AE$2:$AE$355,MATCH($C602,Deals!$A$2:$A$355,0))=0,"",INDEX(Deals!$AE$2:$AE$355,MATCH($C602,Deals!$A$2:$A$355,0))),""))</f>
        <v/>
      </c>
      <c r="AE602" s="22">
        <f>IF($C602="","",IFERROR(IF(INDEX(Deals!$AF$2:$AF$355,MATCH($C602,Deals!$A$2:$A$355,0))=0,"",INDEX(Deals!$AF$2:$AF$355,MATCH($C602,Deals!$A$2:$A$355,0))),""))</f>
        <v/>
      </c>
      <c r="AF602" s="35">
        <f>IF($AD602="",DATE(1900,1,1),$AD602)</f>
        <v/>
      </c>
      <c r="AG602" s="35">
        <f>IF($AE602="",DATE(2100,12,31),$AE602)</f>
        <v/>
      </c>
      <c r="AH602" s="22">
        <f>IF($C602="","",IFERROR(IF(INDEX(Deals!$AG$2:$AG$355,MATCH($C602,Deals!$A$2:$A$355,0))=0,"",INDEX(Deals!$AG$2:$AG$355,MATCH($C602,Deals!$A$2:$A$355,0))),""))</f>
        <v/>
      </c>
      <c r="AI602" s="35">
        <f>IF($AH602="",DATE(1900,1,1),$AF602)</f>
        <v/>
      </c>
      <c r="AJ602" s="35">
        <f>IF($AH602="",DATE(2100,12,31),$AH602)</f>
        <v/>
      </c>
      <c r="AK602" s="32">
        <f>IF($AH602="",$AC602,$AC602*$S602)</f>
        <v/>
      </c>
      <c r="AL602" s="35">
        <f>IF($AH602="",DATE(2100,12,31),$AH602+1)</f>
        <v/>
      </c>
      <c r="AM602" s="35">
        <f>IF($AH602="",DATE(1900,1,1),$AG602)</f>
        <v/>
      </c>
      <c r="AN602" s="32">
        <f>IF($AH602="",0,$AC602*$T602)</f>
        <v/>
      </c>
    </row>
    <row r="603">
      <c r="A603" s="28" t="inlineStr">
        <is>
          <t>Yiyi</t>
        </is>
      </c>
      <c r="B603" s="16">
        <f>IF($A603="","",IFERROR(INDEX(Roster!$B$2:$B$40,MATCH($A603,Roster!$A$2:$A$40,0)),"?"))</f>
        <v/>
      </c>
      <c r="C603" s="28" t="inlineStr">
        <is>
          <t>Etonia_1</t>
        </is>
      </c>
      <c r="D603" s="16">
        <f>IF($C603="","",IFERROR(IF(INDEX(Deals!$C$2:$C$355,MATCH($C603,Deals!$A$2:$A$355,0))=0,"",INDEX(Deals!$C$2:$C$355,MATCH($C603,Deals!$A$2:$A$355,0))),"?"))</f>
        <v/>
      </c>
      <c r="E603" s="16">
        <f>IF($C603="","",IFERROR(INDEX(Deals!$F$2:$F$355,MATCH($C603,Deals!$A$2:$A$355,0)),"?"))</f>
        <v/>
      </c>
      <c r="F603" s="28" t="inlineStr">
        <is>
          <t>Renewable Specialist</t>
        </is>
      </c>
      <c r="G603" s="28" t="inlineStr">
        <is>
          <t>Active</t>
        </is>
      </c>
      <c r="H603" s="31" t="n"/>
      <c r="I603" s="32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1">
        <f>IF($C603="",0,IFERROR(INDEX(Deals!$H$2:$H$355,MATCH($C603,Deals!$A$2:$A$355,0)),0))</f>
        <v/>
      </c>
      <c r="K603" s="32">
        <f>IF(Settings!$B$4="Yes",$I603*$J603,$I603)</f>
        <v/>
      </c>
      <c r="L603" s="22">
        <f>IF($C603="","",IFERROR(IF(INDEX(Deals!$I$2:$I$355,MATCH($C603,Deals!$A$2:$A$355,0))=0,"",INDEX(Deals!$I$2:$I$355,MATCH($C603,Deals!$A$2:$A$355,0))),""))</f>
        <v/>
      </c>
      <c r="M603" s="22">
        <f>IF($C603="","",IFERROR(IF(INDEX(Deals!$J$2:$J$355,MATCH($C603,Deals!$A$2:$A$355,0))=0,"",INDEX(Deals!$J$2:$J$355,MATCH($C603,Deals!$A$2:$A$355,0))),""))</f>
        <v/>
      </c>
      <c r="N603" s="35">
        <f>IF($L603="",DATE(1900,1,1),$L603)</f>
        <v/>
      </c>
      <c r="O603" s="35">
        <f>IF($M603="",DATE(2100,12,31),$M603)</f>
        <v/>
      </c>
      <c r="P603" s="20" t="inlineStr"/>
      <c r="Q603" s="43" t="inlineStr"/>
      <c r="R603" s="16">
        <f>IF($C603="","",IFERROR(IF(INDEX(Deals!$U$2:$U$355,MATCH($C603,Deals!$A$2:$A$355,0))=0,"",INDEX(Deals!$U$2:$U$355,MATCH($C603,Deals!$A$2:$A$355,0))),""))</f>
        <v/>
      </c>
      <c r="S603" s="34">
        <f>IFERROR(IF($U603="",1,INDEX(Deals!$V$2:$V$355,MATCH($C603,Deals!$A$2:$A$355,0))),1)</f>
        <v/>
      </c>
      <c r="T603" s="34">
        <f>IFERROR(IF($U603="",1,INDEX(Deals!$W$2:$W$355,MATCH($C603,Deals!$A$2:$A$355,0))),1)</f>
        <v/>
      </c>
      <c r="U603" s="22">
        <f>IF($C603="","",IFERROR(IF(INDEX(Deals!$Y$2:$Y$355,MATCH($C603,Deals!$A$2:$A$355,0))=0,"",INDEX(Deals!$Y$2:$Y$355,MATCH($C603,Deals!$A$2:$A$355,0))),""))</f>
        <v/>
      </c>
      <c r="V603" s="35">
        <f>IF($U603="",DATE(1900,1,1),$N603)</f>
        <v/>
      </c>
      <c r="W603" s="35">
        <f>IF($U603="",DATE(2100,12,31),$U603)</f>
        <v/>
      </c>
      <c r="X603" s="32">
        <f>IF($U603="",$K603,$K603*$S603)</f>
        <v/>
      </c>
      <c r="Y603" s="35">
        <f>IF($U603="",DATE(2100,12,31),$U603+1)</f>
        <v/>
      </c>
      <c r="Z603" s="35">
        <f>IF($U603="",DATE(1900,1,1),$O603)</f>
        <v/>
      </c>
      <c r="AA603" s="32">
        <f>IF($U603="",0,$K603*$T603)</f>
        <v/>
      </c>
      <c r="AB603" s="21">
        <f>IF($C603="",0,IFERROR(INDEX(Deals!$AD$2:$AD$355,MATCH($C603,Deals!$A$2:$A$355,0)),0))</f>
        <v/>
      </c>
      <c r="AC603" s="32">
        <f>IF(Settings!$B$4="Yes",$I603*$AB603,$I603)</f>
        <v/>
      </c>
      <c r="AD603" s="22">
        <f>IF($C603="","",IFERROR(IF(INDEX(Deals!$AE$2:$AE$355,MATCH($C603,Deals!$A$2:$A$355,0))=0,"",INDEX(Deals!$AE$2:$AE$355,MATCH($C603,Deals!$A$2:$A$355,0))),""))</f>
        <v/>
      </c>
      <c r="AE603" s="22">
        <f>IF($C603="","",IFERROR(IF(INDEX(Deals!$AF$2:$AF$355,MATCH($C603,Deals!$A$2:$A$355,0))=0,"",INDEX(Deals!$AF$2:$AF$355,MATCH($C603,Deals!$A$2:$A$355,0))),""))</f>
        <v/>
      </c>
      <c r="AF603" s="35">
        <f>IF($AD603="",DATE(1900,1,1),$AD603)</f>
        <v/>
      </c>
      <c r="AG603" s="35">
        <f>IF($AE603="",DATE(2100,12,31),$AE603)</f>
        <v/>
      </c>
      <c r="AH603" s="22">
        <f>IF($C603="","",IFERROR(IF(INDEX(Deals!$AG$2:$AG$355,MATCH($C603,Deals!$A$2:$A$355,0))=0,"",INDEX(Deals!$AG$2:$AG$355,MATCH($C603,Deals!$A$2:$A$355,0))),""))</f>
        <v/>
      </c>
      <c r="AI603" s="35">
        <f>IF($AH603="",DATE(1900,1,1),$AF603)</f>
        <v/>
      </c>
      <c r="AJ603" s="35">
        <f>IF($AH603="",DATE(2100,12,31),$AH603)</f>
        <v/>
      </c>
      <c r="AK603" s="32">
        <f>IF($AH603="",$AC603,$AC603*$S603)</f>
        <v/>
      </c>
      <c r="AL603" s="35">
        <f>IF($AH603="",DATE(2100,12,31),$AH603+1)</f>
        <v/>
      </c>
      <c r="AM603" s="35">
        <f>IF($AH603="",DATE(1900,1,1),$AG603)</f>
        <v/>
      </c>
      <c r="AN603" s="32">
        <f>IF($AH603="",0,$AC603*$T603)</f>
        <v/>
      </c>
    </row>
    <row r="604">
      <c r="A604" s="28" t="inlineStr">
        <is>
          <t>Yiyi</t>
        </is>
      </c>
      <c r="B604" s="16">
        <f>IF($A604="","",IFERROR(INDEX(Roster!$B$2:$B$40,MATCH($A604,Roster!$A$2:$A$40,0)),"?"))</f>
        <v/>
      </c>
      <c r="C604" s="28" t="inlineStr">
        <is>
          <t>Etude_2</t>
        </is>
      </c>
      <c r="D604" s="16">
        <f>IF($C604="","",IFERROR(IF(INDEX(Deals!$C$2:$C$355,MATCH($C604,Deals!$A$2:$A$355,0))=0,"",INDEX(Deals!$C$2:$C$355,MATCH($C604,Deals!$A$2:$A$355,0))),"?"))</f>
        <v/>
      </c>
      <c r="E604" s="16">
        <f>IF($C604="","",IFERROR(INDEX(Deals!$F$2:$F$355,MATCH($C604,Deals!$A$2:$A$355,0)),"?"))</f>
        <v/>
      </c>
      <c r="F604" s="28" t="inlineStr">
        <is>
          <t>Renewable Specialist</t>
        </is>
      </c>
      <c r="G604" s="28" t="inlineStr">
        <is>
          <t>Active</t>
        </is>
      </c>
      <c r="H604" s="31" t="n"/>
      <c r="I604" s="32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1">
        <f>IF($C604="",0,IFERROR(INDEX(Deals!$H$2:$H$355,MATCH($C604,Deals!$A$2:$A$355,0)),0))</f>
        <v/>
      </c>
      <c r="K604" s="32">
        <f>IF(Settings!$B$4="Yes",$I604*$J604,$I604)</f>
        <v/>
      </c>
      <c r="L604" s="22">
        <f>IF($C604="","",IFERROR(IF(INDEX(Deals!$I$2:$I$355,MATCH($C604,Deals!$A$2:$A$355,0))=0,"",INDEX(Deals!$I$2:$I$355,MATCH($C604,Deals!$A$2:$A$355,0))),""))</f>
        <v/>
      </c>
      <c r="M604" s="22">
        <f>IF($C604="","",IFERROR(IF(INDEX(Deals!$J$2:$J$355,MATCH($C604,Deals!$A$2:$A$355,0))=0,"",INDEX(Deals!$J$2:$J$355,MATCH($C604,Deals!$A$2:$A$355,0))),""))</f>
        <v/>
      </c>
      <c r="N604" s="35">
        <f>IF($L604="",DATE(1900,1,1),$L604)</f>
        <v/>
      </c>
      <c r="O604" s="35">
        <f>IF($M604="",DATE(2100,12,31),$M604)</f>
        <v/>
      </c>
      <c r="P604" s="20" t="inlineStr"/>
      <c r="Q604" s="43" t="inlineStr"/>
      <c r="R604" s="16">
        <f>IF($C604="","",IFERROR(IF(INDEX(Deals!$U$2:$U$355,MATCH($C604,Deals!$A$2:$A$355,0))=0,"",INDEX(Deals!$U$2:$U$355,MATCH($C604,Deals!$A$2:$A$355,0))),""))</f>
        <v/>
      </c>
      <c r="S604" s="34">
        <f>IFERROR(IF($U604="",1,INDEX(Deals!$V$2:$V$355,MATCH($C604,Deals!$A$2:$A$355,0))),1)</f>
        <v/>
      </c>
      <c r="T604" s="34">
        <f>IFERROR(IF($U604="",1,INDEX(Deals!$W$2:$W$355,MATCH($C604,Deals!$A$2:$A$355,0))),1)</f>
        <v/>
      </c>
      <c r="U604" s="22">
        <f>IF($C604="","",IFERROR(IF(INDEX(Deals!$Y$2:$Y$355,MATCH($C604,Deals!$A$2:$A$355,0))=0,"",INDEX(Deals!$Y$2:$Y$355,MATCH($C604,Deals!$A$2:$A$355,0))),""))</f>
        <v/>
      </c>
      <c r="V604" s="35">
        <f>IF($U604="",DATE(1900,1,1),$N604)</f>
        <v/>
      </c>
      <c r="W604" s="35">
        <f>IF($U604="",DATE(2100,12,31),$U604)</f>
        <v/>
      </c>
      <c r="X604" s="32">
        <f>IF($U604="",$K604,$K604*$S604)</f>
        <v/>
      </c>
      <c r="Y604" s="35">
        <f>IF($U604="",DATE(2100,12,31),$U604+1)</f>
        <v/>
      </c>
      <c r="Z604" s="35">
        <f>IF($U604="",DATE(1900,1,1),$O604)</f>
        <v/>
      </c>
      <c r="AA604" s="32">
        <f>IF($U604="",0,$K604*$T604)</f>
        <v/>
      </c>
      <c r="AB604" s="21">
        <f>IF($C604="",0,IFERROR(INDEX(Deals!$AD$2:$AD$355,MATCH($C604,Deals!$A$2:$A$355,0)),0))</f>
        <v/>
      </c>
      <c r="AC604" s="32">
        <f>IF(Settings!$B$4="Yes",$I604*$AB604,$I604)</f>
        <v/>
      </c>
      <c r="AD604" s="22">
        <f>IF($C604="","",IFERROR(IF(INDEX(Deals!$AE$2:$AE$355,MATCH($C604,Deals!$A$2:$A$355,0))=0,"",INDEX(Deals!$AE$2:$AE$355,MATCH($C604,Deals!$A$2:$A$355,0))),""))</f>
        <v/>
      </c>
      <c r="AE604" s="22">
        <f>IF($C604="","",IFERROR(IF(INDEX(Deals!$AF$2:$AF$355,MATCH($C604,Deals!$A$2:$A$355,0))=0,"",INDEX(Deals!$AF$2:$AF$355,MATCH($C604,Deals!$A$2:$A$355,0))),""))</f>
        <v/>
      </c>
      <c r="AF604" s="35">
        <f>IF($AD604="",DATE(1900,1,1),$AD604)</f>
        <v/>
      </c>
      <c r="AG604" s="35">
        <f>IF($AE604="",DATE(2100,12,31),$AE604)</f>
        <v/>
      </c>
      <c r="AH604" s="22">
        <f>IF($C604="","",IFERROR(IF(INDEX(Deals!$AG$2:$AG$355,MATCH($C604,Deals!$A$2:$A$355,0))=0,"",INDEX(Deals!$AG$2:$AG$355,MATCH($C604,Deals!$A$2:$A$355,0))),""))</f>
        <v/>
      </c>
      <c r="AI604" s="35">
        <f>IF($AH604="",DATE(1900,1,1),$AF604)</f>
        <v/>
      </c>
      <c r="AJ604" s="35">
        <f>IF($AH604="",DATE(2100,12,31),$AH604)</f>
        <v/>
      </c>
      <c r="AK604" s="32">
        <f>IF($AH604="",$AC604,$AC604*$S604)</f>
        <v/>
      </c>
      <c r="AL604" s="35">
        <f>IF($AH604="",DATE(2100,12,31),$AH604+1)</f>
        <v/>
      </c>
      <c r="AM604" s="35">
        <f>IF($AH604="",DATE(1900,1,1),$AG604)</f>
        <v/>
      </c>
      <c r="AN604" s="32">
        <f>IF($AH604="",0,$AC604*$T604)</f>
        <v/>
      </c>
    </row>
    <row r="605">
      <c r="A605" s="28" t="inlineStr">
        <is>
          <t>Yiyi</t>
        </is>
      </c>
      <c r="B605" s="16">
        <f>IF($A605="","",IFERROR(INDEX(Roster!$B$2:$B$40,MATCH($A605,Roster!$A$2:$A$40,0)),"?"))</f>
        <v/>
      </c>
      <c r="C605" s="28" t="inlineStr">
        <is>
          <t>Gateway_3</t>
        </is>
      </c>
      <c r="D605" s="16">
        <f>IF($C605="","",IFERROR(IF(INDEX(Deals!$C$2:$C$355,MATCH($C605,Deals!$A$2:$A$355,0))=0,"",INDEX(Deals!$C$2:$C$355,MATCH($C605,Deals!$A$2:$A$355,0))),"?"))</f>
        <v/>
      </c>
      <c r="E605" s="16">
        <f>IF($C605="","",IFERROR(INDEX(Deals!$F$2:$F$355,MATCH($C605,Deals!$A$2:$A$355,0)),"?"))</f>
        <v/>
      </c>
      <c r="F605" s="28" t="inlineStr">
        <is>
          <t>Renewable Specialist</t>
        </is>
      </c>
      <c r="G605" s="28" t="inlineStr">
        <is>
          <t>Active</t>
        </is>
      </c>
      <c r="H605" s="31" t="n"/>
      <c r="I605" s="32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1">
        <f>IF($C605="",0,IFERROR(INDEX(Deals!$H$2:$H$355,MATCH($C605,Deals!$A$2:$A$355,0)),0))</f>
        <v/>
      </c>
      <c r="K605" s="32">
        <f>IF(Settings!$B$4="Yes",$I605*$J605,$I605)</f>
        <v/>
      </c>
      <c r="L605" s="22">
        <f>IF($C605="","",IFERROR(IF(INDEX(Deals!$I$2:$I$355,MATCH($C605,Deals!$A$2:$A$355,0))=0,"",INDEX(Deals!$I$2:$I$355,MATCH($C605,Deals!$A$2:$A$355,0))),""))</f>
        <v/>
      </c>
      <c r="M605" s="22">
        <f>IF($C605="","",IFERROR(IF(INDEX(Deals!$J$2:$J$355,MATCH($C605,Deals!$A$2:$A$355,0))=0,"",INDEX(Deals!$J$2:$J$355,MATCH($C605,Deals!$A$2:$A$355,0))),""))</f>
        <v/>
      </c>
      <c r="N605" s="35">
        <f>IF($L605="",DATE(1900,1,1),$L605)</f>
        <v/>
      </c>
      <c r="O605" s="35">
        <f>IF($M605="",DATE(2100,12,31),$M605)</f>
        <v/>
      </c>
      <c r="P605" s="20" t="inlineStr"/>
      <c r="Q605" s="43" t="inlineStr"/>
      <c r="R605" s="16">
        <f>IF($C605="","",IFERROR(IF(INDEX(Deals!$U$2:$U$355,MATCH($C605,Deals!$A$2:$A$355,0))=0,"",INDEX(Deals!$U$2:$U$355,MATCH($C605,Deals!$A$2:$A$355,0))),""))</f>
        <v/>
      </c>
      <c r="S605" s="34">
        <f>IFERROR(IF($U605="",1,INDEX(Deals!$V$2:$V$355,MATCH($C605,Deals!$A$2:$A$355,0))),1)</f>
        <v/>
      </c>
      <c r="T605" s="34">
        <f>IFERROR(IF($U605="",1,INDEX(Deals!$W$2:$W$355,MATCH($C605,Deals!$A$2:$A$355,0))),1)</f>
        <v/>
      </c>
      <c r="U605" s="22">
        <f>IF($C605="","",IFERROR(IF(INDEX(Deals!$Y$2:$Y$355,MATCH($C605,Deals!$A$2:$A$355,0))=0,"",INDEX(Deals!$Y$2:$Y$355,MATCH($C605,Deals!$A$2:$A$355,0))),""))</f>
        <v/>
      </c>
      <c r="V605" s="35">
        <f>IF($U605="",DATE(1900,1,1),$N605)</f>
        <v/>
      </c>
      <c r="W605" s="35">
        <f>IF($U605="",DATE(2100,12,31),$U605)</f>
        <v/>
      </c>
      <c r="X605" s="32">
        <f>IF($U605="",$K605,$K605*$S605)</f>
        <v/>
      </c>
      <c r="Y605" s="35">
        <f>IF($U605="",DATE(2100,12,31),$U605+1)</f>
        <v/>
      </c>
      <c r="Z605" s="35">
        <f>IF($U605="",DATE(1900,1,1),$O605)</f>
        <v/>
      </c>
      <c r="AA605" s="32">
        <f>IF($U605="",0,$K605*$T605)</f>
        <v/>
      </c>
      <c r="AB605" s="21">
        <f>IF($C605="",0,IFERROR(INDEX(Deals!$AD$2:$AD$355,MATCH($C605,Deals!$A$2:$A$355,0)),0))</f>
        <v/>
      </c>
      <c r="AC605" s="32">
        <f>IF(Settings!$B$4="Yes",$I605*$AB605,$I605)</f>
        <v/>
      </c>
      <c r="AD605" s="22">
        <f>IF($C605="","",IFERROR(IF(INDEX(Deals!$AE$2:$AE$355,MATCH($C605,Deals!$A$2:$A$355,0))=0,"",INDEX(Deals!$AE$2:$AE$355,MATCH($C605,Deals!$A$2:$A$355,0))),""))</f>
        <v/>
      </c>
      <c r="AE605" s="22">
        <f>IF($C605="","",IFERROR(IF(INDEX(Deals!$AF$2:$AF$355,MATCH($C605,Deals!$A$2:$A$355,0))=0,"",INDEX(Deals!$AF$2:$AF$355,MATCH($C605,Deals!$A$2:$A$355,0))),""))</f>
        <v/>
      </c>
      <c r="AF605" s="35">
        <f>IF($AD605="",DATE(1900,1,1),$AD605)</f>
        <v/>
      </c>
      <c r="AG605" s="35">
        <f>IF($AE605="",DATE(2100,12,31),$AE605)</f>
        <v/>
      </c>
      <c r="AH605" s="22">
        <f>IF($C605="","",IFERROR(IF(INDEX(Deals!$AG$2:$AG$355,MATCH($C605,Deals!$A$2:$A$355,0))=0,"",INDEX(Deals!$AG$2:$AG$355,MATCH($C605,Deals!$A$2:$A$355,0))),""))</f>
        <v/>
      </c>
      <c r="AI605" s="35">
        <f>IF($AH605="",DATE(1900,1,1),$AF605)</f>
        <v/>
      </c>
      <c r="AJ605" s="35">
        <f>IF($AH605="",DATE(2100,12,31),$AH605)</f>
        <v/>
      </c>
      <c r="AK605" s="32">
        <f>IF($AH605="",$AC605,$AC605*$S605)</f>
        <v/>
      </c>
      <c r="AL605" s="35">
        <f>IF($AH605="",DATE(2100,12,31),$AH605+1)</f>
        <v/>
      </c>
      <c r="AM605" s="35">
        <f>IF($AH605="",DATE(1900,1,1),$AG605)</f>
        <v/>
      </c>
      <c r="AN605" s="32">
        <f>IF($AH605="",0,$AC605*$T605)</f>
        <v/>
      </c>
    </row>
    <row r="606">
      <c r="A606" s="28" t="inlineStr">
        <is>
          <t>Yiyi</t>
        </is>
      </c>
      <c r="B606" s="16">
        <f>IF($A606="","",IFERROR(INDEX(Roster!$B$2:$B$40,MATCH($A606,Roster!$A$2:$A$40,0)),"?"))</f>
        <v/>
      </c>
      <c r="C606" s="28" t="inlineStr">
        <is>
          <t>Gonzaga_2</t>
        </is>
      </c>
      <c r="D606" s="16">
        <f>IF($C606="","",IFERROR(IF(INDEX(Deals!$C$2:$C$355,MATCH($C606,Deals!$A$2:$A$355,0))=0,"",INDEX(Deals!$C$2:$C$355,MATCH($C606,Deals!$A$2:$A$355,0))),"?"))</f>
        <v/>
      </c>
      <c r="E606" s="16">
        <f>IF($C606="","",IFERROR(INDEX(Deals!$F$2:$F$355,MATCH($C606,Deals!$A$2:$A$355,0)),"?"))</f>
        <v/>
      </c>
      <c r="F606" s="28" t="inlineStr">
        <is>
          <t>Renewable Specialist</t>
        </is>
      </c>
      <c r="G606" s="28" t="inlineStr">
        <is>
          <t>Active</t>
        </is>
      </c>
      <c r="H606" s="31" t="n"/>
      <c r="I606" s="32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1">
        <f>IF($C606="",0,IFERROR(INDEX(Deals!$H$2:$H$355,MATCH($C606,Deals!$A$2:$A$355,0)),0))</f>
        <v/>
      </c>
      <c r="K606" s="32">
        <f>IF(Settings!$B$4="Yes",$I606*$J606,$I606)</f>
        <v/>
      </c>
      <c r="L606" s="22">
        <f>IF($C606="","",IFERROR(IF(INDEX(Deals!$I$2:$I$355,MATCH($C606,Deals!$A$2:$A$355,0))=0,"",INDEX(Deals!$I$2:$I$355,MATCH($C606,Deals!$A$2:$A$355,0))),""))</f>
        <v/>
      </c>
      <c r="M606" s="22">
        <f>IF($C606="","",IFERROR(IF(INDEX(Deals!$J$2:$J$355,MATCH($C606,Deals!$A$2:$A$355,0))=0,"",INDEX(Deals!$J$2:$J$355,MATCH($C606,Deals!$A$2:$A$355,0))),""))</f>
        <v/>
      </c>
      <c r="N606" s="35">
        <f>IF($L606="",DATE(1900,1,1),$L606)</f>
        <v/>
      </c>
      <c r="O606" s="35">
        <f>IF($M606="",DATE(2100,12,31),$M606)</f>
        <v/>
      </c>
      <c r="P606" s="20" t="inlineStr"/>
      <c r="Q606" s="43" t="inlineStr"/>
      <c r="R606" s="16">
        <f>IF($C606="","",IFERROR(IF(INDEX(Deals!$U$2:$U$355,MATCH($C606,Deals!$A$2:$A$355,0))=0,"",INDEX(Deals!$U$2:$U$355,MATCH($C606,Deals!$A$2:$A$355,0))),""))</f>
        <v/>
      </c>
      <c r="S606" s="34">
        <f>IFERROR(IF($U606="",1,INDEX(Deals!$V$2:$V$355,MATCH($C606,Deals!$A$2:$A$355,0))),1)</f>
        <v/>
      </c>
      <c r="T606" s="34">
        <f>IFERROR(IF($U606="",1,INDEX(Deals!$W$2:$W$355,MATCH($C606,Deals!$A$2:$A$355,0))),1)</f>
        <v/>
      </c>
      <c r="U606" s="22">
        <f>IF($C606="","",IFERROR(IF(INDEX(Deals!$Y$2:$Y$355,MATCH($C606,Deals!$A$2:$A$355,0))=0,"",INDEX(Deals!$Y$2:$Y$355,MATCH($C606,Deals!$A$2:$A$355,0))),""))</f>
        <v/>
      </c>
      <c r="V606" s="35">
        <f>IF($U606="",DATE(1900,1,1),$N606)</f>
        <v/>
      </c>
      <c r="W606" s="35">
        <f>IF($U606="",DATE(2100,12,31),$U606)</f>
        <v/>
      </c>
      <c r="X606" s="32">
        <f>IF($U606="",$K606,$K606*$S606)</f>
        <v/>
      </c>
      <c r="Y606" s="35">
        <f>IF($U606="",DATE(2100,12,31),$U606+1)</f>
        <v/>
      </c>
      <c r="Z606" s="35">
        <f>IF($U606="",DATE(1900,1,1),$O606)</f>
        <v/>
      </c>
      <c r="AA606" s="32">
        <f>IF($U606="",0,$K606*$T606)</f>
        <v/>
      </c>
      <c r="AB606" s="21">
        <f>IF($C606="",0,IFERROR(INDEX(Deals!$AD$2:$AD$355,MATCH($C606,Deals!$A$2:$A$355,0)),0))</f>
        <v/>
      </c>
      <c r="AC606" s="32">
        <f>IF(Settings!$B$4="Yes",$I606*$AB606,$I606)</f>
        <v/>
      </c>
      <c r="AD606" s="22">
        <f>IF($C606="","",IFERROR(IF(INDEX(Deals!$AE$2:$AE$355,MATCH($C606,Deals!$A$2:$A$355,0))=0,"",INDEX(Deals!$AE$2:$AE$355,MATCH($C606,Deals!$A$2:$A$355,0))),""))</f>
        <v/>
      </c>
      <c r="AE606" s="22">
        <f>IF($C606="","",IFERROR(IF(INDEX(Deals!$AF$2:$AF$355,MATCH($C606,Deals!$A$2:$A$355,0))=0,"",INDEX(Deals!$AF$2:$AF$355,MATCH($C606,Deals!$A$2:$A$355,0))),""))</f>
        <v/>
      </c>
      <c r="AF606" s="35">
        <f>IF($AD606="",DATE(1900,1,1),$AD606)</f>
        <v/>
      </c>
      <c r="AG606" s="35">
        <f>IF($AE606="",DATE(2100,12,31),$AE606)</f>
        <v/>
      </c>
      <c r="AH606" s="22">
        <f>IF($C606="","",IFERROR(IF(INDEX(Deals!$AG$2:$AG$355,MATCH($C606,Deals!$A$2:$A$355,0))=0,"",INDEX(Deals!$AG$2:$AG$355,MATCH($C606,Deals!$A$2:$A$355,0))),""))</f>
        <v/>
      </c>
      <c r="AI606" s="35">
        <f>IF($AH606="",DATE(1900,1,1),$AF606)</f>
        <v/>
      </c>
      <c r="AJ606" s="35">
        <f>IF($AH606="",DATE(2100,12,31),$AH606)</f>
        <v/>
      </c>
      <c r="AK606" s="32">
        <f>IF($AH606="",$AC606,$AC606*$S606)</f>
        <v/>
      </c>
      <c r="AL606" s="35">
        <f>IF($AH606="",DATE(2100,12,31),$AH606+1)</f>
        <v/>
      </c>
      <c r="AM606" s="35">
        <f>IF($AH606="",DATE(1900,1,1),$AG606)</f>
        <v/>
      </c>
      <c r="AN606" s="32">
        <f>IF($AH606="",0,$AC606*$T606)</f>
        <v/>
      </c>
    </row>
    <row r="607">
      <c r="A607" s="28" t="inlineStr">
        <is>
          <t>Yiyi</t>
        </is>
      </c>
      <c r="B607" s="16">
        <f>IF($A607="","",IFERROR(INDEX(Roster!$B$2:$B$40,MATCH($A607,Roster!$A$2:$A$40,0)),"?"))</f>
        <v/>
      </c>
      <c r="C607" s="28" t="inlineStr">
        <is>
          <t>GPRE_1</t>
        </is>
      </c>
      <c r="D607" s="16">
        <f>IF($C607="","",IFERROR(IF(INDEX(Deals!$C$2:$C$355,MATCH($C607,Deals!$A$2:$A$355,0))=0,"",INDEX(Deals!$C$2:$C$355,MATCH($C607,Deals!$A$2:$A$355,0))),"?"))</f>
        <v/>
      </c>
      <c r="E607" s="16">
        <f>IF($C607="","",IFERROR(INDEX(Deals!$F$2:$F$355,MATCH($C607,Deals!$A$2:$A$355,0)),"?"))</f>
        <v/>
      </c>
      <c r="F607" s="28" t="inlineStr">
        <is>
          <t>Renewable Specialist</t>
        </is>
      </c>
      <c r="G607" s="28" t="inlineStr">
        <is>
          <t>Active</t>
        </is>
      </c>
      <c r="H607" s="31" t="n"/>
      <c r="I607" s="32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1">
        <f>IF($C607="",0,IFERROR(INDEX(Deals!$H$2:$H$355,MATCH($C607,Deals!$A$2:$A$355,0)),0))</f>
        <v/>
      </c>
      <c r="K607" s="32">
        <f>IF(Settings!$B$4="Yes",$I607*$J607,$I607)</f>
        <v/>
      </c>
      <c r="L607" s="22">
        <f>IF($C607="","",IFERROR(IF(INDEX(Deals!$I$2:$I$355,MATCH($C607,Deals!$A$2:$A$355,0))=0,"",INDEX(Deals!$I$2:$I$355,MATCH($C607,Deals!$A$2:$A$355,0))),""))</f>
        <v/>
      </c>
      <c r="M607" s="22">
        <f>IF($C607="","",IFERROR(IF(INDEX(Deals!$J$2:$J$355,MATCH($C607,Deals!$A$2:$A$355,0))=0,"",INDEX(Deals!$J$2:$J$355,MATCH($C607,Deals!$A$2:$A$355,0))),""))</f>
        <v/>
      </c>
      <c r="N607" s="35">
        <f>IF($L607="",DATE(1900,1,1),$L607)</f>
        <v/>
      </c>
      <c r="O607" s="35">
        <f>IF($M607="",DATE(2100,12,31),$M607)</f>
        <v/>
      </c>
      <c r="P607" s="20" t="inlineStr"/>
      <c r="Q607" s="43" t="inlineStr"/>
      <c r="R607" s="16">
        <f>IF($C607="","",IFERROR(IF(INDEX(Deals!$U$2:$U$355,MATCH($C607,Deals!$A$2:$A$355,0))=0,"",INDEX(Deals!$U$2:$U$355,MATCH($C607,Deals!$A$2:$A$355,0))),""))</f>
        <v/>
      </c>
      <c r="S607" s="34">
        <f>IFERROR(IF($U607="",1,INDEX(Deals!$V$2:$V$355,MATCH($C607,Deals!$A$2:$A$355,0))),1)</f>
        <v/>
      </c>
      <c r="T607" s="34">
        <f>IFERROR(IF($U607="",1,INDEX(Deals!$W$2:$W$355,MATCH($C607,Deals!$A$2:$A$355,0))),1)</f>
        <v/>
      </c>
      <c r="U607" s="22">
        <f>IF($C607="","",IFERROR(IF(INDEX(Deals!$Y$2:$Y$355,MATCH($C607,Deals!$A$2:$A$355,0))=0,"",INDEX(Deals!$Y$2:$Y$355,MATCH($C607,Deals!$A$2:$A$355,0))),""))</f>
        <v/>
      </c>
      <c r="V607" s="35">
        <f>IF($U607="",DATE(1900,1,1),$N607)</f>
        <v/>
      </c>
      <c r="W607" s="35">
        <f>IF($U607="",DATE(2100,12,31),$U607)</f>
        <v/>
      </c>
      <c r="X607" s="32">
        <f>IF($U607="",$K607,$K607*$S607)</f>
        <v/>
      </c>
      <c r="Y607" s="35">
        <f>IF($U607="",DATE(2100,12,31),$U607+1)</f>
        <v/>
      </c>
      <c r="Z607" s="35">
        <f>IF($U607="",DATE(1900,1,1),$O607)</f>
        <v/>
      </c>
      <c r="AA607" s="32">
        <f>IF($U607="",0,$K607*$T607)</f>
        <v/>
      </c>
      <c r="AB607" s="21">
        <f>IF($C607="",0,IFERROR(INDEX(Deals!$AD$2:$AD$355,MATCH($C607,Deals!$A$2:$A$355,0)),0))</f>
        <v/>
      </c>
      <c r="AC607" s="32">
        <f>IF(Settings!$B$4="Yes",$I607*$AB607,$I607)</f>
        <v/>
      </c>
      <c r="AD607" s="22">
        <f>IF($C607="","",IFERROR(IF(INDEX(Deals!$AE$2:$AE$355,MATCH($C607,Deals!$A$2:$A$355,0))=0,"",INDEX(Deals!$AE$2:$AE$355,MATCH($C607,Deals!$A$2:$A$355,0))),""))</f>
        <v/>
      </c>
      <c r="AE607" s="22">
        <f>IF($C607="","",IFERROR(IF(INDEX(Deals!$AF$2:$AF$355,MATCH($C607,Deals!$A$2:$A$355,0))=0,"",INDEX(Deals!$AF$2:$AF$355,MATCH($C607,Deals!$A$2:$A$355,0))),""))</f>
        <v/>
      </c>
      <c r="AF607" s="35">
        <f>IF($AD607="",DATE(1900,1,1),$AD607)</f>
        <v/>
      </c>
      <c r="AG607" s="35">
        <f>IF($AE607="",DATE(2100,12,31),$AE607)</f>
        <v/>
      </c>
      <c r="AH607" s="22">
        <f>IF($C607="","",IFERROR(IF(INDEX(Deals!$AG$2:$AG$355,MATCH($C607,Deals!$A$2:$A$355,0))=0,"",INDEX(Deals!$AG$2:$AG$355,MATCH($C607,Deals!$A$2:$A$355,0))),""))</f>
        <v/>
      </c>
      <c r="AI607" s="35">
        <f>IF($AH607="",DATE(1900,1,1),$AF607)</f>
        <v/>
      </c>
      <c r="AJ607" s="35">
        <f>IF($AH607="",DATE(2100,12,31),$AH607)</f>
        <v/>
      </c>
      <c r="AK607" s="32">
        <f>IF($AH607="",$AC607,$AC607*$S607)</f>
        <v/>
      </c>
      <c r="AL607" s="35">
        <f>IF($AH607="",DATE(2100,12,31),$AH607+1)</f>
        <v/>
      </c>
      <c r="AM607" s="35">
        <f>IF($AH607="",DATE(1900,1,1),$AG607)</f>
        <v/>
      </c>
      <c r="AN607" s="32">
        <f>IF($AH607="",0,$AC607*$T607)</f>
        <v/>
      </c>
    </row>
    <row r="608">
      <c r="A608" s="28" t="inlineStr">
        <is>
          <t>Yiyi</t>
        </is>
      </c>
      <c r="B608" s="16">
        <f>IF($A608="","",IFERROR(INDEX(Roster!$B$2:$B$40,MATCH($A608,Roster!$A$2:$A$40,0)),"?"))</f>
        <v/>
      </c>
      <c r="C608" s="28" t="inlineStr">
        <is>
          <t>Gravel_1</t>
        </is>
      </c>
      <c r="D608" s="16">
        <f>IF($C608="","",IFERROR(IF(INDEX(Deals!$C$2:$C$355,MATCH($C608,Deals!$A$2:$A$355,0))=0,"",INDEX(Deals!$C$2:$C$355,MATCH($C608,Deals!$A$2:$A$355,0))),"?"))</f>
        <v/>
      </c>
      <c r="E608" s="16">
        <f>IF($C608="","",IFERROR(INDEX(Deals!$F$2:$F$355,MATCH($C608,Deals!$A$2:$A$355,0)),"?"))</f>
        <v/>
      </c>
      <c r="F608" s="28" t="inlineStr">
        <is>
          <t>Renewable Specialist</t>
        </is>
      </c>
      <c r="G608" s="28" t="inlineStr">
        <is>
          <t>Active</t>
        </is>
      </c>
      <c r="H608" s="31" t="n"/>
      <c r="I608" s="32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1">
        <f>IF($C608="",0,IFERROR(INDEX(Deals!$H$2:$H$355,MATCH($C608,Deals!$A$2:$A$355,0)),0))</f>
        <v/>
      </c>
      <c r="K608" s="32">
        <f>IF(Settings!$B$4="Yes",$I608*$J608,$I608)</f>
        <v/>
      </c>
      <c r="L608" s="22">
        <f>IF($C608="","",IFERROR(IF(INDEX(Deals!$I$2:$I$355,MATCH($C608,Deals!$A$2:$A$355,0))=0,"",INDEX(Deals!$I$2:$I$355,MATCH($C608,Deals!$A$2:$A$355,0))),""))</f>
        <v/>
      </c>
      <c r="M608" s="22">
        <f>IF($C608="","",IFERROR(IF(INDEX(Deals!$J$2:$J$355,MATCH($C608,Deals!$A$2:$A$355,0))=0,"",INDEX(Deals!$J$2:$J$355,MATCH($C608,Deals!$A$2:$A$355,0))),""))</f>
        <v/>
      </c>
      <c r="N608" s="35">
        <f>IF($L608="",DATE(1900,1,1),$L608)</f>
        <v/>
      </c>
      <c r="O608" s="35">
        <f>IF($M608="",DATE(2100,12,31),$M608)</f>
        <v/>
      </c>
      <c r="P608" s="20" t="inlineStr"/>
      <c r="Q608" s="43" t="inlineStr"/>
      <c r="R608" s="16">
        <f>IF($C608="","",IFERROR(IF(INDEX(Deals!$U$2:$U$355,MATCH($C608,Deals!$A$2:$A$355,0))=0,"",INDEX(Deals!$U$2:$U$355,MATCH($C608,Deals!$A$2:$A$355,0))),""))</f>
        <v/>
      </c>
      <c r="S608" s="34">
        <f>IFERROR(IF($U608="",1,INDEX(Deals!$V$2:$V$355,MATCH($C608,Deals!$A$2:$A$355,0))),1)</f>
        <v/>
      </c>
      <c r="T608" s="34">
        <f>IFERROR(IF($U608="",1,INDEX(Deals!$W$2:$W$355,MATCH($C608,Deals!$A$2:$A$355,0))),1)</f>
        <v/>
      </c>
      <c r="U608" s="22">
        <f>IF($C608="","",IFERROR(IF(INDEX(Deals!$Y$2:$Y$355,MATCH($C608,Deals!$A$2:$A$355,0))=0,"",INDEX(Deals!$Y$2:$Y$355,MATCH($C608,Deals!$A$2:$A$355,0))),""))</f>
        <v/>
      </c>
      <c r="V608" s="35">
        <f>IF($U608="",DATE(1900,1,1),$N608)</f>
        <v/>
      </c>
      <c r="W608" s="35">
        <f>IF($U608="",DATE(2100,12,31),$U608)</f>
        <v/>
      </c>
      <c r="X608" s="32">
        <f>IF($U608="",$K608,$K608*$S608)</f>
        <v/>
      </c>
      <c r="Y608" s="35">
        <f>IF($U608="",DATE(2100,12,31),$U608+1)</f>
        <v/>
      </c>
      <c r="Z608" s="35">
        <f>IF($U608="",DATE(1900,1,1),$O608)</f>
        <v/>
      </c>
      <c r="AA608" s="32">
        <f>IF($U608="",0,$K608*$T608)</f>
        <v/>
      </c>
      <c r="AB608" s="21">
        <f>IF($C608="",0,IFERROR(INDEX(Deals!$AD$2:$AD$355,MATCH($C608,Deals!$A$2:$A$355,0)),0))</f>
        <v/>
      </c>
      <c r="AC608" s="32">
        <f>IF(Settings!$B$4="Yes",$I608*$AB608,$I608)</f>
        <v/>
      </c>
      <c r="AD608" s="22">
        <f>IF($C608="","",IFERROR(IF(INDEX(Deals!$AE$2:$AE$355,MATCH($C608,Deals!$A$2:$A$355,0))=0,"",INDEX(Deals!$AE$2:$AE$355,MATCH($C608,Deals!$A$2:$A$355,0))),""))</f>
        <v/>
      </c>
      <c r="AE608" s="22">
        <f>IF($C608="","",IFERROR(IF(INDEX(Deals!$AF$2:$AF$355,MATCH($C608,Deals!$A$2:$A$355,0))=0,"",INDEX(Deals!$AF$2:$AF$355,MATCH($C608,Deals!$A$2:$A$355,0))),""))</f>
        <v/>
      </c>
      <c r="AF608" s="35">
        <f>IF($AD608="",DATE(1900,1,1),$AD608)</f>
        <v/>
      </c>
      <c r="AG608" s="35">
        <f>IF($AE608="",DATE(2100,12,31),$AE608)</f>
        <v/>
      </c>
      <c r="AH608" s="22">
        <f>IF($C608="","",IFERROR(IF(INDEX(Deals!$AG$2:$AG$355,MATCH($C608,Deals!$A$2:$A$355,0))=0,"",INDEX(Deals!$AG$2:$AG$355,MATCH($C608,Deals!$A$2:$A$355,0))),""))</f>
        <v/>
      </c>
      <c r="AI608" s="35">
        <f>IF($AH608="",DATE(1900,1,1),$AF608)</f>
        <v/>
      </c>
      <c r="AJ608" s="35">
        <f>IF($AH608="",DATE(2100,12,31),$AH608)</f>
        <v/>
      </c>
      <c r="AK608" s="32">
        <f>IF($AH608="",$AC608,$AC608*$S608)</f>
        <v/>
      </c>
      <c r="AL608" s="35">
        <f>IF($AH608="",DATE(2100,12,31),$AH608+1)</f>
        <v/>
      </c>
      <c r="AM608" s="35">
        <f>IF($AH608="",DATE(1900,1,1),$AG608)</f>
        <v/>
      </c>
      <c r="AN608" s="32">
        <f>IF($AH608="",0,$AC608*$T608)</f>
        <v/>
      </c>
    </row>
    <row r="609">
      <c r="A609" s="28" t="inlineStr">
        <is>
          <t>Yiyi</t>
        </is>
      </c>
      <c r="B609" s="16">
        <f>IF($A609="","",IFERROR(INDEX(Roster!$B$2:$B$40,MATCH($A609,Roster!$A$2:$A$40,0)),"?"))</f>
        <v/>
      </c>
      <c r="C609" s="28" t="inlineStr">
        <is>
          <t>Greenkey_1</t>
        </is>
      </c>
      <c r="D609" s="16">
        <f>IF($C609="","",IFERROR(IF(INDEX(Deals!$C$2:$C$355,MATCH($C609,Deals!$A$2:$A$355,0))=0,"",INDEX(Deals!$C$2:$C$355,MATCH($C609,Deals!$A$2:$A$355,0))),"?"))</f>
        <v/>
      </c>
      <c r="E609" s="16">
        <f>IF($C609="","",IFERROR(INDEX(Deals!$F$2:$F$355,MATCH($C609,Deals!$A$2:$A$355,0)),"?"))</f>
        <v/>
      </c>
      <c r="F609" s="28" t="inlineStr">
        <is>
          <t>Renewable Specialist</t>
        </is>
      </c>
      <c r="G609" s="28" t="inlineStr">
        <is>
          <t>Active</t>
        </is>
      </c>
      <c r="H609" s="31" t="n"/>
      <c r="I609" s="32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1">
        <f>IF($C609="",0,IFERROR(INDEX(Deals!$H$2:$H$355,MATCH($C609,Deals!$A$2:$A$355,0)),0))</f>
        <v/>
      </c>
      <c r="K609" s="32">
        <f>IF(Settings!$B$4="Yes",$I609*$J609,$I609)</f>
        <v/>
      </c>
      <c r="L609" s="22">
        <f>IF($C609="","",IFERROR(IF(INDEX(Deals!$I$2:$I$355,MATCH($C609,Deals!$A$2:$A$355,0))=0,"",INDEX(Deals!$I$2:$I$355,MATCH($C609,Deals!$A$2:$A$355,0))),""))</f>
        <v/>
      </c>
      <c r="M609" s="22">
        <f>IF($C609="","",IFERROR(IF(INDEX(Deals!$J$2:$J$355,MATCH($C609,Deals!$A$2:$A$355,0))=0,"",INDEX(Deals!$J$2:$J$355,MATCH($C609,Deals!$A$2:$A$355,0))),""))</f>
        <v/>
      </c>
      <c r="N609" s="35">
        <f>IF($L609="",DATE(1900,1,1),$L609)</f>
        <v/>
      </c>
      <c r="O609" s="35">
        <f>IF($M609="",DATE(2100,12,31),$M609)</f>
        <v/>
      </c>
      <c r="P609" s="20" t="inlineStr"/>
      <c r="Q609" s="43" t="inlineStr"/>
      <c r="R609" s="16">
        <f>IF($C609="","",IFERROR(IF(INDEX(Deals!$U$2:$U$355,MATCH($C609,Deals!$A$2:$A$355,0))=0,"",INDEX(Deals!$U$2:$U$355,MATCH($C609,Deals!$A$2:$A$355,0))),""))</f>
        <v/>
      </c>
      <c r="S609" s="34">
        <f>IFERROR(IF($U609="",1,INDEX(Deals!$V$2:$V$355,MATCH($C609,Deals!$A$2:$A$355,0))),1)</f>
        <v/>
      </c>
      <c r="T609" s="34">
        <f>IFERROR(IF($U609="",1,INDEX(Deals!$W$2:$W$355,MATCH($C609,Deals!$A$2:$A$355,0))),1)</f>
        <v/>
      </c>
      <c r="U609" s="22">
        <f>IF($C609="","",IFERROR(IF(INDEX(Deals!$Y$2:$Y$355,MATCH($C609,Deals!$A$2:$A$355,0))=0,"",INDEX(Deals!$Y$2:$Y$355,MATCH($C609,Deals!$A$2:$A$355,0))),""))</f>
        <v/>
      </c>
      <c r="V609" s="35">
        <f>IF($U609="",DATE(1900,1,1),$N609)</f>
        <v/>
      </c>
      <c r="W609" s="35">
        <f>IF($U609="",DATE(2100,12,31),$U609)</f>
        <v/>
      </c>
      <c r="X609" s="32">
        <f>IF($U609="",$K609,$K609*$S609)</f>
        <v/>
      </c>
      <c r="Y609" s="35">
        <f>IF($U609="",DATE(2100,12,31),$U609+1)</f>
        <v/>
      </c>
      <c r="Z609" s="35">
        <f>IF($U609="",DATE(1900,1,1),$O609)</f>
        <v/>
      </c>
      <c r="AA609" s="32">
        <f>IF($U609="",0,$K609*$T609)</f>
        <v/>
      </c>
      <c r="AB609" s="21">
        <f>IF($C609="",0,IFERROR(INDEX(Deals!$AD$2:$AD$355,MATCH($C609,Deals!$A$2:$A$355,0)),0))</f>
        <v/>
      </c>
      <c r="AC609" s="32">
        <f>IF(Settings!$B$4="Yes",$I609*$AB609,$I609)</f>
        <v/>
      </c>
      <c r="AD609" s="22">
        <f>IF($C609="","",IFERROR(IF(INDEX(Deals!$AE$2:$AE$355,MATCH($C609,Deals!$A$2:$A$355,0))=0,"",INDEX(Deals!$AE$2:$AE$355,MATCH($C609,Deals!$A$2:$A$355,0))),""))</f>
        <v/>
      </c>
      <c r="AE609" s="22">
        <f>IF($C609="","",IFERROR(IF(INDEX(Deals!$AF$2:$AF$355,MATCH($C609,Deals!$A$2:$A$355,0))=0,"",INDEX(Deals!$AF$2:$AF$355,MATCH($C609,Deals!$A$2:$A$355,0))),""))</f>
        <v/>
      </c>
      <c r="AF609" s="35">
        <f>IF($AD609="",DATE(1900,1,1),$AD609)</f>
        <v/>
      </c>
      <c r="AG609" s="35">
        <f>IF($AE609="",DATE(2100,12,31),$AE609)</f>
        <v/>
      </c>
      <c r="AH609" s="22">
        <f>IF($C609="","",IFERROR(IF(INDEX(Deals!$AG$2:$AG$355,MATCH($C609,Deals!$A$2:$A$355,0))=0,"",INDEX(Deals!$AG$2:$AG$355,MATCH($C609,Deals!$A$2:$A$355,0))),""))</f>
        <v/>
      </c>
      <c r="AI609" s="35">
        <f>IF($AH609="",DATE(1900,1,1),$AF609)</f>
        <v/>
      </c>
      <c r="AJ609" s="35">
        <f>IF($AH609="",DATE(2100,12,31),$AH609)</f>
        <v/>
      </c>
      <c r="AK609" s="32">
        <f>IF($AH609="",$AC609,$AC609*$S609)</f>
        <v/>
      </c>
      <c r="AL609" s="35">
        <f>IF($AH609="",DATE(2100,12,31),$AH609+1)</f>
        <v/>
      </c>
      <c r="AM609" s="35">
        <f>IF($AH609="",DATE(1900,1,1),$AG609)</f>
        <v/>
      </c>
      <c r="AN609" s="32">
        <f>IF($AH609="",0,$AC609*$T609)</f>
        <v/>
      </c>
    </row>
    <row r="610">
      <c r="A610" s="28" t="inlineStr">
        <is>
          <t>Yiyi</t>
        </is>
      </c>
      <c r="B610" s="16">
        <f>IF($A610="","",IFERROR(INDEX(Roster!$B$2:$B$40,MATCH($A610,Roster!$A$2:$A$40,0)),"?"))</f>
        <v/>
      </c>
      <c r="C610" s="28" t="inlineStr">
        <is>
          <t>Guardian_3</t>
        </is>
      </c>
      <c r="D610" s="16">
        <f>IF($C610="","",IFERROR(IF(INDEX(Deals!$C$2:$C$355,MATCH($C610,Deals!$A$2:$A$355,0))=0,"",INDEX(Deals!$C$2:$C$355,MATCH($C610,Deals!$A$2:$A$355,0))),"?"))</f>
        <v/>
      </c>
      <c r="E610" s="16">
        <f>IF($C610="","",IFERROR(INDEX(Deals!$F$2:$F$355,MATCH($C610,Deals!$A$2:$A$355,0)),"?"))</f>
        <v/>
      </c>
      <c r="F610" s="28" t="inlineStr">
        <is>
          <t>Renewable Specialist</t>
        </is>
      </c>
      <c r="G610" s="28" t="inlineStr">
        <is>
          <t>Active</t>
        </is>
      </c>
      <c r="H610" s="31" t="n"/>
      <c r="I610" s="32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1">
        <f>IF($C610="",0,IFERROR(INDEX(Deals!$H$2:$H$355,MATCH($C610,Deals!$A$2:$A$355,0)),0))</f>
        <v/>
      </c>
      <c r="K610" s="32">
        <f>IF(Settings!$B$4="Yes",$I610*$J610,$I610)</f>
        <v/>
      </c>
      <c r="L610" s="22">
        <f>IF($C610="","",IFERROR(IF(INDEX(Deals!$I$2:$I$355,MATCH($C610,Deals!$A$2:$A$355,0))=0,"",INDEX(Deals!$I$2:$I$355,MATCH($C610,Deals!$A$2:$A$355,0))),""))</f>
        <v/>
      </c>
      <c r="M610" s="22">
        <f>IF($C610="","",IFERROR(IF(INDEX(Deals!$J$2:$J$355,MATCH($C610,Deals!$A$2:$A$355,0))=0,"",INDEX(Deals!$J$2:$J$355,MATCH($C610,Deals!$A$2:$A$355,0))),""))</f>
        <v/>
      </c>
      <c r="N610" s="35">
        <f>IF($L610="",DATE(1900,1,1),$L610)</f>
        <v/>
      </c>
      <c r="O610" s="35">
        <f>IF($M610="",DATE(2100,12,31),$M610)</f>
        <v/>
      </c>
      <c r="P610" s="20" t="inlineStr"/>
      <c r="Q610" s="43" t="inlineStr"/>
      <c r="R610" s="16">
        <f>IF($C610="","",IFERROR(IF(INDEX(Deals!$U$2:$U$355,MATCH($C610,Deals!$A$2:$A$355,0))=0,"",INDEX(Deals!$U$2:$U$355,MATCH($C610,Deals!$A$2:$A$355,0))),""))</f>
        <v/>
      </c>
      <c r="S610" s="34">
        <f>IFERROR(IF($U610="",1,INDEX(Deals!$V$2:$V$355,MATCH($C610,Deals!$A$2:$A$355,0))),1)</f>
        <v/>
      </c>
      <c r="T610" s="34">
        <f>IFERROR(IF($U610="",1,INDEX(Deals!$W$2:$W$355,MATCH($C610,Deals!$A$2:$A$355,0))),1)</f>
        <v/>
      </c>
      <c r="U610" s="22">
        <f>IF($C610="","",IFERROR(IF(INDEX(Deals!$Y$2:$Y$355,MATCH($C610,Deals!$A$2:$A$355,0))=0,"",INDEX(Deals!$Y$2:$Y$355,MATCH($C610,Deals!$A$2:$A$355,0))),""))</f>
        <v/>
      </c>
      <c r="V610" s="35">
        <f>IF($U610="",DATE(1900,1,1),$N610)</f>
        <v/>
      </c>
      <c r="W610" s="35">
        <f>IF($U610="",DATE(2100,12,31),$U610)</f>
        <v/>
      </c>
      <c r="X610" s="32">
        <f>IF($U610="",$K610,$K610*$S610)</f>
        <v/>
      </c>
      <c r="Y610" s="35">
        <f>IF($U610="",DATE(2100,12,31),$U610+1)</f>
        <v/>
      </c>
      <c r="Z610" s="35">
        <f>IF($U610="",DATE(1900,1,1),$O610)</f>
        <v/>
      </c>
      <c r="AA610" s="32">
        <f>IF($U610="",0,$K610*$T610)</f>
        <v/>
      </c>
      <c r="AB610" s="21">
        <f>IF($C610="",0,IFERROR(INDEX(Deals!$AD$2:$AD$355,MATCH($C610,Deals!$A$2:$A$355,0)),0))</f>
        <v/>
      </c>
      <c r="AC610" s="32">
        <f>IF(Settings!$B$4="Yes",$I610*$AB610,$I610)</f>
        <v/>
      </c>
      <c r="AD610" s="22">
        <f>IF($C610="","",IFERROR(IF(INDEX(Deals!$AE$2:$AE$355,MATCH($C610,Deals!$A$2:$A$355,0))=0,"",INDEX(Deals!$AE$2:$AE$355,MATCH($C610,Deals!$A$2:$A$355,0))),""))</f>
        <v/>
      </c>
      <c r="AE610" s="22">
        <f>IF($C610="","",IFERROR(IF(INDEX(Deals!$AF$2:$AF$355,MATCH($C610,Deals!$A$2:$A$355,0))=0,"",INDEX(Deals!$AF$2:$AF$355,MATCH($C610,Deals!$A$2:$A$355,0))),""))</f>
        <v/>
      </c>
      <c r="AF610" s="35">
        <f>IF($AD610="",DATE(1900,1,1),$AD610)</f>
        <v/>
      </c>
      <c r="AG610" s="35">
        <f>IF($AE610="",DATE(2100,12,31),$AE610)</f>
        <v/>
      </c>
      <c r="AH610" s="22">
        <f>IF($C610="","",IFERROR(IF(INDEX(Deals!$AG$2:$AG$355,MATCH($C610,Deals!$A$2:$A$355,0))=0,"",INDEX(Deals!$AG$2:$AG$355,MATCH($C610,Deals!$A$2:$A$355,0))),""))</f>
        <v/>
      </c>
      <c r="AI610" s="35">
        <f>IF($AH610="",DATE(1900,1,1),$AF610)</f>
        <v/>
      </c>
      <c r="AJ610" s="35">
        <f>IF($AH610="",DATE(2100,12,31),$AH610)</f>
        <v/>
      </c>
      <c r="AK610" s="32">
        <f>IF($AH610="",$AC610,$AC610*$S610)</f>
        <v/>
      </c>
      <c r="AL610" s="35">
        <f>IF($AH610="",DATE(2100,12,31),$AH610+1)</f>
        <v/>
      </c>
      <c r="AM610" s="35">
        <f>IF($AH610="",DATE(1900,1,1),$AG610)</f>
        <v/>
      </c>
      <c r="AN610" s="32">
        <f>IF($AH610="",0,$AC610*$T610)</f>
        <v/>
      </c>
    </row>
    <row r="611">
      <c r="A611" s="28" t="inlineStr">
        <is>
          <t>Yiyi</t>
        </is>
      </c>
      <c r="B611" s="16">
        <f>IF($A611="","",IFERROR(INDEX(Roster!$B$2:$B$40,MATCH($A611,Roster!$A$2:$A$40,0)),"?"))</f>
        <v/>
      </c>
      <c r="C611" s="28" t="inlineStr">
        <is>
          <t>Hidden _1</t>
        </is>
      </c>
      <c r="D611" s="16">
        <f>IF($C611="","",IFERROR(IF(INDEX(Deals!$C$2:$C$355,MATCH($C611,Deals!$A$2:$A$355,0))=0,"",INDEX(Deals!$C$2:$C$355,MATCH($C611,Deals!$A$2:$A$355,0))),"?"))</f>
        <v/>
      </c>
      <c r="E611" s="16">
        <f>IF($C611="","",IFERROR(INDEX(Deals!$F$2:$F$355,MATCH($C611,Deals!$A$2:$A$355,0)),"?"))</f>
        <v/>
      </c>
      <c r="F611" s="28" t="inlineStr">
        <is>
          <t>Renewable Specialist</t>
        </is>
      </c>
      <c r="G611" s="28" t="inlineStr">
        <is>
          <t>Active</t>
        </is>
      </c>
      <c r="H611" s="31" t="n"/>
      <c r="I611" s="32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1">
        <f>IF($C611="",0,IFERROR(INDEX(Deals!$H$2:$H$355,MATCH($C611,Deals!$A$2:$A$355,0)),0))</f>
        <v/>
      </c>
      <c r="K611" s="32">
        <f>IF(Settings!$B$4="Yes",$I611*$J611,$I611)</f>
        <v/>
      </c>
      <c r="L611" s="22">
        <f>IF($C611="","",IFERROR(IF(INDEX(Deals!$I$2:$I$355,MATCH($C611,Deals!$A$2:$A$355,0))=0,"",INDEX(Deals!$I$2:$I$355,MATCH($C611,Deals!$A$2:$A$355,0))),""))</f>
        <v/>
      </c>
      <c r="M611" s="22">
        <f>IF($C611="","",IFERROR(IF(INDEX(Deals!$J$2:$J$355,MATCH($C611,Deals!$A$2:$A$355,0))=0,"",INDEX(Deals!$J$2:$J$355,MATCH($C611,Deals!$A$2:$A$355,0))),""))</f>
        <v/>
      </c>
      <c r="N611" s="35">
        <f>IF($L611="",DATE(1900,1,1),$L611)</f>
        <v/>
      </c>
      <c r="O611" s="35">
        <f>IF($M611="",DATE(2100,12,31),$M611)</f>
        <v/>
      </c>
      <c r="P611" s="20" t="inlineStr"/>
      <c r="Q611" s="43" t="inlineStr"/>
      <c r="R611" s="16">
        <f>IF($C611="","",IFERROR(IF(INDEX(Deals!$U$2:$U$355,MATCH($C611,Deals!$A$2:$A$355,0))=0,"",INDEX(Deals!$U$2:$U$355,MATCH($C611,Deals!$A$2:$A$355,0))),""))</f>
        <v/>
      </c>
      <c r="S611" s="34">
        <f>IFERROR(IF($U611="",1,INDEX(Deals!$V$2:$V$355,MATCH($C611,Deals!$A$2:$A$355,0))),1)</f>
        <v/>
      </c>
      <c r="T611" s="34">
        <f>IFERROR(IF($U611="",1,INDEX(Deals!$W$2:$W$355,MATCH($C611,Deals!$A$2:$A$355,0))),1)</f>
        <v/>
      </c>
      <c r="U611" s="22">
        <f>IF($C611="","",IFERROR(IF(INDEX(Deals!$Y$2:$Y$355,MATCH($C611,Deals!$A$2:$A$355,0))=0,"",INDEX(Deals!$Y$2:$Y$355,MATCH($C611,Deals!$A$2:$A$355,0))),""))</f>
        <v/>
      </c>
      <c r="V611" s="35">
        <f>IF($U611="",DATE(1900,1,1),$N611)</f>
        <v/>
      </c>
      <c r="W611" s="35">
        <f>IF($U611="",DATE(2100,12,31),$U611)</f>
        <v/>
      </c>
      <c r="X611" s="32">
        <f>IF($U611="",$K611,$K611*$S611)</f>
        <v/>
      </c>
      <c r="Y611" s="35">
        <f>IF($U611="",DATE(2100,12,31),$U611+1)</f>
        <v/>
      </c>
      <c r="Z611" s="35">
        <f>IF($U611="",DATE(1900,1,1),$O611)</f>
        <v/>
      </c>
      <c r="AA611" s="32">
        <f>IF($U611="",0,$K611*$T611)</f>
        <v/>
      </c>
      <c r="AB611" s="21">
        <f>IF($C611="",0,IFERROR(INDEX(Deals!$AD$2:$AD$355,MATCH($C611,Deals!$A$2:$A$355,0)),0))</f>
        <v/>
      </c>
      <c r="AC611" s="32">
        <f>IF(Settings!$B$4="Yes",$I611*$AB611,$I611)</f>
        <v/>
      </c>
      <c r="AD611" s="22">
        <f>IF($C611="","",IFERROR(IF(INDEX(Deals!$AE$2:$AE$355,MATCH($C611,Deals!$A$2:$A$355,0))=0,"",INDEX(Deals!$AE$2:$AE$355,MATCH($C611,Deals!$A$2:$A$355,0))),""))</f>
        <v/>
      </c>
      <c r="AE611" s="22">
        <f>IF($C611="","",IFERROR(IF(INDEX(Deals!$AF$2:$AF$355,MATCH($C611,Deals!$A$2:$A$355,0))=0,"",INDEX(Deals!$AF$2:$AF$355,MATCH($C611,Deals!$A$2:$A$355,0))),""))</f>
        <v/>
      </c>
      <c r="AF611" s="35">
        <f>IF($AD611="",DATE(1900,1,1),$AD611)</f>
        <v/>
      </c>
      <c r="AG611" s="35">
        <f>IF($AE611="",DATE(2100,12,31),$AE611)</f>
        <v/>
      </c>
      <c r="AH611" s="22">
        <f>IF($C611="","",IFERROR(IF(INDEX(Deals!$AG$2:$AG$355,MATCH($C611,Deals!$A$2:$A$355,0))=0,"",INDEX(Deals!$AG$2:$AG$355,MATCH($C611,Deals!$A$2:$A$355,0))),""))</f>
        <v/>
      </c>
      <c r="AI611" s="35">
        <f>IF($AH611="",DATE(1900,1,1),$AF611)</f>
        <v/>
      </c>
      <c r="AJ611" s="35">
        <f>IF($AH611="",DATE(2100,12,31),$AH611)</f>
        <v/>
      </c>
      <c r="AK611" s="32">
        <f>IF($AH611="",$AC611,$AC611*$S611)</f>
        <v/>
      </c>
      <c r="AL611" s="35">
        <f>IF($AH611="",DATE(2100,12,31),$AH611+1)</f>
        <v/>
      </c>
      <c r="AM611" s="35">
        <f>IF($AH611="",DATE(1900,1,1),$AG611)</f>
        <v/>
      </c>
      <c r="AN611" s="32">
        <f>IF($AH611="",0,$AC611*$T611)</f>
        <v/>
      </c>
    </row>
    <row r="612">
      <c r="A612" s="28" t="inlineStr">
        <is>
          <t>Yiyi</t>
        </is>
      </c>
      <c r="B612" s="16">
        <f>IF($A612="","",IFERROR(INDEX(Roster!$B$2:$B$40,MATCH($A612,Roster!$A$2:$A$40,0)),"?"))</f>
        <v/>
      </c>
      <c r="C612" s="28" t="inlineStr">
        <is>
          <t>Hyacinth_1</t>
        </is>
      </c>
      <c r="D612" s="16">
        <f>IF($C612="","",IFERROR(IF(INDEX(Deals!$C$2:$C$355,MATCH($C612,Deals!$A$2:$A$355,0))=0,"",INDEX(Deals!$C$2:$C$355,MATCH($C612,Deals!$A$2:$A$355,0))),"?"))</f>
        <v/>
      </c>
      <c r="E612" s="16">
        <f>IF($C612="","",IFERROR(INDEX(Deals!$F$2:$F$355,MATCH($C612,Deals!$A$2:$A$355,0)),"?"))</f>
        <v/>
      </c>
      <c r="F612" s="28" t="inlineStr">
        <is>
          <t>Renewable Specialist</t>
        </is>
      </c>
      <c r="G612" s="28" t="inlineStr">
        <is>
          <t>Active</t>
        </is>
      </c>
      <c r="H612" s="31" t="n"/>
      <c r="I612" s="32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1">
        <f>IF($C612="",0,IFERROR(INDEX(Deals!$H$2:$H$355,MATCH($C612,Deals!$A$2:$A$355,0)),0))</f>
        <v/>
      </c>
      <c r="K612" s="32">
        <f>IF(Settings!$B$4="Yes",$I612*$J612,$I612)</f>
        <v/>
      </c>
      <c r="L612" s="22">
        <f>IF($C612="","",IFERROR(IF(INDEX(Deals!$I$2:$I$355,MATCH($C612,Deals!$A$2:$A$355,0))=0,"",INDEX(Deals!$I$2:$I$355,MATCH($C612,Deals!$A$2:$A$355,0))),""))</f>
        <v/>
      </c>
      <c r="M612" s="22">
        <f>IF($C612="","",IFERROR(IF(INDEX(Deals!$J$2:$J$355,MATCH($C612,Deals!$A$2:$A$355,0))=0,"",INDEX(Deals!$J$2:$J$355,MATCH($C612,Deals!$A$2:$A$355,0))),""))</f>
        <v/>
      </c>
      <c r="N612" s="35">
        <f>IF($L612="",DATE(1900,1,1),$L612)</f>
        <v/>
      </c>
      <c r="O612" s="35">
        <f>IF($M612="",DATE(2100,12,31),$M612)</f>
        <v/>
      </c>
      <c r="P612" s="20" t="inlineStr"/>
      <c r="Q612" s="43" t="inlineStr"/>
      <c r="R612" s="16">
        <f>IF($C612="","",IFERROR(IF(INDEX(Deals!$U$2:$U$355,MATCH($C612,Deals!$A$2:$A$355,0))=0,"",INDEX(Deals!$U$2:$U$355,MATCH($C612,Deals!$A$2:$A$355,0))),""))</f>
        <v/>
      </c>
      <c r="S612" s="34">
        <f>IFERROR(IF($U612="",1,INDEX(Deals!$V$2:$V$355,MATCH($C612,Deals!$A$2:$A$355,0))),1)</f>
        <v/>
      </c>
      <c r="T612" s="34">
        <f>IFERROR(IF($U612="",1,INDEX(Deals!$W$2:$W$355,MATCH($C612,Deals!$A$2:$A$355,0))),1)</f>
        <v/>
      </c>
      <c r="U612" s="22">
        <f>IF($C612="","",IFERROR(IF(INDEX(Deals!$Y$2:$Y$355,MATCH($C612,Deals!$A$2:$A$355,0))=0,"",INDEX(Deals!$Y$2:$Y$355,MATCH($C612,Deals!$A$2:$A$355,0))),""))</f>
        <v/>
      </c>
      <c r="V612" s="35">
        <f>IF($U612="",DATE(1900,1,1),$N612)</f>
        <v/>
      </c>
      <c r="W612" s="35">
        <f>IF($U612="",DATE(2100,12,31),$U612)</f>
        <v/>
      </c>
      <c r="X612" s="32">
        <f>IF($U612="",$K612,$K612*$S612)</f>
        <v/>
      </c>
      <c r="Y612" s="35">
        <f>IF($U612="",DATE(2100,12,31),$U612+1)</f>
        <v/>
      </c>
      <c r="Z612" s="35">
        <f>IF($U612="",DATE(1900,1,1),$O612)</f>
        <v/>
      </c>
      <c r="AA612" s="32">
        <f>IF($U612="",0,$K612*$T612)</f>
        <v/>
      </c>
      <c r="AB612" s="21">
        <f>IF($C612="",0,IFERROR(INDEX(Deals!$AD$2:$AD$355,MATCH($C612,Deals!$A$2:$A$355,0)),0))</f>
        <v/>
      </c>
      <c r="AC612" s="32">
        <f>IF(Settings!$B$4="Yes",$I612*$AB612,$I612)</f>
        <v/>
      </c>
      <c r="AD612" s="22">
        <f>IF($C612="","",IFERROR(IF(INDEX(Deals!$AE$2:$AE$355,MATCH($C612,Deals!$A$2:$A$355,0))=0,"",INDEX(Deals!$AE$2:$AE$355,MATCH($C612,Deals!$A$2:$A$355,0))),""))</f>
        <v/>
      </c>
      <c r="AE612" s="22">
        <f>IF($C612="","",IFERROR(IF(INDEX(Deals!$AF$2:$AF$355,MATCH($C612,Deals!$A$2:$A$355,0))=0,"",INDEX(Deals!$AF$2:$AF$355,MATCH($C612,Deals!$A$2:$A$355,0))),""))</f>
        <v/>
      </c>
      <c r="AF612" s="35">
        <f>IF($AD612="",DATE(1900,1,1),$AD612)</f>
        <v/>
      </c>
      <c r="AG612" s="35">
        <f>IF($AE612="",DATE(2100,12,31),$AE612)</f>
        <v/>
      </c>
      <c r="AH612" s="22">
        <f>IF($C612="","",IFERROR(IF(INDEX(Deals!$AG$2:$AG$355,MATCH($C612,Deals!$A$2:$A$355,0))=0,"",INDEX(Deals!$AG$2:$AG$355,MATCH($C612,Deals!$A$2:$A$355,0))),""))</f>
        <v/>
      </c>
      <c r="AI612" s="35">
        <f>IF($AH612="",DATE(1900,1,1),$AF612)</f>
        <v/>
      </c>
      <c r="AJ612" s="35">
        <f>IF($AH612="",DATE(2100,12,31),$AH612)</f>
        <v/>
      </c>
      <c r="AK612" s="32">
        <f>IF($AH612="",$AC612,$AC612*$S612)</f>
        <v/>
      </c>
      <c r="AL612" s="35">
        <f>IF($AH612="",DATE(2100,12,31),$AH612+1)</f>
        <v/>
      </c>
      <c r="AM612" s="35">
        <f>IF($AH612="",DATE(1900,1,1),$AG612)</f>
        <v/>
      </c>
      <c r="AN612" s="32">
        <f>IF($AH612="",0,$AC612*$T612)</f>
        <v/>
      </c>
    </row>
    <row r="613">
      <c r="A613" s="28" t="inlineStr">
        <is>
          <t>Yiyi</t>
        </is>
      </c>
      <c r="B613" s="16">
        <f>IF($A613="","",IFERROR(INDEX(Roster!$B$2:$B$40,MATCH($A613,Roster!$A$2:$A$40,0)),"?"))</f>
        <v/>
      </c>
      <c r="C613" s="28" t="inlineStr">
        <is>
          <t>Hydra_1</t>
        </is>
      </c>
      <c r="D613" s="16">
        <f>IF($C613="","",IFERROR(IF(INDEX(Deals!$C$2:$C$355,MATCH($C613,Deals!$A$2:$A$355,0))=0,"",INDEX(Deals!$C$2:$C$355,MATCH($C613,Deals!$A$2:$A$355,0))),"?"))</f>
        <v/>
      </c>
      <c r="E613" s="16">
        <f>IF($C613="","",IFERROR(INDEX(Deals!$F$2:$F$355,MATCH($C613,Deals!$A$2:$A$355,0)),"?"))</f>
        <v/>
      </c>
      <c r="F613" s="28" t="inlineStr">
        <is>
          <t>Renewable Specialist</t>
        </is>
      </c>
      <c r="G613" s="28" t="inlineStr">
        <is>
          <t>Active</t>
        </is>
      </c>
      <c r="H613" s="31" t="n"/>
      <c r="I613" s="32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1">
        <f>IF($C613="",0,IFERROR(INDEX(Deals!$H$2:$H$355,MATCH($C613,Deals!$A$2:$A$355,0)),0))</f>
        <v/>
      </c>
      <c r="K613" s="32">
        <f>IF(Settings!$B$4="Yes",$I613*$J613,$I613)</f>
        <v/>
      </c>
      <c r="L613" s="22">
        <f>IF($C613="","",IFERROR(IF(INDEX(Deals!$I$2:$I$355,MATCH($C613,Deals!$A$2:$A$355,0))=0,"",INDEX(Deals!$I$2:$I$355,MATCH($C613,Deals!$A$2:$A$355,0))),""))</f>
        <v/>
      </c>
      <c r="M613" s="22">
        <f>IF($C613="","",IFERROR(IF(INDEX(Deals!$J$2:$J$355,MATCH($C613,Deals!$A$2:$A$355,0))=0,"",INDEX(Deals!$J$2:$J$355,MATCH($C613,Deals!$A$2:$A$355,0))),""))</f>
        <v/>
      </c>
      <c r="N613" s="35">
        <f>IF($L613="",DATE(1900,1,1),$L613)</f>
        <v/>
      </c>
      <c r="O613" s="35">
        <f>IF($M613="",DATE(2100,12,31),$M613)</f>
        <v/>
      </c>
      <c r="P613" s="20" t="inlineStr"/>
      <c r="Q613" s="43" t="inlineStr"/>
      <c r="R613" s="16">
        <f>IF($C613="","",IFERROR(IF(INDEX(Deals!$U$2:$U$355,MATCH($C613,Deals!$A$2:$A$355,0))=0,"",INDEX(Deals!$U$2:$U$355,MATCH($C613,Deals!$A$2:$A$355,0))),""))</f>
        <v/>
      </c>
      <c r="S613" s="34">
        <f>IFERROR(IF($U613="",1,INDEX(Deals!$V$2:$V$355,MATCH($C613,Deals!$A$2:$A$355,0))),1)</f>
        <v/>
      </c>
      <c r="T613" s="34">
        <f>IFERROR(IF($U613="",1,INDEX(Deals!$W$2:$W$355,MATCH($C613,Deals!$A$2:$A$355,0))),1)</f>
        <v/>
      </c>
      <c r="U613" s="22">
        <f>IF($C613="","",IFERROR(IF(INDEX(Deals!$Y$2:$Y$355,MATCH($C613,Deals!$A$2:$A$355,0))=0,"",INDEX(Deals!$Y$2:$Y$355,MATCH($C613,Deals!$A$2:$A$355,0))),""))</f>
        <v/>
      </c>
      <c r="V613" s="35">
        <f>IF($U613="",DATE(1900,1,1),$N613)</f>
        <v/>
      </c>
      <c r="W613" s="35">
        <f>IF($U613="",DATE(2100,12,31),$U613)</f>
        <v/>
      </c>
      <c r="X613" s="32">
        <f>IF($U613="",$K613,$K613*$S613)</f>
        <v/>
      </c>
      <c r="Y613" s="35">
        <f>IF($U613="",DATE(2100,12,31),$U613+1)</f>
        <v/>
      </c>
      <c r="Z613" s="35">
        <f>IF($U613="",DATE(1900,1,1),$O613)</f>
        <v/>
      </c>
      <c r="AA613" s="32">
        <f>IF($U613="",0,$K613*$T613)</f>
        <v/>
      </c>
      <c r="AB613" s="21">
        <f>IF($C613="",0,IFERROR(INDEX(Deals!$AD$2:$AD$355,MATCH($C613,Deals!$A$2:$A$355,0)),0))</f>
        <v/>
      </c>
      <c r="AC613" s="32">
        <f>IF(Settings!$B$4="Yes",$I613*$AB613,$I613)</f>
        <v/>
      </c>
      <c r="AD613" s="22">
        <f>IF($C613="","",IFERROR(IF(INDEX(Deals!$AE$2:$AE$355,MATCH($C613,Deals!$A$2:$A$355,0))=0,"",INDEX(Deals!$AE$2:$AE$355,MATCH($C613,Deals!$A$2:$A$355,0))),""))</f>
        <v/>
      </c>
      <c r="AE613" s="22">
        <f>IF($C613="","",IFERROR(IF(INDEX(Deals!$AF$2:$AF$355,MATCH($C613,Deals!$A$2:$A$355,0))=0,"",INDEX(Deals!$AF$2:$AF$355,MATCH($C613,Deals!$A$2:$A$355,0))),""))</f>
        <v/>
      </c>
      <c r="AF613" s="35">
        <f>IF($AD613="",DATE(1900,1,1),$AD613)</f>
        <v/>
      </c>
      <c r="AG613" s="35">
        <f>IF($AE613="",DATE(2100,12,31),$AE613)</f>
        <v/>
      </c>
      <c r="AH613" s="22">
        <f>IF($C613="","",IFERROR(IF(INDEX(Deals!$AG$2:$AG$355,MATCH($C613,Deals!$A$2:$A$355,0))=0,"",INDEX(Deals!$AG$2:$AG$355,MATCH($C613,Deals!$A$2:$A$355,0))),""))</f>
        <v/>
      </c>
      <c r="AI613" s="35">
        <f>IF($AH613="",DATE(1900,1,1),$AF613)</f>
        <v/>
      </c>
      <c r="AJ613" s="35">
        <f>IF($AH613="",DATE(2100,12,31),$AH613)</f>
        <v/>
      </c>
      <c r="AK613" s="32">
        <f>IF($AH613="",$AC613,$AC613*$S613)</f>
        <v/>
      </c>
      <c r="AL613" s="35">
        <f>IF($AH613="",DATE(2100,12,31),$AH613+1)</f>
        <v/>
      </c>
      <c r="AM613" s="35">
        <f>IF($AH613="",DATE(1900,1,1),$AG613)</f>
        <v/>
      </c>
      <c r="AN613" s="32">
        <f>IF($AH613="",0,$AC613*$T613)</f>
        <v/>
      </c>
    </row>
    <row r="614">
      <c r="A614" s="28" t="inlineStr">
        <is>
          <t>Yiyi</t>
        </is>
      </c>
      <c r="B614" s="16">
        <f>IF($A614="","",IFERROR(INDEX(Roster!$B$2:$B$40,MATCH($A614,Roster!$A$2:$A$40,0)),"?"))</f>
        <v/>
      </c>
      <c r="C614" s="28" t="inlineStr">
        <is>
          <t>IGS_1</t>
        </is>
      </c>
      <c r="D614" s="16">
        <f>IF($C614="","",IFERROR(IF(INDEX(Deals!$C$2:$C$355,MATCH($C614,Deals!$A$2:$A$355,0))=0,"",INDEX(Deals!$C$2:$C$355,MATCH($C614,Deals!$A$2:$A$355,0))),"?"))</f>
        <v/>
      </c>
      <c r="E614" s="16">
        <f>IF($C614="","",IFERROR(INDEX(Deals!$F$2:$F$355,MATCH($C614,Deals!$A$2:$A$355,0)),"?"))</f>
        <v/>
      </c>
      <c r="F614" s="28" t="inlineStr">
        <is>
          <t>Renewable Specialist</t>
        </is>
      </c>
      <c r="G614" s="28" t="inlineStr">
        <is>
          <t>Active</t>
        </is>
      </c>
      <c r="H614" s="31" t="n"/>
      <c r="I614" s="32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1">
        <f>IF($C614="",0,IFERROR(INDEX(Deals!$H$2:$H$355,MATCH($C614,Deals!$A$2:$A$355,0)),0))</f>
        <v/>
      </c>
      <c r="K614" s="32">
        <f>IF(Settings!$B$4="Yes",$I614*$J614,$I614)</f>
        <v/>
      </c>
      <c r="L614" s="22">
        <f>IF($C614="","",IFERROR(IF(INDEX(Deals!$I$2:$I$355,MATCH($C614,Deals!$A$2:$A$355,0))=0,"",INDEX(Deals!$I$2:$I$355,MATCH($C614,Deals!$A$2:$A$355,0))),""))</f>
        <v/>
      </c>
      <c r="M614" s="22">
        <f>IF($C614="","",IFERROR(IF(INDEX(Deals!$J$2:$J$355,MATCH($C614,Deals!$A$2:$A$355,0))=0,"",INDEX(Deals!$J$2:$J$355,MATCH($C614,Deals!$A$2:$A$355,0))),""))</f>
        <v/>
      </c>
      <c r="N614" s="35">
        <f>IF($L614="",DATE(1900,1,1),$L614)</f>
        <v/>
      </c>
      <c r="O614" s="35">
        <f>IF($M614="",DATE(2100,12,31),$M614)</f>
        <v/>
      </c>
      <c r="P614" s="20" t="inlineStr"/>
      <c r="Q614" s="43" t="inlineStr"/>
      <c r="R614" s="16">
        <f>IF($C614="","",IFERROR(IF(INDEX(Deals!$U$2:$U$355,MATCH($C614,Deals!$A$2:$A$355,0))=0,"",INDEX(Deals!$U$2:$U$355,MATCH($C614,Deals!$A$2:$A$355,0))),""))</f>
        <v/>
      </c>
      <c r="S614" s="34">
        <f>IFERROR(IF($U614="",1,INDEX(Deals!$V$2:$V$355,MATCH($C614,Deals!$A$2:$A$355,0))),1)</f>
        <v/>
      </c>
      <c r="T614" s="34">
        <f>IFERROR(IF($U614="",1,INDEX(Deals!$W$2:$W$355,MATCH($C614,Deals!$A$2:$A$355,0))),1)</f>
        <v/>
      </c>
      <c r="U614" s="22">
        <f>IF($C614="","",IFERROR(IF(INDEX(Deals!$Y$2:$Y$355,MATCH($C614,Deals!$A$2:$A$355,0))=0,"",INDEX(Deals!$Y$2:$Y$355,MATCH($C614,Deals!$A$2:$A$355,0))),""))</f>
        <v/>
      </c>
      <c r="V614" s="35">
        <f>IF($U614="",DATE(1900,1,1),$N614)</f>
        <v/>
      </c>
      <c r="W614" s="35">
        <f>IF($U614="",DATE(2100,12,31),$U614)</f>
        <v/>
      </c>
      <c r="X614" s="32">
        <f>IF($U614="",$K614,$K614*$S614)</f>
        <v/>
      </c>
      <c r="Y614" s="35">
        <f>IF($U614="",DATE(2100,12,31),$U614+1)</f>
        <v/>
      </c>
      <c r="Z614" s="35">
        <f>IF($U614="",DATE(1900,1,1),$O614)</f>
        <v/>
      </c>
      <c r="AA614" s="32">
        <f>IF($U614="",0,$K614*$T614)</f>
        <v/>
      </c>
      <c r="AB614" s="21">
        <f>IF($C614="",0,IFERROR(INDEX(Deals!$AD$2:$AD$355,MATCH($C614,Deals!$A$2:$A$355,0)),0))</f>
        <v/>
      </c>
      <c r="AC614" s="32">
        <f>IF(Settings!$B$4="Yes",$I614*$AB614,$I614)</f>
        <v/>
      </c>
      <c r="AD614" s="22">
        <f>IF($C614="","",IFERROR(IF(INDEX(Deals!$AE$2:$AE$355,MATCH($C614,Deals!$A$2:$A$355,0))=0,"",INDEX(Deals!$AE$2:$AE$355,MATCH($C614,Deals!$A$2:$A$355,0))),""))</f>
        <v/>
      </c>
      <c r="AE614" s="22">
        <f>IF($C614="","",IFERROR(IF(INDEX(Deals!$AF$2:$AF$355,MATCH($C614,Deals!$A$2:$A$355,0))=0,"",INDEX(Deals!$AF$2:$AF$355,MATCH($C614,Deals!$A$2:$A$355,0))),""))</f>
        <v/>
      </c>
      <c r="AF614" s="35">
        <f>IF($AD614="",DATE(1900,1,1),$AD614)</f>
        <v/>
      </c>
      <c r="AG614" s="35">
        <f>IF($AE614="",DATE(2100,12,31),$AE614)</f>
        <v/>
      </c>
      <c r="AH614" s="22">
        <f>IF($C614="","",IFERROR(IF(INDEX(Deals!$AG$2:$AG$355,MATCH($C614,Deals!$A$2:$A$355,0))=0,"",INDEX(Deals!$AG$2:$AG$355,MATCH($C614,Deals!$A$2:$A$355,0))),""))</f>
        <v/>
      </c>
      <c r="AI614" s="35">
        <f>IF($AH614="",DATE(1900,1,1),$AF614)</f>
        <v/>
      </c>
      <c r="AJ614" s="35">
        <f>IF($AH614="",DATE(2100,12,31),$AH614)</f>
        <v/>
      </c>
      <c r="AK614" s="32">
        <f>IF($AH614="",$AC614,$AC614*$S614)</f>
        <v/>
      </c>
      <c r="AL614" s="35">
        <f>IF($AH614="",DATE(2100,12,31),$AH614+1)</f>
        <v/>
      </c>
      <c r="AM614" s="35">
        <f>IF($AH614="",DATE(1900,1,1),$AG614)</f>
        <v/>
      </c>
      <c r="AN614" s="32">
        <f>IF($AH614="",0,$AC614*$T614)</f>
        <v/>
      </c>
    </row>
    <row r="615">
      <c r="A615" s="28" t="inlineStr">
        <is>
          <t>Yiyi</t>
        </is>
      </c>
      <c r="B615" s="16">
        <f>IF($A615="","",IFERROR(INDEX(Roster!$B$2:$B$40,MATCH($A615,Roster!$A$2:$A$40,0)),"?"))</f>
        <v/>
      </c>
      <c r="C615" s="28" t="inlineStr">
        <is>
          <t>Justin_2</t>
        </is>
      </c>
      <c r="D615" s="16">
        <f>IF($C615="","",IFERROR(IF(INDEX(Deals!$C$2:$C$355,MATCH($C615,Deals!$A$2:$A$355,0))=0,"",INDEX(Deals!$C$2:$C$355,MATCH($C615,Deals!$A$2:$A$355,0))),"?"))</f>
        <v/>
      </c>
      <c r="E615" s="16">
        <f>IF($C615="","",IFERROR(INDEX(Deals!$F$2:$F$355,MATCH($C615,Deals!$A$2:$A$355,0)),"?"))</f>
        <v/>
      </c>
      <c r="F615" s="28" t="inlineStr">
        <is>
          <t>Renewable Specialist</t>
        </is>
      </c>
      <c r="G615" s="28" t="inlineStr">
        <is>
          <t>Active</t>
        </is>
      </c>
      <c r="H615" s="31" t="n"/>
      <c r="I615" s="32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1">
        <f>IF($C615="",0,IFERROR(INDEX(Deals!$H$2:$H$355,MATCH($C615,Deals!$A$2:$A$355,0)),0))</f>
        <v/>
      </c>
      <c r="K615" s="32">
        <f>IF(Settings!$B$4="Yes",$I615*$J615,$I615)</f>
        <v/>
      </c>
      <c r="L615" s="22">
        <f>IF($C615="","",IFERROR(IF(INDEX(Deals!$I$2:$I$355,MATCH($C615,Deals!$A$2:$A$355,0))=0,"",INDEX(Deals!$I$2:$I$355,MATCH($C615,Deals!$A$2:$A$355,0))),""))</f>
        <v/>
      </c>
      <c r="M615" s="22">
        <f>IF($C615="","",IFERROR(IF(INDEX(Deals!$J$2:$J$355,MATCH($C615,Deals!$A$2:$A$355,0))=0,"",INDEX(Deals!$J$2:$J$355,MATCH($C615,Deals!$A$2:$A$355,0))),""))</f>
        <v/>
      </c>
      <c r="N615" s="35">
        <f>IF($L615="",DATE(1900,1,1),$L615)</f>
        <v/>
      </c>
      <c r="O615" s="35">
        <f>IF($M615="",DATE(2100,12,31),$M615)</f>
        <v/>
      </c>
      <c r="P615" s="20" t="inlineStr"/>
      <c r="Q615" s="43" t="inlineStr"/>
      <c r="R615" s="16">
        <f>IF($C615="","",IFERROR(IF(INDEX(Deals!$U$2:$U$355,MATCH($C615,Deals!$A$2:$A$355,0))=0,"",INDEX(Deals!$U$2:$U$355,MATCH($C615,Deals!$A$2:$A$355,0))),""))</f>
        <v/>
      </c>
      <c r="S615" s="34">
        <f>IFERROR(IF($U615="",1,INDEX(Deals!$V$2:$V$355,MATCH($C615,Deals!$A$2:$A$355,0))),1)</f>
        <v/>
      </c>
      <c r="T615" s="34">
        <f>IFERROR(IF($U615="",1,INDEX(Deals!$W$2:$W$355,MATCH($C615,Deals!$A$2:$A$355,0))),1)</f>
        <v/>
      </c>
      <c r="U615" s="22">
        <f>IF($C615="","",IFERROR(IF(INDEX(Deals!$Y$2:$Y$355,MATCH($C615,Deals!$A$2:$A$355,0))=0,"",INDEX(Deals!$Y$2:$Y$355,MATCH($C615,Deals!$A$2:$A$355,0))),""))</f>
        <v/>
      </c>
      <c r="V615" s="35">
        <f>IF($U615="",DATE(1900,1,1),$N615)</f>
        <v/>
      </c>
      <c r="W615" s="35">
        <f>IF($U615="",DATE(2100,12,31),$U615)</f>
        <v/>
      </c>
      <c r="X615" s="32">
        <f>IF($U615="",$K615,$K615*$S615)</f>
        <v/>
      </c>
      <c r="Y615" s="35">
        <f>IF($U615="",DATE(2100,12,31),$U615+1)</f>
        <v/>
      </c>
      <c r="Z615" s="35">
        <f>IF($U615="",DATE(1900,1,1),$O615)</f>
        <v/>
      </c>
      <c r="AA615" s="32">
        <f>IF($U615="",0,$K615*$T615)</f>
        <v/>
      </c>
      <c r="AB615" s="21">
        <f>IF($C615="",0,IFERROR(INDEX(Deals!$AD$2:$AD$355,MATCH($C615,Deals!$A$2:$A$355,0)),0))</f>
        <v/>
      </c>
      <c r="AC615" s="32">
        <f>IF(Settings!$B$4="Yes",$I615*$AB615,$I615)</f>
        <v/>
      </c>
      <c r="AD615" s="22">
        <f>IF($C615="","",IFERROR(IF(INDEX(Deals!$AE$2:$AE$355,MATCH($C615,Deals!$A$2:$A$355,0))=0,"",INDEX(Deals!$AE$2:$AE$355,MATCH($C615,Deals!$A$2:$A$355,0))),""))</f>
        <v/>
      </c>
      <c r="AE615" s="22">
        <f>IF($C615="","",IFERROR(IF(INDEX(Deals!$AF$2:$AF$355,MATCH($C615,Deals!$A$2:$A$355,0))=0,"",INDEX(Deals!$AF$2:$AF$355,MATCH($C615,Deals!$A$2:$A$355,0))),""))</f>
        <v/>
      </c>
      <c r="AF615" s="35">
        <f>IF($AD615="",DATE(1900,1,1),$AD615)</f>
        <v/>
      </c>
      <c r="AG615" s="35">
        <f>IF($AE615="",DATE(2100,12,31),$AE615)</f>
        <v/>
      </c>
      <c r="AH615" s="22">
        <f>IF($C615="","",IFERROR(IF(INDEX(Deals!$AG$2:$AG$355,MATCH($C615,Deals!$A$2:$A$355,0))=0,"",INDEX(Deals!$AG$2:$AG$355,MATCH($C615,Deals!$A$2:$A$355,0))),""))</f>
        <v/>
      </c>
      <c r="AI615" s="35">
        <f>IF($AH615="",DATE(1900,1,1),$AF615)</f>
        <v/>
      </c>
      <c r="AJ615" s="35">
        <f>IF($AH615="",DATE(2100,12,31),$AH615)</f>
        <v/>
      </c>
      <c r="AK615" s="32">
        <f>IF($AH615="",$AC615,$AC615*$S615)</f>
        <v/>
      </c>
      <c r="AL615" s="35">
        <f>IF($AH615="",DATE(2100,12,31),$AH615+1)</f>
        <v/>
      </c>
      <c r="AM615" s="35">
        <f>IF($AH615="",DATE(1900,1,1),$AG615)</f>
        <v/>
      </c>
      <c r="AN615" s="32">
        <f>IF($AH615="",0,$AC615*$T615)</f>
        <v/>
      </c>
    </row>
    <row r="616">
      <c r="A616" s="28" t="inlineStr">
        <is>
          <t>Yiyi</t>
        </is>
      </c>
      <c r="B616" s="16">
        <f>IF($A616="","",IFERROR(INDEX(Roster!$B$2:$B$40,MATCH($A616,Roster!$A$2:$A$40,0)),"?"))</f>
        <v/>
      </c>
      <c r="C616" s="28" t="inlineStr">
        <is>
          <t>Mad_1</t>
        </is>
      </c>
      <c r="D616" s="16">
        <f>IF($C616="","",IFERROR(IF(INDEX(Deals!$C$2:$C$355,MATCH($C616,Deals!$A$2:$A$355,0))=0,"",INDEX(Deals!$C$2:$C$355,MATCH($C616,Deals!$A$2:$A$355,0))),"?"))</f>
        <v/>
      </c>
      <c r="E616" s="16">
        <f>IF($C616="","",IFERROR(INDEX(Deals!$F$2:$F$355,MATCH($C616,Deals!$A$2:$A$355,0)),"?"))</f>
        <v/>
      </c>
      <c r="F616" s="28" t="inlineStr">
        <is>
          <t>Renewable Specialist</t>
        </is>
      </c>
      <c r="G616" s="28" t="inlineStr">
        <is>
          <t>Active</t>
        </is>
      </c>
      <c r="H616" s="31" t="n"/>
      <c r="I616" s="32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1">
        <f>IF($C616="",0,IFERROR(INDEX(Deals!$H$2:$H$355,MATCH($C616,Deals!$A$2:$A$355,0)),0))</f>
        <v/>
      </c>
      <c r="K616" s="32">
        <f>IF(Settings!$B$4="Yes",$I616*$J616,$I616)</f>
        <v/>
      </c>
      <c r="L616" s="22">
        <f>IF($C616="","",IFERROR(IF(INDEX(Deals!$I$2:$I$355,MATCH($C616,Deals!$A$2:$A$355,0))=0,"",INDEX(Deals!$I$2:$I$355,MATCH($C616,Deals!$A$2:$A$355,0))),""))</f>
        <v/>
      </c>
      <c r="M616" s="22">
        <f>IF($C616="","",IFERROR(IF(INDEX(Deals!$J$2:$J$355,MATCH($C616,Deals!$A$2:$A$355,0))=0,"",INDEX(Deals!$J$2:$J$355,MATCH($C616,Deals!$A$2:$A$355,0))),""))</f>
        <v/>
      </c>
      <c r="N616" s="35">
        <f>IF($L616="",DATE(1900,1,1),$L616)</f>
        <v/>
      </c>
      <c r="O616" s="35">
        <f>IF($M616="",DATE(2100,12,31),$M616)</f>
        <v/>
      </c>
      <c r="P616" s="20" t="inlineStr"/>
      <c r="Q616" s="43" t="inlineStr"/>
      <c r="R616" s="16">
        <f>IF($C616="","",IFERROR(IF(INDEX(Deals!$U$2:$U$355,MATCH($C616,Deals!$A$2:$A$355,0))=0,"",INDEX(Deals!$U$2:$U$355,MATCH($C616,Deals!$A$2:$A$355,0))),""))</f>
        <v/>
      </c>
      <c r="S616" s="34">
        <f>IFERROR(IF($U616="",1,INDEX(Deals!$V$2:$V$355,MATCH($C616,Deals!$A$2:$A$355,0))),1)</f>
        <v/>
      </c>
      <c r="T616" s="34">
        <f>IFERROR(IF($U616="",1,INDEX(Deals!$W$2:$W$355,MATCH($C616,Deals!$A$2:$A$355,0))),1)</f>
        <v/>
      </c>
      <c r="U616" s="22">
        <f>IF($C616="","",IFERROR(IF(INDEX(Deals!$Y$2:$Y$355,MATCH($C616,Deals!$A$2:$A$355,0))=0,"",INDEX(Deals!$Y$2:$Y$355,MATCH($C616,Deals!$A$2:$A$355,0))),""))</f>
        <v/>
      </c>
      <c r="V616" s="35">
        <f>IF($U616="",DATE(1900,1,1),$N616)</f>
        <v/>
      </c>
      <c r="W616" s="35">
        <f>IF($U616="",DATE(2100,12,31),$U616)</f>
        <v/>
      </c>
      <c r="X616" s="32">
        <f>IF($U616="",$K616,$K616*$S616)</f>
        <v/>
      </c>
      <c r="Y616" s="35">
        <f>IF($U616="",DATE(2100,12,31),$U616+1)</f>
        <v/>
      </c>
      <c r="Z616" s="35">
        <f>IF($U616="",DATE(1900,1,1),$O616)</f>
        <v/>
      </c>
      <c r="AA616" s="32">
        <f>IF($U616="",0,$K616*$T616)</f>
        <v/>
      </c>
      <c r="AB616" s="21">
        <f>IF($C616="",0,IFERROR(INDEX(Deals!$AD$2:$AD$355,MATCH($C616,Deals!$A$2:$A$355,0)),0))</f>
        <v/>
      </c>
      <c r="AC616" s="32">
        <f>IF(Settings!$B$4="Yes",$I616*$AB616,$I616)</f>
        <v/>
      </c>
      <c r="AD616" s="22">
        <f>IF($C616="","",IFERROR(IF(INDEX(Deals!$AE$2:$AE$355,MATCH($C616,Deals!$A$2:$A$355,0))=0,"",INDEX(Deals!$AE$2:$AE$355,MATCH($C616,Deals!$A$2:$A$355,0))),""))</f>
        <v/>
      </c>
      <c r="AE616" s="22">
        <f>IF($C616="","",IFERROR(IF(INDEX(Deals!$AF$2:$AF$355,MATCH($C616,Deals!$A$2:$A$355,0))=0,"",INDEX(Deals!$AF$2:$AF$355,MATCH($C616,Deals!$A$2:$A$355,0))),""))</f>
        <v/>
      </c>
      <c r="AF616" s="35">
        <f>IF($AD616="",DATE(1900,1,1),$AD616)</f>
        <v/>
      </c>
      <c r="AG616" s="35">
        <f>IF($AE616="",DATE(2100,12,31),$AE616)</f>
        <v/>
      </c>
      <c r="AH616" s="22">
        <f>IF($C616="","",IFERROR(IF(INDEX(Deals!$AG$2:$AG$355,MATCH($C616,Deals!$A$2:$A$355,0))=0,"",INDEX(Deals!$AG$2:$AG$355,MATCH($C616,Deals!$A$2:$A$355,0))),""))</f>
        <v/>
      </c>
      <c r="AI616" s="35">
        <f>IF($AH616="",DATE(1900,1,1),$AF616)</f>
        <v/>
      </c>
      <c r="AJ616" s="35">
        <f>IF($AH616="",DATE(2100,12,31),$AH616)</f>
        <v/>
      </c>
      <c r="AK616" s="32">
        <f>IF($AH616="",$AC616,$AC616*$S616)</f>
        <v/>
      </c>
      <c r="AL616" s="35">
        <f>IF($AH616="",DATE(2100,12,31),$AH616+1)</f>
        <v/>
      </c>
      <c r="AM616" s="35">
        <f>IF($AH616="",DATE(1900,1,1),$AG616)</f>
        <v/>
      </c>
      <c r="AN616" s="32">
        <f>IF($AH616="",0,$AC616*$T616)</f>
        <v/>
      </c>
    </row>
    <row r="617">
      <c r="A617" s="28" t="inlineStr">
        <is>
          <t>Yiyi</t>
        </is>
      </c>
      <c r="B617" s="16">
        <f>IF($A617="","",IFERROR(INDEX(Roster!$B$2:$B$40,MATCH($A617,Roster!$A$2:$A$40,0)),"?"))</f>
        <v/>
      </c>
      <c r="C617" s="28" t="inlineStr">
        <is>
          <t>MeadowBrook_1</t>
        </is>
      </c>
      <c r="D617" s="16">
        <f>IF($C617="","",IFERROR(IF(INDEX(Deals!$C$2:$C$355,MATCH($C617,Deals!$A$2:$A$355,0))=0,"",INDEX(Deals!$C$2:$C$355,MATCH($C617,Deals!$A$2:$A$355,0))),"?"))</f>
        <v/>
      </c>
      <c r="E617" s="16">
        <f>IF($C617="","",IFERROR(INDEX(Deals!$F$2:$F$355,MATCH($C617,Deals!$A$2:$A$355,0)),"?"))</f>
        <v/>
      </c>
      <c r="F617" s="28" t="inlineStr">
        <is>
          <t>Renewable Specialist</t>
        </is>
      </c>
      <c r="G617" s="28" t="inlineStr">
        <is>
          <t>Active</t>
        </is>
      </c>
      <c r="H617" s="31" t="n"/>
      <c r="I617" s="32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1">
        <f>IF($C617="",0,IFERROR(INDEX(Deals!$H$2:$H$355,MATCH($C617,Deals!$A$2:$A$355,0)),0))</f>
        <v/>
      </c>
      <c r="K617" s="32">
        <f>IF(Settings!$B$4="Yes",$I617*$J617,$I617)</f>
        <v/>
      </c>
      <c r="L617" s="22">
        <f>IF($C617="","",IFERROR(IF(INDEX(Deals!$I$2:$I$355,MATCH($C617,Deals!$A$2:$A$355,0))=0,"",INDEX(Deals!$I$2:$I$355,MATCH($C617,Deals!$A$2:$A$355,0))),""))</f>
        <v/>
      </c>
      <c r="M617" s="22">
        <f>IF($C617="","",IFERROR(IF(INDEX(Deals!$J$2:$J$355,MATCH($C617,Deals!$A$2:$A$355,0))=0,"",INDEX(Deals!$J$2:$J$355,MATCH($C617,Deals!$A$2:$A$355,0))),""))</f>
        <v/>
      </c>
      <c r="N617" s="35">
        <f>IF($L617="",DATE(1900,1,1),$L617)</f>
        <v/>
      </c>
      <c r="O617" s="35">
        <f>IF($M617="",DATE(2100,12,31),$M617)</f>
        <v/>
      </c>
      <c r="P617" s="20" t="inlineStr"/>
      <c r="Q617" s="43" t="inlineStr"/>
      <c r="R617" s="16">
        <f>IF($C617="","",IFERROR(IF(INDEX(Deals!$U$2:$U$355,MATCH($C617,Deals!$A$2:$A$355,0))=0,"",INDEX(Deals!$U$2:$U$355,MATCH($C617,Deals!$A$2:$A$355,0))),""))</f>
        <v/>
      </c>
      <c r="S617" s="34">
        <f>IFERROR(IF($U617="",1,INDEX(Deals!$V$2:$V$355,MATCH($C617,Deals!$A$2:$A$355,0))),1)</f>
        <v/>
      </c>
      <c r="T617" s="34">
        <f>IFERROR(IF($U617="",1,INDEX(Deals!$W$2:$W$355,MATCH($C617,Deals!$A$2:$A$355,0))),1)</f>
        <v/>
      </c>
      <c r="U617" s="22">
        <f>IF($C617="","",IFERROR(IF(INDEX(Deals!$Y$2:$Y$355,MATCH($C617,Deals!$A$2:$A$355,0))=0,"",INDEX(Deals!$Y$2:$Y$355,MATCH($C617,Deals!$A$2:$A$355,0))),""))</f>
        <v/>
      </c>
      <c r="V617" s="35">
        <f>IF($U617="",DATE(1900,1,1),$N617)</f>
        <v/>
      </c>
      <c r="W617" s="35">
        <f>IF($U617="",DATE(2100,12,31),$U617)</f>
        <v/>
      </c>
      <c r="X617" s="32">
        <f>IF($U617="",$K617,$K617*$S617)</f>
        <v/>
      </c>
      <c r="Y617" s="35">
        <f>IF($U617="",DATE(2100,12,31),$U617+1)</f>
        <v/>
      </c>
      <c r="Z617" s="35">
        <f>IF($U617="",DATE(1900,1,1),$O617)</f>
        <v/>
      </c>
      <c r="AA617" s="32">
        <f>IF($U617="",0,$K617*$T617)</f>
        <v/>
      </c>
      <c r="AB617" s="21">
        <f>IF($C617="",0,IFERROR(INDEX(Deals!$AD$2:$AD$355,MATCH($C617,Deals!$A$2:$A$355,0)),0))</f>
        <v/>
      </c>
      <c r="AC617" s="32">
        <f>IF(Settings!$B$4="Yes",$I617*$AB617,$I617)</f>
        <v/>
      </c>
      <c r="AD617" s="22">
        <f>IF($C617="","",IFERROR(IF(INDEX(Deals!$AE$2:$AE$355,MATCH($C617,Deals!$A$2:$A$355,0))=0,"",INDEX(Deals!$AE$2:$AE$355,MATCH($C617,Deals!$A$2:$A$355,0))),""))</f>
        <v/>
      </c>
      <c r="AE617" s="22">
        <f>IF($C617="","",IFERROR(IF(INDEX(Deals!$AF$2:$AF$355,MATCH($C617,Deals!$A$2:$A$355,0))=0,"",INDEX(Deals!$AF$2:$AF$355,MATCH($C617,Deals!$A$2:$A$355,0))),""))</f>
        <v/>
      </c>
      <c r="AF617" s="35">
        <f>IF($AD617="",DATE(1900,1,1),$AD617)</f>
        <v/>
      </c>
      <c r="AG617" s="35">
        <f>IF($AE617="",DATE(2100,12,31),$AE617)</f>
        <v/>
      </c>
      <c r="AH617" s="22">
        <f>IF($C617="","",IFERROR(IF(INDEX(Deals!$AG$2:$AG$355,MATCH($C617,Deals!$A$2:$A$355,0))=0,"",INDEX(Deals!$AG$2:$AG$355,MATCH($C617,Deals!$A$2:$A$355,0))),""))</f>
        <v/>
      </c>
      <c r="AI617" s="35">
        <f>IF($AH617="",DATE(1900,1,1),$AF617)</f>
        <v/>
      </c>
      <c r="AJ617" s="35">
        <f>IF($AH617="",DATE(2100,12,31),$AH617)</f>
        <v/>
      </c>
      <c r="AK617" s="32">
        <f>IF($AH617="",$AC617,$AC617*$S617)</f>
        <v/>
      </c>
      <c r="AL617" s="35">
        <f>IF($AH617="",DATE(2100,12,31),$AH617+1)</f>
        <v/>
      </c>
      <c r="AM617" s="35">
        <f>IF($AH617="",DATE(1900,1,1),$AG617)</f>
        <v/>
      </c>
      <c r="AN617" s="32">
        <f>IF($AH617="",0,$AC617*$T617)</f>
        <v/>
      </c>
    </row>
    <row r="618">
      <c r="A618" s="28" t="inlineStr">
        <is>
          <t>Yiyi</t>
        </is>
      </c>
      <c r="B618" s="16">
        <f>IF($A618="","",IFERROR(INDEX(Roster!$B$2:$B$40,MATCH($A618,Roster!$A$2:$A$40,0)),"?"))</f>
        <v/>
      </c>
      <c r="C618" s="28" t="inlineStr">
        <is>
          <t>Neo_2</t>
        </is>
      </c>
      <c r="D618" s="16">
        <f>IF($C618="","",IFERROR(IF(INDEX(Deals!$C$2:$C$355,MATCH($C618,Deals!$A$2:$A$355,0))=0,"",INDEX(Deals!$C$2:$C$355,MATCH($C618,Deals!$A$2:$A$355,0))),"?"))</f>
        <v/>
      </c>
      <c r="E618" s="16">
        <f>IF($C618="","",IFERROR(INDEX(Deals!$F$2:$F$355,MATCH($C618,Deals!$A$2:$A$355,0)),"?"))</f>
        <v/>
      </c>
      <c r="F618" s="28" t="inlineStr">
        <is>
          <t>Renewable Specialist</t>
        </is>
      </c>
      <c r="G618" s="28" t="inlineStr">
        <is>
          <t>Active</t>
        </is>
      </c>
      <c r="H618" s="31" t="n"/>
      <c r="I618" s="32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1">
        <f>IF($C618="",0,IFERROR(INDEX(Deals!$H$2:$H$355,MATCH($C618,Deals!$A$2:$A$355,0)),0))</f>
        <v/>
      </c>
      <c r="K618" s="32">
        <f>IF(Settings!$B$4="Yes",$I618*$J618,$I618)</f>
        <v/>
      </c>
      <c r="L618" s="22">
        <f>IF($C618="","",IFERROR(IF(INDEX(Deals!$I$2:$I$355,MATCH($C618,Deals!$A$2:$A$355,0))=0,"",INDEX(Deals!$I$2:$I$355,MATCH($C618,Deals!$A$2:$A$355,0))),""))</f>
        <v/>
      </c>
      <c r="M618" s="22">
        <f>IF($C618="","",IFERROR(IF(INDEX(Deals!$J$2:$J$355,MATCH($C618,Deals!$A$2:$A$355,0))=0,"",INDEX(Deals!$J$2:$J$355,MATCH($C618,Deals!$A$2:$A$355,0))),""))</f>
        <v/>
      </c>
      <c r="N618" s="35">
        <f>IF($L618="",DATE(1900,1,1),$L618)</f>
        <v/>
      </c>
      <c r="O618" s="35">
        <f>IF($M618="",DATE(2100,12,31),$M618)</f>
        <v/>
      </c>
      <c r="P618" s="20" t="inlineStr"/>
      <c r="Q618" s="43" t="inlineStr"/>
      <c r="R618" s="16">
        <f>IF($C618="","",IFERROR(IF(INDEX(Deals!$U$2:$U$355,MATCH($C618,Deals!$A$2:$A$355,0))=0,"",INDEX(Deals!$U$2:$U$355,MATCH($C618,Deals!$A$2:$A$355,0))),""))</f>
        <v/>
      </c>
      <c r="S618" s="34">
        <f>IFERROR(IF($U618="",1,INDEX(Deals!$V$2:$V$355,MATCH($C618,Deals!$A$2:$A$355,0))),1)</f>
        <v/>
      </c>
      <c r="T618" s="34">
        <f>IFERROR(IF($U618="",1,INDEX(Deals!$W$2:$W$355,MATCH($C618,Deals!$A$2:$A$355,0))),1)</f>
        <v/>
      </c>
      <c r="U618" s="22">
        <f>IF($C618="","",IFERROR(IF(INDEX(Deals!$Y$2:$Y$355,MATCH($C618,Deals!$A$2:$A$355,0))=0,"",INDEX(Deals!$Y$2:$Y$355,MATCH($C618,Deals!$A$2:$A$355,0))),""))</f>
        <v/>
      </c>
      <c r="V618" s="35">
        <f>IF($U618="",DATE(1900,1,1),$N618)</f>
        <v/>
      </c>
      <c r="W618" s="35">
        <f>IF($U618="",DATE(2100,12,31),$U618)</f>
        <v/>
      </c>
      <c r="X618" s="32">
        <f>IF($U618="",$K618,$K618*$S618)</f>
        <v/>
      </c>
      <c r="Y618" s="35">
        <f>IF($U618="",DATE(2100,12,31),$U618+1)</f>
        <v/>
      </c>
      <c r="Z618" s="35">
        <f>IF($U618="",DATE(1900,1,1),$O618)</f>
        <v/>
      </c>
      <c r="AA618" s="32">
        <f>IF($U618="",0,$K618*$T618)</f>
        <v/>
      </c>
      <c r="AB618" s="21">
        <f>IF($C618="",0,IFERROR(INDEX(Deals!$AD$2:$AD$355,MATCH($C618,Deals!$A$2:$A$355,0)),0))</f>
        <v/>
      </c>
      <c r="AC618" s="32">
        <f>IF(Settings!$B$4="Yes",$I618*$AB618,$I618)</f>
        <v/>
      </c>
      <c r="AD618" s="22">
        <f>IF($C618="","",IFERROR(IF(INDEX(Deals!$AE$2:$AE$355,MATCH($C618,Deals!$A$2:$A$355,0))=0,"",INDEX(Deals!$AE$2:$AE$355,MATCH($C618,Deals!$A$2:$A$355,0))),""))</f>
        <v/>
      </c>
      <c r="AE618" s="22">
        <f>IF($C618="","",IFERROR(IF(INDEX(Deals!$AF$2:$AF$355,MATCH($C618,Deals!$A$2:$A$355,0))=0,"",INDEX(Deals!$AF$2:$AF$355,MATCH($C618,Deals!$A$2:$A$355,0))),""))</f>
        <v/>
      </c>
      <c r="AF618" s="35">
        <f>IF($AD618="",DATE(1900,1,1),$AD618)</f>
        <v/>
      </c>
      <c r="AG618" s="35">
        <f>IF($AE618="",DATE(2100,12,31),$AE618)</f>
        <v/>
      </c>
      <c r="AH618" s="22">
        <f>IF($C618="","",IFERROR(IF(INDEX(Deals!$AG$2:$AG$355,MATCH($C618,Deals!$A$2:$A$355,0))=0,"",INDEX(Deals!$AG$2:$AG$355,MATCH($C618,Deals!$A$2:$A$355,0))),""))</f>
        <v/>
      </c>
      <c r="AI618" s="35">
        <f>IF($AH618="",DATE(1900,1,1),$AF618)</f>
        <v/>
      </c>
      <c r="AJ618" s="35">
        <f>IF($AH618="",DATE(2100,12,31),$AH618)</f>
        <v/>
      </c>
      <c r="AK618" s="32">
        <f>IF($AH618="",$AC618,$AC618*$S618)</f>
        <v/>
      </c>
      <c r="AL618" s="35">
        <f>IF($AH618="",DATE(2100,12,31),$AH618+1)</f>
        <v/>
      </c>
      <c r="AM618" s="35">
        <f>IF($AH618="",DATE(1900,1,1),$AG618)</f>
        <v/>
      </c>
      <c r="AN618" s="32">
        <f>IF($AH618="",0,$AC618*$T618)</f>
        <v/>
      </c>
    </row>
    <row r="619">
      <c r="A619" s="28" t="inlineStr">
        <is>
          <t>Yiyi</t>
        </is>
      </c>
      <c r="B619" s="16">
        <f>IF($A619="","",IFERROR(INDEX(Roster!$B$2:$B$40,MATCH($A619,Roster!$A$2:$A$40,0)),"?"))</f>
        <v/>
      </c>
      <c r="C619" s="28" t="inlineStr">
        <is>
          <t>Neutrino_1</t>
        </is>
      </c>
      <c r="D619" s="16">
        <f>IF($C619="","",IFERROR(IF(INDEX(Deals!$C$2:$C$355,MATCH($C619,Deals!$A$2:$A$355,0))=0,"",INDEX(Deals!$C$2:$C$355,MATCH($C619,Deals!$A$2:$A$355,0))),"?"))</f>
        <v/>
      </c>
      <c r="E619" s="16">
        <f>IF($C619="","",IFERROR(INDEX(Deals!$F$2:$F$355,MATCH($C619,Deals!$A$2:$A$355,0)),"?"))</f>
        <v/>
      </c>
      <c r="F619" s="28" t="inlineStr">
        <is>
          <t>Renewable Specialist</t>
        </is>
      </c>
      <c r="G619" s="28" t="inlineStr">
        <is>
          <t>Active</t>
        </is>
      </c>
      <c r="H619" s="31" t="n"/>
      <c r="I619" s="32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1">
        <f>IF($C619="",0,IFERROR(INDEX(Deals!$H$2:$H$355,MATCH($C619,Deals!$A$2:$A$355,0)),0))</f>
        <v/>
      </c>
      <c r="K619" s="32">
        <f>IF(Settings!$B$4="Yes",$I619*$J619,$I619)</f>
        <v/>
      </c>
      <c r="L619" s="22">
        <f>IF($C619="","",IFERROR(IF(INDEX(Deals!$I$2:$I$355,MATCH($C619,Deals!$A$2:$A$355,0))=0,"",INDEX(Deals!$I$2:$I$355,MATCH($C619,Deals!$A$2:$A$355,0))),""))</f>
        <v/>
      </c>
      <c r="M619" s="22">
        <f>IF($C619="","",IFERROR(IF(INDEX(Deals!$J$2:$J$355,MATCH($C619,Deals!$A$2:$A$355,0))=0,"",INDEX(Deals!$J$2:$J$355,MATCH($C619,Deals!$A$2:$A$355,0))),""))</f>
        <v/>
      </c>
      <c r="N619" s="35">
        <f>IF($L619="",DATE(1900,1,1),$L619)</f>
        <v/>
      </c>
      <c r="O619" s="35">
        <f>IF($M619="",DATE(2100,12,31),$M619)</f>
        <v/>
      </c>
      <c r="P619" s="20" t="inlineStr"/>
      <c r="Q619" s="43" t="inlineStr"/>
      <c r="R619" s="16">
        <f>IF($C619="","",IFERROR(IF(INDEX(Deals!$U$2:$U$355,MATCH($C619,Deals!$A$2:$A$355,0))=0,"",INDEX(Deals!$U$2:$U$355,MATCH($C619,Deals!$A$2:$A$355,0))),""))</f>
        <v/>
      </c>
      <c r="S619" s="34">
        <f>IFERROR(IF($U619="",1,INDEX(Deals!$V$2:$V$355,MATCH($C619,Deals!$A$2:$A$355,0))),1)</f>
        <v/>
      </c>
      <c r="T619" s="34">
        <f>IFERROR(IF($U619="",1,INDEX(Deals!$W$2:$W$355,MATCH($C619,Deals!$A$2:$A$355,0))),1)</f>
        <v/>
      </c>
      <c r="U619" s="22">
        <f>IF($C619="","",IFERROR(IF(INDEX(Deals!$Y$2:$Y$355,MATCH($C619,Deals!$A$2:$A$355,0))=0,"",INDEX(Deals!$Y$2:$Y$355,MATCH($C619,Deals!$A$2:$A$355,0))),""))</f>
        <v/>
      </c>
      <c r="V619" s="35">
        <f>IF($U619="",DATE(1900,1,1),$N619)</f>
        <v/>
      </c>
      <c r="W619" s="35">
        <f>IF($U619="",DATE(2100,12,31),$U619)</f>
        <v/>
      </c>
      <c r="X619" s="32">
        <f>IF($U619="",$K619,$K619*$S619)</f>
        <v/>
      </c>
      <c r="Y619" s="35">
        <f>IF($U619="",DATE(2100,12,31),$U619+1)</f>
        <v/>
      </c>
      <c r="Z619" s="35">
        <f>IF($U619="",DATE(1900,1,1),$O619)</f>
        <v/>
      </c>
      <c r="AA619" s="32">
        <f>IF($U619="",0,$K619*$T619)</f>
        <v/>
      </c>
      <c r="AB619" s="21">
        <f>IF($C619="",0,IFERROR(INDEX(Deals!$AD$2:$AD$355,MATCH($C619,Deals!$A$2:$A$355,0)),0))</f>
        <v/>
      </c>
      <c r="AC619" s="32">
        <f>IF(Settings!$B$4="Yes",$I619*$AB619,$I619)</f>
        <v/>
      </c>
      <c r="AD619" s="22">
        <f>IF($C619="","",IFERROR(IF(INDEX(Deals!$AE$2:$AE$355,MATCH($C619,Deals!$A$2:$A$355,0))=0,"",INDEX(Deals!$AE$2:$AE$355,MATCH($C619,Deals!$A$2:$A$355,0))),""))</f>
        <v/>
      </c>
      <c r="AE619" s="22">
        <f>IF($C619="","",IFERROR(IF(INDEX(Deals!$AF$2:$AF$355,MATCH($C619,Deals!$A$2:$A$355,0))=0,"",INDEX(Deals!$AF$2:$AF$355,MATCH($C619,Deals!$A$2:$A$355,0))),""))</f>
        <v/>
      </c>
      <c r="AF619" s="35">
        <f>IF($AD619="",DATE(1900,1,1),$AD619)</f>
        <v/>
      </c>
      <c r="AG619" s="35">
        <f>IF($AE619="",DATE(2100,12,31),$AE619)</f>
        <v/>
      </c>
      <c r="AH619" s="22">
        <f>IF($C619="","",IFERROR(IF(INDEX(Deals!$AG$2:$AG$355,MATCH($C619,Deals!$A$2:$A$355,0))=0,"",INDEX(Deals!$AG$2:$AG$355,MATCH($C619,Deals!$A$2:$A$355,0))),""))</f>
        <v/>
      </c>
      <c r="AI619" s="35">
        <f>IF($AH619="",DATE(1900,1,1),$AF619)</f>
        <v/>
      </c>
      <c r="AJ619" s="35">
        <f>IF($AH619="",DATE(2100,12,31),$AH619)</f>
        <v/>
      </c>
      <c r="AK619" s="32">
        <f>IF($AH619="",$AC619,$AC619*$S619)</f>
        <v/>
      </c>
      <c r="AL619" s="35">
        <f>IF($AH619="",DATE(2100,12,31),$AH619+1)</f>
        <v/>
      </c>
      <c r="AM619" s="35">
        <f>IF($AH619="",DATE(1900,1,1),$AG619)</f>
        <v/>
      </c>
      <c r="AN619" s="32">
        <f>IF($AH619="",0,$AC619*$T619)</f>
        <v/>
      </c>
    </row>
    <row r="620">
      <c r="A620" s="28" t="inlineStr">
        <is>
          <t>Yiyi</t>
        </is>
      </c>
      <c r="B620" s="16">
        <f>IF($A620="","",IFERROR(INDEX(Roster!$B$2:$B$40,MATCH($A620,Roster!$A$2:$A$40,0)),"?"))</f>
        <v/>
      </c>
      <c r="C620" s="28" t="inlineStr">
        <is>
          <t>New Haven_1</t>
        </is>
      </c>
      <c r="D620" s="16">
        <f>IF($C620="","",IFERROR(IF(INDEX(Deals!$C$2:$C$355,MATCH($C620,Deals!$A$2:$A$355,0))=0,"",INDEX(Deals!$C$2:$C$355,MATCH($C620,Deals!$A$2:$A$355,0))),"?"))</f>
        <v/>
      </c>
      <c r="E620" s="16">
        <f>IF($C620="","",IFERROR(INDEX(Deals!$F$2:$F$355,MATCH($C620,Deals!$A$2:$A$355,0)),"?"))</f>
        <v/>
      </c>
      <c r="F620" s="28" t="inlineStr">
        <is>
          <t>Renewable Specialist</t>
        </is>
      </c>
      <c r="G620" s="28" t="inlineStr">
        <is>
          <t>Active</t>
        </is>
      </c>
      <c r="H620" s="31" t="n"/>
      <c r="I620" s="32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1">
        <f>IF($C620="",0,IFERROR(INDEX(Deals!$H$2:$H$355,MATCH($C620,Deals!$A$2:$A$355,0)),0))</f>
        <v/>
      </c>
      <c r="K620" s="32">
        <f>IF(Settings!$B$4="Yes",$I620*$J620,$I620)</f>
        <v/>
      </c>
      <c r="L620" s="22">
        <f>IF($C620="","",IFERROR(IF(INDEX(Deals!$I$2:$I$355,MATCH($C620,Deals!$A$2:$A$355,0))=0,"",INDEX(Deals!$I$2:$I$355,MATCH($C620,Deals!$A$2:$A$355,0))),""))</f>
        <v/>
      </c>
      <c r="M620" s="22">
        <f>IF($C620="","",IFERROR(IF(INDEX(Deals!$J$2:$J$355,MATCH($C620,Deals!$A$2:$A$355,0))=0,"",INDEX(Deals!$J$2:$J$355,MATCH($C620,Deals!$A$2:$A$355,0))),""))</f>
        <v/>
      </c>
      <c r="N620" s="35">
        <f>IF($L620="",DATE(1900,1,1),$L620)</f>
        <v/>
      </c>
      <c r="O620" s="35">
        <f>IF($M620="",DATE(2100,12,31),$M620)</f>
        <v/>
      </c>
      <c r="P620" s="20" t="inlineStr"/>
      <c r="Q620" s="43" t="inlineStr"/>
      <c r="R620" s="16">
        <f>IF($C620="","",IFERROR(IF(INDEX(Deals!$U$2:$U$355,MATCH($C620,Deals!$A$2:$A$355,0))=0,"",INDEX(Deals!$U$2:$U$355,MATCH($C620,Deals!$A$2:$A$355,0))),""))</f>
        <v/>
      </c>
      <c r="S620" s="34">
        <f>IFERROR(IF($U620="",1,INDEX(Deals!$V$2:$V$355,MATCH($C620,Deals!$A$2:$A$355,0))),1)</f>
        <v/>
      </c>
      <c r="T620" s="34">
        <f>IFERROR(IF($U620="",1,INDEX(Deals!$W$2:$W$355,MATCH($C620,Deals!$A$2:$A$355,0))),1)</f>
        <v/>
      </c>
      <c r="U620" s="22">
        <f>IF($C620="","",IFERROR(IF(INDEX(Deals!$Y$2:$Y$355,MATCH($C620,Deals!$A$2:$A$355,0))=0,"",INDEX(Deals!$Y$2:$Y$355,MATCH($C620,Deals!$A$2:$A$355,0))),""))</f>
        <v/>
      </c>
      <c r="V620" s="35">
        <f>IF($U620="",DATE(1900,1,1),$N620)</f>
        <v/>
      </c>
      <c r="W620" s="35">
        <f>IF($U620="",DATE(2100,12,31),$U620)</f>
        <v/>
      </c>
      <c r="X620" s="32">
        <f>IF($U620="",$K620,$K620*$S620)</f>
        <v/>
      </c>
      <c r="Y620" s="35">
        <f>IF($U620="",DATE(2100,12,31),$U620+1)</f>
        <v/>
      </c>
      <c r="Z620" s="35">
        <f>IF($U620="",DATE(1900,1,1),$O620)</f>
        <v/>
      </c>
      <c r="AA620" s="32">
        <f>IF($U620="",0,$K620*$T620)</f>
        <v/>
      </c>
      <c r="AB620" s="21">
        <f>IF($C620="",0,IFERROR(INDEX(Deals!$AD$2:$AD$355,MATCH($C620,Deals!$A$2:$A$355,0)),0))</f>
        <v/>
      </c>
      <c r="AC620" s="32">
        <f>IF(Settings!$B$4="Yes",$I620*$AB620,$I620)</f>
        <v/>
      </c>
      <c r="AD620" s="22">
        <f>IF($C620="","",IFERROR(IF(INDEX(Deals!$AE$2:$AE$355,MATCH($C620,Deals!$A$2:$A$355,0))=0,"",INDEX(Deals!$AE$2:$AE$355,MATCH($C620,Deals!$A$2:$A$355,0))),""))</f>
        <v/>
      </c>
      <c r="AE620" s="22">
        <f>IF($C620="","",IFERROR(IF(INDEX(Deals!$AF$2:$AF$355,MATCH($C620,Deals!$A$2:$A$355,0))=0,"",INDEX(Deals!$AF$2:$AF$355,MATCH($C620,Deals!$A$2:$A$355,0))),""))</f>
        <v/>
      </c>
      <c r="AF620" s="35">
        <f>IF($AD620="",DATE(1900,1,1),$AD620)</f>
        <v/>
      </c>
      <c r="AG620" s="35">
        <f>IF($AE620="",DATE(2100,12,31),$AE620)</f>
        <v/>
      </c>
      <c r="AH620" s="22">
        <f>IF($C620="","",IFERROR(IF(INDEX(Deals!$AG$2:$AG$355,MATCH($C620,Deals!$A$2:$A$355,0))=0,"",INDEX(Deals!$AG$2:$AG$355,MATCH($C620,Deals!$A$2:$A$355,0))),""))</f>
        <v/>
      </c>
      <c r="AI620" s="35">
        <f>IF($AH620="",DATE(1900,1,1),$AF620)</f>
        <v/>
      </c>
      <c r="AJ620" s="35">
        <f>IF($AH620="",DATE(2100,12,31),$AH620)</f>
        <v/>
      </c>
      <c r="AK620" s="32">
        <f>IF($AH620="",$AC620,$AC620*$S620)</f>
        <v/>
      </c>
      <c r="AL620" s="35">
        <f>IF($AH620="",DATE(2100,12,31),$AH620+1)</f>
        <v/>
      </c>
      <c r="AM620" s="35">
        <f>IF($AH620="",DATE(1900,1,1),$AG620)</f>
        <v/>
      </c>
      <c r="AN620" s="32">
        <f>IF($AH620="",0,$AC620*$T620)</f>
        <v/>
      </c>
    </row>
    <row r="621">
      <c r="A621" s="28" t="inlineStr">
        <is>
          <t>Yiyi</t>
        </is>
      </c>
      <c r="B621" s="16">
        <f>IF($A621="","",IFERROR(INDEX(Roster!$B$2:$B$40,MATCH($A621,Roster!$A$2:$A$40,0)),"?"))</f>
        <v/>
      </c>
      <c r="C621" s="28" t="inlineStr">
        <is>
          <t>Orca_1</t>
        </is>
      </c>
      <c r="D621" s="16">
        <f>IF($C621="","",IFERROR(IF(INDEX(Deals!$C$2:$C$355,MATCH($C621,Deals!$A$2:$A$355,0))=0,"",INDEX(Deals!$C$2:$C$355,MATCH($C621,Deals!$A$2:$A$355,0))),"?"))</f>
        <v/>
      </c>
      <c r="E621" s="16">
        <f>IF($C621="","",IFERROR(INDEX(Deals!$F$2:$F$355,MATCH($C621,Deals!$A$2:$A$355,0)),"?"))</f>
        <v/>
      </c>
      <c r="F621" s="28" t="inlineStr">
        <is>
          <t>Renewable Specialist</t>
        </is>
      </c>
      <c r="G621" s="28" t="inlineStr">
        <is>
          <t>Active</t>
        </is>
      </c>
      <c r="H621" s="31" t="n"/>
      <c r="I621" s="32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1">
        <f>IF($C621="",0,IFERROR(INDEX(Deals!$H$2:$H$355,MATCH($C621,Deals!$A$2:$A$355,0)),0))</f>
        <v/>
      </c>
      <c r="K621" s="32">
        <f>IF(Settings!$B$4="Yes",$I621*$J621,$I621)</f>
        <v/>
      </c>
      <c r="L621" s="22">
        <f>IF($C621="","",IFERROR(IF(INDEX(Deals!$I$2:$I$355,MATCH($C621,Deals!$A$2:$A$355,0))=0,"",INDEX(Deals!$I$2:$I$355,MATCH($C621,Deals!$A$2:$A$355,0))),""))</f>
        <v/>
      </c>
      <c r="M621" s="22">
        <f>IF($C621="","",IFERROR(IF(INDEX(Deals!$J$2:$J$355,MATCH($C621,Deals!$A$2:$A$355,0))=0,"",INDEX(Deals!$J$2:$J$355,MATCH($C621,Deals!$A$2:$A$355,0))),""))</f>
        <v/>
      </c>
      <c r="N621" s="35">
        <f>IF($L621="",DATE(1900,1,1),$L621)</f>
        <v/>
      </c>
      <c r="O621" s="35">
        <f>IF($M621="",DATE(2100,12,31),$M621)</f>
        <v/>
      </c>
      <c r="P621" s="20" t="inlineStr"/>
      <c r="Q621" s="43" t="inlineStr"/>
      <c r="R621" s="16">
        <f>IF($C621="","",IFERROR(IF(INDEX(Deals!$U$2:$U$355,MATCH($C621,Deals!$A$2:$A$355,0))=0,"",INDEX(Deals!$U$2:$U$355,MATCH($C621,Deals!$A$2:$A$355,0))),""))</f>
        <v/>
      </c>
      <c r="S621" s="34">
        <f>IFERROR(IF($U621="",1,INDEX(Deals!$V$2:$V$355,MATCH($C621,Deals!$A$2:$A$355,0))),1)</f>
        <v/>
      </c>
      <c r="T621" s="34">
        <f>IFERROR(IF($U621="",1,INDEX(Deals!$W$2:$W$355,MATCH($C621,Deals!$A$2:$A$355,0))),1)</f>
        <v/>
      </c>
      <c r="U621" s="22">
        <f>IF($C621="","",IFERROR(IF(INDEX(Deals!$Y$2:$Y$355,MATCH($C621,Deals!$A$2:$A$355,0))=0,"",INDEX(Deals!$Y$2:$Y$355,MATCH($C621,Deals!$A$2:$A$355,0))),""))</f>
        <v/>
      </c>
      <c r="V621" s="35">
        <f>IF($U621="",DATE(1900,1,1),$N621)</f>
        <v/>
      </c>
      <c r="W621" s="35">
        <f>IF($U621="",DATE(2100,12,31),$U621)</f>
        <v/>
      </c>
      <c r="X621" s="32">
        <f>IF($U621="",$K621,$K621*$S621)</f>
        <v/>
      </c>
      <c r="Y621" s="35">
        <f>IF($U621="",DATE(2100,12,31),$U621+1)</f>
        <v/>
      </c>
      <c r="Z621" s="35">
        <f>IF($U621="",DATE(1900,1,1),$O621)</f>
        <v/>
      </c>
      <c r="AA621" s="32">
        <f>IF($U621="",0,$K621*$T621)</f>
        <v/>
      </c>
      <c r="AB621" s="21">
        <f>IF($C621="",0,IFERROR(INDEX(Deals!$AD$2:$AD$355,MATCH($C621,Deals!$A$2:$A$355,0)),0))</f>
        <v/>
      </c>
      <c r="AC621" s="32">
        <f>IF(Settings!$B$4="Yes",$I621*$AB621,$I621)</f>
        <v/>
      </c>
      <c r="AD621" s="22">
        <f>IF($C621="","",IFERROR(IF(INDEX(Deals!$AE$2:$AE$355,MATCH($C621,Deals!$A$2:$A$355,0))=0,"",INDEX(Deals!$AE$2:$AE$355,MATCH($C621,Deals!$A$2:$A$355,0))),""))</f>
        <v/>
      </c>
      <c r="AE621" s="22">
        <f>IF($C621="","",IFERROR(IF(INDEX(Deals!$AF$2:$AF$355,MATCH($C621,Deals!$A$2:$A$355,0))=0,"",INDEX(Deals!$AF$2:$AF$355,MATCH($C621,Deals!$A$2:$A$355,0))),""))</f>
        <v/>
      </c>
      <c r="AF621" s="35">
        <f>IF($AD621="",DATE(1900,1,1),$AD621)</f>
        <v/>
      </c>
      <c r="AG621" s="35">
        <f>IF($AE621="",DATE(2100,12,31),$AE621)</f>
        <v/>
      </c>
      <c r="AH621" s="22">
        <f>IF($C621="","",IFERROR(IF(INDEX(Deals!$AG$2:$AG$355,MATCH($C621,Deals!$A$2:$A$355,0))=0,"",INDEX(Deals!$AG$2:$AG$355,MATCH($C621,Deals!$A$2:$A$355,0))),""))</f>
        <v/>
      </c>
      <c r="AI621" s="35">
        <f>IF($AH621="",DATE(1900,1,1),$AF621)</f>
        <v/>
      </c>
      <c r="AJ621" s="35">
        <f>IF($AH621="",DATE(2100,12,31),$AH621)</f>
        <v/>
      </c>
      <c r="AK621" s="32">
        <f>IF($AH621="",$AC621,$AC621*$S621)</f>
        <v/>
      </c>
      <c r="AL621" s="35">
        <f>IF($AH621="",DATE(2100,12,31),$AH621+1)</f>
        <v/>
      </c>
      <c r="AM621" s="35">
        <f>IF($AH621="",DATE(1900,1,1),$AG621)</f>
        <v/>
      </c>
      <c r="AN621" s="32">
        <f>IF($AH621="",0,$AC621*$T621)</f>
        <v/>
      </c>
    </row>
    <row r="622">
      <c r="A622" s="28" t="inlineStr">
        <is>
          <t>Yiyi</t>
        </is>
      </c>
      <c r="B622" s="16">
        <f>IF($A622="","",IFERROR(INDEX(Roster!$B$2:$B$40,MATCH($A622,Roster!$A$2:$A$40,0)),"?"))</f>
        <v/>
      </c>
      <c r="C622" s="28" t="inlineStr">
        <is>
          <t>Orion_3</t>
        </is>
      </c>
      <c r="D622" s="16">
        <f>IF($C622="","",IFERROR(IF(INDEX(Deals!$C$2:$C$355,MATCH($C622,Deals!$A$2:$A$355,0))=0,"",INDEX(Deals!$C$2:$C$355,MATCH($C622,Deals!$A$2:$A$355,0))),"?"))</f>
        <v/>
      </c>
      <c r="E622" s="16">
        <f>IF($C622="","",IFERROR(INDEX(Deals!$F$2:$F$355,MATCH($C622,Deals!$A$2:$A$355,0)),"?"))</f>
        <v/>
      </c>
      <c r="F622" s="28" t="inlineStr">
        <is>
          <t>Renewable Specialist</t>
        </is>
      </c>
      <c r="G622" s="28" t="inlineStr">
        <is>
          <t>Active</t>
        </is>
      </c>
      <c r="H622" s="31" t="n"/>
      <c r="I622" s="32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1">
        <f>IF($C622="",0,IFERROR(INDEX(Deals!$H$2:$H$355,MATCH($C622,Deals!$A$2:$A$355,0)),0))</f>
        <v/>
      </c>
      <c r="K622" s="32">
        <f>IF(Settings!$B$4="Yes",$I622*$J622,$I622)</f>
        <v/>
      </c>
      <c r="L622" s="22">
        <f>IF($C622="","",IFERROR(IF(INDEX(Deals!$I$2:$I$355,MATCH($C622,Deals!$A$2:$A$355,0))=0,"",INDEX(Deals!$I$2:$I$355,MATCH($C622,Deals!$A$2:$A$355,0))),""))</f>
        <v/>
      </c>
      <c r="M622" s="22">
        <f>IF($C622="","",IFERROR(IF(INDEX(Deals!$J$2:$J$355,MATCH($C622,Deals!$A$2:$A$355,0))=0,"",INDEX(Deals!$J$2:$J$355,MATCH($C622,Deals!$A$2:$A$355,0))),""))</f>
        <v/>
      </c>
      <c r="N622" s="35">
        <f>IF($L622="",DATE(1900,1,1),$L622)</f>
        <v/>
      </c>
      <c r="O622" s="35">
        <f>IF($M622="",DATE(2100,12,31),$M622)</f>
        <v/>
      </c>
      <c r="P622" s="20" t="inlineStr"/>
      <c r="Q622" s="43" t="inlineStr"/>
      <c r="R622" s="16">
        <f>IF($C622="","",IFERROR(IF(INDEX(Deals!$U$2:$U$355,MATCH($C622,Deals!$A$2:$A$355,0))=0,"",INDEX(Deals!$U$2:$U$355,MATCH($C622,Deals!$A$2:$A$355,0))),""))</f>
        <v/>
      </c>
      <c r="S622" s="34">
        <f>IFERROR(IF($U622="",1,INDEX(Deals!$V$2:$V$355,MATCH($C622,Deals!$A$2:$A$355,0))),1)</f>
        <v/>
      </c>
      <c r="T622" s="34">
        <f>IFERROR(IF($U622="",1,INDEX(Deals!$W$2:$W$355,MATCH($C622,Deals!$A$2:$A$355,0))),1)</f>
        <v/>
      </c>
      <c r="U622" s="22">
        <f>IF($C622="","",IFERROR(IF(INDEX(Deals!$Y$2:$Y$355,MATCH($C622,Deals!$A$2:$A$355,0))=0,"",INDEX(Deals!$Y$2:$Y$355,MATCH($C622,Deals!$A$2:$A$355,0))),""))</f>
        <v/>
      </c>
      <c r="V622" s="35">
        <f>IF($U622="",DATE(1900,1,1),$N622)</f>
        <v/>
      </c>
      <c r="W622" s="35">
        <f>IF($U622="",DATE(2100,12,31),$U622)</f>
        <v/>
      </c>
      <c r="X622" s="32">
        <f>IF($U622="",$K622,$K622*$S622)</f>
        <v/>
      </c>
      <c r="Y622" s="35">
        <f>IF($U622="",DATE(2100,12,31),$U622+1)</f>
        <v/>
      </c>
      <c r="Z622" s="35">
        <f>IF($U622="",DATE(1900,1,1),$O622)</f>
        <v/>
      </c>
      <c r="AA622" s="32">
        <f>IF($U622="",0,$K622*$T622)</f>
        <v/>
      </c>
      <c r="AB622" s="21">
        <f>IF($C622="",0,IFERROR(INDEX(Deals!$AD$2:$AD$355,MATCH($C622,Deals!$A$2:$A$355,0)),0))</f>
        <v/>
      </c>
      <c r="AC622" s="32">
        <f>IF(Settings!$B$4="Yes",$I622*$AB622,$I622)</f>
        <v/>
      </c>
      <c r="AD622" s="22">
        <f>IF($C622="","",IFERROR(IF(INDEX(Deals!$AE$2:$AE$355,MATCH($C622,Deals!$A$2:$A$355,0))=0,"",INDEX(Deals!$AE$2:$AE$355,MATCH($C622,Deals!$A$2:$A$355,0))),""))</f>
        <v/>
      </c>
      <c r="AE622" s="22">
        <f>IF($C622="","",IFERROR(IF(INDEX(Deals!$AF$2:$AF$355,MATCH($C622,Deals!$A$2:$A$355,0))=0,"",INDEX(Deals!$AF$2:$AF$355,MATCH($C622,Deals!$A$2:$A$355,0))),""))</f>
        <v/>
      </c>
      <c r="AF622" s="35">
        <f>IF($AD622="",DATE(1900,1,1),$AD622)</f>
        <v/>
      </c>
      <c r="AG622" s="35">
        <f>IF($AE622="",DATE(2100,12,31),$AE622)</f>
        <v/>
      </c>
      <c r="AH622" s="22">
        <f>IF($C622="","",IFERROR(IF(INDEX(Deals!$AG$2:$AG$355,MATCH($C622,Deals!$A$2:$A$355,0))=0,"",INDEX(Deals!$AG$2:$AG$355,MATCH($C622,Deals!$A$2:$A$355,0))),""))</f>
        <v/>
      </c>
      <c r="AI622" s="35">
        <f>IF($AH622="",DATE(1900,1,1),$AF622)</f>
        <v/>
      </c>
      <c r="AJ622" s="35">
        <f>IF($AH622="",DATE(2100,12,31),$AH622)</f>
        <v/>
      </c>
      <c r="AK622" s="32">
        <f>IF($AH622="",$AC622,$AC622*$S622)</f>
        <v/>
      </c>
      <c r="AL622" s="35">
        <f>IF($AH622="",DATE(2100,12,31),$AH622+1)</f>
        <v/>
      </c>
      <c r="AM622" s="35">
        <f>IF($AH622="",DATE(1900,1,1),$AG622)</f>
        <v/>
      </c>
      <c r="AN622" s="32">
        <f>IF($AH622="",0,$AC622*$T622)</f>
        <v/>
      </c>
    </row>
    <row r="623">
      <c r="A623" s="28" t="inlineStr">
        <is>
          <t>Yiyi</t>
        </is>
      </c>
      <c r="B623" s="16">
        <f>IF($A623="","",IFERROR(INDEX(Roster!$B$2:$B$40,MATCH($A623,Roster!$A$2:$A$40,0)),"?"))</f>
        <v/>
      </c>
      <c r="C623" s="28" t="inlineStr">
        <is>
          <t>P2Ninedot_1</t>
        </is>
      </c>
      <c r="D623" s="16">
        <f>IF($C623="","",IFERROR(IF(INDEX(Deals!$C$2:$C$355,MATCH($C623,Deals!$A$2:$A$355,0))=0,"",INDEX(Deals!$C$2:$C$355,MATCH($C623,Deals!$A$2:$A$355,0))),"?"))</f>
        <v/>
      </c>
      <c r="E623" s="16">
        <f>IF($C623="","",IFERROR(INDEX(Deals!$F$2:$F$355,MATCH($C623,Deals!$A$2:$A$355,0)),"?"))</f>
        <v/>
      </c>
      <c r="F623" s="28" t="inlineStr">
        <is>
          <t>Renewable Specialist</t>
        </is>
      </c>
      <c r="G623" s="28" t="inlineStr">
        <is>
          <t>Active</t>
        </is>
      </c>
      <c r="H623" s="31" t="n"/>
      <c r="I623" s="32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1">
        <f>IF($C623="",0,IFERROR(INDEX(Deals!$H$2:$H$355,MATCH($C623,Deals!$A$2:$A$355,0)),0))</f>
        <v/>
      </c>
      <c r="K623" s="32">
        <f>IF(Settings!$B$4="Yes",$I623*$J623,$I623)</f>
        <v/>
      </c>
      <c r="L623" s="22">
        <f>IF($C623="","",IFERROR(IF(INDEX(Deals!$I$2:$I$355,MATCH($C623,Deals!$A$2:$A$355,0))=0,"",INDEX(Deals!$I$2:$I$355,MATCH($C623,Deals!$A$2:$A$355,0))),""))</f>
        <v/>
      </c>
      <c r="M623" s="22">
        <f>IF($C623="","",IFERROR(IF(INDEX(Deals!$J$2:$J$355,MATCH($C623,Deals!$A$2:$A$355,0))=0,"",INDEX(Deals!$J$2:$J$355,MATCH($C623,Deals!$A$2:$A$355,0))),""))</f>
        <v/>
      </c>
      <c r="N623" s="35">
        <f>IF($L623="",DATE(1900,1,1),$L623)</f>
        <v/>
      </c>
      <c r="O623" s="35">
        <f>IF($M623="",DATE(2100,12,31),$M623)</f>
        <v/>
      </c>
      <c r="P623" s="20" t="inlineStr"/>
      <c r="Q623" s="43" t="inlineStr"/>
      <c r="R623" s="16">
        <f>IF($C623="","",IFERROR(IF(INDEX(Deals!$U$2:$U$355,MATCH($C623,Deals!$A$2:$A$355,0))=0,"",INDEX(Deals!$U$2:$U$355,MATCH($C623,Deals!$A$2:$A$355,0))),""))</f>
        <v/>
      </c>
      <c r="S623" s="34">
        <f>IFERROR(IF($U623="",1,INDEX(Deals!$V$2:$V$355,MATCH($C623,Deals!$A$2:$A$355,0))),1)</f>
        <v/>
      </c>
      <c r="T623" s="34">
        <f>IFERROR(IF($U623="",1,INDEX(Deals!$W$2:$W$355,MATCH($C623,Deals!$A$2:$A$355,0))),1)</f>
        <v/>
      </c>
      <c r="U623" s="22">
        <f>IF($C623="","",IFERROR(IF(INDEX(Deals!$Y$2:$Y$355,MATCH($C623,Deals!$A$2:$A$355,0))=0,"",INDEX(Deals!$Y$2:$Y$355,MATCH($C623,Deals!$A$2:$A$355,0))),""))</f>
        <v/>
      </c>
      <c r="V623" s="35">
        <f>IF($U623="",DATE(1900,1,1),$N623)</f>
        <v/>
      </c>
      <c r="W623" s="35">
        <f>IF($U623="",DATE(2100,12,31),$U623)</f>
        <v/>
      </c>
      <c r="X623" s="32">
        <f>IF($U623="",$K623,$K623*$S623)</f>
        <v/>
      </c>
      <c r="Y623" s="35">
        <f>IF($U623="",DATE(2100,12,31),$U623+1)</f>
        <v/>
      </c>
      <c r="Z623" s="35">
        <f>IF($U623="",DATE(1900,1,1),$O623)</f>
        <v/>
      </c>
      <c r="AA623" s="32">
        <f>IF($U623="",0,$K623*$T623)</f>
        <v/>
      </c>
      <c r="AB623" s="21">
        <f>IF($C623="",0,IFERROR(INDEX(Deals!$AD$2:$AD$355,MATCH($C623,Deals!$A$2:$A$355,0)),0))</f>
        <v/>
      </c>
      <c r="AC623" s="32">
        <f>IF(Settings!$B$4="Yes",$I623*$AB623,$I623)</f>
        <v/>
      </c>
      <c r="AD623" s="22">
        <f>IF($C623="","",IFERROR(IF(INDEX(Deals!$AE$2:$AE$355,MATCH($C623,Deals!$A$2:$A$355,0))=0,"",INDEX(Deals!$AE$2:$AE$355,MATCH($C623,Deals!$A$2:$A$355,0))),""))</f>
        <v/>
      </c>
      <c r="AE623" s="22">
        <f>IF($C623="","",IFERROR(IF(INDEX(Deals!$AF$2:$AF$355,MATCH($C623,Deals!$A$2:$A$355,0))=0,"",INDEX(Deals!$AF$2:$AF$355,MATCH($C623,Deals!$A$2:$A$355,0))),""))</f>
        <v/>
      </c>
      <c r="AF623" s="35">
        <f>IF($AD623="",DATE(1900,1,1),$AD623)</f>
        <v/>
      </c>
      <c r="AG623" s="35">
        <f>IF($AE623="",DATE(2100,12,31),$AE623)</f>
        <v/>
      </c>
      <c r="AH623" s="22">
        <f>IF($C623="","",IFERROR(IF(INDEX(Deals!$AG$2:$AG$355,MATCH($C623,Deals!$A$2:$A$355,0))=0,"",INDEX(Deals!$AG$2:$AG$355,MATCH($C623,Deals!$A$2:$A$355,0))),""))</f>
        <v/>
      </c>
      <c r="AI623" s="35">
        <f>IF($AH623="",DATE(1900,1,1),$AF623)</f>
        <v/>
      </c>
      <c r="AJ623" s="35">
        <f>IF($AH623="",DATE(2100,12,31),$AH623)</f>
        <v/>
      </c>
      <c r="AK623" s="32">
        <f>IF($AH623="",$AC623,$AC623*$S623)</f>
        <v/>
      </c>
      <c r="AL623" s="35">
        <f>IF($AH623="",DATE(2100,12,31),$AH623+1)</f>
        <v/>
      </c>
      <c r="AM623" s="35">
        <f>IF($AH623="",DATE(1900,1,1),$AG623)</f>
        <v/>
      </c>
      <c r="AN623" s="32">
        <f>IF($AH623="",0,$AC623*$T623)</f>
        <v/>
      </c>
    </row>
    <row r="624">
      <c r="A624" s="28" t="inlineStr">
        <is>
          <t>Yiyi</t>
        </is>
      </c>
      <c r="B624" s="16">
        <f>IF($A624="","",IFERROR(INDEX(Roster!$B$2:$B$40,MATCH($A624,Roster!$A$2:$A$40,0)),"?"))</f>
        <v/>
      </c>
      <c r="C624" s="28" t="inlineStr">
        <is>
          <t>Palisade_1</t>
        </is>
      </c>
      <c r="D624" s="16">
        <f>IF($C624="","",IFERROR(IF(INDEX(Deals!$C$2:$C$355,MATCH($C624,Deals!$A$2:$A$355,0))=0,"",INDEX(Deals!$C$2:$C$355,MATCH($C624,Deals!$A$2:$A$355,0))),"?"))</f>
        <v/>
      </c>
      <c r="E624" s="16">
        <f>IF($C624="","",IFERROR(INDEX(Deals!$F$2:$F$355,MATCH($C624,Deals!$A$2:$A$355,0)),"?"))</f>
        <v/>
      </c>
      <c r="F624" s="28" t="inlineStr">
        <is>
          <t>Renewable Specialist</t>
        </is>
      </c>
      <c r="G624" s="28" t="inlineStr">
        <is>
          <t>Active</t>
        </is>
      </c>
      <c r="H624" s="31" t="n"/>
      <c r="I624" s="32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1">
        <f>IF($C624="",0,IFERROR(INDEX(Deals!$H$2:$H$355,MATCH($C624,Deals!$A$2:$A$355,0)),0))</f>
        <v/>
      </c>
      <c r="K624" s="32">
        <f>IF(Settings!$B$4="Yes",$I624*$J624,$I624)</f>
        <v/>
      </c>
      <c r="L624" s="22">
        <f>IF($C624="","",IFERROR(IF(INDEX(Deals!$I$2:$I$355,MATCH($C624,Deals!$A$2:$A$355,0))=0,"",INDEX(Deals!$I$2:$I$355,MATCH($C624,Deals!$A$2:$A$355,0))),""))</f>
        <v/>
      </c>
      <c r="M624" s="22">
        <f>IF($C624="","",IFERROR(IF(INDEX(Deals!$J$2:$J$355,MATCH($C624,Deals!$A$2:$A$355,0))=0,"",INDEX(Deals!$J$2:$J$355,MATCH($C624,Deals!$A$2:$A$355,0))),""))</f>
        <v/>
      </c>
      <c r="N624" s="35">
        <f>IF($L624="",DATE(1900,1,1),$L624)</f>
        <v/>
      </c>
      <c r="O624" s="35">
        <f>IF($M624="",DATE(2100,12,31),$M624)</f>
        <v/>
      </c>
      <c r="P624" s="20" t="inlineStr"/>
      <c r="Q624" s="43" t="inlineStr"/>
      <c r="R624" s="16">
        <f>IF($C624="","",IFERROR(IF(INDEX(Deals!$U$2:$U$355,MATCH($C624,Deals!$A$2:$A$355,0))=0,"",INDEX(Deals!$U$2:$U$355,MATCH($C624,Deals!$A$2:$A$355,0))),""))</f>
        <v/>
      </c>
      <c r="S624" s="34">
        <f>IFERROR(IF($U624="",1,INDEX(Deals!$V$2:$V$355,MATCH($C624,Deals!$A$2:$A$355,0))),1)</f>
        <v/>
      </c>
      <c r="T624" s="34">
        <f>IFERROR(IF($U624="",1,INDEX(Deals!$W$2:$W$355,MATCH($C624,Deals!$A$2:$A$355,0))),1)</f>
        <v/>
      </c>
      <c r="U624" s="22">
        <f>IF($C624="","",IFERROR(IF(INDEX(Deals!$Y$2:$Y$355,MATCH($C624,Deals!$A$2:$A$355,0))=0,"",INDEX(Deals!$Y$2:$Y$355,MATCH($C624,Deals!$A$2:$A$355,0))),""))</f>
        <v/>
      </c>
      <c r="V624" s="35">
        <f>IF($U624="",DATE(1900,1,1),$N624)</f>
        <v/>
      </c>
      <c r="W624" s="35">
        <f>IF($U624="",DATE(2100,12,31),$U624)</f>
        <v/>
      </c>
      <c r="X624" s="32">
        <f>IF($U624="",$K624,$K624*$S624)</f>
        <v/>
      </c>
      <c r="Y624" s="35">
        <f>IF($U624="",DATE(2100,12,31),$U624+1)</f>
        <v/>
      </c>
      <c r="Z624" s="35">
        <f>IF($U624="",DATE(1900,1,1),$O624)</f>
        <v/>
      </c>
      <c r="AA624" s="32">
        <f>IF($U624="",0,$K624*$T624)</f>
        <v/>
      </c>
      <c r="AB624" s="21">
        <f>IF($C624="",0,IFERROR(INDEX(Deals!$AD$2:$AD$355,MATCH($C624,Deals!$A$2:$A$355,0)),0))</f>
        <v/>
      </c>
      <c r="AC624" s="32">
        <f>IF(Settings!$B$4="Yes",$I624*$AB624,$I624)</f>
        <v/>
      </c>
      <c r="AD624" s="22">
        <f>IF($C624="","",IFERROR(IF(INDEX(Deals!$AE$2:$AE$355,MATCH($C624,Deals!$A$2:$A$355,0))=0,"",INDEX(Deals!$AE$2:$AE$355,MATCH($C624,Deals!$A$2:$A$355,0))),""))</f>
        <v/>
      </c>
      <c r="AE624" s="22">
        <f>IF($C624="","",IFERROR(IF(INDEX(Deals!$AF$2:$AF$355,MATCH($C624,Deals!$A$2:$A$355,0))=0,"",INDEX(Deals!$AF$2:$AF$355,MATCH($C624,Deals!$A$2:$A$355,0))),""))</f>
        <v/>
      </c>
      <c r="AF624" s="35">
        <f>IF($AD624="",DATE(1900,1,1),$AD624)</f>
        <v/>
      </c>
      <c r="AG624" s="35">
        <f>IF($AE624="",DATE(2100,12,31),$AE624)</f>
        <v/>
      </c>
      <c r="AH624" s="22">
        <f>IF($C624="","",IFERROR(IF(INDEX(Deals!$AG$2:$AG$355,MATCH($C624,Deals!$A$2:$A$355,0))=0,"",INDEX(Deals!$AG$2:$AG$355,MATCH($C624,Deals!$A$2:$A$355,0))),""))</f>
        <v/>
      </c>
      <c r="AI624" s="35">
        <f>IF($AH624="",DATE(1900,1,1),$AF624)</f>
        <v/>
      </c>
      <c r="AJ624" s="35">
        <f>IF($AH624="",DATE(2100,12,31),$AH624)</f>
        <v/>
      </c>
      <c r="AK624" s="32">
        <f>IF($AH624="",$AC624,$AC624*$S624)</f>
        <v/>
      </c>
      <c r="AL624" s="35">
        <f>IF($AH624="",DATE(2100,12,31),$AH624+1)</f>
        <v/>
      </c>
      <c r="AM624" s="35">
        <f>IF($AH624="",DATE(1900,1,1),$AG624)</f>
        <v/>
      </c>
      <c r="AN624" s="32">
        <f>IF($AH624="",0,$AC624*$T624)</f>
        <v/>
      </c>
    </row>
    <row r="625">
      <c r="A625" s="28" t="inlineStr">
        <is>
          <t>Yiyi</t>
        </is>
      </c>
      <c r="B625" s="16">
        <f>IF($A625="","",IFERROR(INDEX(Roster!$B$2:$B$40,MATCH($A625,Roster!$A$2:$A$40,0)),"?"))</f>
        <v/>
      </c>
      <c r="C625" s="28" t="inlineStr">
        <is>
          <t>Palmetto_3</t>
        </is>
      </c>
      <c r="D625" s="16">
        <f>IF($C625="","",IFERROR(IF(INDEX(Deals!$C$2:$C$355,MATCH($C625,Deals!$A$2:$A$355,0))=0,"",INDEX(Deals!$C$2:$C$355,MATCH($C625,Deals!$A$2:$A$355,0))),"?"))</f>
        <v/>
      </c>
      <c r="E625" s="16">
        <f>IF($C625="","",IFERROR(INDEX(Deals!$F$2:$F$355,MATCH($C625,Deals!$A$2:$A$355,0)),"?"))</f>
        <v/>
      </c>
      <c r="F625" s="28" t="inlineStr">
        <is>
          <t>Renewable Specialist</t>
        </is>
      </c>
      <c r="G625" s="28" t="inlineStr">
        <is>
          <t>Active</t>
        </is>
      </c>
      <c r="H625" s="31" t="n"/>
      <c r="I625" s="32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1">
        <f>IF($C625="",0,IFERROR(INDEX(Deals!$H$2:$H$355,MATCH($C625,Deals!$A$2:$A$355,0)),0))</f>
        <v/>
      </c>
      <c r="K625" s="32">
        <f>IF(Settings!$B$4="Yes",$I625*$J625,$I625)</f>
        <v/>
      </c>
      <c r="L625" s="22">
        <f>IF($C625="","",IFERROR(IF(INDEX(Deals!$I$2:$I$355,MATCH($C625,Deals!$A$2:$A$355,0))=0,"",INDEX(Deals!$I$2:$I$355,MATCH($C625,Deals!$A$2:$A$355,0))),""))</f>
        <v/>
      </c>
      <c r="M625" s="22">
        <f>IF($C625="","",IFERROR(IF(INDEX(Deals!$J$2:$J$355,MATCH($C625,Deals!$A$2:$A$355,0))=0,"",INDEX(Deals!$J$2:$J$355,MATCH($C625,Deals!$A$2:$A$355,0))),""))</f>
        <v/>
      </c>
      <c r="N625" s="35">
        <f>IF($L625="",DATE(1900,1,1),$L625)</f>
        <v/>
      </c>
      <c r="O625" s="35">
        <f>IF($M625="",DATE(2100,12,31),$M625)</f>
        <v/>
      </c>
      <c r="P625" s="20" t="inlineStr"/>
      <c r="Q625" s="43" t="inlineStr"/>
      <c r="R625" s="16">
        <f>IF($C625="","",IFERROR(IF(INDEX(Deals!$U$2:$U$355,MATCH($C625,Deals!$A$2:$A$355,0))=0,"",INDEX(Deals!$U$2:$U$355,MATCH($C625,Deals!$A$2:$A$355,0))),""))</f>
        <v/>
      </c>
      <c r="S625" s="34">
        <f>IFERROR(IF($U625="",1,INDEX(Deals!$V$2:$V$355,MATCH($C625,Deals!$A$2:$A$355,0))),1)</f>
        <v/>
      </c>
      <c r="T625" s="34">
        <f>IFERROR(IF($U625="",1,INDEX(Deals!$W$2:$W$355,MATCH($C625,Deals!$A$2:$A$355,0))),1)</f>
        <v/>
      </c>
      <c r="U625" s="22">
        <f>IF($C625="","",IFERROR(IF(INDEX(Deals!$Y$2:$Y$355,MATCH($C625,Deals!$A$2:$A$355,0))=0,"",INDEX(Deals!$Y$2:$Y$355,MATCH($C625,Deals!$A$2:$A$355,0))),""))</f>
        <v/>
      </c>
      <c r="V625" s="35">
        <f>IF($U625="",DATE(1900,1,1),$N625)</f>
        <v/>
      </c>
      <c r="W625" s="35">
        <f>IF($U625="",DATE(2100,12,31),$U625)</f>
        <v/>
      </c>
      <c r="X625" s="32">
        <f>IF($U625="",$K625,$K625*$S625)</f>
        <v/>
      </c>
      <c r="Y625" s="35">
        <f>IF($U625="",DATE(2100,12,31),$U625+1)</f>
        <v/>
      </c>
      <c r="Z625" s="35">
        <f>IF($U625="",DATE(1900,1,1),$O625)</f>
        <v/>
      </c>
      <c r="AA625" s="32">
        <f>IF($U625="",0,$K625*$T625)</f>
        <v/>
      </c>
      <c r="AB625" s="21">
        <f>IF($C625="",0,IFERROR(INDEX(Deals!$AD$2:$AD$355,MATCH($C625,Deals!$A$2:$A$355,0)),0))</f>
        <v/>
      </c>
      <c r="AC625" s="32">
        <f>IF(Settings!$B$4="Yes",$I625*$AB625,$I625)</f>
        <v/>
      </c>
      <c r="AD625" s="22">
        <f>IF($C625="","",IFERROR(IF(INDEX(Deals!$AE$2:$AE$355,MATCH($C625,Deals!$A$2:$A$355,0))=0,"",INDEX(Deals!$AE$2:$AE$355,MATCH($C625,Deals!$A$2:$A$355,0))),""))</f>
        <v/>
      </c>
      <c r="AE625" s="22">
        <f>IF($C625="","",IFERROR(IF(INDEX(Deals!$AF$2:$AF$355,MATCH($C625,Deals!$A$2:$A$355,0))=0,"",INDEX(Deals!$AF$2:$AF$355,MATCH($C625,Deals!$A$2:$A$355,0))),""))</f>
        <v/>
      </c>
      <c r="AF625" s="35">
        <f>IF($AD625="",DATE(1900,1,1),$AD625)</f>
        <v/>
      </c>
      <c r="AG625" s="35">
        <f>IF($AE625="",DATE(2100,12,31),$AE625)</f>
        <v/>
      </c>
      <c r="AH625" s="22">
        <f>IF($C625="","",IFERROR(IF(INDEX(Deals!$AG$2:$AG$355,MATCH($C625,Deals!$A$2:$A$355,0))=0,"",INDEX(Deals!$AG$2:$AG$355,MATCH($C625,Deals!$A$2:$A$355,0))),""))</f>
        <v/>
      </c>
      <c r="AI625" s="35">
        <f>IF($AH625="",DATE(1900,1,1),$AF625)</f>
        <v/>
      </c>
      <c r="AJ625" s="35">
        <f>IF($AH625="",DATE(2100,12,31),$AH625)</f>
        <v/>
      </c>
      <c r="AK625" s="32">
        <f>IF($AH625="",$AC625,$AC625*$S625)</f>
        <v/>
      </c>
      <c r="AL625" s="35">
        <f>IF($AH625="",DATE(2100,12,31),$AH625+1)</f>
        <v/>
      </c>
      <c r="AM625" s="35">
        <f>IF($AH625="",DATE(1900,1,1),$AG625)</f>
        <v/>
      </c>
      <c r="AN625" s="32">
        <f>IF($AH625="",0,$AC625*$T625)</f>
        <v/>
      </c>
    </row>
    <row r="626">
      <c r="A626" s="28" t="inlineStr">
        <is>
          <t>Yiyi</t>
        </is>
      </c>
      <c r="B626" s="16">
        <f>IF($A626="","",IFERROR(INDEX(Roster!$B$2:$B$40,MATCH($A626,Roster!$A$2:$A$40,0)),"?"))</f>
        <v/>
      </c>
      <c r="C626" s="28" t="inlineStr">
        <is>
          <t>Palo_1</t>
        </is>
      </c>
      <c r="D626" s="16">
        <f>IF($C626="","",IFERROR(IF(INDEX(Deals!$C$2:$C$355,MATCH($C626,Deals!$A$2:$A$355,0))=0,"",INDEX(Deals!$C$2:$C$355,MATCH($C626,Deals!$A$2:$A$355,0))),"?"))</f>
        <v/>
      </c>
      <c r="E626" s="16">
        <f>IF($C626="","",IFERROR(INDEX(Deals!$F$2:$F$355,MATCH($C626,Deals!$A$2:$A$355,0)),"?"))</f>
        <v/>
      </c>
      <c r="F626" s="28" t="inlineStr">
        <is>
          <t>Renewable Specialist</t>
        </is>
      </c>
      <c r="G626" s="28" t="inlineStr">
        <is>
          <t>Active</t>
        </is>
      </c>
      <c r="H626" s="31" t="n"/>
      <c r="I626" s="32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1">
        <f>IF($C626="",0,IFERROR(INDEX(Deals!$H$2:$H$355,MATCH($C626,Deals!$A$2:$A$355,0)),0))</f>
        <v/>
      </c>
      <c r="K626" s="32">
        <f>IF(Settings!$B$4="Yes",$I626*$J626,$I626)</f>
        <v/>
      </c>
      <c r="L626" s="22">
        <f>IF($C626="","",IFERROR(IF(INDEX(Deals!$I$2:$I$355,MATCH($C626,Deals!$A$2:$A$355,0))=0,"",INDEX(Deals!$I$2:$I$355,MATCH($C626,Deals!$A$2:$A$355,0))),""))</f>
        <v/>
      </c>
      <c r="M626" s="22">
        <f>IF($C626="","",IFERROR(IF(INDEX(Deals!$J$2:$J$355,MATCH($C626,Deals!$A$2:$A$355,0))=0,"",INDEX(Deals!$J$2:$J$355,MATCH($C626,Deals!$A$2:$A$355,0))),""))</f>
        <v/>
      </c>
      <c r="N626" s="35">
        <f>IF($L626="",DATE(1900,1,1),$L626)</f>
        <v/>
      </c>
      <c r="O626" s="35">
        <f>IF($M626="",DATE(2100,12,31),$M626)</f>
        <v/>
      </c>
      <c r="P626" s="20" t="inlineStr"/>
      <c r="Q626" s="43" t="inlineStr"/>
      <c r="R626" s="16">
        <f>IF($C626="","",IFERROR(IF(INDEX(Deals!$U$2:$U$355,MATCH($C626,Deals!$A$2:$A$355,0))=0,"",INDEX(Deals!$U$2:$U$355,MATCH($C626,Deals!$A$2:$A$355,0))),""))</f>
        <v/>
      </c>
      <c r="S626" s="34">
        <f>IFERROR(IF($U626="",1,INDEX(Deals!$V$2:$V$355,MATCH($C626,Deals!$A$2:$A$355,0))),1)</f>
        <v/>
      </c>
      <c r="T626" s="34">
        <f>IFERROR(IF($U626="",1,INDEX(Deals!$W$2:$W$355,MATCH($C626,Deals!$A$2:$A$355,0))),1)</f>
        <v/>
      </c>
      <c r="U626" s="22">
        <f>IF($C626="","",IFERROR(IF(INDEX(Deals!$Y$2:$Y$355,MATCH($C626,Deals!$A$2:$A$355,0))=0,"",INDEX(Deals!$Y$2:$Y$355,MATCH($C626,Deals!$A$2:$A$355,0))),""))</f>
        <v/>
      </c>
      <c r="V626" s="35">
        <f>IF($U626="",DATE(1900,1,1),$N626)</f>
        <v/>
      </c>
      <c r="W626" s="35">
        <f>IF($U626="",DATE(2100,12,31),$U626)</f>
        <v/>
      </c>
      <c r="X626" s="32">
        <f>IF($U626="",$K626,$K626*$S626)</f>
        <v/>
      </c>
      <c r="Y626" s="35">
        <f>IF($U626="",DATE(2100,12,31),$U626+1)</f>
        <v/>
      </c>
      <c r="Z626" s="35">
        <f>IF($U626="",DATE(1900,1,1),$O626)</f>
        <v/>
      </c>
      <c r="AA626" s="32">
        <f>IF($U626="",0,$K626*$T626)</f>
        <v/>
      </c>
      <c r="AB626" s="21">
        <f>IF($C626="",0,IFERROR(INDEX(Deals!$AD$2:$AD$355,MATCH($C626,Deals!$A$2:$A$355,0)),0))</f>
        <v/>
      </c>
      <c r="AC626" s="32">
        <f>IF(Settings!$B$4="Yes",$I626*$AB626,$I626)</f>
        <v/>
      </c>
      <c r="AD626" s="22">
        <f>IF($C626="","",IFERROR(IF(INDEX(Deals!$AE$2:$AE$355,MATCH($C626,Deals!$A$2:$A$355,0))=0,"",INDEX(Deals!$AE$2:$AE$355,MATCH($C626,Deals!$A$2:$A$355,0))),""))</f>
        <v/>
      </c>
      <c r="AE626" s="22">
        <f>IF($C626="","",IFERROR(IF(INDEX(Deals!$AF$2:$AF$355,MATCH($C626,Deals!$A$2:$A$355,0))=0,"",INDEX(Deals!$AF$2:$AF$355,MATCH($C626,Deals!$A$2:$A$355,0))),""))</f>
        <v/>
      </c>
      <c r="AF626" s="35">
        <f>IF($AD626="",DATE(1900,1,1),$AD626)</f>
        <v/>
      </c>
      <c r="AG626" s="35">
        <f>IF($AE626="",DATE(2100,12,31),$AE626)</f>
        <v/>
      </c>
      <c r="AH626" s="22">
        <f>IF($C626="","",IFERROR(IF(INDEX(Deals!$AG$2:$AG$355,MATCH($C626,Deals!$A$2:$A$355,0))=0,"",INDEX(Deals!$AG$2:$AG$355,MATCH($C626,Deals!$A$2:$A$355,0))),""))</f>
        <v/>
      </c>
      <c r="AI626" s="35">
        <f>IF($AH626="",DATE(1900,1,1),$AF626)</f>
        <v/>
      </c>
      <c r="AJ626" s="35">
        <f>IF($AH626="",DATE(2100,12,31),$AH626)</f>
        <v/>
      </c>
      <c r="AK626" s="32">
        <f>IF($AH626="",$AC626,$AC626*$S626)</f>
        <v/>
      </c>
      <c r="AL626" s="35">
        <f>IF($AH626="",DATE(2100,12,31),$AH626+1)</f>
        <v/>
      </c>
      <c r="AM626" s="35">
        <f>IF($AH626="",DATE(1900,1,1),$AG626)</f>
        <v/>
      </c>
      <c r="AN626" s="32">
        <f>IF($AH626="",0,$AC626*$T626)</f>
        <v/>
      </c>
    </row>
    <row r="627">
      <c r="A627" s="28" t="inlineStr">
        <is>
          <t>Yiyi</t>
        </is>
      </c>
      <c r="B627" s="16">
        <f>IF($A627="","",IFERROR(INDEX(Roster!$B$2:$B$40,MATCH($A627,Roster!$A$2:$A$40,0)),"?"))</f>
        <v/>
      </c>
      <c r="C627" s="28" t="inlineStr">
        <is>
          <t>Papago_1</t>
        </is>
      </c>
      <c r="D627" s="16">
        <f>IF($C627="","",IFERROR(IF(INDEX(Deals!$C$2:$C$355,MATCH($C627,Deals!$A$2:$A$355,0))=0,"",INDEX(Deals!$C$2:$C$355,MATCH($C627,Deals!$A$2:$A$355,0))),"?"))</f>
        <v/>
      </c>
      <c r="E627" s="16">
        <f>IF($C627="","",IFERROR(INDEX(Deals!$F$2:$F$355,MATCH($C627,Deals!$A$2:$A$355,0)),"?"))</f>
        <v/>
      </c>
      <c r="F627" s="28" t="inlineStr">
        <is>
          <t>Renewable Specialist</t>
        </is>
      </c>
      <c r="G627" s="28" t="inlineStr">
        <is>
          <t>Active</t>
        </is>
      </c>
      <c r="H627" s="31" t="n"/>
      <c r="I627" s="32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1">
        <f>IF($C627="",0,IFERROR(INDEX(Deals!$H$2:$H$355,MATCH($C627,Deals!$A$2:$A$355,0)),0))</f>
        <v/>
      </c>
      <c r="K627" s="32">
        <f>IF(Settings!$B$4="Yes",$I627*$J627,$I627)</f>
        <v/>
      </c>
      <c r="L627" s="22">
        <f>IF($C627="","",IFERROR(IF(INDEX(Deals!$I$2:$I$355,MATCH($C627,Deals!$A$2:$A$355,0))=0,"",INDEX(Deals!$I$2:$I$355,MATCH($C627,Deals!$A$2:$A$355,0))),""))</f>
        <v/>
      </c>
      <c r="M627" s="22">
        <f>IF($C627="","",IFERROR(IF(INDEX(Deals!$J$2:$J$355,MATCH($C627,Deals!$A$2:$A$355,0))=0,"",INDEX(Deals!$J$2:$J$355,MATCH($C627,Deals!$A$2:$A$355,0))),""))</f>
        <v/>
      </c>
      <c r="N627" s="35">
        <f>IF($L627="",DATE(1900,1,1),$L627)</f>
        <v/>
      </c>
      <c r="O627" s="35">
        <f>IF($M627="",DATE(2100,12,31),$M627)</f>
        <v/>
      </c>
      <c r="P627" s="20" t="inlineStr"/>
      <c r="Q627" s="43" t="inlineStr"/>
      <c r="R627" s="16">
        <f>IF($C627="","",IFERROR(IF(INDEX(Deals!$U$2:$U$355,MATCH($C627,Deals!$A$2:$A$355,0))=0,"",INDEX(Deals!$U$2:$U$355,MATCH($C627,Deals!$A$2:$A$355,0))),""))</f>
        <v/>
      </c>
      <c r="S627" s="34">
        <f>IFERROR(IF($U627="",1,INDEX(Deals!$V$2:$V$355,MATCH($C627,Deals!$A$2:$A$355,0))),1)</f>
        <v/>
      </c>
      <c r="T627" s="34">
        <f>IFERROR(IF($U627="",1,INDEX(Deals!$W$2:$W$355,MATCH($C627,Deals!$A$2:$A$355,0))),1)</f>
        <v/>
      </c>
      <c r="U627" s="22">
        <f>IF($C627="","",IFERROR(IF(INDEX(Deals!$Y$2:$Y$355,MATCH($C627,Deals!$A$2:$A$355,0))=0,"",INDEX(Deals!$Y$2:$Y$355,MATCH($C627,Deals!$A$2:$A$355,0))),""))</f>
        <v/>
      </c>
      <c r="V627" s="35">
        <f>IF($U627="",DATE(1900,1,1),$N627)</f>
        <v/>
      </c>
      <c r="W627" s="35">
        <f>IF($U627="",DATE(2100,12,31),$U627)</f>
        <v/>
      </c>
      <c r="X627" s="32">
        <f>IF($U627="",$K627,$K627*$S627)</f>
        <v/>
      </c>
      <c r="Y627" s="35">
        <f>IF($U627="",DATE(2100,12,31),$U627+1)</f>
        <v/>
      </c>
      <c r="Z627" s="35">
        <f>IF($U627="",DATE(1900,1,1),$O627)</f>
        <v/>
      </c>
      <c r="AA627" s="32">
        <f>IF($U627="",0,$K627*$T627)</f>
        <v/>
      </c>
      <c r="AB627" s="21">
        <f>IF($C627="",0,IFERROR(INDEX(Deals!$AD$2:$AD$355,MATCH($C627,Deals!$A$2:$A$355,0)),0))</f>
        <v/>
      </c>
      <c r="AC627" s="32">
        <f>IF(Settings!$B$4="Yes",$I627*$AB627,$I627)</f>
        <v/>
      </c>
      <c r="AD627" s="22">
        <f>IF($C627="","",IFERROR(IF(INDEX(Deals!$AE$2:$AE$355,MATCH($C627,Deals!$A$2:$A$355,0))=0,"",INDEX(Deals!$AE$2:$AE$355,MATCH($C627,Deals!$A$2:$A$355,0))),""))</f>
        <v/>
      </c>
      <c r="AE627" s="22">
        <f>IF($C627="","",IFERROR(IF(INDEX(Deals!$AF$2:$AF$355,MATCH($C627,Deals!$A$2:$A$355,0))=0,"",INDEX(Deals!$AF$2:$AF$355,MATCH($C627,Deals!$A$2:$A$355,0))),""))</f>
        <v/>
      </c>
      <c r="AF627" s="35">
        <f>IF($AD627="",DATE(1900,1,1),$AD627)</f>
        <v/>
      </c>
      <c r="AG627" s="35">
        <f>IF($AE627="",DATE(2100,12,31),$AE627)</f>
        <v/>
      </c>
      <c r="AH627" s="22">
        <f>IF($C627="","",IFERROR(IF(INDEX(Deals!$AG$2:$AG$355,MATCH($C627,Deals!$A$2:$A$355,0))=0,"",INDEX(Deals!$AG$2:$AG$355,MATCH($C627,Deals!$A$2:$A$355,0))),""))</f>
        <v/>
      </c>
      <c r="AI627" s="35">
        <f>IF($AH627="",DATE(1900,1,1),$AF627)</f>
        <v/>
      </c>
      <c r="AJ627" s="35">
        <f>IF($AH627="",DATE(2100,12,31),$AH627)</f>
        <v/>
      </c>
      <c r="AK627" s="32">
        <f>IF($AH627="",$AC627,$AC627*$S627)</f>
        <v/>
      </c>
      <c r="AL627" s="35">
        <f>IF($AH627="",DATE(2100,12,31),$AH627+1)</f>
        <v/>
      </c>
      <c r="AM627" s="35">
        <f>IF($AH627="",DATE(1900,1,1),$AG627)</f>
        <v/>
      </c>
      <c r="AN627" s="32">
        <f>IF($AH627="",0,$AC627*$T627)</f>
        <v/>
      </c>
    </row>
    <row r="628">
      <c r="A628" s="28" t="inlineStr">
        <is>
          <t>Yiyi</t>
        </is>
      </c>
      <c r="B628" s="16">
        <f>IF($A628="","",IFERROR(INDEX(Roster!$B$2:$B$40,MATCH($A628,Roster!$A$2:$A$40,0)),"?"))</f>
        <v/>
      </c>
      <c r="C628" s="28" t="inlineStr">
        <is>
          <t>PearlX_1</t>
        </is>
      </c>
      <c r="D628" s="16">
        <f>IF($C628="","",IFERROR(IF(INDEX(Deals!$C$2:$C$355,MATCH($C628,Deals!$A$2:$A$355,0))=0,"",INDEX(Deals!$C$2:$C$355,MATCH($C628,Deals!$A$2:$A$355,0))),"?"))</f>
        <v/>
      </c>
      <c r="E628" s="16">
        <f>IF($C628="","",IFERROR(INDEX(Deals!$F$2:$F$355,MATCH($C628,Deals!$A$2:$A$355,0)),"?"))</f>
        <v/>
      </c>
      <c r="F628" s="28" t="inlineStr">
        <is>
          <t>Renewable Specialist</t>
        </is>
      </c>
      <c r="G628" s="28" t="inlineStr">
        <is>
          <t>Active</t>
        </is>
      </c>
      <c r="H628" s="31" t="n"/>
      <c r="I628" s="32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1">
        <f>IF($C628="",0,IFERROR(INDEX(Deals!$H$2:$H$355,MATCH($C628,Deals!$A$2:$A$355,0)),0))</f>
        <v/>
      </c>
      <c r="K628" s="32">
        <f>IF(Settings!$B$4="Yes",$I628*$J628,$I628)</f>
        <v/>
      </c>
      <c r="L628" s="22">
        <f>IF($C628="","",IFERROR(IF(INDEX(Deals!$I$2:$I$355,MATCH($C628,Deals!$A$2:$A$355,0))=0,"",INDEX(Deals!$I$2:$I$355,MATCH($C628,Deals!$A$2:$A$355,0))),""))</f>
        <v/>
      </c>
      <c r="M628" s="22">
        <f>IF($C628="","",IFERROR(IF(INDEX(Deals!$J$2:$J$355,MATCH($C628,Deals!$A$2:$A$355,0))=0,"",INDEX(Deals!$J$2:$J$355,MATCH($C628,Deals!$A$2:$A$355,0))),""))</f>
        <v/>
      </c>
      <c r="N628" s="35">
        <f>IF($L628="",DATE(1900,1,1),$L628)</f>
        <v/>
      </c>
      <c r="O628" s="35">
        <f>IF($M628="",DATE(2100,12,31),$M628)</f>
        <v/>
      </c>
      <c r="P628" s="20" t="inlineStr"/>
      <c r="Q628" s="43" t="inlineStr"/>
      <c r="R628" s="16">
        <f>IF($C628="","",IFERROR(IF(INDEX(Deals!$U$2:$U$355,MATCH($C628,Deals!$A$2:$A$355,0))=0,"",INDEX(Deals!$U$2:$U$355,MATCH($C628,Deals!$A$2:$A$355,0))),""))</f>
        <v/>
      </c>
      <c r="S628" s="34">
        <f>IFERROR(IF($U628="",1,INDEX(Deals!$V$2:$V$355,MATCH($C628,Deals!$A$2:$A$355,0))),1)</f>
        <v/>
      </c>
      <c r="T628" s="34">
        <f>IFERROR(IF($U628="",1,INDEX(Deals!$W$2:$W$355,MATCH($C628,Deals!$A$2:$A$355,0))),1)</f>
        <v/>
      </c>
      <c r="U628" s="22">
        <f>IF($C628="","",IFERROR(IF(INDEX(Deals!$Y$2:$Y$355,MATCH($C628,Deals!$A$2:$A$355,0))=0,"",INDEX(Deals!$Y$2:$Y$355,MATCH($C628,Deals!$A$2:$A$355,0))),""))</f>
        <v/>
      </c>
      <c r="V628" s="35">
        <f>IF($U628="",DATE(1900,1,1),$N628)</f>
        <v/>
      </c>
      <c r="W628" s="35">
        <f>IF($U628="",DATE(2100,12,31),$U628)</f>
        <v/>
      </c>
      <c r="X628" s="32">
        <f>IF($U628="",$K628,$K628*$S628)</f>
        <v/>
      </c>
      <c r="Y628" s="35">
        <f>IF($U628="",DATE(2100,12,31),$U628+1)</f>
        <v/>
      </c>
      <c r="Z628" s="35">
        <f>IF($U628="",DATE(1900,1,1),$O628)</f>
        <v/>
      </c>
      <c r="AA628" s="32">
        <f>IF($U628="",0,$K628*$T628)</f>
        <v/>
      </c>
      <c r="AB628" s="21">
        <f>IF($C628="",0,IFERROR(INDEX(Deals!$AD$2:$AD$355,MATCH($C628,Deals!$A$2:$A$355,0)),0))</f>
        <v/>
      </c>
      <c r="AC628" s="32">
        <f>IF(Settings!$B$4="Yes",$I628*$AB628,$I628)</f>
        <v/>
      </c>
      <c r="AD628" s="22">
        <f>IF($C628="","",IFERROR(IF(INDEX(Deals!$AE$2:$AE$355,MATCH($C628,Deals!$A$2:$A$355,0))=0,"",INDEX(Deals!$AE$2:$AE$355,MATCH($C628,Deals!$A$2:$A$355,0))),""))</f>
        <v/>
      </c>
      <c r="AE628" s="22">
        <f>IF($C628="","",IFERROR(IF(INDEX(Deals!$AF$2:$AF$355,MATCH($C628,Deals!$A$2:$A$355,0))=0,"",INDEX(Deals!$AF$2:$AF$355,MATCH($C628,Deals!$A$2:$A$355,0))),""))</f>
        <v/>
      </c>
      <c r="AF628" s="35">
        <f>IF($AD628="",DATE(1900,1,1),$AD628)</f>
        <v/>
      </c>
      <c r="AG628" s="35">
        <f>IF($AE628="",DATE(2100,12,31),$AE628)</f>
        <v/>
      </c>
      <c r="AH628" s="22">
        <f>IF($C628="","",IFERROR(IF(INDEX(Deals!$AG$2:$AG$355,MATCH($C628,Deals!$A$2:$A$355,0))=0,"",INDEX(Deals!$AG$2:$AG$355,MATCH($C628,Deals!$A$2:$A$355,0))),""))</f>
        <v/>
      </c>
      <c r="AI628" s="35">
        <f>IF($AH628="",DATE(1900,1,1),$AF628)</f>
        <v/>
      </c>
      <c r="AJ628" s="35">
        <f>IF($AH628="",DATE(2100,12,31),$AH628)</f>
        <v/>
      </c>
      <c r="AK628" s="32">
        <f>IF($AH628="",$AC628,$AC628*$S628)</f>
        <v/>
      </c>
      <c r="AL628" s="35">
        <f>IF($AH628="",DATE(2100,12,31),$AH628+1)</f>
        <v/>
      </c>
      <c r="AM628" s="35">
        <f>IF($AH628="",DATE(1900,1,1),$AG628)</f>
        <v/>
      </c>
      <c r="AN628" s="32">
        <f>IF($AH628="",0,$AC628*$T628)</f>
        <v/>
      </c>
    </row>
    <row r="629">
      <c r="A629" s="28" t="inlineStr">
        <is>
          <t>Yiyi</t>
        </is>
      </c>
      <c r="B629" s="16">
        <f>IF($A629="","",IFERROR(INDEX(Roster!$B$2:$B$40,MATCH($A629,Roster!$A$2:$A$40,0)),"?"))</f>
        <v/>
      </c>
      <c r="C629" s="28" t="inlineStr">
        <is>
          <t>Pine_1</t>
        </is>
      </c>
      <c r="D629" s="16">
        <f>IF($C629="","",IFERROR(IF(INDEX(Deals!$C$2:$C$355,MATCH($C629,Deals!$A$2:$A$355,0))=0,"",INDEX(Deals!$C$2:$C$355,MATCH($C629,Deals!$A$2:$A$355,0))),"?"))</f>
        <v/>
      </c>
      <c r="E629" s="16">
        <f>IF($C629="","",IFERROR(INDEX(Deals!$F$2:$F$355,MATCH($C629,Deals!$A$2:$A$355,0)),"?"))</f>
        <v/>
      </c>
      <c r="F629" s="28" t="inlineStr">
        <is>
          <t>Renewable Specialist</t>
        </is>
      </c>
      <c r="G629" s="28" t="inlineStr">
        <is>
          <t>Active</t>
        </is>
      </c>
      <c r="H629" s="31" t="n"/>
      <c r="I629" s="32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1">
        <f>IF($C629="",0,IFERROR(INDEX(Deals!$H$2:$H$355,MATCH($C629,Deals!$A$2:$A$355,0)),0))</f>
        <v/>
      </c>
      <c r="K629" s="32">
        <f>IF(Settings!$B$4="Yes",$I629*$J629,$I629)</f>
        <v/>
      </c>
      <c r="L629" s="22">
        <f>IF($C629="","",IFERROR(IF(INDEX(Deals!$I$2:$I$355,MATCH($C629,Deals!$A$2:$A$355,0))=0,"",INDEX(Deals!$I$2:$I$355,MATCH($C629,Deals!$A$2:$A$355,0))),""))</f>
        <v/>
      </c>
      <c r="M629" s="22">
        <f>IF($C629="","",IFERROR(IF(INDEX(Deals!$J$2:$J$355,MATCH($C629,Deals!$A$2:$A$355,0))=0,"",INDEX(Deals!$J$2:$J$355,MATCH($C629,Deals!$A$2:$A$355,0))),""))</f>
        <v/>
      </c>
      <c r="N629" s="35">
        <f>IF($L629="",DATE(1900,1,1),$L629)</f>
        <v/>
      </c>
      <c r="O629" s="35">
        <f>IF($M629="",DATE(2100,12,31),$M629)</f>
        <v/>
      </c>
      <c r="P629" s="20" t="inlineStr"/>
      <c r="Q629" s="43" t="inlineStr"/>
      <c r="R629" s="16">
        <f>IF($C629="","",IFERROR(IF(INDEX(Deals!$U$2:$U$355,MATCH($C629,Deals!$A$2:$A$355,0))=0,"",INDEX(Deals!$U$2:$U$355,MATCH($C629,Deals!$A$2:$A$355,0))),""))</f>
        <v/>
      </c>
      <c r="S629" s="34">
        <f>IFERROR(IF($U629="",1,INDEX(Deals!$V$2:$V$355,MATCH($C629,Deals!$A$2:$A$355,0))),1)</f>
        <v/>
      </c>
      <c r="T629" s="34">
        <f>IFERROR(IF($U629="",1,INDEX(Deals!$W$2:$W$355,MATCH($C629,Deals!$A$2:$A$355,0))),1)</f>
        <v/>
      </c>
      <c r="U629" s="22">
        <f>IF($C629="","",IFERROR(IF(INDEX(Deals!$Y$2:$Y$355,MATCH($C629,Deals!$A$2:$A$355,0))=0,"",INDEX(Deals!$Y$2:$Y$355,MATCH($C629,Deals!$A$2:$A$355,0))),""))</f>
        <v/>
      </c>
      <c r="V629" s="35">
        <f>IF($U629="",DATE(1900,1,1),$N629)</f>
        <v/>
      </c>
      <c r="W629" s="35">
        <f>IF($U629="",DATE(2100,12,31),$U629)</f>
        <v/>
      </c>
      <c r="X629" s="32">
        <f>IF($U629="",$K629,$K629*$S629)</f>
        <v/>
      </c>
      <c r="Y629" s="35">
        <f>IF($U629="",DATE(2100,12,31),$U629+1)</f>
        <v/>
      </c>
      <c r="Z629" s="35">
        <f>IF($U629="",DATE(1900,1,1),$O629)</f>
        <v/>
      </c>
      <c r="AA629" s="32">
        <f>IF($U629="",0,$K629*$T629)</f>
        <v/>
      </c>
      <c r="AB629" s="21">
        <f>IF($C629="",0,IFERROR(INDEX(Deals!$AD$2:$AD$355,MATCH($C629,Deals!$A$2:$A$355,0)),0))</f>
        <v/>
      </c>
      <c r="AC629" s="32">
        <f>IF(Settings!$B$4="Yes",$I629*$AB629,$I629)</f>
        <v/>
      </c>
      <c r="AD629" s="22">
        <f>IF($C629="","",IFERROR(IF(INDEX(Deals!$AE$2:$AE$355,MATCH($C629,Deals!$A$2:$A$355,0))=0,"",INDEX(Deals!$AE$2:$AE$355,MATCH($C629,Deals!$A$2:$A$355,0))),""))</f>
        <v/>
      </c>
      <c r="AE629" s="22">
        <f>IF($C629="","",IFERROR(IF(INDEX(Deals!$AF$2:$AF$355,MATCH($C629,Deals!$A$2:$A$355,0))=0,"",INDEX(Deals!$AF$2:$AF$355,MATCH($C629,Deals!$A$2:$A$355,0))),""))</f>
        <v/>
      </c>
      <c r="AF629" s="35">
        <f>IF($AD629="",DATE(1900,1,1),$AD629)</f>
        <v/>
      </c>
      <c r="AG629" s="35">
        <f>IF($AE629="",DATE(2100,12,31),$AE629)</f>
        <v/>
      </c>
      <c r="AH629" s="22">
        <f>IF($C629="","",IFERROR(IF(INDEX(Deals!$AG$2:$AG$355,MATCH($C629,Deals!$A$2:$A$355,0))=0,"",INDEX(Deals!$AG$2:$AG$355,MATCH($C629,Deals!$A$2:$A$355,0))),""))</f>
        <v/>
      </c>
      <c r="AI629" s="35">
        <f>IF($AH629="",DATE(1900,1,1),$AF629)</f>
        <v/>
      </c>
      <c r="AJ629" s="35">
        <f>IF($AH629="",DATE(2100,12,31),$AH629)</f>
        <v/>
      </c>
      <c r="AK629" s="32">
        <f>IF($AH629="",$AC629,$AC629*$S629)</f>
        <v/>
      </c>
      <c r="AL629" s="35">
        <f>IF($AH629="",DATE(2100,12,31),$AH629+1)</f>
        <v/>
      </c>
      <c r="AM629" s="35">
        <f>IF($AH629="",DATE(1900,1,1),$AG629)</f>
        <v/>
      </c>
      <c r="AN629" s="32">
        <f>IF($AH629="",0,$AC629*$T629)</f>
        <v/>
      </c>
    </row>
    <row r="630">
      <c r="A630" s="28" t="inlineStr">
        <is>
          <t>Yiyi</t>
        </is>
      </c>
      <c r="B630" s="16">
        <f>IF($A630="","",IFERROR(INDEX(Roster!$B$2:$B$40,MATCH($A630,Roster!$A$2:$A$40,0)),"?"))</f>
        <v/>
      </c>
      <c r="C630" s="28" t="inlineStr">
        <is>
          <t>Pinecreek_1</t>
        </is>
      </c>
      <c r="D630" s="16">
        <f>IF($C630="","",IFERROR(IF(INDEX(Deals!$C$2:$C$355,MATCH($C630,Deals!$A$2:$A$355,0))=0,"",INDEX(Deals!$C$2:$C$355,MATCH($C630,Deals!$A$2:$A$355,0))),"?"))</f>
        <v/>
      </c>
      <c r="E630" s="16">
        <f>IF($C630="","",IFERROR(INDEX(Deals!$F$2:$F$355,MATCH($C630,Deals!$A$2:$A$355,0)),"?"))</f>
        <v/>
      </c>
      <c r="F630" s="28" t="inlineStr">
        <is>
          <t>Renewable Specialist</t>
        </is>
      </c>
      <c r="G630" s="28" t="inlineStr">
        <is>
          <t>Active</t>
        </is>
      </c>
      <c r="H630" s="31" t="n"/>
      <c r="I630" s="32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1">
        <f>IF($C630="",0,IFERROR(INDEX(Deals!$H$2:$H$355,MATCH($C630,Deals!$A$2:$A$355,0)),0))</f>
        <v/>
      </c>
      <c r="K630" s="32">
        <f>IF(Settings!$B$4="Yes",$I630*$J630,$I630)</f>
        <v/>
      </c>
      <c r="L630" s="22">
        <f>IF($C630="","",IFERROR(IF(INDEX(Deals!$I$2:$I$355,MATCH($C630,Deals!$A$2:$A$355,0))=0,"",INDEX(Deals!$I$2:$I$355,MATCH($C630,Deals!$A$2:$A$355,0))),""))</f>
        <v/>
      </c>
      <c r="M630" s="22">
        <f>IF($C630="","",IFERROR(IF(INDEX(Deals!$J$2:$J$355,MATCH($C630,Deals!$A$2:$A$355,0))=0,"",INDEX(Deals!$J$2:$J$355,MATCH($C630,Deals!$A$2:$A$355,0))),""))</f>
        <v/>
      </c>
      <c r="N630" s="35">
        <f>IF($L630="",DATE(1900,1,1),$L630)</f>
        <v/>
      </c>
      <c r="O630" s="35">
        <f>IF($M630="",DATE(2100,12,31),$M630)</f>
        <v/>
      </c>
      <c r="P630" s="20" t="inlineStr"/>
      <c r="Q630" s="43" t="inlineStr"/>
      <c r="R630" s="16">
        <f>IF($C630="","",IFERROR(IF(INDEX(Deals!$U$2:$U$355,MATCH($C630,Deals!$A$2:$A$355,0))=0,"",INDEX(Deals!$U$2:$U$355,MATCH($C630,Deals!$A$2:$A$355,0))),""))</f>
        <v/>
      </c>
      <c r="S630" s="34">
        <f>IFERROR(IF($U630="",1,INDEX(Deals!$V$2:$V$355,MATCH($C630,Deals!$A$2:$A$355,0))),1)</f>
        <v/>
      </c>
      <c r="T630" s="34">
        <f>IFERROR(IF($U630="",1,INDEX(Deals!$W$2:$W$355,MATCH($C630,Deals!$A$2:$A$355,0))),1)</f>
        <v/>
      </c>
      <c r="U630" s="22">
        <f>IF($C630="","",IFERROR(IF(INDEX(Deals!$Y$2:$Y$355,MATCH($C630,Deals!$A$2:$A$355,0))=0,"",INDEX(Deals!$Y$2:$Y$355,MATCH($C630,Deals!$A$2:$A$355,0))),""))</f>
        <v/>
      </c>
      <c r="V630" s="35">
        <f>IF($U630="",DATE(1900,1,1),$N630)</f>
        <v/>
      </c>
      <c r="W630" s="35">
        <f>IF($U630="",DATE(2100,12,31),$U630)</f>
        <v/>
      </c>
      <c r="X630" s="32">
        <f>IF($U630="",$K630,$K630*$S630)</f>
        <v/>
      </c>
      <c r="Y630" s="35">
        <f>IF($U630="",DATE(2100,12,31),$U630+1)</f>
        <v/>
      </c>
      <c r="Z630" s="35">
        <f>IF($U630="",DATE(1900,1,1),$O630)</f>
        <v/>
      </c>
      <c r="AA630" s="32">
        <f>IF($U630="",0,$K630*$T630)</f>
        <v/>
      </c>
      <c r="AB630" s="21">
        <f>IF($C630="",0,IFERROR(INDEX(Deals!$AD$2:$AD$355,MATCH($C630,Deals!$A$2:$A$355,0)),0))</f>
        <v/>
      </c>
      <c r="AC630" s="32">
        <f>IF(Settings!$B$4="Yes",$I630*$AB630,$I630)</f>
        <v/>
      </c>
      <c r="AD630" s="22">
        <f>IF($C630="","",IFERROR(IF(INDEX(Deals!$AE$2:$AE$355,MATCH($C630,Deals!$A$2:$A$355,0))=0,"",INDEX(Deals!$AE$2:$AE$355,MATCH($C630,Deals!$A$2:$A$355,0))),""))</f>
        <v/>
      </c>
      <c r="AE630" s="22">
        <f>IF($C630="","",IFERROR(IF(INDEX(Deals!$AF$2:$AF$355,MATCH($C630,Deals!$A$2:$A$355,0))=0,"",INDEX(Deals!$AF$2:$AF$355,MATCH($C630,Deals!$A$2:$A$355,0))),""))</f>
        <v/>
      </c>
      <c r="AF630" s="35">
        <f>IF($AD630="",DATE(1900,1,1),$AD630)</f>
        <v/>
      </c>
      <c r="AG630" s="35">
        <f>IF($AE630="",DATE(2100,12,31),$AE630)</f>
        <v/>
      </c>
      <c r="AH630" s="22">
        <f>IF($C630="","",IFERROR(IF(INDEX(Deals!$AG$2:$AG$355,MATCH($C630,Deals!$A$2:$A$355,0))=0,"",INDEX(Deals!$AG$2:$AG$355,MATCH($C630,Deals!$A$2:$A$355,0))),""))</f>
        <v/>
      </c>
      <c r="AI630" s="35">
        <f>IF($AH630="",DATE(1900,1,1),$AF630)</f>
        <v/>
      </c>
      <c r="AJ630" s="35">
        <f>IF($AH630="",DATE(2100,12,31),$AH630)</f>
        <v/>
      </c>
      <c r="AK630" s="32">
        <f>IF($AH630="",$AC630,$AC630*$S630)</f>
        <v/>
      </c>
      <c r="AL630" s="35">
        <f>IF($AH630="",DATE(2100,12,31),$AH630+1)</f>
        <v/>
      </c>
      <c r="AM630" s="35">
        <f>IF($AH630="",DATE(1900,1,1),$AG630)</f>
        <v/>
      </c>
      <c r="AN630" s="32">
        <f>IF($AH630="",0,$AC630*$T630)</f>
        <v/>
      </c>
    </row>
    <row r="631">
      <c r="A631" s="28" t="inlineStr">
        <is>
          <t>Yiyi</t>
        </is>
      </c>
      <c r="B631" s="16">
        <f>IF($A631="","",IFERROR(INDEX(Roster!$B$2:$B$40,MATCH($A631,Roster!$A$2:$A$40,0)),"?"))</f>
        <v/>
      </c>
      <c r="C631" s="28" t="inlineStr">
        <is>
          <t>Realty_1</t>
        </is>
      </c>
      <c r="D631" s="16">
        <f>IF($C631="","",IFERROR(IF(INDEX(Deals!$C$2:$C$355,MATCH($C631,Deals!$A$2:$A$355,0))=0,"",INDEX(Deals!$C$2:$C$355,MATCH($C631,Deals!$A$2:$A$355,0))),"?"))</f>
        <v/>
      </c>
      <c r="E631" s="16">
        <f>IF($C631="","",IFERROR(INDEX(Deals!$F$2:$F$355,MATCH($C631,Deals!$A$2:$A$355,0)),"?"))</f>
        <v/>
      </c>
      <c r="F631" s="28" t="inlineStr">
        <is>
          <t>Renewable Specialist</t>
        </is>
      </c>
      <c r="G631" s="28" t="inlineStr">
        <is>
          <t>Active</t>
        </is>
      </c>
      <c r="H631" s="31" t="n"/>
      <c r="I631" s="32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1">
        <f>IF($C631="",0,IFERROR(INDEX(Deals!$H$2:$H$355,MATCH($C631,Deals!$A$2:$A$355,0)),0))</f>
        <v/>
      </c>
      <c r="K631" s="32">
        <f>IF(Settings!$B$4="Yes",$I631*$J631,$I631)</f>
        <v/>
      </c>
      <c r="L631" s="22">
        <f>IF($C631="","",IFERROR(IF(INDEX(Deals!$I$2:$I$355,MATCH($C631,Deals!$A$2:$A$355,0))=0,"",INDEX(Deals!$I$2:$I$355,MATCH($C631,Deals!$A$2:$A$355,0))),""))</f>
        <v/>
      </c>
      <c r="M631" s="22">
        <f>IF($C631="","",IFERROR(IF(INDEX(Deals!$J$2:$J$355,MATCH($C631,Deals!$A$2:$A$355,0))=0,"",INDEX(Deals!$J$2:$J$355,MATCH($C631,Deals!$A$2:$A$355,0))),""))</f>
        <v/>
      </c>
      <c r="N631" s="35">
        <f>IF($L631="",DATE(1900,1,1),$L631)</f>
        <v/>
      </c>
      <c r="O631" s="35">
        <f>IF($M631="",DATE(2100,12,31),$M631)</f>
        <v/>
      </c>
      <c r="P631" s="20" t="inlineStr"/>
      <c r="Q631" s="43" t="inlineStr"/>
      <c r="R631" s="16">
        <f>IF($C631="","",IFERROR(IF(INDEX(Deals!$U$2:$U$355,MATCH($C631,Deals!$A$2:$A$355,0))=0,"",INDEX(Deals!$U$2:$U$355,MATCH($C631,Deals!$A$2:$A$355,0))),""))</f>
        <v/>
      </c>
      <c r="S631" s="34">
        <f>IFERROR(IF($U631="",1,INDEX(Deals!$V$2:$V$355,MATCH($C631,Deals!$A$2:$A$355,0))),1)</f>
        <v/>
      </c>
      <c r="T631" s="34">
        <f>IFERROR(IF($U631="",1,INDEX(Deals!$W$2:$W$355,MATCH($C631,Deals!$A$2:$A$355,0))),1)</f>
        <v/>
      </c>
      <c r="U631" s="22">
        <f>IF($C631="","",IFERROR(IF(INDEX(Deals!$Y$2:$Y$355,MATCH($C631,Deals!$A$2:$A$355,0))=0,"",INDEX(Deals!$Y$2:$Y$355,MATCH($C631,Deals!$A$2:$A$355,0))),""))</f>
        <v/>
      </c>
      <c r="V631" s="35">
        <f>IF($U631="",DATE(1900,1,1),$N631)</f>
        <v/>
      </c>
      <c r="W631" s="35">
        <f>IF($U631="",DATE(2100,12,31),$U631)</f>
        <v/>
      </c>
      <c r="X631" s="32">
        <f>IF($U631="",$K631,$K631*$S631)</f>
        <v/>
      </c>
      <c r="Y631" s="35">
        <f>IF($U631="",DATE(2100,12,31),$U631+1)</f>
        <v/>
      </c>
      <c r="Z631" s="35">
        <f>IF($U631="",DATE(1900,1,1),$O631)</f>
        <v/>
      </c>
      <c r="AA631" s="32">
        <f>IF($U631="",0,$K631*$T631)</f>
        <v/>
      </c>
      <c r="AB631" s="21">
        <f>IF($C631="",0,IFERROR(INDEX(Deals!$AD$2:$AD$355,MATCH($C631,Deals!$A$2:$A$355,0)),0))</f>
        <v/>
      </c>
      <c r="AC631" s="32">
        <f>IF(Settings!$B$4="Yes",$I631*$AB631,$I631)</f>
        <v/>
      </c>
      <c r="AD631" s="22">
        <f>IF($C631="","",IFERROR(IF(INDEX(Deals!$AE$2:$AE$355,MATCH($C631,Deals!$A$2:$A$355,0))=0,"",INDEX(Deals!$AE$2:$AE$355,MATCH($C631,Deals!$A$2:$A$355,0))),""))</f>
        <v/>
      </c>
      <c r="AE631" s="22">
        <f>IF($C631="","",IFERROR(IF(INDEX(Deals!$AF$2:$AF$355,MATCH($C631,Deals!$A$2:$A$355,0))=0,"",INDEX(Deals!$AF$2:$AF$355,MATCH($C631,Deals!$A$2:$A$355,0))),""))</f>
        <v/>
      </c>
      <c r="AF631" s="35">
        <f>IF($AD631="",DATE(1900,1,1),$AD631)</f>
        <v/>
      </c>
      <c r="AG631" s="35">
        <f>IF($AE631="",DATE(2100,12,31),$AE631)</f>
        <v/>
      </c>
      <c r="AH631" s="22">
        <f>IF($C631="","",IFERROR(IF(INDEX(Deals!$AG$2:$AG$355,MATCH($C631,Deals!$A$2:$A$355,0))=0,"",INDEX(Deals!$AG$2:$AG$355,MATCH($C631,Deals!$A$2:$A$355,0))),""))</f>
        <v/>
      </c>
      <c r="AI631" s="35">
        <f>IF($AH631="",DATE(1900,1,1),$AF631)</f>
        <v/>
      </c>
      <c r="AJ631" s="35">
        <f>IF($AH631="",DATE(2100,12,31),$AH631)</f>
        <v/>
      </c>
      <c r="AK631" s="32">
        <f>IF($AH631="",$AC631,$AC631*$S631)</f>
        <v/>
      </c>
      <c r="AL631" s="35">
        <f>IF($AH631="",DATE(2100,12,31),$AH631+1)</f>
        <v/>
      </c>
      <c r="AM631" s="35">
        <f>IF($AH631="",DATE(1900,1,1),$AG631)</f>
        <v/>
      </c>
      <c r="AN631" s="32">
        <f>IF($AH631="",0,$AC631*$T631)</f>
        <v/>
      </c>
    </row>
    <row r="632">
      <c r="A632" s="28" t="inlineStr">
        <is>
          <t>Yiyi</t>
        </is>
      </c>
      <c r="B632" s="16">
        <f>IF($A632="","",IFERROR(INDEX(Roster!$B$2:$B$40,MATCH($A632,Roster!$A$2:$A$40,0)),"?"))</f>
        <v/>
      </c>
      <c r="C632" s="28" t="inlineStr">
        <is>
          <t>Rocky_1</t>
        </is>
      </c>
      <c r="D632" s="16">
        <f>IF($C632="","",IFERROR(IF(INDEX(Deals!$C$2:$C$355,MATCH($C632,Deals!$A$2:$A$355,0))=0,"",INDEX(Deals!$C$2:$C$355,MATCH($C632,Deals!$A$2:$A$355,0))),"?"))</f>
        <v/>
      </c>
      <c r="E632" s="16">
        <f>IF($C632="","",IFERROR(INDEX(Deals!$F$2:$F$355,MATCH($C632,Deals!$A$2:$A$355,0)),"?"))</f>
        <v/>
      </c>
      <c r="F632" s="28" t="inlineStr">
        <is>
          <t>Renewable Specialist</t>
        </is>
      </c>
      <c r="G632" s="28" t="inlineStr">
        <is>
          <t>Active</t>
        </is>
      </c>
      <c r="H632" s="31" t="n"/>
      <c r="I632" s="32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1">
        <f>IF($C632="",0,IFERROR(INDEX(Deals!$H$2:$H$355,MATCH($C632,Deals!$A$2:$A$355,0)),0))</f>
        <v/>
      </c>
      <c r="K632" s="32">
        <f>IF(Settings!$B$4="Yes",$I632*$J632,$I632)</f>
        <v/>
      </c>
      <c r="L632" s="22">
        <f>IF($C632="","",IFERROR(IF(INDEX(Deals!$I$2:$I$355,MATCH($C632,Deals!$A$2:$A$355,0))=0,"",INDEX(Deals!$I$2:$I$355,MATCH($C632,Deals!$A$2:$A$355,0))),""))</f>
        <v/>
      </c>
      <c r="M632" s="22">
        <f>IF($C632="","",IFERROR(IF(INDEX(Deals!$J$2:$J$355,MATCH($C632,Deals!$A$2:$A$355,0))=0,"",INDEX(Deals!$J$2:$J$355,MATCH($C632,Deals!$A$2:$A$355,0))),""))</f>
        <v/>
      </c>
      <c r="N632" s="35">
        <f>IF($L632="",DATE(1900,1,1),$L632)</f>
        <v/>
      </c>
      <c r="O632" s="35">
        <f>IF($M632="",DATE(2100,12,31),$M632)</f>
        <v/>
      </c>
      <c r="P632" s="20" t="inlineStr"/>
      <c r="Q632" s="43" t="inlineStr"/>
      <c r="R632" s="16">
        <f>IF($C632="","",IFERROR(IF(INDEX(Deals!$U$2:$U$355,MATCH($C632,Deals!$A$2:$A$355,0))=0,"",INDEX(Deals!$U$2:$U$355,MATCH($C632,Deals!$A$2:$A$355,0))),""))</f>
        <v/>
      </c>
      <c r="S632" s="34">
        <f>IFERROR(IF($U632="",1,INDEX(Deals!$V$2:$V$355,MATCH($C632,Deals!$A$2:$A$355,0))),1)</f>
        <v/>
      </c>
      <c r="T632" s="34">
        <f>IFERROR(IF($U632="",1,INDEX(Deals!$W$2:$W$355,MATCH($C632,Deals!$A$2:$A$355,0))),1)</f>
        <v/>
      </c>
      <c r="U632" s="22">
        <f>IF($C632="","",IFERROR(IF(INDEX(Deals!$Y$2:$Y$355,MATCH($C632,Deals!$A$2:$A$355,0))=0,"",INDEX(Deals!$Y$2:$Y$355,MATCH($C632,Deals!$A$2:$A$355,0))),""))</f>
        <v/>
      </c>
      <c r="V632" s="35">
        <f>IF($U632="",DATE(1900,1,1),$N632)</f>
        <v/>
      </c>
      <c r="W632" s="35">
        <f>IF($U632="",DATE(2100,12,31),$U632)</f>
        <v/>
      </c>
      <c r="X632" s="32">
        <f>IF($U632="",$K632,$K632*$S632)</f>
        <v/>
      </c>
      <c r="Y632" s="35">
        <f>IF($U632="",DATE(2100,12,31),$U632+1)</f>
        <v/>
      </c>
      <c r="Z632" s="35">
        <f>IF($U632="",DATE(1900,1,1),$O632)</f>
        <v/>
      </c>
      <c r="AA632" s="32">
        <f>IF($U632="",0,$K632*$T632)</f>
        <v/>
      </c>
      <c r="AB632" s="21">
        <f>IF($C632="",0,IFERROR(INDEX(Deals!$AD$2:$AD$355,MATCH($C632,Deals!$A$2:$A$355,0)),0))</f>
        <v/>
      </c>
      <c r="AC632" s="32">
        <f>IF(Settings!$B$4="Yes",$I632*$AB632,$I632)</f>
        <v/>
      </c>
      <c r="AD632" s="22">
        <f>IF($C632="","",IFERROR(IF(INDEX(Deals!$AE$2:$AE$355,MATCH($C632,Deals!$A$2:$A$355,0))=0,"",INDEX(Deals!$AE$2:$AE$355,MATCH($C632,Deals!$A$2:$A$355,0))),""))</f>
        <v/>
      </c>
      <c r="AE632" s="22">
        <f>IF($C632="","",IFERROR(IF(INDEX(Deals!$AF$2:$AF$355,MATCH($C632,Deals!$A$2:$A$355,0))=0,"",INDEX(Deals!$AF$2:$AF$355,MATCH($C632,Deals!$A$2:$A$355,0))),""))</f>
        <v/>
      </c>
      <c r="AF632" s="35">
        <f>IF($AD632="",DATE(1900,1,1),$AD632)</f>
        <v/>
      </c>
      <c r="AG632" s="35">
        <f>IF($AE632="",DATE(2100,12,31),$AE632)</f>
        <v/>
      </c>
      <c r="AH632" s="22">
        <f>IF($C632="","",IFERROR(IF(INDEX(Deals!$AG$2:$AG$355,MATCH($C632,Deals!$A$2:$A$355,0))=0,"",INDEX(Deals!$AG$2:$AG$355,MATCH($C632,Deals!$A$2:$A$355,0))),""))</f>
        <v/>
      </c>
      <c r="AI632" s="35">
        <f>IF($AH632="",DATE(1900,1,1),$AF632)</f>
        <v/>
      </c>
      <c r="AJ632" s="35">
        <f>IF($AH632="",DATE(2100,12,31),$AH632)</f>
        <v/>
      </c>
      <c r="AK632" s="32">
        <f>IF($AH632="",$AC632,$AC632*$S632)</f>
        <v/>
      </c>
      <c r="AL632" s="35">
        <f>IF($AH632="",DATE(2100,12,31),$AH632+1)</f>
        <v/>
      </c>
      <c r="AM632" s="35">
        <f>IF($AH632="",DATE(1900,1,1),$AG632)</f>
        <v/>
      </c>
      <c r="AN632" s="32">
        <f>IF($AH632="",0,$AC632*$T632)</f>
        <v/>
      </c>
    </row>
    <row r="633">
      <c r="A633" s="28" t="inlineStr">
        <is>
          <t>Yiyi</t>
        </is>
      </c>
      <c r="B633" s="16">
        <f>IF($A633="","",IFERROR(INDEX(Roster!$B$2:$B$40,MATCH($A633,Roster!$A$2:$A$40,0)),"?"))</f>
        <v/>
      </c>
      <c r="C633" s="28" t="inlineStr">
        <is>
          <t>Sierra_3</t>
        </is>
      </c>
      <c r="D633" s="16">
        <f>IF($C633="","",IFERROR(IF(INDEX(Deals!$C$2:$C$355,MATCH($C633,Deals!$A$2:$A$355,0))=0,"",INDEX(Deals!$C$2:$C$355,MATCH($C633,Deals!$A$2:$A$355,0))),"?"))</f>
        <v/>
      </c>
      <c r="E633" s="16">
        <f>IF($C633="","",IFERROR(INDEX(Deals!$F$2:$F$355,MATCH($C633,Deals!$A$2:$A$355,0)),"?"))</f>
        <v/>
      </c>
      <c r="F633" s="28" t="inlineStr">
        <is>
          <t>Renewable Specialist</t>
        </is>
      </c>
      <c r="G633" s="28" t="inlineStr">
        <is>
          <t>Active</t>
        </is>
      </c>
      <c r="H633" s="31" t="n"/>
      <c r="I633" s="32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1">
        <f>IF($C633="",0,IFERROR(INDEX(Deals!$H$2:$H$355,MATCH($C633,Deals!$A$2:$A$355,0)),0))</f>
        <v/>
      </c>
      <c r="K633" s="32">
        <f>IF(Settings!$B$4="Yes",$I633*$J633,$I633)</f>
        <v/>
      </c>
      <c r="L633" s="22">
        <f>IF($C633="","",IFERROR(IF(INDEX(Deals!$I$2:$I$355,MATCH($C633,Deals!$A$2:$A$355,0))=0,"",INDEX(Deals!$I$2:$I$355,MATCH($C633,Deals!$A$2:$A$355,0))),""))</f>
        <v/>
      </c>
      <c r="M633" s="22">
        <f>IF($C633="","",IFERROR(IF(INDEX(Deals!$J$2:$J$355,MATCH($C633,Deals!$A$2:$A$355,0))=0,"",INDEX(Deals!$J$2:$J$355,MATCH($C633,Deals!$A$2:$A$355,0))),""))</f>
        <v/>
      </c>
      <c r="N633" s="35">
        <f>IF($L633="",DATE(1900,1,1),$L633)</f>
        <v/>
      </c>
      <c r="O633" s="35">
        <f>IF($M633="",DATE(2100,12,31),$M633)</f>
        <v/>
      </c>
      <c r="P633" s="20" t="inlineStr"/>
      <c r="Q633" s="43" t="inlineStr"/>
      <c r="R633" s="16">
        <f>IF($C633="","",IFERROR(IF(INDEX(Deals!$U$2:$U$355,MATCH($C633,Deals!$A$2:$A$355,0))=0,"",INDEX(Deals!$U$2:$U$355,MATCH($C633,Deals!$A$2:$A$355,0))),""))</f>
        <v/>
      </c>
      <c r="S633" s="34">
        <f>IFERROR(IF($U633="",1,INDEX(Deals!$V$2:$V$355,MATCH($C633,Deals!$A$2:$A$355,0))),1)</f>
        <v/>
      </c>
      <c r="T633" s="34">
        <f>IFERROR(IF($U633="",1,INDEX(Deals!$W$2:$W$355,MATCH($C633,Deals!$A$2:$A$355,0))),1)</f>
        <v/>
      </c>
      <c r="U633" s="22">
        <f>IF($C633="","",IFERROR(IF(INDEX(Deals!$Y$2:$Y$355,MATCH($C633,Deals!$A$2:$A$355,0))=0,"",INDEX(Deals!$Y$2:$Y$355,MATCH($C633,Deals!$A$2:$A$355,0))),""))</f>
        <v/>
      </c>
      <c r="V633" s="35">
        <f>IF($U633="",DATE(1900,1,1),$N633)</f>
        <v/>
      </c>
      <c r="W633" s="35">
        <f>IF($U633="",DATE(2100,12,31),$U633)</f>
        <v/>
      </c>
      <c r="X633" s="32">
        <f>IF($U633="",$K633,$K633*$S633)</f>
        <v/>
      </c>
      <c r="Y633" s="35">
        <f>IF($U633="",DATE(2100,12,31),$U633+1)</f>
        <v/>
      </c>
      <c r="Z633" s="35">
        <f>IF($U633="",DATE(1900,1,1),$O633)</f>
        <v/>
      </c>
      <c r="AA633" s="32">
        <f>IF($U633="",0,$K633*$T633)</f>
        <v/>
      </c>
      <c r="AB633" s="21">
        <f>IF($C633="",0,IFERROR(INDEX(Deals!$AD$2:$AD$355,MATCH($C633,Deals!$A$2:$A$355,0)),0))</f>
        <v/>
      </c>
      <c r="AC633" s="32">
        <f>IF(Settings!$B$4="Yes",$I633*$AB633,$I633)</f>
        <v/>
      </c>
      <c r="AD633" s="22">
        <f>IF($C633="","",IFERROR(IF(INDEX(Deals!$AE$2:$AE$355,MATCH($C633,Deals!$A$2:$A$355,0))=0,"",INDEX(Deals!$AE$2:$AE$355,MATCH($C633,Deals!$A$2:$A$355,0))),""))</f>
        <v/>
      </c>
      <c r="AE633" s="22">
        <f>IF($C633="","",IFERROR(IF(INDEX(Deals!$AF$2:$AF$355,MATCH($C633,Deals!$A$2:$A$355,0))=0,"",INDEX(Deals!$AF$2:$AF$355,MATCH($C633,Deals!$A$2:$A$355,0))),""))</f>
        <v/>
      </c>
      <c r="AF633" s="35">
        <f>IF($AD633="",DATE(1900,1,1),$AD633)</f>
        <v/>
      </c>
      <c r="AG633" s="35">
        <f>IF($AE633="",DATE(2100,12,31),$AE633)</f>
        <v/>
      </c>
      <c r="AH633" s="22">
        <f>IF($C633="","",IFERROR(IF(INDEX(Deals!$AG$2:$AG$355,MATCH($C633,Deals!$A$2:$A$355,0))=0,"",INDEX(Deals!$AG$2:$AG$355,MATCH($C633,Deals!$A$2:$A$355,0))),""))</f>
        <v/>
      </c>
      <c r="AI633" s="35">
        <f>IF($AH633="",DATE(1900,1,1),$AF633)</f>
        <v/>
      </c>
      <c r="AJ633" s="35">
        <f>IF($AH633="",DATE(2100,12,31),$AH633)</f>
        <v/>
      </c>
      <c r="AK633" s="32">
        <f>IF($AH633="",$AC633,$AC633*$S633)</f>
        <v/>
      </c>
      <c r="AL633" s="35">
        <f>IF($AH633="",DATE(2100,12,31),$AH633+1)</f>
        <v/>
      </c>
      <c r="AM633" s="35">
        <f>IF($AH633="",DATE(1900,1,1),$AG633)</f>
        <v/>
      </c>
      <c r="AN633" s="32">
        <f>IF($AH633="",0,$AC633*$T633)</f>
        <v/>
      </c>
    </row>
    <row r="634">
      <c r="A634" s="28" t="inlineStr">
        <is>
          <t>Yiyi</t>
        </is>
      </c>
      <c r="B634" s="16">
        <f>IF($A634="","",IFERROR(INDEX(Roster!$B$2:$B$40,MATCH($A634,Roster!$A$2:$A$40,0)),"?"))</f>
        <v/>
      </c>
      <c r="C634" s="28" t="inlineStr">
        <is>
          <t>SolarEdge DC Adder_1</t>
        </is>
      </c>
      <c r="D634" s="16">
        <f>IF($C634="","",IFERROR(IF(INDEX(Deals!$C$2:$C$355,MATCH($C634,Deals!$A$2:$A$355,0))=0,"",INDEX(Deals!$C$2:$C$355,MATCH($C634,Deals!$A$2:$A$355,0))),"?"))</f>
        <v/>
      </c>
      <c r="E634" s="16">
        <f>IF($C634="","",IFERROR(INDEX(Deals!$F$2:$F$355,MATCH($C634,Deals!$A$2:$A$355,0)),"?"))</f>
        <v/>
      </c>
      <c r="F634" s="28" t="inlineStr">
        <is>
          <t>Renewable Specialist</t>
        </is>
      </c>
      <c r="G634" s="28" t="inlineStr">
        <is>
          <t>Active</t>
        </is>
      </c>
      <c r="H634" s="31" t="n"/>
      <c r="I634" s="32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1">
        <f>IF($C634="",0,IFERROR(INDEX(Deals!$H$2:$H$355,MATCH($C634,Deals!$A$2:$A$355,0)),0))</f>
        <v/>
      </c>
      <c r="K634" s="32">
        <f>IF(Settings!$B$4="Yes",$I634*$J634,$I634)</f>
        <v/>
      </c>
      <c r="L634" s="22">
        <f>IF($C634="","",IFERROR(IF(INDEX(Deals!$I$2:$I$355,MATCH($C634,Deals!$A$2:$A$355,0))=0,"",INDEX(Deals!$I$2:$I$355,MATCH($C634,Deals!$A$2:$A$355,0))),""))</f>
        <v/>
      </c>
      <c r="M634" s="22">
        <f>IF($C634="","",IFERROR(IF(INDEX(Deals!$J$2:$J$355,MATCH($C634,Deals!$A$2:$A$355,0))=0,"",INDEX(Deals!$J$2:$J$355,MATCH($C634,Deals!$A$2:$A$355,0))),""))</f>
        <v/>
      </c>
      <c r="N634" s="35">
        <f>IF($L634="",DATE(1900,1,1),$L634)</f>
        <v/>
      </c>
      <c r="O634" s="35">
        <f>IF($M634="",DATE(2100,12,31),$M634)</f>
        <v/>
      </c>
      <c r="P634" s="20" t="inlineStr"/>
      <c r="Q634" s="43" t="inlineStr"/>
      <c r="R634" s="16">
        <f>IF($C634="","",IFERROR(IF(INDEX(Deals!$U$2:$U$355,MATCH($C634,Deals!$A$2:$A$355,0))=0,"",INDEX(Deals!$U$2:$U$355,MATCH($C634,Deals!$A$2:$A$355,0))),""))</f>
        <v/>
      </c>
      <c r="S634" s="34">
        <f>IFERROR(IF($U634="",1,INDEX(Deals!$V$2:$V$355,MATCH($C634,Deals!$A$2:$A$355,0))),1)</f>
        <v/>
      </c>
      <c r="T634" s="34">
        <f>IFERROR(IF($U634="",1,INDEX(Deals!$W$2:$W$355,MATCH($C634,Deals!$A$2:$A$355,0))),1)</f>
        <v/>
      </c>
      <c r="U634" s="22">
        <f>IF($C634="","",IFERROR(IF(INDEX(Deals!$Y$2:$Y$355,MATCH($C634,Deals!$A$2:$A$355,0))=0,"",INDEX(Deals!$Y$2:$Y$355,MATCH($C634,Deals!$A$2:$A$355,0))),""))</f>
        <v/>
      </c>
      <c r="V634" s="35">
        <f>IF($U634="",DATE(1900,1,1),$N634)</f>
        <v/>
      </c>
      <c r="W634" s="35">
        <f>IF($U634="",DATE(2100,12,31),$U634)</f>
        <v/>
      </c>
      <c r="X634" s="32">
        <f>IF($U634="",$K634,$K634*$S634)</f>
        <v/>
      </c>
      <c r="Y634" s="35">
        <f>IF($U634="",DATE(2100,12,31),$U634+1)</f>
        <v/>
      </c>
      <c r="Z634" s="35">
        <f>IF($U634="",DATE(1900,1,1),$O634)</f>
        <v/>
      </c>
      <c r="AA634" s="32">
        <f>IF($U634="",0,$K634*$T634)</f>
        <v/>
      </c>
      <c r="AB634" s="21">
        <f>IF($C634="",0,IFERROR(INDEX(Deals!$AD$2:$AD$355,MATCH($C634,Deals!$A$2:$A$355,0)),0))</f>
        <v/>
      </c>
      <c r="AC634" s="32">
        <f>IF(Settings!$B$4="Yes",$I634*$AB634,$I634)</f>
        <v/>
      </c>
      <c r="AD634" s="22">
        <f>IF($C634="","",IFERROR(IF(INDEX(Deals!$AE$2:$AE$355,MATCH($C634,Deals!$A$2:$A$355,0))=0,"",INDEX(Deals!$AE$2:$AE$355,MATCH($C634,Deals!$A$2:$A$355,0))),""))</f>
        <v/>
      </c>
      <c r="AE634" s="22">
        <f>IF($C634="","",IFERROR(IF(INDEX(Deals!$AF$2:$AF$355,MATCH($C634,Deals!$A$2:$A$355,0))=0,"",INDEX(Deals!$AF$2:$AF$355,MATCH($C634,Deals!$A$2:$A$355,0))),""))</f>
        <v/>
      </c>
      <c r="AF634" s="35">
        <f>IF($AD634="",DATE(1900,1,1),$AD634)</f>
        <v/>
      </c>
      <c r="AG634" s="35">
        <f>IF($AE634="",DATE(2100,12,31),$AE634)</f>
        <v/>
      </c>
      <c r="AH634" s="22">
        <f>IF($C634="","",IFERROR(IF(INDEX(Deals!$AG$2:$AG$355,MATCH($C634,Deals!$A$2:$A$355,0))=0,"",INDEX(Deals!$AG$2:$AG$355,MATCH($C634,Deals!$A$2:$A$355,0))),""))</f>
        <v/>
      </c>
      <c r="AI634" s="35">
        <f>IF($AH634="",DATE(1900,1,1),$AF634)</f>
        <v/>
      </c>
      <c r="AJ634" s="35">
        <f>IF($AH634="",DATE(2100,12,31),$AH634)</f>
        <v/>
      </c>
      <c r="AK634" s="32">
        <f>IF($AH634="",$AC634,$AC634*$S634)</f>
        <v/>
      </c>
      <c r="AL634" s="35">
        <f>IF($AH634="",DATE(2100,12,31),$AH634+1)</f>
        <v/>
      </c>
      <c r="AM634" s="35">
        <f>IF($AH634="",DATE(1900,1,1),$AG634)</f>
        <v/>
      </c>
      <c r="AN634" s="32">
        <f>IF($AH634="",0,$AC634*$T634)</f>
        <v/>
      </c>
    </row>
    <row r="635">
      <c r="A635" s="28" t="inlineStr">
        <is>
          <t>Yiyi</t>
        </is>
      </c>
      <c r="B635" s="16">
        <f>IF($A635="","",IFERROR(INDEX(Roster!$B$2:$B$40,MATCH($A635,Roster!$A$2:$A$40,0)),"?"))</f>
        <v/>
      </c>
      <c r="C635" s="28" t="inlineStr">
        <is>
          <t>SolRite_1</t>
        </is>
      </c>
      <c r="D635" s="16">
        <f>IF($C635="","",IFERROR(IF(INDEX(Deals!$C$2:$C$355,MATCH($C635,Deals!$A$2:$A$355,0))=0,"",INDEX(Deals!$C$2:$C$355,MATCH($C635,Deals!$A$2:$A$355,0))),"?"))</f>
        <v/>
      </c>
      <c r="E635" s="16">
        <f>IF($C635="","",IFERROR(INDEX(Deals!$F$2:$F$355,MATCH($C635,Deals!$A$2:$A$355,0)),"?"))</f>
        <v/>
      </c>
      <c r="F635" s="28" t="inlineStr">
        <is>
          <t>Renewable Specialist</t>
        </is>
      </c>
      <c r="G635" s="28" t="inlineStr">
        <is>
          <t>Active</t>
        </is>
      </c>
      <c r="H635" s="31" t="n"/>
      <c r="I635" s="32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1">
        <f>IF($C635="",0,IFERROR(INDEX(Deals!$H$2:$H$355,MATCH($C635,Deals!$A$2:$A$355,0)),0))</f>
        <v/>
      </c>
      <c r="K635" s="32">
        <f>IF(Settings!$B$4="Yes",$I635*$J635,$I635)</f>
        <v/>
      </c>
      <c r="L635" s="22">
        <f>IF($C635="","",IFERROR(IF(INDEX(Deals!$I$2:$I$355,MATCH($C635,Deals!$A$2:$A$355,0))=0,"",INDEX(Deals!$I$2:$I$355,MATCH($C635,Deals!$A$2:$A$355,0))),""))</f>
        <v/>
      </c>
      <c r="M635" s="22">
        <f>IF($C635="","",IFERROR(IF(INDEX(Deals!$J$2:$J$355,MATCH($C635,Deals!$A$2:$A$355,0))=0,"",INDEX(Deals!$J$2:$J$355,MATCH($C635,Deals!$A$2:$A$355,0))),""))</f>
        <v/>
      </c>
      <c r="N635" s="35">
        <f>IF($L635="",DATE(1900,1,1),$L635)</f>
        <v/>
      </c>
      <c r="O635" s="35">
        <f>IF($M635="",DATE(2100,12,31),$M635)</f>
        <v/>
      </c>
      <c r="P635" s="20" t="inlineStr"/>
      <c r="Q635" s="43" t="inlineStr"/>
      <c r="R635" s="16">
        <f>IF($C635="","",IFERROR(IF(INDEX(Deals!$U$2:$U$355,MATCH($C635,Deals!$A$2:$A$355,0))=0,"",INDEX(Deals!$U$2:$U$355,MATCH($C635,Deals!$A$2:$A$355,0))),""))</f>
        <v/>
      </c>
      <c r="S635" s="34">
        <f>IFERROR(IF($U635="",1,INDEX(Deals!$V$2:$V$355,MATCH($C635,Deals!$A$2:$A$355,0))),1)</f>
        <v/>
      </c>
      <c r="T635" s="34">
        <f>IFERROR(IF($U635="",1,INDEX(Deals!$W$2:$W$355,MATCH($C635,Deals!$A$2:$A$355,0))),1)</f>
        <v/>
      </c>
      <c r="U635" s="22">
        <f>IF($C635="","",IFERROR(IF(INDEX(Deals!$Y$2:$Y$355,MATCH($C635,Deals!$A$2:$A$355,0))=0,"",INDEX(Deals!$Y$2:$Y$355,MATCH($C635,Deals!$A$2:$A$355,0))),""))</f>
        <v/>
      </c>
      <c r="V635" s="35">
        <f>IF($U635="",DATE(1900,1,1),$N635)</f>
        <v/>
      </c>
      <c r="W635" s="35">
        <f>IF($U635="",DATE(2100,12,31),$U635)</f>
        <v/>
      </c>
      <c r="X635" s="32">
        <f>IF($U635="",$K635,$K635*$S635)</f>
        <v/>
      </c>
      <c r="Y635" s="35">
        <f>IF($U635="",DATE(2100,12,31),$U635+1)</f>
        <v/>
      </c>
      <c r="Z635" s="35">
        <f>IF($U635="",DATE(1900,1,1),$O635)</f>
        <v/>
      </c>
      <c r="AA635" s="32">
        <f>IF($U635="",0,$K635*$T635)</f>
        <v/>
      </c>
      <c r="AB635" s="21">
        <f>IF($C635="",0,IFERROR(INDEX(Deals!$AD$2:$AD$355,MATCH($C635,Deals!$A$2:$A$355,0)),0))</f>
        <v/>
      </c>
      <c r="AC635" s="32">
        <f>IF(Settings!$B$4="Yes",$I635*$AB635,$I635)</f>
        <v/>
      </c>
      <c r="AD635" s="22">
        <f>IF($C635="","",IFERROR(IF(INDEX(Deals!$AE$2:$AE$355,MATCH($C635,Deals!$A$2:$A$355,0))=0,"",INDEX(Deals!$AE$2:$AE$355,MATCH($C635,Deals!$A$2:$A$355,0))),""))</f>
        <v/>
      </c>
      <c r="AE635" s="22">
        <f>IF($C635="","",IFERROR(IF(INDEX(Deals!$AF$2:$AF$355,MATCH($C635,Deals!$A$2:$A$355,0))=0,"",INDEX(Deals!$AF$2:$AF$355,MATCH($C635,Deals!$A$2:$A$355,0))),""))</f>
        <v/>
      </c>
      <c r="AF635" s="35">
        <f>IF($AD635="",DATE(1900,1,1),$AD635)</f>
        <v/>
      </c>
      <c r="AG635" s="35">
        <f>IF($AE635="",DATE(2100,12,31),$AE635)</f>
        <v/>
      </c>
      <c r="AH635" s="22">
        <f>IF($C635="","",IFERROR(IF(INDEX(Deals!$AG$2:$AG$355,MATCH($C635,Deals!$A$2:$A$355,0))=0,"",INDEX(Deals!$AG$2:$AG$355,MATCH($C635,Deals!$A$2:$A$355,0))),""))</f>
        <v/>
      </c>
      <c r="AI635" s="35">
        <f>IF($AH635="",DATE(1900,1,1),$AF635)</f>
        <v/>
      </c>
      <c r="AJ635" s="35">
        <f>IF($AH635="",DATE(2100,12,31),$AH635)</f>
        <v/>
      </c>
      <c r="AK635" s="32">
        <f>IF($AH635="",$AC635,$AC635*$S635)</f>
        <v/>
      </c>
      <c r="AL635" s="35">
        <f>IF($AH635="",DATE(2100,12,31),$AH635+1)</f>
        <v/>
      </c>
      <c r="AM635" s="35">
        <f>IF($AH635="",DATE(1900,1,1),$AG635)</f>
        <v/>
      </c>
      <c r="AN635" s="32">
        <f>IF($AH635="",0,$AC635*$T635)</f>
        <v/>
      </c>
    </row>
    <row r="636">
      <c r="A636" s="28" t="inlineStr">
        <is>
          <t>Yiyi</t>
        </is>
      </c>
      <c r="B636" s="16">
        <f>IF($A636="","",IFERROR(INDEX(Roster!$B$2:$B$40,MATCH($A636,Roster!$A$2:$A$40,0)),"?"))</f>
        <v/>
      </c>
      <c r="C636" s="28" t="inlineStr">
        <is>
          <t>Spring_6</t>
        </is>
      </c>
      <c r="D636" s="16">
        <f>IF($C636="","",IFERROR(IF(INDEX(Deals!$C$2:$C$355,MATCH($C636,Deals!$A$2:$A$355,0))=0,"",INDEX(Deals!$C$2:$C$355,MATCH($C636,Deals!$A$2:$A$355,0))),"?"))</f>
        <v/>
      </c>
      <c r="E636" s="16">
        <f>IF($C636="","",IFERROR(INDEX(Deals!$F$2:$F$355,MATCH($C636,Deals!$A$2:$A$355,0)),"?"))</f>
        <v/>
      </c>
      <c r="F636" s="28" t="inlineStr">
        <is>
          <t>Renewable Specialist</t>
        </is>
      </c>
      <c r="G636" s="28" t="inlineStr">
        <is>
          <t>Active</t>
        </is>
      </c>
      <c r="H636" s="31" t="n"/>
      <c r="I636" s="32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1">
        <f>IF($C636="",0,IFERROR(INDEX(Deals!$H$2:$H$355,MATCH($C636,Deals!$A$2:$A$355,0)),0))</f>
        <v/>
      </c>
      <c r="K636" s="32">
        <f>IF(Settings!$B$4="Yes",$I636*$J636,$I636)</f>
        <v/>
      </c>
      <c r="L636" s="22">
        <f>IF($C636="","",IFERROR(IF(INDEX(Deals!$I$2:$I$355,MATCH($C636,Deals!$A$2:$A$355,0))=0,"",INDEX(Deals!$I$2:$I$355,MATCH($C636,Deals!$A$2:$A$355,0))),""))</f>
        <v/>
      </c>
      <c r="M636" s="22">
        <f>IF($C636="","",IFERROR(IF(INDEX(Deals!$J$2:$J$355,MATCH($C636,Deals!$A$2:$A$355,0))=0,"",INDEX(Deals!$J$2:$J$355,MATCH($C636,Deals!$A$2:$A$355,0))),""))</f>
        <v/>
      </c>
      <c r="N636" s="35">
        <f>IF($L636="",DATE(1900,1,1),$L636)</f>
        <v/>
      </c>
      <c r="O636" s="35">
        <f>IF($M636="",DATE(2100,12,31),$M636)</f>
        <v/>
      </c>
      <c r="P636" s="20" t="inlineStr"/>
      <c r="Q636" s="43" t="inlineStr"/>
      <c r="R636" s="16">
        <f>IF($C636="","",IFERROR(IF(INDEX(Deals!$U$2:$U$355,MATCH($C636,Deals!$A$2:$A$355,0))=0,"",INDEX(Deals!$U$2:$U$355,MATCH($C636,Deals!$A$2:$A$355,0))),""))</f>
        <v/>
      </c>
      <c r="S636" s="34">
        <f>IFERROR(IF($U636="",1,INDEX(Deals!$V$2:$V$355,MATCH($C636,Deals!$A$2:$A$355,0))),1)</f>
        <v/>
      </c>
      <c r="T636" s="34">
        <f>IFERROR(IF($U636="",1,INDEX(Deals!$W$2:$W$355,MATCH($C636,Deals!$A$2:$A$355,0))),1)</f>
        <v/>
      </c>
      <c r="U636" s="22">
        <f>IF($C636="","",IFERROR(IF(INDEX(Deals!$Y$2:$Y$355,MATCH($C636,Deals!$A$2:$A$355,0))=0,"",INDEX(Deals!$Y$2:$Y$355,MATCH($C636,Deals!$A$2:$A$355,0))),""))</f>
        <v/>
      </c>
      <c r="V636" s="35">
        <f>IF($U636="",DATE(1900,1,1),$N636)</f>
        <v/>
      </c>
      <c r="W636" s="35">
        <f>IF($U636="",DATE(2100,12,31),$U636)</f>
        <v/>
      </c>
      <c r="X636" s="32">
        <f>IF($U636="",$K636,$K636*$S636)</f>
        <v/>
      </c>
      <c r="Y636" s="35">
        <f>IF($U636="",DATE(2100,12,31),$U636+1)</f>
        <v/>
      </c>
      <c r="Z636" s="35">
        <f>IF($U636="",DATE(1900,1,1),$O636)</f>
        <v/>
      </c>
      <c r="AA636" s="32">
        <f>IF($U636="",0,$K636*$T636)</f>
        <v/>
      </c>
      <c r="AB636" s="21">
        <f>IF($C636="",0,IFERROR(INDEX(Deals!$AD$2:$AD$355,MATCH($C636,Deals!$A$2:$A$355,0)),0))</f>
        <v/>
      </c>
      <c r="AC636" s="32">
        <f>IF(Settings!$B$4="Yes",$I636*$AB636,$I636)</f>
        <v/>
      </c>
      <c r="AD636" s="22">
        <f>IF($C636="","",IFERROR(IF(INDEX(Deals!$AE$2:$AE$355,MATCH($C636,Deals!$A$2:$A$355,0))=0,"",INDEX(Deals!$AE$2:$AE$355,MATCH($C636,Deals!$A$2:$A$355,0))),""))</f>
        <v/>
      </c>
      <c r="AE636" s="22">
        <f>IF($C636="","",IFERROR(IF(INDEX(Deals!$AF$2:$AF$355,MATCH($C636,Deals!$A$2:$A$355,0))=0,"",INDEX(Deals!$AF$2:$AF$355,MATCH($C636,Deals!$A$2:$A$355,0))),""))</f>
        <v/>
      </c>
      <c r="AF636" s="35">
        <f>IF($AD636="",DATE(1900,1,1),$AD636)</f>
        <v/>
      </c>
      <c r="AG636" s="35">
        <f>IF($AE636="",DATE(2100,12,31),$AE636)</f>
        <v/>
      </c>
      <c r="AH636" s="22">
        <f>IF($C636="","",IFERROR(IF(INDEX(Deals!$AG$2:$AG$355,MATCH($C636,Deals!$A$2:$A$355,0))=0,"",INDEX(Deals!$AG$2:$AG$355,MATCH($C636,Deals!$A$2:$A$355,0))),""))</f>
        <v/>
      </c>
      <c r="AI636" s="35">
        <f>IF($AH636="",DATE(1900,1,1),$AF636)</f>
        <v/>
      </c>
      <c r="AJ636" s="35">
        <f>IF($AH636="",DATE(2100,12,31),$AH636)</f>
        <v/>
      </c>
      <c r="AK636" s="32">
        <f>IF($AH636="",$AC636,$AC636*$S636)</f>
        <v/>
      </c>
      <c r="AL636" s="35">
        <f>IF($AH636="",DATE(2100,12,31),$AH636+1)</f>
        <v/>
      </c>
      <c r="AM636" s="35">
        <f>IF($AH636="",DATE(1900,1,1),$AG636)</f>
        <v/>
      </c>
      <c r="AN636" s="32">
        <f>IF($AH636="",0,$AC636*$T636)</f>
        <v/>
      </c>
    </row>
    <row r="637">
      <c r="A637" s="28" t="inlineStr">
        <is>
          <t>Yiyi</t>
        </is>
      </c>
      <c r="B637" s="16">
        <f>IF($A637="","",IFERROR(INDEX(Roster!$B$2:$B$40,MATCH($A637,Roster!$A$2:$A$40,0)),"?"))</f>
        <v/>
      </c>
      <c r="C637" s="28" t="inlineStr">
        <is>
          <t>Starshade and Radar_1</t>
        </is>
      </c>
      <c r="D637" s="16">
        <f>IF($C637="","",IFERROR(IF(INDEX(Deals!$C$2:$C$355,MATCH($C637,Deals!$A$2:$A$355,0))=0,"",INDEX(Deals!$C$2:$C$355,MATCH($C637,Deals!$A$2:$A$355,0))),"?"))</f>
        <v/>
      </c>
      <c r="E637" s="16">
        <f>IF($C637="","",IFERROR(INDEX(Deals!$F$2:$F$355,MATCH($C637,Deals!$A$2:$A$355,0)),"?"))</f>
        <v/>
      </c>
      <c r="F637" s="28" t="inlineStr">
        <is>
          <t>Renewable Specialist</t>
        </is>
      </c>
      <c r="G637" s="28" t="inlineStr">
        <is>
          <t>Active</t>
        </is>
      </c>
      <c r="H637" s="31" t="n"/>
      <c r="I637" s="32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1">
        <f>IF($C637="",0,IFERROR(INDEX(Deals!$H$2:$H$355,MATCH($C637,Deals!$A$2:$A$355,0)),0))</f>
        <v/>
      </c>
      <c r="K637" s="32">
        <f>IF(Settings!$B$4="Yes",$I637*$J637,$I637)</f>
        <v/>
      </c>
      <c r="L637" s="22">
        <f>IF($C637="","",IFERROR(IF(INDEX(Deals!$I$2:$I$355,MATCH($C637,Deals!$A$2:$A$355,0))=0,"",INDEX(Deals!$I$2:$I$355,MATCH($C637,Deals!$A$2:$A$355,0))),""))</f>
        <v/>
      </c>
      <c r="M637" s="22">
        <f>IF($C637="","",IFERROR(IF(INDEX(Deals!$J$2:$J$355,MATCH($C637,Deals!$A$2:$A$355,0))=0,"",INDEX(Deals!$J$2:$J$355,MATCH($C637,Deals!$A$2:$A$355,0))),""))</f>
        <v/>
      </c>
      <c r="N637" s="35">
        <f>IF($L637="",DATE(1900,1,1),$L637)</f>
        <v/>
      </c>
      <c r="O637" s="35">
        <f>IF($M637="",DATE(2100,12,31),$M637)</f>
        <v/>
      </c>
      <c r="P637" s="20" t="inlineStr"/>
      <c r="Q637" s="43" t="inlineStr"/>
      <c r="R637" s="16">
        <f>IF($C637="","",IFERROR(IF(INDEX(Deals!$U$2:$U$355,MATCH($C637,Deals!$A$2:$A$355,0))=0,"",INDEX(Deals!$U$2:$U$355,MATCH($C637,Deals!$A$2:$A$355,0))),""))</f>
        <v/>
      </c>
      <c r="S637" s="34">
        <f>IFERROR(IF($U637="",1,INDEX(Deals!$V$2:$V$355,MATCH($C637,Deals!$A$2:$A$355,0))),1)</f>
        <v/>
      </c>
      <c r="T637" s="34">
        <f>IFERROR(IF($U637="",1,INDEX(Deals!$W$2:$W$355,MATCH($C637,Deals!$A$2:$A$355,0))),1)</f>
        <v/>
      </c>
      <c r="U637" s="22">
        <f>IF($C637="","",IFERROR(IF(INDEX(Deals!$Y$2:$Y$355,MATCH($C637,Deals!$A$2:$A$355,0))=0,"",INDEX(Deals!$Y$2:$Y$355,MATCH($C637,Deals!$A$2:$A$355,0))),""))</f>
        <v/>
      </c>
      <c r="V637" s="35">
        <f>IF($U637="",DATE(1900,1,1),$N637)</f>
        <v/>
      </c>
      <c r="W637" s="35">
        <f>IF($U637="",DATE(2100,12,31),$U637)</f>
        <v/>
      </c>
      <c r="X637" s="32">
        <f>IF($U637="",$K637,$K637*$S637)</f>
        <v/>
      </c>
      <c r="Y637" s="35">
        <f>IF($U637="",DATE(2100,12,31),$U637+1)</f>
        <v/>
      </c>
      <c r="Z637" s="35">
        <f>IF($U637="",DATE(1900,1,1),$O637)</f>
        <v/>
      </c>
      <c r="AA637" s="32">
        <f>IF($U637="",0,$K637*$T637)</f>
        <v/>
      </c>
      <c r="AB637" s="21">
        <f>IF($C637="",0,IFERROR(INDEX(Deals!$AD$2:$AD$355,MATCH($C637,Deals!$A$2:$A$355,0)),0))</f>
        <v/>
      </c>
      <c r="AC637" s="32">
        <f>IF(Settings!$B$4="Yes",$I637*$AB637,$I637)</f>
        <v/>
      </c>
      <c r="AD637" s="22">
        <f>IF($C637="","",IFERROR(IF(INDEX(Deals!$AE$2:$AE$355,MATCH($C637,Deals!$A$2:$A$355,0))=0,"",INDEX(Deals!$AE$2:$AE$355,MATCH($C637,Deals!$A$2:$A$355,0))),""))</f>
        <v/>
      </c>
      <c r="AE637" s="22">
        <f>IF($C637="","",IFERROR(IF(INDEX(Deals!$AF$2:$AF$355,MATCH($C637,Deals!$A$2:$A$355,0))=0,"",INDEX(Deals!$AF$2:$AF$355,MATCH($C637,Deals!$A$2:$A$355,0))),""))</f>
        <v/>
      </c>
      <c r="AF637" s="35">
        <f>IF($AD637="",DATE(1900,1,1),$AD637)</f>
        <v/>
      </c>
      <c r="AG637" s="35">
        <f>IF($AE637="",DATE(2100,12,31),$AE637)</f>
        <v/>
      </c>
      <c r="AH637" s="22">
        <f>IF($C637="","",IFERROR(IF(INDEX(Deals!$AG$2:$AG$355,MATCH($C637,Deals!$A$2:$A$355,0))=0,"",INDEX(Deals!$AG$2:$AG$355,MATCH($C637,Deals!$A$2:$A$355,0))),""))</f>
        <v/>
      </c>
      <c r="AI637" s="35">
        <f>IF($AH637="",DATE(1900,1,1),$AF637)</f>
        <v/>
      </c>
      <c r="AJ637" s="35">
        <f>IF($AH637="",DATE(2100,12,31),$AH637)</f>
        <v/>
      </c>
      <c r="AK637" s="32">
        <f>IF($AH637="",$AC637,$AC637*$S637)</f>
        <v/>
      </c>
      <c r="AL637" s="35">
        <f>IF($AH637="",DATE(2100,12,31),$AH637+1)</f>
        <v/>
      </c>
      <c r="AM637" s="35">
        <f>IF($AH637="",DATE(1900,1,1),$AG637)</f>
        <v/>
      </c>
      <c r="AN637" s="32">
        <f>IF($AH637="",0,$AC637*$T637)</f>
        <v/>
      </c>
    </row>
    <row r="638">
      <c r="A638" s="28" t="inlineStr">
        <is>
          <t>Yiyi</t>
        </is>
      </c>
      <c r="B638" s="16">
        <f>IF($A638="","",IFERROR(INDEX(Roster!$B$2:$B$40,MATCH($A638,Roster!$A$2:$A$40,0)),"?"))</f>
        <v/>
      </c>
      <c r="C638" s="28" t="inlineStr">
        <is>
          <t>Sunnova - TEP 8-H_1</t>
        </is>
      </c>
      <c r="D638" s="16">
        <f>IF($C638="","",IFERROR(IF(INDEX(Deals!$C$2:$C$355,MATCH($C638,Deals!$A$2:$A$355,0))=0,"",INDEX(Deals!$C$2:$C$355,MATCH($C638,Deals!$A$2:$A$355,0))),"?"))</f>
        <v/>
      </c>
      <c r="E638" s="16">
        <f>IF($C638="","",IFERROR(INDEX(Deals!$F$2:$F$355,MATCH($C638,Deals!$A$2:$A$355,0)),"?"))</f>
        <v/>
      </c>
      <c r="F638" s="28" t="inlineStr">
        <is>
          <t>Renewable Specialist</t>
        </is>
      </c>
      <c r="G638" s="28" t="inlineStr">
        <is>
          <t>Active</t>
        </is>
      </c>
      <c r="H638" s="31" t="n"/>
      <c r="I638" s="32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1">
        <f>IF($C638="",0,IFERROR(INDEX(Deals!$H$2:$H$355,MATCH($C638,Deals!$A$2:$A$355,0)),0))</f>
        <v/>
      </c>
      <c r="K638" s="32">
        <f>IF(Settings!$B$4="Yes",$I638*$J638,$I638)</f>
        <v/>
      </c>
      <c r="L638" s="22">
        <f>IF($C638="","",IFERROR(IF(INDEX(Deals!$I$2:$I$355,MATCH($C638,Deals!$A$2:$A$355,0))=0,"",INDEX(Deals!$I$2:$I$355,MATCH($C638,Deals!$A$2:$A$355,0))),""))</f>
        <v/>
      </c>
      <c r="M638" s="22">
        <f>IF($C638="","",IFERROR(IF(INDEX(Deals!$J$2:$J$355,MATCH($C638,Deals!$A$2:$A$355,0))=0,"",INDEX(Deals!$J$2:$J$355,MATCH($C638,Deals!$A$2:$A$355,0))),""))</f>
        <v/>
      </c>
      <c r="N638" s="35">
        <f>IF($L638="",DATE(1900,1,1),$L638)</f>
        <v/>
      </c>
      <c r="O638" s="35">
        <f>IF($M638="",DATE(2100,12,31),$M638)</f>
        <v/>
      </c>
      <c r="P638" s="20" t="inlineStr"/>
      <c r="Q638" s="43" t="inlineStr"/>
      <c r="R638" s="16">
        <f>IF($C638="","",IFERROR(IF(INDEX(Deals!$U$2:$U$355,MATCH($C638,Deals!$A$2:$A$355,0))=0,"",INDEX(Deals!$U$2:$U$355,MATCH($C638,Deals!$A$2:$A$355,0))),""))</f>
        <v/>
      </c>
      <c r="S638" s="34">
        <f>IFERROR(IF($U638="",1,INDEX(Deals!$V$2:$V$355,MATCH($C638,Deals!$A$2:$A$355,0))),1)</f>
        <v/>
      </c>
      <c r="T638" s="34">
        <f>IFERROR(IF($U638="",1,INDEX(Deals!$W$2:$W$355,MATCH($C638,Deals!$A$2:$A$355,0))),1)</f>
        <v/>
      </c>
      <c r="U638" s="22">
        <f>IF($C638="","",IFERROR(IF(INDEX(Deals!$Y$2:$Y$355,MATCH($C638,Deals!$A$2:$A$355,0))=0,"",INDEX(Deals!$Y$2:$Y$355,MATCH($C638,Deals!$A$2:$A$355,0))),""))</f>
        <v/>
      </c>
      <c r="V638" s="35">
        <f>IF($U638="",DATE(1900,1,1),$N638)</f>
        <v/>
      </c>
      <c r="W638" s="35">
        <f>IF($U638="",DATE(2100,12,31),$U638)</f>
        <v/>
      </c>
      <c r="X638" s="32">
        <f>IF($U638="",$K638,$K638*$S638)</f>
        <v/>
      </c>
      <c r="Y638" s="35">
        <f>IF($U638="",DATE(2100,12,31),$U638+1)</f>
        <v/>
      </c>
      <c r="Z638" s="35">
        <f>IF($U638="",DATE(1900,1,1),$O638)</f>
        <v/>
      </c>
      <c r="AA638" s="32">
        <f>IF($U638="",0,$K638*$T638)</f>
        <v/>
      </c>
      <c r="AB638" s="21">
        <f>IF($C638="",0,IFERROR(INDEX(Deals!$AD$2:$AD$355,MATCH($C638,Deals!$A$2:$A$355,0)),0))</f>
        <v/>
      </c>
      <c r="AC638" s="32">
        <f>IF(Settings!$B$4="Yes",$I638*$AB638,$I638)</f>
        <v/>
      </c>
      <c r="AD638" s="22">
        <f>IF($C638="","",IFERROR(IF(INDEX(Deals!$AE$2:$AE$355,MATCH($C638,Deals!$A$2:$A$355,0))=0,"",INDEX(Deals!$AE$2:$AE$355,MATCH($C638,Deals!$A$2:$A$355,0))),""))</f>
        <v/>
      </c>
      <c r="AE638" s="22">
        <f>IF($C638="","",IFERROR(IF(INDEX(Deals!$AF$2:$AF$355,MATCH($C638,Deals!$A$2:$A$355,0))=0,"",INDEX(Deals!$AF$2:$AF$355,MATCH($C638,Deals!$A$2:$A$355,0))),""))</f>
        <v/>
      </c>
      <c r="AF638" s="35">
        <f>IF($AD638="",DATE(1900,1,1),$AD638)</f>
        <v/>
      </c>
      <c r="AG638" s="35">
        <f>IF($AE638="",DATE(2100,12,31),$AE638)</f>
        <v/>
      </c>
      <c r="AH638" s="22">
        <f>IF($C638="","",IFERROR(IF(INDEX(Deals!$AG$2:$AG$355,MATCH($C638,Deals!$A$2:$A$355,0))=0,"",INDEX(Deals!$AG$2:$AG$355,MATCH($C638,Deals!$A$2:$A$355,0))),""))</f>
        <v/>
      </c>
      <c r="AI638" s="35">
        <f>IF($AH638="",DATE(1900,1,1),$AF638)</f>
        <v/>
      </c>
      <c r="AJ638" s="35">
        <f>IF($AH638="",DATE(2100,12,31),$AH638)</f>
        <v/>
      </c>
      <c r="AK638" s="32">
        <f>IF($AH638="",$AC638,$AC638*$S638)</f>
        <v/>
      </c>
      <c r="AL638" s="35">
        <f>IF($AH638="",DATE(2100,12,31),$AH638+1)</f>
        <v/>
      </c>
      <c r="AM638" s="35">
        <f>IF($AH638="",DATE(1900,1,1),$AG638)</f>
        <v/>
      </c>
      <c r="AN638" s="32">
        <f>IF($AH638="",0,$AC638*$T638)</f>
        <v/>
      </c>
    </row>
    <row r="639">
      <c r="A639" s="28" t="inlineStr">
        <is>
          <t>Yiyi</t>
        </is>
      </c>
      <c r="B639" s="16">
        <f>IF($A639="","",IFERROR(INDEX(Roster!$B$2:$B$40,MATCH($A639,Roster!$A$2:$A$40,0)),"?"))</f>
        <v/>
      </c>
      <c r="C639" s="28" t="inlineStr">
        <is>
          <t>Sunnova TEP 8-I - Homebuilder_1</t>
        </is>
      </c>
      <c r="D639" s="16">
        <f>IF($C639="","",IFERROR(IF(INDEX(Deals!$C$2:$C$355,MATCH($C639,Deals!$A$2:$A$355,0))=0,"",INDEX(Deals!$C$2:$C$355,MATCH($C639,Deals!$A$2:$A$355,0))),"?"))</f>
        <v/>
      </c>
      <c r="E639" s="16">
        <f>IF($C639="","",IFERROR(INDEX(Deals!$F$2:$F$355,MATCH($C639,Deals!$A$2:$A$355,0)),"?"))</f>
        <v/>
      </c>
      <c r="F639" s="28" t="inlineStr">
        <is>
          <t>Renewable Specialist</t>
        </is>
      </c>
      <c r="G639" s="28" t="inlineStr">
        <is>
          <t>Active</t>
        </is>
      </c>
      <c r="H639" s="31" t="n"/>
      <c r="I639" s="32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1">
        <f>IF($C639="",0,IFERROR(INDEX(Deals!$H$2:$H$355,MATCH($C639,Deals!$A$2:$A$355,0)),0))</f>
        <v/>
      </c>
      <c r="K639" s="32">
        <f>IF(Settings!$B$4="Yes",$I639*$J639,$I639)</f>
        <v/>
      </c>
      <c r="L639" s="22">
        <f>IF($C639="","",IFERROR(IF(INDEX(Deals!$I$2:$I$355,MATCH($C639,Deals!$A$2:$A$355,0))=0,"",INDEX(Deals!$I$2:$I$355,MATCH($C639,Deals!$A$2:$A$355,0))),""))</f>
        <v/>
      </c>
      <c r="M639" s="22">
        <f>IF($C639="","",IFERROR(IF(INDEX(Deals!$J$2:$J$355,MATCH($C639,Deals!$A$2:$A$355,0))=0,"",INDEX(Deals!$J$2:$J$355,MATCH($C639,Deals!$A$2:$A$355,0))),""))</f>
        <v/>
      </c>
      <c r="N639" s="35">
        <f>IF($L639="",DATE(1900,1,1),$L639)</f>
        <v/>
      </c>
      <c r="O639" s="35">
        <f>IF($M639="",DATE(2100,12,31),$M639)</f>
        <v/>
      </c>
      <c r="P639" s="20" t="inlineStr"/>
      <c r="Q639" s="43" t="inlineStr"/>
      <c r="R639" s="16">
        <f>IF($C639="","",IFERROR(IF(INDEX(Deals!$U$2:$U$355,MATCH($C639,Deals!$A$2:$A$355,0))=0,"",INDEX(Deals!$U$2:$U$355,MATCH($C639,Deals!$A$2:$A$355,0))),""))</f>
        <v/>
      </c>
      <c r="S639" s="34">
        <f>IFERROR(IF($U639="",1,INDEX(Deals!$V$2:$V$355,MATCH($C639,Deals!$A$2:$A$355,0))),1)</f>
        <v/>
      </c>
      <c r="T639" s="34">
        <f>IFERROR(IF($U639="",1,INDEX(Deals!$W$2:$W$355,MATCH($C639,Deals!$A$2:$A$355,0))),1)</f>
        <v/>
      </c>
      <c r="U639" s="22">
        <f>IF($C639="","",IFERROR(IF(INDEX(Deals!$Y$2:$Y$355,MATCH($C639,Deals!$A$2:$A$355,0))=0,"",INDEX(Deals!$Y$2:$Y$355,MATCH($C639,Deals!$A$2:$A$355,0))),""))</f>
        <v/>
      </c>
      <c r="V639" s="35">
        <f>IF($U639="",DATE(1900,1,1),$N639)</f>
        <v/>
      </c>
      <c r="W639" s="35">
        <f>IF($U639="",DATE(2100,12,31),$U639)</f>
        <v/>
      </c>
      <c r="X639" s="32">
        <f>IF($U639="",$K639,$K639*$S639)</f>
        <v/>
      </c>
      <c r="Y639" s="35">
        <f>IF($U639="",DATE(2100,12,31),$U639+1)</f>
        <v/>
      </c>
      <c r="Z639" s="35">
        <f>IF($U639="",DATE(1900,1,1),$O639)</f>
        <v/>
      </c>
      <c r="AA639" s="32">
        <f>IF($U639="",0,$K639*$T639)</f>
        <v/>
      </c>
      <c r="AB639" s="21">
        <f>IF($C639="",0,IFERROR(INDEX(Deals!$AD$2:$AD$355,MATCH($C639,Deals!$A$2:$A$355,0)),0))</f>
        <v/>
      </c>
      <c r="AC639" s="32">
        <f>IF(Settings!$B$4="Yes",$I639*$AB639,$I639)</f>
        <v/>
      </c>
      <c r="AD639" s="22">
        <f>IF($C639="","",IFERROR(IF(INDEX(Deals!$AE$2:$AE$355,MATCH($C639,Deals!$A$2:$A$355,0))=0,"",INDEX(Deals!$AE$2:$AE$355,MATCH($C639,Deals!$A$2:$A$355,0))),""))</f>
        <v/>
      </c>
      <c r="AE639" s="22">
        <f>IF($C639="","",IFERROR(IF(INDEX(Deals!$AF$2:$AF$355,MATCH($C639,Deals!$A$2:$A$355,0))=0,"",INDEX(Deals!$AF$2:$AF$355,MATCH($C639,Deals!$A$2:$A$355,0))),""))</f>
        <v/>
      </c>
      <c r="AF639" s="35">
        <f>IF($AD639="",DATE(1900,1,1),$AD639)</f>
        <v/>
      </c>
      <c r="AG639" s="35">
        <f>IF($AE639="",DATE(2100,12,31),$AE639)</f>
        <v/>
      </c>
      <c r="AH639" s="22">
        <f>IF($C639="","",IFERROR(IF(INDEX(Deals!$AG$2:$AG$355,MATCH($C639,Deals!$A$2:$A$355,0))=0,"",INDEX(Deals!$AG$2:$AG$355,MATCH($C639,Deals!$A$2:$A$355,0))),""))</f>
        <v/>
      </c>
      <c r="AI639" s="35">
        <f>IF($AH639="",DATE(1900,1,1),$AF639)</f>
        <v/>
      </c>
      <c r="AJ639" s="35">
        <f>IF($AH639="",DATE(2100,12,31),$AH639)</f>
        <v/>
      </c>
      <c r="AK639" s="32">
        <f>IF($AH639="",$AC639,$AC639*$S639)</f>
        <v/>
      </c>
      <c r="AL639" s="35">
        <f>IF($AH639="",DATE(2100,12,31),$AH639+1)</f>
        <v/>
      </c>
      <c r="AM639" s="35">
        <f>IF($AH639="",DATE(1900,1,1),$AG639)</f>
        <v/>
      </c>
      <c r="AN639" s="32">
        <f>IF($AH639="",0,$AC639*$T639)</f>
        <v/>
      </c>
    </row>
    <row r="640">
      <c r="A640" s="28" t="inlineStr">
        <is>
          <t>Yiyi</t>
        </is>
      </c>
      <c r="B640" s="16">
        <f>IF($A640="","",IFERROR(INDEX(Roster!$B$2:$B$40,MATCH($A640,Roster!$A$2:$A$40,0)),"?"))</f>
        <v/>
      </c>
      <c r="C640" s="28" t="inlineStr">
        <is>
          <t>Sunrise_5</t>
        </is>
      </c>
      <c r="D640" s="16">
        <f>IF($C640="","",IFERROR(IF(INDEX(Deals!$C$2:$C$355,MATCH($C640,Deals!$A$2:$A$355,0))=0,"",INDEX(Deals!$C$2:$C$355,MATCH($C640,Deals!$A$2:$A$355,0))),"?"))</f>
        <v/>
      </c>
      <c r="E640" s="16">
        <f>IF($C640="","",IFERROR(INDEX(Deals!$F$2:$F$355,MATCH($C640,Deals!$A$2:$A$355,0)),"?"))</f>
        <v/>
      </c>
      <c r="F640" s="28" t="inlineStr">
        <is>
          <t>Renewable Specialist</t>
        </is>
      </c>
      <c r="G640" s="28" t="inlineStr">
        <is>
          <t>Active</t>
        </is>
      </c>
      <c r="H640" s="31" t="n"/>
      <c r="I640" s="32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1">
        <f>IF($C640="",0,IFERROR(INDEX(Deals!$H$2:$H$355,MATCH($C640,Deals!$A$2:$A$355,0)),0))</f>
        <v/>
      </c>
      <c r="K640" s="32">
        <f>IF(Settings!$B$4="Yes",$I640*$J640,$I640)</f>
        <v/>
      </c>
      <c r="L640" s="22">
        <f>IF($C640="","",IFERROR(IF(INDEX(Deals!$I$2:$I$355,MATCH($C640,Deals!$A$2:$A$355,0))=0,"",INDEX(Deals!$I$2:$I$355,MATCH($C640,Deals!$A$2:$A$355,0))),""))</f>
        <v/>
      </c>
      <c r="M640" s="22">
        <f>IF($C640="","",IFERROR(IF(INDEX(Deals!$J$2:$J$355,MATCH($C640,Deals!$A$2:$A$355,0))=0,"",INDEX(Deals!$J$2:$J$355,MATCH($C640,Deals!$A$2:$A$355,0))),""))</f>
        <v/>
      </c>
      <c r="N640" s="35">
        <f>IF($L640="",DATE(1900,1,1),$L640)</f>
        <v/>
      </c>
      <c r="O640" s="35">
        <f>IF($M640="",DATE(2100,12,31),$M640)</f>
        <v/>
      </c>
      <c r="P640" s="20" t="inlineStr"/>
      <c r="Q640" s="43" t="inlineStr"/>
      <c r="R640" s="16">
        <f>IF($C640="","",IFERROR(IF(INDEX(Deals!$U$2:$U$355,MATCH($C640,Deals!$A$2:$A$355,0))=0,"",INDEX(Deals!$U$2:$U$355,MATCH($C640,Deals!$A$2:$A$355,0))),""))</f>
        <v/>
      </c>
      <c r="S640" s="34">
        <f>IFERROR(IF($U640="",1,INDEX(Deals!$V$2:$V$355,MATCH($C640,Deals!$A$2:$A$355,0))),1)</f>
        <v/>
      </c>
      <c r="T640" s="34">
        <f>IFERROR(IF($U640="",1,INDEX(Deals!$W$2:$W$355,MATCH($C640,Deals!$A$2:$A$355,0))),1)</f>
        <v/>
      </c>
      <c r="U640" s="22">
        <f>IF($C640="","",IFERROR(IF(INDEX(Deals!$Y$2:$Y$355,MATCH($C640,Deals!$A$2:$A$355,0))=0,"",INDEX(Deals!$Y$2:$Y$355,MATCH($C640,Deals!$A$2:$A$355,0))),""))</f>
        <v/>
      </c>
      <c r="V640" s="35">
        <f>IF($U640="",DATE(1900,1,1),$N640)</f>
        <v/>
      </c>
      <c r="W640" s="35">
        <f>IF($U640="",DATE(2100,12,31),$U640)</f>
        <v/>
      </c>
      <c r="X640" s="32">
        <f>IF($U640="",$K640,$K640*$S640)</f>
        <v/>
      </c>
      <c r="Y640" s="35">
        <f>IF($U640="",DATE(2100,12,31),$U640+1)</f>
        <v/>
      </c>
      <c r="Z640" s="35">
        <f>IF($U640="",DATE(1900,1,1),$O640)</f>
        <v/>
      </c>
      <c r="AA640" s="32">
        <f>IF($U640="",0,$K640*$T640)</f>
        <v/>
      </c>
      <c r="AB640" s="21">
        <f>IF($C640="",0,IFERROR(INDEX(Deals!$AD$2:$AD$355,MATCH($C640,Deals!$A$2:$A$355,0)),0))</f>
        <v/>
      </c>
      <c r="AC640" s="32">
        <f>IF(Settings!$B$4="Yes",$I640*$AB640,$I640)</f>
        <v/>
      </c>
      <c r="AD640" s="22">
        <f>IF($C640="","",IFERROR(IF(INDEX(Deals!$AE$2:$AE$355,MATCH($C640,Deals!$A$2:$A$355,0))=0,"",INDEX(Deals!$AE$2:$AE$355,MATCH($C640,Deals!$A$2:$A$355,0))),""))</f>
        <v/>
      </c>
      <c r="AE640" s="22">
        <f>IF($C640="","",IFERROR(IF(INDEX(Deals!$AF$2:$AF$355,MATCH($C640,Deals!$A$2:$A$355,0))=0,"",INDEX(Deals!$AF$2:$AF$355,MATCH($C640,Deals!$A$2:$A$355,0))),""))</f>
        <v/>
      </c>
      <c r="AF640" s="35">
        <f>IF($AD640="",DATE(1900,1,1),$AD640)</f>
        <v/>
      </c>
      <c r="AG640" s="35">
        <f>IF($AE640="",DATE(2100,12,31),$AE640)</f>
        <v/>
      </c>
      <c r="AH640" s="22">
        <f>IF($C640="","",IFERROR(IF(INDEX(Deals!$AG$2:$AG$355,MATCH($C640,Deals!$A$2:$A$355,0))=0,"",INDEX(Deals!$AG$2:$AG$355,MATCH($C640,Deals!$A$2:$A$355,0))),""))</f>
        <v/>
      </c>
      <c r="AI640" s="35">
        <f>IF($AH640="",DATE(1900,1,1),$AF640)</f>
        <v/>
      </c>
      <c r="AJ640" s="35">
        <f>IF($AH640="",DATE(2100,12,31),$AH640)</f>
        <v/>
      </c>
      <c r="AK640" s="32">
        <f>IF($AH640="",$AC640,$AC640*$S640)</f>
        <v/>
      </c>
      <c r="AL640" s="35">
        <f>IF($AH640="",DATE(2100,12,31),$AH640+1)</f>
        <v/>
      </c>
      <c r="AM640" s="35">
        <f>IF($AH640="",DATE(1900,1,1),$AG640)</f>
        <v/>
      </c>
      <c r="AN640" s="32">
        <f>IF($AH640="",0,$AC640*$T640)</f>
        <v/>
      </c>
    </row>
    <row r="641">
      <c r="A641" s="28" t="inlineStr">
        <is>
          <t>Yiyi</t>
        </is>
      </c>
      <c r="B641" s="16">
        <f>IF($A641="","",IFERROR(INDEX(Roster!$B$2:$B$40,MATCH($A641,Roster!$A$2:$A$40,0)),"?"))</f>
        <v/>
      </c>
      <c r="C641" s="28" t="inlineStr">
        <is>
          <t>Sunset_1</t>
        </is>
      </c>
      <c r="D641" s="16">
        <f>IF($C641="","",IFERROR(IF(INDEX(Deals!$C$2:$C$355,MATCH($C641,Deals!$A$2:$A$355,0))=0,"",INDEX(Deals!$C$2:$C$355,MATCH($C641,Deals!$A$2:$A$355,0))),"?"))</f>
        <v/>
      </c>
      <c r="E641" s="16">
        <f>IF($C641="","",IFERROR(INDEX(Deals!$F$2:$F$355,MATCH($C641,Deals!$A$2:$A$355,0)),"?"))</f>
        <v/>
      </c>
      <c r="F641" s="28" t="inlineStr">
        <is>
          <t>Renewable Specialist</t>
        </is>
      </c>
      <c r="G641" s="28" t="inlineStr">
        <is>
          <t>Active</t>
        </is>
      </c>
      <c r="H641" s="31" t="n"/>
      <c r="I641" s="32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1">
        <f>IF($C641="",0,IFERROR(INDEX(Deals!$H$2:$H$355,MATCH($C641,Deals!$A$2:$A$355,0)),0))</f>
        <v/>
      </c>
      <c r="K641" s="32">
        <f>IF(Settings!$B$4="Yes",$I641*$J641,$I641)</f>
        <v/>
      </c>
      <c r="L641" s="22">
        <f>IF($C641="","",IFERROR(IF(INDEX(Deals!$I$2:$I$355,MATCH($C641,Deals!$A$2:$A$355,0))=0,"",INDEX(Deals!$I$2:$I$355,MATCH($C641,Deals!$A$2:$A$355,0))),""))</f>
        <v/>
      </c>
      <c r="M641" s="22">
        <f>IF($C641="","",IFERROR(IF(INDEX(Deals!$J$2:$J$355,MATCH($C641,Deals!$A$2:$A$355,0))=0,"",INDEX(Deals!$J$2:$J$355,MATCH($C641,Deals!$A$2:$A$355,0))),""))</f>
        <v/>
      </c>
      <c r="N641" s="35">
        <f>IF($L641="",DATE(1900,1,1),$L641)</f>
        <v/>
      </c>
      <c r="O641" s="35">
        <f>IF($M641="",DATE(2100,12,31),$M641)</f>
        <v/>
      </c>
      <c r="P641" s="20" t="inlineStr"/>
      <c r="Q641" s="43" t="inlineStr"/>
      <c r="R641" s="16">
        <f>IF($C641="","",IFERROR(IF(INDEX(Deals!$U$2:$U$355,MATCH($C641,Deals!$A$2:$A$355,0))=0,"",INDEX(Deals!$U$2:$U$355,MATCH($C641,Deals!$A$2:$A$355,0))),""))</f>
        <v/>
      </c>
      <c r="S641" s="34">
        <f>IFERROR(IF($U641="",1,INDEX(Deals!$V$2:$V$355,MATCH($C641,Deals!$A$2:$A$355,0))),1)</f>
        <v/>
      </c>
      <c r="T641" s="34">
        <f>IFERROR(IF($U641="",1,INDEX(Deals!$W$2:$W$355,MATCH($C641,Deals!$A$2:$A$355,0))),1)</f>
        <v/>
      </c>
      <c r="U641" s="22">
        <f>IF($C641="","",IFERROR(IF(INDEX(Deals!$Y$2:$Y$355,MATCH($C641,Deals!$A$2:$A$355,0))=0,"",INDEX(Deals!$Y$2:$Y$355,MATCH($C641,Deals!$A$2:$A$355,0))),""))</f>
        <v/>
      </c>
      <c r="V641" s="35">
        <f>IF($U641="",DATE(1900,1,1),$N641)</f>
        <v/>
      </c>
      <c r="W641" s="35">
        <f>IF($U641="",DATE(2100,12,31),$U641)</f>
        <v/>
      </c>
      <c r="X641" s="32">
        <f>IF($U641="",$K641,$K641*$S641)</f>
        <v/>
      </c>
      <c r="Y641" s="35">
        <f>IF($U641="",DATE(2100,12,31),$U641+1)</f>
        <v/>
      </c>
      <c r="Z641" s="35">
        <f>IF($U641="",DATE(1900,1,1),$O641)</f>
        <v/>
      </c>
      <c r="AA641" s="32">
        <f>IF($U641="",0,$K641*$T641)</f>
        <v/>
      </c>
      <c r="AB641" s="21">
        <f>IF($C641="",0,IFERROR(INDEX(Deals!$AD$2:$AD$355,MATCH($C641,Deals!$A$2:$A$355,0)),0))</f>
        <v/>
      </c>
      <c r="AC641" s="32">
        <f>IF(Settings!$B$4="Yes",$I641*$AB641,$I641)</f>
        <v/>
      </c>
      <c r="AD641" s="22">
        <f>IF($C641="","",IFERROR(IF(INDEX(Deals!$AE$2:$AE$355,MATCH($C641,Deals!$A$2:$A$355,0))=0,"",INDEX(Deals!$AE$2:$AE$355,MATCH($C641,Deals!$A$2:$A$355,0))),""))</f>
        <v/>
      </c>
      <c r="AE641" s="22">
        <f>IF($C641="","",IFERROR(IF(INDEX(Deals!$AF$2:$AF$355,MATCH($C641,Deals!$A$2:$A$355,0))=0,"",INDEX(Deals!$AF$2:$AF$355,MATCH($C641,Deals!$A$2:$A$355,0))),""))</f>
        <v/>
      </c>
      <c r="AF641" s="35">
        <f>IF($AD641="",DATE(1900,1,1),$AD641)</f>
        <v/>
      </c>
      <c r="AG641" s="35">
        <f>IF($AE641="",DATE(2100,12,31),$AE641)</f>
        <v/>
      </c>
      <c r="AH641" s="22">
        <f>IF($C641="","",IFERROR(IF(INDEX(Deals!$AG$2:$AG$355,MATCH($C641,Deals!$A$2:$A$355,0))=0,"",INDEX(Deals!$AG$2:$AG$355,MATCH($C641,Deals!$A$2:$A$355,0))),""))</f>
        <v/>
      </c>
      <c r="AI641" s="35">
        <f>IF($AH641="",DATE(1900,1,1),$AF641)</f>
        <v/>
      </c>
      <c r="AJ641" s="35">
        <f>IF($AH641="",DATE(2100,12,31),$AH641)</f>
        <v/>
      </c>
      <c r="AK641" s="32">
        <f>IF($AH641="",$AC641,$AC641*$S641)</f>
        <v/>
      </c>
      <c r="AL641" s="35">
        <f>IF($AH641="",DATE(2100,12,31),$AH641+1)</f>
        <v/>
      </c>
      <c r="AM641" s="35">
        <f>IF($AH641="",DATE(1900,1,1),$AG641)</f>
        <v/>
      </c>
      <c r="AN641" s="32">
        <f>IF($AH641="",0,$AC641*$T641)</f>
        <v/>
      </c>
    </row>
    <row r="642">
      <c r="A642" s="28" t="inlineStr">
        <is>
          <t>Yiyi</t>
        </is>
      </c>
      <c r="B642" s="16">
        <f>IF($A642="","",IFERROR(INDEX(Roster!$B$2:$B$40,MATCH($A642,Roster!$A$2:$A$40,0)),"?"))</f>
        <v/>
      </c>
      <c r="C642" s="28" t="inlineStr">
        <is>
          <t>Sunshine_4</t>
        </is>
      </c>
      <c r="D642" s="16">
        <f>IF($C642="","",IFERROR(IF(INDEX(Deals!$C$2:$C$355,MATCH($C642,Deals!$A$2:$A$355,0))=0,"",INDEX(Deals!$C$2:$C$355,MATCH($C642,Deals!$A$2:$A$355,0))),"?"))</f>
        <v/>
      </c>
      <c r="E642" s="16">
        <f>IF($C642="","",IFERROR(INDEX(Deals!$F$2:$F$355,MATCH($C642,Deals!$A$2:$A$355,0)),"?"))</f>
        <v/>
      </c>
      <c r="F642" s="28" t="inlineStr">
        <is>
          <t>Renewable Specialist</t>
        </is>
      </c>
      <c r="G642" s="28" t="inlineStr">
        <is>
          <t>Active</t>
        </is>
      </c>
      <c r="H642" s="31" t="n"/>
      <c r="I642" s="32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1">
        <f>IF($C642="",0,IFERROR(INDEX(Deals!$H$2:$H$355,MATCH($C642,Deals!$A$2:$A$355,0)),0))</f>
        <v/>
      </c>
      <c r="K642" s="32">
        <f>IF(Settings!$B$4="Yes",$I642*$J642,$I642)</f>
        <v/>
      </c>
      <c r="L642" s="22">
        <f>IF($C642="","",IFERROR(IF(INDEX(Deals!$I$2:$I$355,MATCH($C642,Deals!$A$2:$A$355,0))=0,"",INDEX(Deals!$I$2:$I$355,MATCH($C642,Deals!$A$2:$A$355,0))),""))</f>
        <v/>
      </c>
      <c r="M642" s="22">
        <f>IF($C642="","",IFERROR(IF(INDEX(Deals!$J$2:$J$355,MATCH($C642,Deals!$A$2:$A$355,0))=0,"",INDEX(Deals!$J$2:$J$355,MATCH($C642,Deals!$A$2:$A$355,0))),""))</f>
        <v/>
      </c>
      <c r="N642" s="35">
        <f>IF($L642="",DATE(1900,1,1),$L642)</f>
        <v/>
      </c>
      <c r="O642" s="35">
        <f>IF($M642="",DATE(2100,12,31),$M642)</f>
        <v/>
      </c>
      <c r="P642" s="20" t="inlineStr"/>
      <c r="Q642" s="43" t="inlineStr"/>
      <c r="R642" s="16">
        <f>IF($C642="","",IFERROR(IF(INDEX(Deals!$U$2:$U$355,MATCH($C642,Deals!$A$2:$A$355,0))=0,"",INDEX(Deals!$U$2:$U$355,MATCH($C642,Deals!$A$2:$A$355,0))),""))</f>
        <v/>
      </c>
      <c r="S642" s="34">
        <f>IFERROR(IF($U642="",1,INDEX(Deals!$V$2:$V$355,MATCH($C642,Deals!$A$2:$A$355,0))),1)</f>
        <v/>
      </c>
      <c r="T642" s="34">
        <f>IFERROR(IF($U642="",1,INDEX(Deals!$W$2:$W$355,MATCH($C642,Deals!$A$2:$A$355,0))),1)</f>
        <v/>
      </c>
      <c r="U642" s="22">
        <f>IF($C642="","",IFERROR(IF(INDEX(Deals!$Y$2:$Y$355,MATCH($C642,Deals!$A$2:$A$355,0))=0,"",INDEX(Deals!$Y$2:$Y$355,MATCH($C642,Deals!$A$2:$A$355,0))),""))</f>
        <v/>
      </c>
      <c r="V642" s="35">
        <f>IF($U642="",DATE(1900,1,1),$N642)</f>
        <v/>
      </c>
      <c r="W642" s="35">
        <f>IF($U642="",DATE(2100,12,31),$U642)</f>
        <v/>
      </c>
      <c r="X642" s="32">
        <f>IF($U642="",$K642,$K642*$S642)</f>
        <v/>
      </c>
      <c r="Y642" s="35">
        <f>IF($U642="",DATE(2100,12,31),$U642+1)</f>
        <v/>
      </c>
      <c r="Z642" s="35">
        <f>IF($U642="",DATE(1900,1,1),$O642)</f>
        <v/>
      </c>
      <c r="AA642" s="32">
        <f>IF($U642="",0,$K642*$T642)</f>
        <v/>
      </c>
      <c r="AB642" s="21">
        <f>IF($C642="",0,IFERROR(INDEX(Deals!$AD$2:$AD$355,MATCH($C642,Deals!$A$2:$A$355,0)),0))</f>
        <v/>
      </c>
      <c r="AC642" s="32">
        <f>IF(Settings!$B$4="Yes",$I642*$AB642,$I642)</f>
        <v/>
      </c>
      <c r="AD642" s="22">
        <f>IF($C642="","",IFERROR(IF(INDEX(Deals!$AE$2:$AE$355,MATCH($C642,Deals!$A$2:$A$355,0))=0,"",INDEX(Deals!$AE$2:$AE$355,MATCH($C642,Deals!$A$2:$A$355,0))),""))</f>
        <v/>
      </c>
      <c r="AE642" s="22">
        <f>IF($C642="","",IFERROR(IF(INDEX(Deals!$AF$2:$AF$355,MATCH($C642,Deals!$A$2:$A$355,0))=0,"",INDEX(Deals!$AF$2:$AF$355,MATCH($C642,Deals!$A$2:$A$355,0))),""))</f>
        <v/>
      </c>
      <c r="AF642" s="35">
        <f>IF($AD642="",DATE(1900,1,1),$AD642)</f>
        <v/>
      </c>
      <c r="AG642" s="35">
        <f>IF($AE642="",DATE(2100,12,31),$AE642)</f>
        <v/>
      </c>
      <c r="AH642" s="22">
        <f>IF($C642="","",IFERROR(IF(INDEX(Deals!$AG$2:$AG$355,MATCH($C642,Deals!$A$2:$A$355,0))=0,"",INDEX(Deals!$AG$2:$AG$355,MATCH($C642,Deals!$A$2:$A$355,0))),""))</f>
        <v/>
      </c>
      <c r="AI642" s="35">
        <f>IF($AH642="",DATE(1900,1,1),$AF642)</f>
        <v/>
      </c>
      <c r="AJ642" s="35">
        <f>IF($AH642="",DATE(2100,12,31),$AH642)</f>
        <v/>
      </c>
      <c r="AK642" s="32">
        <f>IF($AH642="",$AC642,$AC642*$S642)</f>
        <v/>
      </c>
      <c r="AL642" s="35">
        <f>IF($AH642="",DATE(2100,12,31),$AH642+1)</f>
        <v/>
      </c>
      <c r="AM642" s="35">
        <f>IF($AH642="",DATE(1900,1,1),$AG642)</f>
        <v/>
      </c>
      <c r="AN642" s="32">
        <f>IF($AH642="",0,$AC642*$T642)</f>
        <v/>
      </c>
    </row>
    <row r="643">
      <c r="A643" s="28" t="inlineStr">
        <is>
          <t>Yiyi</t>
        </is>
      </c>
      <c r="B643" s="16">
        <f>IF($A643="","",IFERROR(INDEX(Roster!$B$2:$B$40,MATCH($A643,Roster!$A$2:$A$40,0)),"?"))</f>
        <v/>
      </c>
      <c r="C643" s="28" t="inlineStr">
        <is>
          <t>Sunzia_3</t>
        </is>
      </c>
      <c r="D643" s="16">
        <f>IF($C643="","",IFERROR(IF(INDEX(Deals!$C$2:$C$355,MATCH($C643,Deals!$A$2:$A$355,0))=0,"",INDEX(Deals!$C$2:$C$355,MATCH($C643,Deals!$A$2:$A$355,0))),"?"))</f>
        <v/>
      </c>
      <c r="E643" s="16">
        <f>IF($C643="","",IFERROR(INDEX(Deals!$F$2:$F$355,MATCH($C643,Deals!$A$2:$A$355,0)),"?"))</f>
        <v/>
      </c>
      <c r="F643" s="28" t="inlineStr">
        <is>
          <t>Renewable Specialist</t>
        </is>
      </c>
      <c r="G643" s="28" t="inlineStr">
        <is>
          <t>Active</t>
        </is>
      </c>
      <c r="H643" s="31" t="n"/>
      <c r="I643" s="32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1">
        <f>IF($C643="",0,IFERROR(INDEX(Deals!$H$2:$H$355,MATCH($C643,Deals!$A$2:$A$355,0)),0))</f>
        <v/>
      </c>
      <c r="K643" s="32">
        <f>IF(Settings!$B$4="Yes",$I643*$J643,$I643)</f>
        <v/>
      </c>
      <c r="L643" s="22">
        <f>IF($C643="","",IFERROR(IF(INDEX(Deals!$I$2:$I$355,MATCH($C643,Deals!$A$2:$A$355,0))=0,"",INDEX(Deals!$I$2:$I$355,MATCH($C643,Deals!$A$2:$A$355,0))),""))</f>
        <v/>
      </c>
      <c r="M643" s="22">
        <f>IF($C643="","",IFERROR(IF(INDEX(Deals!$J$2:$J$355,MATCH($C643,Deals!$A$2:$A$355,0))=0,"",INDEX(Deals!$J$2:$J$355,MATCH($C643,Deals!$A$2:$A$355,0))),""))</f>
        <v/>
      </c>
      <c r="N643" s="35">
        <f>IF($L643="",DATE(1900,1,1),$L643)</f>
        <v/>
      </c>
      <c r="O643" s="35">
        <f>IF($M643="",DATE(2100,12,31),$M643)</f>
        <v/>
      </c>
      <c r="P643" s="20" t="inlineStr"/>
      <c r="Q643" s="43" t="inlineStr"/>
      <c r="R643" s="16">
        <f>IF($C643="","",IFERROR(IF(INDEX(Deals!$U$2:$U$355,MATCH($C643,Deals!$A$2:$A$355,0))=0,"",INDEX(Deals!$U$2:$U$355,MATCH($C643,Deals!$A$2:$A$355,0))),""))</f>
        <v/>
      </c>
      <c r="S643" s="34">
        <f>IFERROR(IF($U643="",1,INDEX(Deals!$V$2:$V$355,MATCH($C643,Deals!$A$2:$A$355,0))),1)</f>
        <v/>
      </c>
      <c r="T643" s="34">
        <f>IFERROR(IF($U643="",1,INDEX(Deals!$W$2:$W$355,MATCH($C643,Deals!$A$2:$A$355,0))),1)</f>
        <v/>
      </c>
      <c r="U643" s="22">
        <f>IF($C643="","",IFERROR(IF(INDEX(Deals!$Y$2:$Y$355,MATCH($C643,Deals!$A$2:$A$355,0))=0,"",INDEX(Deals!$Y$2:$Y$355,MATCH($C643,Deals!$A$2:$A$355,0))),""))</f>
        <v/>
      </c>
      <c r="V643" s="35">
        <f>IF($U643="",DATE(1900,1,1),$N643)</f>
        <v/>
      </c>
      <c r="W643" s="35">
        <f>IF($U643="",DATE(2100,12,31),$U643)</f>
        <v/>
      </c>
      <c r="X643" s="32">
        <f>IF($U643="",$K643,$K643*$S643)</f>
        <v/>
      </c>
      <c r="Y643" s="35">
        <f>IF($U643="",DATE(2100,12,31),$U643+1)</f>
        <v/>
      </c>
      <c r="Z643" s="35">
        <f>IF($U643="",DATE(1900,1,1),$O643)</f>
        <v/>
      </c>
      <c r="AA643" s="32">
        <f>IF($U643="",0,$K643*$T643)</f>
        <v/>
      </c>
      <c r="AB643" s="21">
        <f>IF($C643="",0,IFERROR(INDEX(Deals!$AD$2:$AD$355,MATCH($C643,Deals!$A$2:$A$355,0)),0))</f>
        <v/>
      </c>
      <c r="AC643" s="32">
        <f>IF(Settings!$B$4="Yes",$I643*$AB643,$I643)</f>
        <v/>
      </c>
      <c r="AD643" s="22">
        <f>IF($C643="","",IFERROR(IF(INDEX(Deals!$AE$2:$AE$355,MATCH($C643,Deals!$A$2:$A$355,0))=0,"",INDEX(Deals!$AE$2:$AE$355,MATCH($C643,Deals!$A$2:$A$355,0))),""))</f>
        <v/>
      </c>
      <c r="AE643" s="22">
        <f>IF($C643="","",IFERROR(IF(INDEX(Deals!$AF$2:$AF$355,MATCH($C643,Deals!$A$2:$A$355,0))=0,"",INDEX(Deals!$AF$2:$AF$355,MATCH($C643,Deals!$A$2:$A$355,0))),""))</f>
        <v/>
      </c>
      <c r="AF643" s="35">
        <f>IF($AD643="",DATE(1900,1,1),$AD643)</f>
        <v/>
      </c>
      <c r="AG643" s="35">
        <f>IF($AE643="",DATE(2100,12,31),$AE643)</f>
        <v/>
      </c>
      <c r="AH643" s="22">
        <f>IF($C643="","",IFERROR(IF(INDEX(Deals!$AG$2:$AG$355,MATCH($C643,Deals!$A$2:$A$355,0))=0,"",INDEX(Deals!$AG$2:$AG$355,MATCH($C643,Deals!$A$2:$A$355,0))),""))</f>
        <v/>
      </c>
      <c r="AI643" s="35">
        <f>IF($AH643="",DATE(1900,1,1),$AF643)</f>
        <v/>
      </c>
      <c r="AJ643" s="35">
        <f>IF($AH643="",DATE(2100,12,31),$AH643)</f>
        <v/>
      </c>
      <c r="AK643" s="32">
        <f>IF($AH643="",$AC643,$AC643*$S643)</f>
        <v/>
      </c>
      <c r="AL643" s="35">
        <f>IF($AH643="",DATE(2100,12,31),$AH643+1)</f>
        <v/>
      </c>
      <c r="AM643" s="35">
        <f>IF($AH643="",DATE(1900,1,1),$AG643)</f>
        <v/>
      </c>
      <c r="AN643" s="32">
        <f>IF($AH643="",0,$AC643*$T643)</f>
        <v/>
      </c>
    </row>
    <row r="644">
      <c r="A644" s="28" t="inlineStr">
        <is>
          <t>Yiyi</t>
        </is>
      </c>
      <c r="B644" s="16">
        <f>IF($A644="","",IFERROR(INDEX(Roster!$B$2:$B$40,MATCH($A644,Roster!$A$2:$A$40,0)),"?"))</f>
        <v/>
      </c>
      <c r="C644" s="28" t="inlineStr">
        <is>
          <t>Tax_7</t>
        </is>
      </c>
      <c r="D644" s="16">
        <f>IF($C644="","",IFERROR(IF(INDEX(Deals!$C$2:$C$355,MATCH($C644,Deals!$A$2:$A$355,0))=0,"",INDEX(Deals!$C$2:$C$355,MATCH($C644,Deals!$A$2:$A$355,0))),"?"))</f>
        <v/>
      </c>
      <c r="E644" s="16">
        <f>IF($C644="","",IFERROR(INDEX(Deals!$F$2:$F$355,MATCH($C644,Deals!$A$2:$A$355,0)),"?"))</f>
        <v/>
      </c>
      <c r="F644" s="28" t="inlineStr">
        <is>
          <t>Renewable Specialist</t>
        </is>
      </c>
      <c r="G644" s="28" t="inlineStr">
        <is>
          <t>Active</t>
        </is>
      </c>
      <c r="H644" s="31" t="n"/>
      <c r="I644" s="32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1">
        <f>IF($C644="",0,IFERROR(INDEX(Deals!$H$2:$H$355,MATCH($C644,Deals!$A$2:$A$355,0)),0))</f>
        <v/>
      </c>
      <c r="K644" s="32">
        <f>IF(Settings!$B$4="Yes",$I644*$J644,$I644)</f>
        <v/>
      </c>
      <c r="L644" s="22">
        <f>IF($C644="","",IFERROR(IF(INDEX(Deals!$I$2:$I$355,MATCH($C644,Deals!$A$2:$A$355,0))=0,"",INDEX(Deals!$I$2:$I$355,MATCH($C644,Deals!$A$2:$A$355,0))),""))</f>
        <v/>
      </c>
      <c r="M644" s="22">
        <f>IF($C644="","",IFERROR(IF(INDEX(Deals!$J$2:$J$355,MATCH($C644,Deals!$A$2:$A$355,0))=0,"",INDEX(Deals!$J$2:$J$355,MATCH($C644,Deals!$A$2:$A$355,0))),""))</f>
        <v/>
      </c>
      <c r="N644" s="35">
        <f>IF($L644="",DATE(1900,1,1),$L644)</f>
        <v/>
      </c>
      <c r="O644" s="35">
        <f>IF($M644="",DATE(2100,12,31),$M644)</f>
        <v/>
      </c>
      <c r="P644" s="20" t="inlineStr"/>
      <c r="Q644" s="43" t="inlineStr"/>
      <c r="R644" s="16">
        <f>IF($C644="","",IFERROR(IF(INDEX(Deals!$U$2:$U$355,MATCH($C644,Deals!$A$2:$A$355,0))=0,"",INDEX(Deals!$U$2:$U$355,MATCH($C644,Deals!$A$2:$A$355,0))),""))</f>
        <v/>
      </c>
      <c r="S644" s="34">
        <f>IFERROR(IF($U644="",1,INDEX(Deals!$V$2:$V$355,MATCH($C644,Deals!$A$2:$A$355,0))),1)</f>
        <v/>
      </c>
      <c r="T644" s="34">
        <f>IFERROR(IF($U644="",1,INDEX(Deals!$W$2:$W$355,MATCH($C644,Deals!$A$2:$A$355,0))),1)</f>
        <v/>
      </c>
      <c r="U644" s="22">
        <f>IF($C644="","",IFERROR(IF(INDEX(Deals!$Y$2:$Y$355,MATCH($C644,Deals!$A$2:$A$355,0))=0,"",INDEX(Deals!$Y$2:$Y$355,MATCH($C644,Deals!$A$2:$A$355,0))),""))</f>
        <v/>
      </c>
      <c r="V644" s="35">
        <f>IF($U644="",DATE(1900,1,1),$N644)</f>
        <v/>
      </c>
      <c r="W644" s="35">
        <f>IF($U644="",DATE(2100,12,31),$U644)</f>
        <v/>
      </c>
      <c r="X644" s="32">
        <f>IF($U644="",$K644,$K644*$S644)</f>
        <v/>
      </c>
      <c r="Y644" s="35">
        <f>IF($U644="",DATE(2100,12,31),$U644+1)</f>
        <v/>
      </c>
      <c r="Z644" s="35">
        <f>IF($U644="",DATE(1900,1,1),$O644)</f>
        <v/>
      </c>
      <c r="AA644" s="32">
        <f>IF($U644="",0,$K644*$T644)</f>
        <v/>
      </c>
      <c r="AB644" s="21">
        <f>IF($C644="",0,IFERROR(INDEX(Deals!$AD$2:$AD$355,MATCH($C644,Deals!$A$2:$A$355,0)),0))</f>
        <v/>
      </c>
      <c r="AC644" s="32">
        <f>IF(Settings!$B$4="Yes",$I644*$AB644,$I644)</f>
        <v/>
      </c>
      <c r="AD644" s="22">
        <f>IF($C644="","",IFERROR(IF(INDEX(Deals!$AE$2:$AE$355,MATCH($C644,Deals!$A$2:$A$355,0))=0,"",INDEX(Deals!$AE$2:$AE$355,MATCH($C644,Deals!$A$2:$A$355,0))),""))</f>
        <v/>
      </c>
      <c r="AE644" s="22">
        <f>IF($C644="","",IFERROR(IF(INDEX(Deals!$AF$2:$AF$355,MATCH($C644,Deals!$A$2:$A$355,0))=0,"",INDEX(Deals!$AF$2:$AF$355,MATCH($C644,Deals!$A$2:$A$355,0))),""))</f>
        <v/>
      </c>
      <c r="AF644" s="35">
        <f>IF($AD644="",DATE(1900,1,1),$AD644)</f>
        <v/>
      </c>
      <c r="AG644" s="35">
        <f>IF($AE644="",DATE(2100,12,31),$AE644)</f>
        <v/>
      </c>
      <c r="AH644" s="22">
        <f>IF($C644="","",IFERROR(IF(INDEX(Deals!$AG$2:$AG$355,MATCH($C644,Deals!$A$2:$A$355,0))=0,"",INDEX(Deals!$AG$2:$AG$355,MATCH($C644,Deals!$A$2:$A$355,0))),""))</f>
        <v/>
      </c>
      <c r="AI644" s="35">
        <f>IF($AH644="",DATE(1900,1,1),$AF644)</f>
        <v/>
      </c>
      <c r="AJ644" s="35">
        <f>IF($AH644="",DATE(2100,12,31),$AH644)</f>
        <v/>
      </c>
      <c r="AK644" s="32">
        <f>IF($AH644="",$AC644,$AC644*$S644)</f>
        <v/>
      </c>
      <c r="AL644" s="35">
        <f>IF($AH644="",DATE(2100,12,31),$AH644+1)</f>
        <v/>
      </c>
      <c r="AM644" s="35">
        <f>IF($AH644="",DATE(1900,1,1),$AG644)</f>
        <v/>
      </c>
      <c r="AN644" s="32">
        <f>IF($AH644="",0,$AC644*$T644)</f>
        <v/>
      </c>
    </row>
    <row r="645">
      <c r="A645" s="28" t="inlineStr">
        <is>
          <t>Yiyi</t>
        </is>
      </c>
      <c r="B645" s="16">
        <f>IF($A645="","",IFERROR(INDEX(Roster!$B$2:$B$40,MATCH($A645,Roster!$A$2:$A$40,0)),"?"))</f>
        <v/>
      </c>
      <c r="C645" s="28" t="inlineStr">
        <is>
          <t>TEP Tax_1</t>
        </is>
      </c>
      <c r="D645" s="16">
        <f>IF($C645="","",IFERROR(IF(INDEX(Deals!$C$2:$C$355,MATCH($C645,Deals!$A$2:$A$355,0))=0,"",INDEX(Deals!$C$2:$C$355,MATCH($C645,Deals!$A$2:$A$355,0))),"?"))</f>
        <v/>
      </c>
      <c r="E645" s="16">
        <f>IF($C645="","",IFERROR(INDEX(Deals!$F$2:$F$355,MATCH($C645,Deals!$A$2:$A$355,0)),"?"))</f>
        <v/>
      </c>
      <c r="F645" s="28" t="inlineStr">
        <is>
          <t>Renewable Specialist</t>
        </is>
      </c>
      <c r="G645" s="28" t="inlineStr">
        <is>
          <t>Active</t>
        </is>
      </c>
      <c r="H645" s="31" t="n"/>
      <c r="I645" s="32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1">
        <f>IF($C645="",0,IFERROR(INDEX(Deals!$H$2:$H$355,MATCH($C645,Deals!$A$2:$A$355,0)),0))</f>
        <v/>
      </c>
      <c r="K645" s="32">
        <f>IF(Settings!$B$4="Yes",$I645*$J645,$I645)</f>
        <v/>
      </c>
      <c r="L645" s="22">
        <f>IF($C645="","",IFERROR(IF(INDEX(Deals!$I$2:$I$355,MATCH($C645,Deals!$A$2:$A$355,0))=0,"",INDEX(Deals!$I$2:$I$355,MATCH($C645,Deals!$A$2:$A$355,0))),""))</f>
        <v/>
      </c>
      <c r="M645" s="22">
        <f>IF($C645="","",IFERROR(IF(INDEX(Deals!$J$2:$J$355,MATCH($C645,Deals!$A$2:$A$355,0))=0,"",INDEX(Deals!$J$2:$J$355,MATCH($C645,Deals!$A$2:$A$355,0))),""))</f>
        <v/>
      </c>
      <c r="N645" s="35">
        <f>IF($L645="",DATE(1900,1,1),$L645)</f>
        <v/>
      </c>
      <c r="O645" s="35">
        <f>IF($M645="",DATE(2100,12,31),$M645)</f>
        <v/>
      </c>
      <c r="P645" s="20" t="inlineStr"/>
      <c r="Q645" s="43" t="inlineStr"/>
      <c r="R645" s="16">
        <f>IF($C645="","",IFERROR(IF(INDEX(Deals!$U$2:$U$355,MATCH($C645,Deals!$A$2:$A$355,0))=0,"",INDEX(Deals!$U$2:$U$355,MATCH($C645,Deals!$A$2:$A$355,0))),""))</f>
        <v/>
      </c>
      <c r="S645" s="34">
        <f>IFERROR(IF($U645="",1,INDEX(Deals!$V$2:$V$355,MATCH($C645,Deals!$A$2:$A$355,0))),1)</f>
        <v/>
      </c>
      <c r="T645" s="34">
        <f>IFERROR(IF($U645="",1,INDEX(Deals!$W$2:$W$355,MATCH($C645,Deals!$A$2:$A$355,0))),1)</f>
        <v/>
      </c>
      <c r="U645" s="22">
        <f>IF($C645="","",IFERROR(IF(INDEX(Deals!$Y$2:$Y$355,MATCH($C645,Deals!$A$2:$A$355,0))=0,"",INDEX(Deals!$Y$2:$Y$355,MATCH($C645,Deals!$A$2:$A$355,0))),""))</f>
        <v/>
      </c>
      <c r="V645" s="35">
        <f>IF($U645="",DATE(1900,1,1),$N645)</f>
        <v/>
      </c>
      <c r="W645" s="35">
        <f>IF($U645="",DATE(2100,12,31),$U645)</f>
        <v/>
      </c>
      <c r="X645" s="32">
        <f>IF($U645="",$K645,$K645*$S645)</f>
        <v/>
      </c>
      <c r="Y645" s="35">
        <f>IF($U645="",DATE(2100,12,31),$U645+1)</f>
        <v/>
      </c>
      <c r="Z645" s="35">
        <f>IF($U645="",DATE(1900,1,1),$O645)</f>
        <v/>
      </c>
      <c r="AA645" s="32">
        <f>IF($U645="",0,$K645*$T645)</f>
        <v/>
      </c>
      <c r="AB645" s="21">
        <f>IF($C645="",0,IFERROR(INDEX(Deals!$AD$2:$AD$355,MATCH($C645,Deals!$A$2:$A$355,0)),0))</f>
        <v/>
      </c>
      <c r="AC645" s="32">
        <f>IF(Settings!$B$4="Yes",$I645*$AB645,$I645)</f>
        <v/>
      </c>
      <c r="AD645" s="22">
        <f>IF($C645="","",IFERROR(IF(INDEX(Deals!$AE$2:$AE$355,MATCH($C645,Deals!$A$2:$A$355,0))=0,"",INDEX(Deals!$AE$2:$AE$355,MATCH($C645,Deals!$A$2:$A$355,0))),""))</f>
        <v/>
      </c>
      <c r="AE645" s="22">
        <f>IF($C645="","",IFERROR(IF(INDEX(Deals!$AF$2:$AF$355,MATCH($C645,Deals!$A$2:$A$355,0))=0,"",INDEX(Deals!$AF$2:$AF$355,MATCH($C645,Deals!$A$2:$A$355,0))),""))</f>
        <v/>
      </c>
      <c r="AF645" s="35">
        <f>IF($AD645="",DATE(1900,1,1),$AD645)</f>
        <v/>
      </c>
      <c r="AG645" s="35">
        <f>IF($AE645="",DATE(2100,12,31),$AE645)</f>
        <v/>
      </c>
      <c r="AH645" s="22">
        <f>IF($C645="","",IFERROR(IF(INDEX(Deals!$AG$2:$AG$355,MATCH($C645,Deals!$A$2:$A$355,0))=0,"",INDEX(Deals!$AG$2:$AG$355,MATCH($C645,Deals!$A$2:$A$355,0))),""))</f>
        <v/>
      </c>
      <c r="AI645" s="35">
        <f>IF($AH645="",DATE(1900,1,1),$AF645)</f>
        <v/>
      </c>
      <c r="AJ645" s="35">
        <f>IF($AH645="",DATE(2100,12,31),$AH645)</f>
        <v/>
      </c>
      <c r="AK645" s="32">
        <f>IF($AH645="",$AC645,$AC645*$S645)</f>
        <v/>
      </c>
      <c r="AL645" s="35">
        <f>IF($AH645="",DATE(2100,12,31),$AH645+1)</f>
        <v/>
      </c>
      <c r="AM645" s="35">
        <f>IF($AH645="",DATE(1900,1,1),$AG645)</f>
        <v/>
      </c>
      <c r="AN645" s="32">
        <f>IF($AH645="",0,$AC645*$T645)</f>
        <v/>
      </c>
    </row>
    <row r="646">
      <c r="A646" s="28" t="inlineStr">
        <is>
          <t>Yiyi</t>
        </is>
      </c>
      <c r="B646" s="16">
        <f>IF($A646="","",IFERROR(INDEX(Roster!$B$2:$B$40,MATCH($A646,Roster!$A$2:$A$40,0)),"?"))</f>
        <v/>
      </c>
      <c r="C646" s="28" t="inlineStr">
        <is>
          <t>Turtle_1</t>
        </is>
      </c>
      <c r="D646" s="16">
        <f>IF($C646="","",IFERROR(IF(INDEX(Deals!$C$2:$C$355,MATCH($C646,Deals!$A$2:$A$355,0))=0,"",INDEX(Deals!$C$2:$C$355,MATCH($C646,Deals!$A$2:$A$355,0))),"?"))</f>
        <v/>
      </c>
      <c r="E646" s="16">
        <f>IF($C646="","",IFERROR(INDEX(Deals!$F$2:$F$355,MATCH($C646,Deals!$A$2:$A$355,0)),"?"))</f>
        <v/>
      </c>
      <c r="F646" s="28" t="inlineStr">
        <is>
          <t>Renewable Specialist</t>
        </is>
      </c>
      <c r="G646" s="28" t="inlineStr">
        <is>
          <t>Active</t>
        </is>
      </c>
      <c r="H646" s="31" t="n"/>
      <c r="I646" s="32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1">
        <f>IF($C646="",0,IFERROR(INDEX(Deals!$H$2:$H$355,MATCH($C646,Deals!$A$2:$A$355,0)),0))</f>
        <v/>
      </c>
      <c r="K646" s="32">
        <f>IF(Settings!$B$4="Yes",$I646*$J646,$I646)</f>
        <v/>
      </c>
      <c r="L646" s="22">
        <f>IF($C646="","",IFERROR(IF(INDEX(Deals!$I$2:$I$355,MATCH($C646,Deals!$A$2:$A$355,0))=0,"",INDEX(Deals!$I$2:$I$355,MATCH($C646,Deals!$A$2:$A$355,0))),""))</f>
        <v/>
      </c>
      <c r="M646" s="22">
        <f>IF($C646="","",IFERROR(IF(INDEX(Deals!$J$2:$J$355,MATCH($C646,Deals!$A$2:$A$355,0))=0,"",INDEX(Deals!$J$2:$J$355,MATCH($C646,Deals!$A$2:$A$355,0))),""))</f>
        <v/>
      </c>
      <c r="N646" s="35">
        <f>IF($L646="",DATE(1900,1,1),$L646)</f>
        <v/>
      </c>
      <c r="O646" s="35">
        <f>IF($M646="",DATE(2100,12,31),$M646)</f>
        <v/>
      </c>
      <c r="P646" s="20" t="inlineStr"/>
      <c r="Q646" s="43" t="inlineStr"/>
      <c r="R646" s="16">
        <f>IF($C646="","",IFERROR(IF(INDEX(Deals!$U$2:$U$355,MATCH($C646,Deals!$A$2:$A$355,0))=0,"",INDEX(Deals!$U$2:$U$355,MATCH($C646,Deals!$A$2:$A$355,0))),""))</f>
        <v/>
      </c>
      <c r="S646" s="34">
        <f>IFERROR(IF($U646="",1,INDEX(Deals!$V$2:$V$355,MATCH($C646,Deals!$A$2:$A$355,0))),1)</f>
        <v/>
      </c>
      <c r="T646" s="34">
        <f>IFERROR(IF($U646="",1,INDEX(Deals!$W$2:$W$355,MATCH($C646,Deals!$A$2:$A$355,0))),1)</f>
        <v/>
      </c>
      <c r="U646" s="22">
        <f>IF($C646="","",IFERROR(IF(INDEX(Deals!$Y$2:$Y$355,MATCH($C646,Deals!$A$2:$A$355,0))=0,"",INDEX(Deals!$Y$2:$Y$355,MATCH($C646,Deals!$A$2:$A$355,0))),""))</f>
        <v/>
      </c>
      <c r="V646" s="35">
        <f>IF($U646="",DATE(1900,1,1),$N646)</f>
        <v/>
      </c>
      <c r="W646" s="35">
        <f>IF($U646="",DATE(2100,12,31),$U646)</f>
        <v/>
      </c>
      <c r="X646" s="32">
        <f>IF($U646="",$K646,$K646*$S646)</f>
        <v/>
      </c>
      <c r="Y646" s="35">
        <f>IF($U646="",DATE(2100,12,31),$U646+1)</f>
        <v/>
      </c>
      <c r="Z646" s="35">
        <f>IF($U646="",DATE(1900,1,1),$O646)</f>
        <v/>
      </c>
      <c r="AA646" s="32">
        <f>IF($U646="",0,$K646*$T646)</f>
        <v/>
      </c>
      <c r="AB646" s="21">
        <f>IF($C646="",0,IFERROR(INDEX(Deals!$AD$2:$AD$355,MATCH($C646,Deals!$A$2:$A$355,0)),0))</f>
        <v/>
      </c>
      <c r="AC646" s="32">
        <f>IF(Settings!$B$4="Yes",$I646*$AB646,$I646)</f>
        <v/>
      </c>
      <c r="AD646" s="22">
        <f>IF($C646="","",IFERROR(IF(INDEX(Deals!$AE$2:$AE$355,MATCH($C646,Deals!$A$2:$A$355,0))=0,"",INDEX(Deals!$AE$2:$AE$355,MATCH($C646,Deals!$A$2:$A$355,0))),""))</f>
        <v/>
      </c>
      <c r="AE646" s="22">
        <f>IF($C646="","",IFERROR(IF(INDEX(Deals!$AF$2:$AF$355,MATCH($C646,Deals!$A$2:$A$355,0))=0,"",INDEX(Deals!$AF$2:$AF$355,MATCH($C646,Deals!$A$2:$A$355,0))),""))</f>
        <v/>
      </c>
      <c r="AF646" s="35">
        <f>IF($AD646="",DATE(1900,1,1),$AD646)</f>
        <v/>
      </c>
      <c r="AG646" s="35">
        <f>IF($AE646="",DATE(2100,12,31),$AE646)</f>
        <v/>
      </c>
      <c r="AH646" s="22">
        <f>IF($C646="","",IFERROR(IF(INDEX(Deals!$AG$2:$AG$355,MATCH($C646,Deals!$A$2:$A$355,0))=0,"",INDEX(Deals!$AG$2:$AG$355,MATCH($C646,Deals!$A$2:$A$355,0))),""))</f>
        <v/>
      </c>
      <c r="AI646" s="35">
        <f>IF($AH646="",DATE(1900,1,1),$AF646)</f>
        <v/>
      </c>
      <c r="AJ646" s="35">
        <f>IF($AH646="",DATE(2100,12,31),$AH646)</f>
        <v/>
      </c>
      <c r="AK646" s="32">
        <f>IF($AH646="",$AC646,$AC646*$S646)</f>
        <v/>
      </c>
      <c r="AL646" s="35">
        <f>IF($AH646="",DATE(2100,12,31),$AH646+1)</f>
        <v/>
      </c>
      <c r="AM646" s="35">
        <f>IF($AH646="",DATE(1900,1,1),$AG646)</f>
        <v/>
      </c>
      <c r="AN646" s="32">
        <f>IF($AH646="",0,$AC646*$T646)</f>
        <v/>
      </c>
    </row>
    <row r="647">
      <c r="A647" s="28" t="inlineStr">
        <is>
          <t>Yiyi</t>
        </is>
      </c>
      <c r="B647" s="16">
        <f>IF($A647="","",IFERROR(INDEX(Roster!$B$2:$B$40,MATCH($A647,Roster!$A$2:$A$40,0)),"?"))</f>
        <v/>
      </c>
      <c r="C647" s="28" t="inlineStr">
        <is>
          <t>Ulysses_2</t>
        </is>
      </c>
      <c r="D647" s="16">
        <f>IF($C647="","",IFERROR(IF(INDEX(Deals!$C$2:$C$355,MATCH($C647,Deals!$A$2:$A$355,0))=0,"",INDEX(Deals!$C$2:$C$355,MATCH($C647,Deals!$A$2:$A$355,0))),"?"))</f>
        <v/>
      </c>
      <c r="E647" s="16">
        <f>IF($C647="","",IFERROR(INDEX(Deals!$F$2:$F$355,MATCH($C647,Deals!$A$2:$A$355,0)),"?"))</f>
        <v/>
      </c>
      <c r="F647" s="28" t="inlineStr">
        <is>
          <t>Renewable Specialist</t>
        </is>
      </c>
      <c r="G647" s="28" t="inlineStr">
        <is>
          <t>Active</t>
        </is>
      </c>
      <c r="H647" s="31" t="n"/>
      <c r="I647" s="32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1">
        <f>IF($C647="",0,IFERROR(INDEX(Deals!$H$2:$H$355,MATCH($C647,Deals!$A$2:$A$355,0)),0))</f>
        <v/>
      </c>
      <c r="K647" s="32">
        <f>IF(Settings!$B$4="Yes",$I647*$J647,$I647)</f>
        <v/>
      </c>
      <c r="L647" s="22">
        <f>IF($C647="","",IFERROR(IF(INDEX(Deals!$I$2:$I$355,MATCH($C647,Deals!$A$2:$A$355,0))=0,"",INDEX(Deals!$I$2:$I$355,MATCH($C647,Deals!$A$2:$A$355,0))),""))</f>
        <v/>
      </c>
      <c r="M647" s="22">
        <f>IF($C647="","",IFERROR(IF(INDEX(Deals!$J$2:$J$355,MATCH($C647,Deals!$A$2:$A$355,0))=0,"",INDEX(Deals!$J$2:$J$355,MATCH($C647,Deals!$A$2:$A$355,0))),""))</f>
        <v/>
      </c>
      <c r="N647" s="35">
        <f>IF($L647="",DATE(1900,1,1),$L647)</f>
        <v/>
      </c>
      <c r="O647" s="35">
        <f>IF($M647="",DATE(2100,12,31),$M647)</f>
        <v/>
      </c>
      <c r="P647" s="20" t="inlineStr"/>
      <c r="Q647" s="43" t="inlineStr"/>
      <c r="R647" s="16">
        <f>IF($C647="","",IFERROR(IF(INDEX(Deals!$U$2:$U$355,MATCH($C647,Deals!$A$2:$A$355,0))=0,"",INDEX(Deals!$U$2:$U$355,MATCH($C647,Deals!$A$2:$A$355,0))),""))</f>
        <v/>
      </c>
      <c r="S647" s="34">
        <f>IFERROR(IF($U647="",1,INDEX(Deals!$V$2:$V$355,MATCH($C647,Deals!$A$2:$A$355,0))),1)</f>
        <v/>
      </c>
      <c r="T647" s="34">
        <f>IFERROR(IF($U647="",1,INDEX(Deals!$W$2:$W$355,MATCH($C647,Deals!$A$2:$A$355,0))),1)</f>
        <v/>
      </c>
      <c r="U647" s="22">
        <f>IF($C647="","",IFERROR(IF(INDEX(Deals!$Y$2:$Y$355,MATCH($C647,Deals!$A$2:$A$355,0))=0,"",INDEX(Deals!$Y$2:$Y$355,MATCH($C647,Deals!$A$2:$A$355,0))),""))</f>
        <v/>
      </c>
      <c r="V647" s="35">
        <f>IF($U647="",DATE(1900,1,1),$N647)</f>
        <v/>
      </c>
      <c r="W647" s="35">
        <f>IF($U647="",DATE(2100,12,31),$U647)</f>
        <v/>
      </c>
      <c r="X647" s="32">
        <f>IF($U647="",$K647,$K647*$S647)</f>
        <v/>
      </c>
      <c r="Y647" s="35">
        <f>IF($U647="",DATE(2100,12,31),$U647+1)</f>
        <v/>
      </c>
      <c r="Z647" s="35">
        <f>IF($U647="",DATE(1900,1,1),$O647)</f>
        <v/>
      </c>
      <c r="AA647" s="32">
        <f>IF($U647="",0,$K647*$T647)</f>
        <v/>
      </c>
      <c r="AB647" s="21">
        <f>IF($C647="",0,IFERROR(INDEX(Deals!$AD$2:$AD$355,MATCH($C647,Deals!$A$2:$A$355,0)),0))</f>
        <v/>
      </c>
      <c r="AC647" s="32">
        <f>IF(Settings!$B$4="Yes",$I647*$AB647,$I647)</f>
        <v/>
      </c>
      <c r="AD647" s="22">
        <f>IF($C647="","",IFERROR(IF(INDEX(Deals!$AE$2:$AE$355,MATCH($C647,Deals!$A$2:$A$355,0))=0,"",INDEX(Deals!$AE$2:$AE$355,MATCH($C647,Deals!$A$2:$A$355,0))),""))</f>
        <v/>
      </c>
      <c r="AE647" s="22">
        <f>IF($C647="","",IFERROR(IF(INDEX(Deals!$AF$2:$AF$355,MATCH($C647,Deals!$A$2:$A$355,0))=0,"",INDEX(Deals!$AF$2:$AF$355,MATCH($C647,Deals!$A$2:$A$355,0))),""))</f>
        <v/>
      </c>
      <c r="AF647" s="35">
        <f>IF($AD647="",DATE(1900,1,1),$AD647)</f>
        <v/>
      </c>
      <c r="AG647" s="35">
        <f>IF($AE647="",DATE(2100,12,31),$AE647)</f>
        <v/>
      </c>
      <c r="AH647" s="22">
        <f>IF($C647="","",IFERROR(IF(INDEX(Deals!$AG$2:$AG$355,MATCH($C647,Deals!$A$2:$A$355,0))=0,"",INDEX(Deals!$AG$2:$AG$355,MATCH($C647,Deals!$A$2:$A$355,0))),""))</f>
        <v/>
      </c>
      <c r="AI647" s="35">
        <f>IF($AH647="",DATE(1900,1,1),$AF647)</f>
        <v/>
      </c>
      <c r="AJ647" s="35">
        <f>IF($AH647="",DATE(2100,12,31),$AH647)</f>
        <v/>
      </c>
      <c r="AK647" s="32">
        <f>IF($AH647="",$AC647,$AC647*$S647)</f>
        <v/>
      </c>
      <c r="AL647" s="35">
        <f>IF($AH647="",DATE(2100,12,31),$AH647+1)</f>
        <v/>
      </c>
      <c r="AM647" s="35">
        <f>IF($AH647="",DATE(1900,1,1),$AG647)</f>
        <v/>
      </c>
      <c r="AN647" s="32">
        <f>IF($AH647="",0,$AC647*$T647)</f>
        <v/>
      </c>
    </row>
    <row r="648">
      <c r="A648" s="28" t="inlineStr">
        <is>
          <t>Yiyi</t>
        </is>
      </c>
      <c r="B648" s="16">
        <f>IF($A648="","",IFERROR(INDEX(Roster!$B$2:$B$40,MATCH($A648,Roster!$A$2:$A$40,0)),"?"))</f>
        <v/>
      </c>
      <c r="C648" s="28" t="inlineStr">
        <is>
          <t>Upstream_3</t>
        </is>
      </c>
      <c r="D648" s="16">
        <f>IF($C648="","",IFERROR(IF(INDEX(Deals!$C$2:$C$355,MATCH($C648,Deals!$A$2:$A$355,0))=0,"",INDEX(Deals!$C$2:$C$355,MATCH($C648,Deals!$A$2:$A$355,0))),"?"))</f>
        <v/>
      </c>
      <c r="E648" s="16">
        <f>IF($C648="","",IFERROR(INDEX(Deals!$F$2:$F$355,MATCH($C648,Deals!$A$2:$A$355,0)),"?"))</f>
        <v/>
      </c>
      <c r="F648" s="28" t="inlineStr">
        <is>
          <t>Renewable Specialist</t>
        </is>
      </c>
      <c r="G648" s="28" t="inlineStr">
        <is>
          <t>Active</t>
        </is>
      </c>
      <c r="H648" s="31" t="n"/>
      <c r="I648" s="32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1">
        <f>IF($C648="",0,IFERROR(INDEX(Deals!$H$2:$H$355,MATCH($C648,Deals!$A$2:$A$355,0)),0))</f>
        <v/>
      </c>
      <c r="K648" s="32">
        <f>IF(Settings!$B$4="Yes",$I648*$J648,$I648)</f>
        <v/>
      </c>
      <c r="L648" s="22">
        <f>IF($C648="","",IFERROR(IF(INDEX(Deals!$I$2:$I$355,MATCH($C648,Deals!$A$2:$A$355,0))=0,"",INDEX(Deals!$I$2:$I$355,MATCH($C648,Deals!$A$2:$A$355,0))),""))</f>
        <v/>
      </c>
      <c r="M648" s="22">
        <f>IF($C648="","",IFERROR(IF(INDEX(Deals!$J$2:$J$355,MATCH($C648,Deals!$A$2:$A$355,0))=0,"",INDEX(Deals!$J$2:$J$355,MATCH($C648,Deals!$A$2:$A$355,0))),""))</f>
        <v/>
      </c>
      <c r="N648" s="35">
        <f>IF($L648="",DATE(1900,1,1),$L648)</f>
        <v/>
      </c>
      <c r="O648" s="35">
        <f>IF($M648="",DATE(2100,12,31),$M648)</f>
        <v/>
      </c>
      <c r="P648" s="20" t="inlineStr"/>
      <c r="Q648" s="43" t="inlineStr"/>
      <c r="R648" s="16">
        <f>IF($C648="","",IFERROR(IF(INDEX(Deals!$U$2:$U$355,MATCH($C648,Deals!$A$2:$A$355,0))=0,"",INDEX(Deals!$U$2:$U$355,MATCH($C648,Deals!$A$2:$A$355,0))),""))</f>
        <v/>
      </c>
      <c r="S648" s="34">
        <f>IFERROR(IF($U648="",1,INDEX(Deals!$V$2:$V$355,MATCH($C648,Deals!$A$2:$A$355,0))),1)</f>
        <v/>
      </c>
      <c r="T648" s="34">
        <f>IFERROR(IF($U648="",1,INDEX(Deals!$W$2:$W$355,MATCH($C648,Deals!$A$2:$A$355,0))),1)</f>
        <v/>
      </c>
      <c r="U648" s="22">
        <f>IF($C648="","",IFERROR(IF(INDEX(Deals!$Y$2:$Y$355,MATCH($C648,Deals!$A$2:$A$355,0))=0,"",INDEX(Deals!$Y$2:$Y$355,MATCH($C648,Deals!$A$2:$A$355,0))),""))</f>
        <v/>
      </c>
      <c r="V648" s="35">
        <f>IF($U648="",DATE(1900,1,1),$N648)</f>
        <v/>
      </c>
      <c r="W648" s="35">
        <f>IF($U648="",DATE(2100,12,31),$U648)</f>
        <v/>
      </c>
      <c r="X648" s="32">
        <f>IF($U648="",$K648,$K648*$S648)</f>
        <v/>
      </c>
      <c r="Y648" s="35">
        <f>IF($U648="",DATE(2100,12,31),$U648+1)</f>
        <v/>
      </c>
      <c r="Z648" s="35">
        <f>IF($U648="",DATE(1900,1,1),$O648)</f>
        <v/>
      </c>
      <c r="AA648" s="32">
        <f>IF($U648="",0,$K648*$T648)</f>
        <v/>
      </c>
      <c r="AB648" s="21">
        <f>IF($C648="",0,IFERROR(INDEX(Deals!$AD$2:$AD$355,MATCH($C648,Deals!$A$2:$A$355,0)),0))</f>
        <v/>
      </c>
      <c r="AC648" s="32">
        <f>IF(Settings!$B$4="Yes",$I648*$AB648,$I648)</f>
        <v/>
      </c>
      <c r="AD648" s="22">
        <f>IF($C648="","",IFERROR(IF(INDEX(Deals!$AE$2:$AE$355,MATCH($C648,Deals!$A$2:$A$355,0))=0,"",INDEX(Deals!$AE$2:$AE$355,MATCH($C648,Deals!$A$2:$A$355,0))),""))</f>
        <v/>
      </c>
      <c r="AE648" s="22">
        <f>IF($C648="","",IFERROR(IF(INDEX(Deals!$AF$2:$AF$355,MATCH($C648,Deals!$A$2:$A$355,0))=0,"",INDEX(Deals!$AF$2:$AF$355,MATCH($C648,Deals!$A$2:$A$355,0))),""))</f>
        <v/>
      </c>
      <c r="AF648" s="35">
        <f>IF($AD648="",DATE(1900,1,1),$AD648)</f>
        <v/>
      </c>
      <c r="AG648" s="35">
        <f>IF($AE648="",DATE(2100,12,31),$AE648)</f>
        <v/>
      </c>
      <c r="AH648" s="22">
        <f>IF($C648="","",IFERROR(IF(INDEX(Deals!$AG$2:$AG$355,MATCH($C648,Deals!$A$2:$A$355,0))=0,"",INDEX(Deals!$AG$2:$AG$355,MATCH($C648,Deals!$A$2:$A$355,0))),""))</f>
        <v/>
      </c>
      <c r="AI648" s="35">
        <f>IF($AH648="",DATE(1900,1,1),$AF648)</f>
        <v/>
      </c>
      <c r="AJ648" s="35">
        <f>IF($AH648="",DATE(2100,12,31),$AH648)</f>
        <v/>
      </c>
      <c r="AK648" s="32">
        <f>IF($AH648="",$AC648,$AC648*$S648)</f>
        <v/>
      </c>
      <c r="AL648" s="35">
        <f>IF($AH648="",DATE(2100,12,31),$AH648+1)</f>
        <v/>
      </c>
      <c r="AM648" s="35">
        <f>IF($AH648="",DATE(1900,1,1),$AG648)</f>
        <v/>
      </c>
      <c r="AN648" s="32">
        <f>IF($AH648="",0,$AC648*$T648)</f>
        <v/>
      </c>
    </row>
    <row r="649">
      <c r="A649" s="28" t="inlineStr">
        <is>
          <t>Yiyi</t>
        </is>
      </c>
      <c r="B649" s="16">
        <f>IF($A649="","",IFERROR(INDEX(Roster!$B$2:$B$40,MATCH($A649,Roster!$A$2:$A$40,0)),"?"))</f>
        <v/>
      </c>
      <c r="C649" s="28" t="inlineStr">
        <is>
          <t>Vega_1</t>
        </is>
      </c>
      <c r="D649" s="16">
        <f>IF($C649="","",IFERROR(IF(INDEX(Deals!$C$2:$C$355,MATCH($C649,Deals!$A$2:$A$355,0))=0,"",INDEX(Deals!$C$2:$C$355,MATCH($C649,Deals!$A$2:$A$355,0))),"?"))</f>
        <v/>
      </c>
      <c r="E649" s="16">
        <f>IF($C649="","",IFERROR(INDEX(Deals!$F$2:$F$355,MATCH($C649,Deals!$A$2:$A$355,0)),"?"))</f>
        <v/>
      </c>
      <c r="F649" s="28" t="inlineStr">
        <is>
          <t>Renewable Specialist</t>
        </is>
      </c>
      <c r="G649" s="28" t="inlineStr">
        <is>
          <t>Active</t>
        </is>
      </c>
      <c r="H649" s="31" t="n"/>
      <c r="I649" s="32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1">
        <f>IF($C649="",0,IFERROR(INDEX(Deals!$H$2:$H$355,MATCH($C649,Deals!$A$2:$A$355,0)),0))</f>
        <v/>
      </c>
      <c r="K649" s="32">
        <f>IF(Settings!$B$4="Yes",$I649*$J649,$I649)</f>
        <v/>
      </c>
      <c r="L649" s="22">
        <f>IF($C649="","",IFERROR(IF(INDEX(Deals!$I$2:$I$355,MATCH($C649,Deals!$A$2:$A$355,0))=0,"",INDEX(Deals!$I$2:$I$355,MATCH($C649,Deals!$A$2:$A$355,0))),""))</f>
        <v/>
      </c>
      <c r="M649" s="22">
        <f>IF($C649="","",IFERROR(IF(INDEX(Deals!$J$2:$J$355,MATCH($C649,Deals!$A$2:$A$355,0))=0,"",INDEX(Deals!$J$2:$J$355,MATCH($C649,Deals!$A$2:$A$355,0))),""))</f>
        <v/>
      </c>
      <c r="N649" s="35">
        <f>IF($L649="",DATE(1900,1,1),$L649)</f>
        <v/>
      </c>
      <c r="O649" s="35">
        <f>IF($M649="",DATE(2100,12,31),$M649)</f>
        <v/>
      </c>
      <c r="P649" s="20" t="inlineStr"/>
      <c r="Q649" s="43" t="inlineStr"/>
      <c r="R649" s="16">
        <f>IF($C649="","",IFERROR(IF(INDEX(Deals!$U$2:$U$355,MATCH($C649,Deals!$A$2:$A$355,0))=0,"",INDEX(Deals!$U$2:$U$355,MATCH($C649,Deals!$A$2:$A$355,0))),""))</f>
        <v/>
      </c>
      <c r="S649" s="34">
        <f>IFERROR(IF($U649="",1,INDEX(Deals!$V$2:$V$355,MATCH($C649,Deals!$A$2:$A$355,0))),1)</f>
        <v/>
      </c>
      <c r="T649" s="34">
        <f>IFERROR(IF($U649="",1,INDEX(Deals!$W$2:$W$355,MATCH($C649,Deals!$A$2:$A$355,0))),1)</f>
        <v/>
      </c>
      <c r="U649" s="22">
        <f>IF($C649="","",IFERROR(IF(INDEX(Deals!$Y$2:$Y$355,MATCH($C649,Deals!$A$2:$A$355,0))=0,"",INDEX(Deals!$Y$2:$Y$355,MATCH($C649,Deals!$A$2:$A$355,0))),""))</f>
        <v/>
      </c>
      <c r="V649" s="35">
        <f>IF($U649="",DATE(1900,1,1),$N649)</f>
        <v/>
      </c>
      <c r="W649" s="35">
        <f>IF($U649="",DATE(2100,12,31),$U649)</f>
        <v/>
      </c>
      <c r="X649" s="32">
        <f>IF($U649="",$K649,$K649*$S649)</f>
        <v/>
      </c>
      <c r="Y649" s="35">
        <f>IF($U649="",DATE(2100,12,31),$U649+1)</f>
        <v/>
      </c>
      <c r="Z649" s="35">
        <f>IF($U649="",DATE(1900,1,1),$O649)</f>
        <v/>
      </c>
      <c r="AA649" s="32">
        <f>IF($U649="",0,$K649*$T649)</f>
        <v/>
      </c>
      <c r="AB649" s="21">
        <f>IF($C649="",0,IFERROR(INDEX(Deals!$AD$2:$AD$355,MATCH($C649,Deals!$A$2:$A$355,0)),0))</f>
        <v/>
      </c>
      <c r="AC649" s="32">
        <f>IF(Settings!$B$4="Yes",$I649*$AB649,$I649)</f>
        <v/>
      </c>
      <c r="AD649" s="22">
        <f>IF($C649="","",IFERROR(IF(INDEX(Deals!$AE$2:$AE$355,MATCH($C649,Deals!$A$2:$A$355,0))=0,"",INDEX(Deals!$AE$2:$AE$355,MATCH($C649,Deals!$A$2:$A$355,0))),""))</f>
        <v/>
      </c>
      <c r="AE649" s="22">
        <f>IF($C649="","",IFERROR(IF(INDEX(Deals!$AF$2:$AF$355,MATCH($C649,Deals!$A$2:$A$355,0))=0,"",INDEX(Deals!$AF$2:$AF$355,MATCH($C649,Deals!$A$2:$A$355,0))),""))</f>
        <v/>
      </c>
      <c r="AF649" s="35">
        <f>IF($AD649="",DATE(1900,1,1),$AD649)</f>
        <v/>
      </c>
      <c r="AG649" s="35">
        <f>IF($AE649="",DATE(2100,12,31),$AE649)</f>
        <v/>
      </c>
      <c r="AH649" s="22">
        <f>IF($C649="","",IFERROR(IF(INDEX(Deals!$AG$2:$AG$355,MATCH($C649,Deals!$A$2:$A$355,0))=0,"",INDEX(Deals!$AG$2:$AG$355,MATCH($C649,Deals!$A$2:$A$355,0))),""))</f>
        <v/>
      </c>
      <c r="AI649" s="35">
        <f>IF($AH649="",DATE(1900,1,1),$AF649)</f>
        <v/>
      </c>
      <c r="AJ649" s="35">
        <f>IF($AH649="",DATE(2100,12,31),$AH649)</f>
        <v/>
      </c>
      <c r="AK649" s="32">
        <f>IF($AH649="",$AC649,$AC649*$S649)</f>
        <v/>
      </c>
      <c r="AL649" s="35">
        <f>IF($AH649="",DATE(2100,12,31),$AH649+1)</f>
        <v/>
      </c>
      <c r="AM649" s="35">
        <f>IF($AH649="",DATE(1900,1,1),$AG649)</f>
        <v/>
      </c>
      <c r="AN649" s="32">
        <f>IF($AH649="",0,$AC649*$T649)</f>
        <v/>
      </c>
    </row>
    <row r="650">
      <c r="A650" s="28" t="inlineStr">
        <is>
          <t>Yiyi</t>
        </is>
      </c>
      <c r="B650" s="16">
        <f>IF($A650="","",IFERROR(INDEX(Roster!$B$2:$B$40,MATCH($A650,Roster!$A$2:$A$40,0)),"?"))</f>
        <v/>
      </c>
      <c r="C650" s="28" t="inlineStr">
        <is>
          <t>Victoria_2</t>
        </is>
      </c>
      <c r="D650" s="16">
        <f>IF($C650="","",IFERROR(IF(INDEX(Deals!$C$2:$C$355,MATCH($C650,Deals!$A$2:$A$355,0))=0,"",INDEX(Deals!$C$2:$C$355,MATCH($C650,Deals!$A$2:$A$355,0))),"?"))</f>
        <v/>
      </c>
      <c r="E650" s="16">
        <f>IF($C650="","",IFERROR(INDEX(Deals!$F$2:$F$355,MATCH($C650,Deals!$A$2:$A$355,0)),"?"))</f>
        <v/>
      </c>
      <c r="F650" s="28" t="inlineStr">
        <is>
          <t>Renewable Specialist</t>
        </is>
      </c>
      <c r="G650" s="28" t="inlineStr">
        <is>
          <t>Active</t>
        </is>
      </c>
      <c r="H650" s="31" t="n"/>
      <c r="I650" s="32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1">
        <f>IF($C650="",0,IFERROR(INDEX(Deals!$H$2:$H$355,MATCH($C650,Deals!$A$2:$A$355,0)),0))</f>
        <v/>
      </c>
      <c r="K650" s="32">
        <f>IF(Settings!$B$4="Yes",$I650*$J650,$I650)</f>
        <v/>
      </c>
      <c r="L650" s="22">
        <f>IF($C650="","",IFERROR(IF(INDEX(Deals!$I$2:$I$355,MATCH($C650,Deals!$A$2:$A$355,0))=0,"",INDEX(Deals!$I$2:$I$355,MATCH($C650,Deals!$A$2:$A$355,0))),""))</f>
        <v/>
      </c>
      <c r="M650" s="22">
        <f>IF($C650="","",IFERROR(IF(INDEX(Deals!$J$2:$J$355,MATCH($C650,Deals!$A$2:$A$355,0))=0,"",INDEX(Deals!$J$2:$J$355,MATCH($C650,Deals!$A$2:$A$355,0))),""))</f>
        <v/>
      </c>
      <c r="N650" s="35">
        <f>IF($L650="",DATE(1900,1,1),$L650)</f>
        <v/>
      </c>
      <c r="O650" s="35">
        <f>IF($M650="",DATE(2100,12,31),$M650)</f>
        <v/>
      </c>
      <c r="P650" s="20" t="inlineStr"/>
      <c r="Q650" s="43" t="inlineStr"/>
      <c r="R650" s="16">
        <f>IF($C650="","",IFERROR(IF(INDEX(Deals!$U$2:$U$355,MATCH($C650,Deals!$A$2:$A$355,0))=0,"",INDEX(Deals!$U$2:$U$355,MATCH($C650,Deals!$A$2:$A$355,0))),""))</f>
        <v/>
      </c>
      <c r="S650" s="34">
        <f>IFERROR(IF($U650="",1,INDEX(Deals!$V$2:$V$355,MATCH($C650,Deals!$A$2:$A$355,0))),1)</f>
        <v/>
      </c>
      <c r="T650" s="34">
        <f>IFERROR(IF($U650="",1,INDEX(Deals!$W$2:$W$355,MATCH($C650,Deals!$A$2:$A$355,0))),1)</f>
        <v/>
      </c>
      <c r="U650" s="22">
        <f>IF($C650="","",IFERROR(IF(INDEX(Deals!$Y$2:$Y$355,MATCH($C650,Deals!$A$2:$A$355,0))=0,"",INDEX(Deals!$Y$2:$Y$355,MATCH($C650,Deals!$A$2:$A$355,0))),""))</f>
        <v/>
      </c>
      <c r="V650" s="35">
        <f>IF($U650="",DATE(1900,1,1),$N650)</f>
        <v/>
      </c>
      <c r="W650" s="35">
        <f>IF($U650="",DATE(2100,12,31),$U650)</f>
        <v/>
      </c>
      <c r="X650" s="32">
        <f>IF($U650="",$K650,$K650*$S650)</f>
        <v/>
      </c>
      <c r="Y650" s="35">
        <f>IF($U650="",DATE(2100,12,31),$U650+1)</f>
        <v/>
      </c>
      <c r="Z650" s="35">
        <f>IF($U650="",DATE(1900,1,1),$O650)</f>
        <v/>
      </c>
      <c r="AA650" s="32">
        <f>IF($U650="",0,$K650*$T650)</f>
        <v/>
      </c>
      <c r="AB650" s="21">
        <f>IF($C650="",0,IFERROR(INDEX(Deals!$AD$2:$AD$355,MATCH($C650,Deals!$A$2:$A$355,0)),0))</f>
        <v/>
      </c>
      <c r="AC650" s="32">
        <f>IF(Settings!$B$4="Yes",$I650*$AB650,$I650)</f>
        <v/>
      </c>
      <c r="AD650" s="22">
        <f>IF($C650="","",IFERROR(IF(INDEX(Deals!$AE$2:$AE$355,MATCH($C650,Deals!$A$2:$A$355,0))=0,"",INDEX(Deals!$AE$2:$AE$355,MATCH($C650,Deals!$A$2:$A$355,0))),""))</f>
        <v/>
      </c>
      <c r="AE650" s="22">
        <f>IF($C650="","",IFERROR(IF(INDEX(Deals!$AF$2:$AF$355,MATCH($C650,Deals!$A$2:$A$355,0))=0,"",INDEX(Deals!$AF$2:$AF$355,MATCH($C650,Deals!$A$2:$A$355,0))),""))</f>
        <v/>
      </c>
      <c r="AF650" s="35">
        <f>IF($AD650="",DATE(1900,1,1),$AD650)</f>
        <v/>
      </c>
      <c r="AG650" s="35">
        <f>IF($AE650="",DATE(2100,12,31),$AE650)</f>
        <v/>
      </c>
      <c r="AH650" s="22">
        <f>IF($C650="","",IFERROR(IF(INDEX(Deals!$AG$2:$AG$355,MATCH($C650,Deals!$A$2:$A$355,0))=0,"",INDEX(Deals!$AG$2:$AG$355,MATCH($C650,Deals!$A$2:$A$355,0))),""))</f>
        <v/>
      </c>
      <c r="AI650" s="35">
        <f>IF($AH650="",DATE(1900,1,1),$AF650)</f>
        <v/>
      </c>
      <c r="AJ650" s="35">
        <f>IF($AH650="",DATE(2100,12,31),$AH650)</f>
        <v/>
      </c>
      <c r="AK650" s="32">
        <f>IF($AH650="",$AC650,$AC650*$S650)</f>
        <v/>
      </c>
      <c r="AL650" s="35">
        <f>IF($AH650="",DATE(2100,12,31),$AH650+1)</f>
        <v/>
      </c>
      <c r="AM650" s="35">
        <f>IF($AH650="",DATE(1900,1,1),$AG650)</f>
        <v/>
      </c>
      <c r="AN650" s="32">
        <f>IF($AH650="",0,$AC650*$T650)</f>
        <v/>
      </c>
    </row>
    <row r="651">
      <c r="A651" s="28" t="inlineStr">
        <is>
          <t>Yiyi</t>
        </is>
      </c>
      <c r="B651" s="16">
        <f>IF($A651="","",IFERROR(INDEX(Roster!$B$2:$B$40,MATCH($A651,Roster!$A$2:$A$40,0)),"?"))</f>
        <v/>
      </c>
      <c r="C651" s="28" t="inlineStr">
        <is>
          <t>VW1_1</t>
        </is>
      </c>
      <c r="D651" s="16">
        <f>IF($C651="","",IFERROR(IF(INDEX(Deals!$C$2:$C$355,MATCH($C651,Deals!$A$2:$A$355,0))=0,"",INDEX(Deals!$C$2:$C$355,MATCH($C651,Deals!$A$2:$A$355,0))),"?"))</f>
        <v/>
      </c>
      <c r="E651" s="16">
        <f>IF($C651="","",IFERROR(INDEX(Deals!$F$2:$F$355,MATCH($C651,Deals!$A$2:$A$355,0)),"?"))</f>
        <v/>
      </c>
      <c r="F651" s="28" t="inlineStr">
        <is>
          <t>Renewable Specialist</t>
        </is>
      </c>
      <c r="G651" s="28" t="inlineStr">
        <is>
          <t>Active</t>
        </is>
      </c>
      <c r="H651" s="31" t="n"/>
      <c r="I651" s="32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1">
        <f>IF($C651="",0,IFERROR(INDEX(Deals!$H$2:$H$355,MATCH($C651,Deals!$A$2:$A$355,0)),0))</f>
        <v/>
      </c>
      <c r="K651" s="32">
        <f>IF(Settings!$B$4="Yes",$I651*$J651,$I651)</f>
        <v/>
      </c>
      <c r="L651" s="22">
        <f>IF($C651="","",IFERROR(IF(INDEX(Deals!$I$2:$I$355,MATCH($C651,Deals!$A$2:$A$355,0))=0,"",INDEX(Deals!$I$2:$I$355,MATCH($C651,Deals!$A$2:$A$355,0))),""))</f>
        <v/>
      </c>
      <c r="M651" s="22">
        <f>IF($C651="","",IFERROR(IF(INDEX(Deals!$J$2:$J$355,MATCH($C651,Deals!$A$2:$A$355,0))=0,"",INDEX(Deals!$J$2:$J$355,MATCH($C651,Deals!$A$2:$A$355,0))),""))</f>
        <v/>
      </c>
      <c r="N651" s="35">
        <f>IF($L651="",DATE(1900,1,1),$L651)</f>
        <v/>
      </c>
      <c r="O651" s="35">
        <f>IF($M651="",DATE(2100,12,31),$M651)</f>
        <v/>
      </c>
      <c r="P651" s="20" t="inlineStr"/>
      <c r="Q651" s="43" t="inlineStr"/>
      <c r="R651" s="16">
        <f>IF($C651="","",IFERROR(IF(INDEX(Deals!$U$2:$U$355,MATCH($C651,Deals!$A$2:$A$355,0))=0,"",INDEX(Deals!$U$2:$U$355,MATCH($C651,Deals!$A$2:$A$355,0))),""))</f>
        <v/>
      </c>
      <c r="S651" s="34">
        <f>IFERROR(IF($U651="",1,INDEX(Deals!$V$2:$V$355,MATCH($C651,Deals!$A$2:$A$355,0))),1)</f>
        <v/>
      </c>
      <c r="T651" s="34">
        <f>IFERROR(IF($U651="",1,INDEX(Deals!$W$2:$W$355,MATCH($C651,Deals!$A$2:$A$355,0))),1)</f>
        <v/>
      </c>
      <c r="U651" s="22">
        <f>IF($C651="","",IFERROR(IF(INDEX(Deals!$Y$2:$Y$355,MATCH($C651,Deals!$A$2:$A$355,0))=0,"",INDEX(Deals!$Y$2:$Y$355,MATCH($C651,Deals!$A$2:$A$355,0))),""))</f>
        <v/>
      </c>
      <c r="V651" s="35">
        <f>IF($U651="",DATE(1900,1,1),$N651)</f>
        <v/>
      </c>
      <c r="W651" s="35">
        <f>IF($U651="",DATE(2100,12,31),$U651)</f>
        <v/>
      </c>
      <c r="X651" s="32">
        <f>IF($U651="",$K651,$K651*$S651)</f>
        <v/>
      </c>
      <c r="Y651" s="35">
        <f>IF($U651="",DATE(2100,12,31),$U651+1)</f>
        <v/>
      </c>
      <c r="Z651" s="35">
        <f>IF($U651="",DATE(1900,1,1),$O651)</f>
        <v/>
      </c>
      <c r="AA651" s="32">
        <f>IF($U651="",0,$K651*$T651)</f>
        <v/>
      </c>
      <c r="AB651" s="21">
        <f>IF($C651="",0,IFERROR(INDEX(Deals!$AD$2:$AD$355,MATCH($C651,Deals!$A$2:$A$355,0)),0))</f>
        <v/>
      </c>
      <c r="AC651" s="32">
        <f>IF(Settings!$B$4="Yes",$I651*$AB651,$I651)</f>
        <v/>
      </c>
      <c r="AD651" s="22">
        <f>IF($C651="","",IFERROR(IF(INDEX(Deals!$AE$2:$AE$355,MATCH($C651,Deals!$A$2:$A$355,0))=0,"",INDEX(Deals!$AE$2:$AE$355,MATCH($C651,Deals!$A$2:$A$355,0))),""))</f>
        <v/>
      </c>
      <c r="AE651" s="22">
        <f>IF($C651="","",IFERROR(IF(INDEX(Deals!$AF$2:$AF$355,MATCH($C651,Deals!$A$2:$A$355,0))=0,"",INDEX(Deals!$AF$2:$AF$355,MATCH($C651,Deals!$A$2:$A$355,0))),""))</f>
        <v/>
      </c>
      <c r="AF651" s="35">
        <f>IF($AD651="",DATE(1900,1,1),$AD651)</f>
        <v/>
      </c>
      <c r="AG651" s="35">
        <f>IF($AE651="",DATE(2100,12,31),$AE651)</f>
        <v/>
      </c>
      <c r="AH651" s="22">
        <f>IF($C651="","",IFERROR(IF(INDEX(Deals!$AG$2:$AG$355,MATCH($C651,Deals!$A$2:$A$355,0))=0,"",INDEX(Deals!$AG$2:$AG$355,MATCH($C651,Deals!$A$2:$A$355,0))),""))</f>
        <v/>
      </c>
      <c r="AI651" s="35">
        <f>IF($AH651="",DATE(1900,1,1),$AF651)</f>
        <v/>
      </c>
      <c r="AJ651" s="35">
        <f>IF($AH651="",DATE(2100,12,31),$AH651)</f>
        <v/>
      </c>
      <c r="AK651" s="32">
        <f>IF($AH651="",$AC651,$AC651*$S651)</f>
        <v/>
      </c>
      <c r="AL651" s="35">
        <f>IF($AH651="",DATE(2100,12,31),$AH651+1)</f>
        <v/>
      </c>
      <c r="AM651" s="35">
        <f>IF($AH651="",DATE(1900,1,1),$AG651)</f>
        <v/>
      </c>
      <c r="AN651" s="32">
        <f>IF($AH651="",0,$AC651*$T651)</f>
        <v/>
      </c>
    </row>
    <row r="652">
      <c r="A652" s="28" t="inlineStr">
        <is>
          <t>Yiyi</t>
        </is>
      </c>
      <c r="B652" s="16">
        <f>IF($A652="","",IFERROR(INDEX(Roster!$B$2:$B$40,MATCH($A652,Roster!$A$2:$A$40,0)),"?"))</f>
        <v/>
      </c>
      <c r="C652" s="28" t="inlineStr">
        <is>
          <t>Walnut_1</t>
        </is>
      </c>
      <c r="D652" s="16">
        <f>IF($C652="","",IFERROR(IF(INDEX(Deals!$C$2:$C$355,MATCH($C652,Deals!$A$2:$A$355,0))=0,"",INDEX(Deals!$C$2:$C$355,MATCH($C652,Deals!$A$2:$A$355,0))),"?"))</f>
        <v/>
      </c>
      <c r="E652" s="16">
        <f>IF($C652="","",IFERROR(INDEX(Deals!$F$2:$F$355,MATCH($C652,Deals!$A$2:$A$355,0)),"?"))</f>
        <v/>
      </c>
      <c r="F652" s="28" t="inlineStr">
        <is>
          <t>Renewable Specialist</t>
        </is>
      </c>
      <c r="G652" s="28" t="inlineStr">
        <is>
          <t>Active</t>
        </is>
      </c>
      <c r="H652" s="31" t="n"/>
      <c r="I652" s="32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1">
        <f>IF($C652="",0,IFERROR(INDEX(Deals!$H$2:$H$355,MATCH($C652,Deals!$A$2:$A$355,0)),0))</f>
        <v/>
      </c>
      <c r="K652" s="32">
        <f>IF(Settings!$B$4="Yes",$I652*$J652,$I652)</f>
        <v/>
      </c>
      <c r="L652" s="22">
        <f>IF($C652="","",IFERROR(IF(INDEX(Deals!$I$2:$I$355,MATCH($C652,Deals!$A$2:$A$355,0))=0,"",INDEX(Deals!$I$2:$I$355,MATCH($C652,Deals!$A$2:$A$355,0))),""))</f>
        <v/>
      </c>
      <c r="M652" s="22">
        <f>IF($C652="","",IFERROR(IF(INDEX(Deals!$J$2:$J$355,MATCH($C652,Deals!$A$2:$A$355,0))=0,"",INDEX(Deals!$J$2:$J$355,MATCH($C652,Deals!$A$2:$A$355,0))),""))</f>
        <v/>
      </c>
      <c r="N652" s="35">
        <f>IF($L652="",DATE(1900,1,1),$L652)</f>
        <v/>
      </c>
      <c r="O652" s="35">
        <f>IF($M652="",DATE(2100,12,31),$M652)</f>
        <v/>
      </c>
      <c r="P652" s="20" t="inlineStr"/>
      <c r="Q652" s="43" t="inlineStr"/>
      <c r="R652" s="16">
        <f>IF($C652="","",IFERROR(IF(INDEX(Deals!$U$2:$U$355,MATCH($C652,Deals!$A$2:$A$355,0))=0,"",INDEX(Deals!$U$2:$U$355,MATCH($C652,Deals!$A$2:$A$355,0))),""))</f>
        <v/>
      </c>
      <c r="S652" s="34">
        <f>IFERROR(IF($U652="",1,INDEX(Deals!$V$2:$V$355,MATCH($C652,Deals!$A$2:$A$355,0))),1)</f>
        <v/>
      </c>
      <c r="T652" s="34">
        <f>IFERROR(IF($U652="",1,INDEX(Deals!$W$2:$W$355,MATCH($C652,Deals!$A$2:$A$355,0))),1)</f>
        <v/>
      </c>
      <c r="U652" s="22">
        <f>IF($C652="","",IFERROR(IF(INDEX(Deals!$Y$2:$Y$355,MATCH($C652,Deals!$A$2:$A$355,0))=0,"",INDEX(Deals!$Y$2:$Y$355,MATCH($C652,Deals!$A$2:$A$355,0))),""))</f>
        <v/>
      </c>
      <c r="V652" s="35">
        <f>IF($U652="",DATE(1900,1,1),$N652)</f>
        <v/>
      </c>
      <c r="W652" s="35">
        <f>IF($U652="",DATE(2100,12,31),$U652)</f>
        <v/>
      </c>
      <c r="X652" s="32">
        <f>IF($U652="",$K652,$K652*$S652)</f>
        <v/>
      </c>
      <c r="Y652" s="35">
        <f>IF($U652="",DATE(2100,12,31),$U652+1)</f>
        <v/>
      </c>
      <c r="Z652" s="35">
        <f>IF($U652="",DATE(1900,1,1),$O652)</f>
        <v/>
      </c>
      <c r="AA652" s="32">
        <f>IF($U652="",0,$K652*$T652)</f>
        <v/>
      </c>
      <c r="AB652" s="21">
        <f>IF($C652="",0,IFERROR(INDEX(Deals!$AD$2:$AD$355,MATCH($C652,Deals!$A$2:$A$355,0)),0))</f>
        <v/>
      </c>
      <c r="AC652" s="32">
        <f>IF(Settings!$B$4="Yes",$I652*$AB652,$I652)</f>
        <v/>
      </c>
      <c r="AD652" s="22">
        <f>IF($C652="","",IFERROR(IF(INDEX(Deals!$AE$2:$AE$355,MATCH($C652,Deals!$A$2:$A$355,0))=0,"",INDEX(Deals!$AE$2:$AE$355,MATCH($C652,Deals!$A$2:$A$355,0))),""))</f>
        <v/>
      </c>
      <c r="AE652" s="22">
        <f>IF($C652="","",IFERROR(IF(INDEX(Deals!$AF$2:$AF$355,MATCH($C652,Deals!$A$2:$A$355,0))=0,"",INDEX(Deals!$AF$2:$AF$355,MATCH($C652,Deals!$A$2:$A$355,0))),""))</f>
        <v/>
      </c>
      <c r="AF652" s="35">
        <f>IF($AD652="",DATE(1900,1,1),$AD652)</f>
        <v/>
      </c>
      <c r="AG652" s="35">
        <f>IF($AE652="",DATE(2100,12,31),$AE652)</f>
        <v/>
      </c>
      <c r="AH652" s="22">
        <f>IF($C652="","",IFERROR(IF(INDEX(Deals!$AG$2:$AG$355,MATCH($C652,Deals!$A$2:$A$355,0))=0,"",INDEX(Deals!$AG$2:$AG$355,MATCH($C652,Deals!$A$2:$A$355,0))),""))</f>
        <v/>
      </c>
      <c r="AI652" s="35">
        <f>IF($AH652="",DATE(1900,1,1),$AF652)</f>
        <v/>
      </c>
      <c r="AJ652" s="35">
        <f>IF($AH652="",DATE(2100,12,31),$AH652)</f>
        <v/>
      </c>
      <c r="AK652" s="32">
        <f>IF($AH652="",$AC652,$AC652*$S652)</f>
        <v/>
      </c>
      <c r="AL652" s="35">
        <f>IF($AH652="",DATE(2100,12,31),$AH652+1)</f>
        <v/>
      </c>
      <c r="AM652" s="35">
        <f>IF($AH652="",DATE(1900,1,1),$AG652)</f>
        <v/>
      </c>
      <c r="AN652" s="32">
        <f>IF($AH652="",0,$AC652*$T652)</f>
        <v/>
      </c>
    </row>
    <row r="653">
      <c r="A653" s="28" t="inlineStr">
        <is>
          <t>Yiyi</t>
        </is>
      </c>
      <c r="B653" s="16">
        <f>IF($A653="","",IFERROR(INDEX(Roster!$B$2:$B$40,MATCH($A653,Roster!$A$2:$A$40,0)),"?"))</f>
        <v/>
      </c>
      <c r="C653" s="28" t="inlineStr">
        <is>
          <t>Whale_3</t>
        </is>
      </c>
      <c r="D653" s="16">
        <f>IF($C653="","",IFERROR(IF(INDEX(Deals!$C$2:$C$355,MATCH($C653,Deals!$A$2:$A$355,0))=0,"",INDEX(Deals!$C$2:$C$355,MATCH($C653,Deals!$A$2:$A$355,0))),"?"))</f>
        <v/>
      </c>
      <c r="E653" s="16">
        <f>IF($C653="","",IFERROR(INDEX(Deals!$F$2:$F$355,MATCH($C653,Deals!$A$2:$A$355,0)),"?"))</f>
        <v/>
      </c>
      <c r="F653" s="28" t="inlineStr">
        <is>
          <t>Renewable Specialist</t>
        </is>
      </c>
      <c r="G653" s="28" t="inlineStr">
        <is>
          <t>Active</t>
        </is>
      </c>
      <c r="H653" s="31" t="n"/>
      <c r="I653" s="32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1">
        <f>IF($C653="",0,IFERROR(INDEX(Deals!$H$2:$H$355,MATCH($C653,Deals!$A$2:$A$355,0)),0))</f>
        <v/>
      </c>
      <c r="K653" s="32">
        <f>IF(Settings!$B$4="Yes",$I653*$J653,$I653)</f>
        <v/>
      </c>
      <c r="L653" s="22">
        <f>IF($C653="","",IFERROR(IF(INDEX(Deals!$I$2:$I$355,MATCH($C653,Deals!$A$2:$A$355,0))=0,"",INDEX(Deals!$I$2:$I$355,MATCH($C653,Deals!$A$2:$A$355,0))),""))</f>
        <v/>
      </c>
      <c r="M653" s="22">
        <f>IF($C653="","",IFERROR(IF(INDEX(Deals!$J$2:$J$355,MATCH($C653,Deals!$A$2:$A$355,0))=0,"",INDEX(Deals!$J$2:$J$355,MATCH($C653,Deals!$A$2:$A$355,0))),""))</f>
        <v/>
      </c>
      <c r="N653" s="35">
        <f>IF($L653="",DATE(1900,1,1),$L653)</f>
        <v/>
      </c>
      <c r="O653" s="35">
        <f>IF($M653="",DATE(2100,12,31),$M653)</f>
        <v/>
      </c>
      <c r="P653" s="20" t="inlineStr"/>
      <c r="Q653" s="43" t="inlineStr"/>
      <c r="R653" s="16">
        <f>IF($C653="","",IFERROR(IF(INDEX(Deals!$U$2:$U$355,MATCH($C653,Deals!$A$2:$A$355,0))=0,"",INDEX(Deals!$U$2:$U$355,MATCH($C653,Deals!$A$2:$A$355,0))),""))</f>
        <v/>
      </c>
      <c r="S653" s="34">
        <f>IFERROR(IF($U653="",1,INDEX(Deals!$V$2:$V$355,MATCH($C653,Deals!$A$2:$A$355,0))),1)</f>
        <v/>
      </c>
      <c r="T653" s="34">
        <f>IFERROR(IF($U653="",1,INDEX(Deals!$W$2:$W$355,MATCH($C653,Deals!$A$2:$A$355,0))),1)</f>
        <v/>
      </c>
      <c r="U653" s="22">
        <f>IF($C653="","",IFERROR(IF(INDEX(Deals!$Y$2:$Y$355,MATCH($C653,Deals!$A$2:$A$355,0))=0,"",INDEX(Deals!$Y$2:$Y$355,MATCH($C653,Deals!$A$2:$A$355,0))),""))</f>
        <v/>
      </c>
      <c r="V653" s="35">
        <f>IF($U653="",DATE(1900,1,1),$N653)</f>
        <v/>
      </c>
      <c r="W653" s="35">
        <f>IF($U653="",DATE(2100,12,31),$U653)</f>
        <v/>
      </c>
      <c r="X653" s="32">
        <f>IF($U653="",$K653,$K653*$S653)</f>
        <v/>
      </c>
      <c r="Y653" s="35">
        <f>IF($U653="",DATE(2100,12,31),$U653+1)</f>
        <v/>
      </c>
      <c r="Z653" s="35">
        <f>IF($U653="",DATE(1900,1,1),$O653)</f>
        <v/>
      </c>
      <c r="AA653" s="32">
        <f>IF($U653="",0,$K653*$T653)</f>
        <v/>
      </c>
      <c r="AB653" s="21">
        <f>IF($C653="",0,IFERROR(INDEX(Deals!$AD$2:$AD$355,MATCH($C653,Deals!$A$2:$A$355,0)),0))</f>
        <v/>
      </c>
      <c r="AC653" s="32">
        <f>IF(Settings!$B$4="Yes",$I653*$AB653,$I653)</f>
        <v/>
      </c>
      <c r="AD653" s="22">
        <f>IF($C653="","",IFERROR(IF(INDEX(Deals!$AE$2:$AE$355,MATCH($C653,Deals!$A$2:$A$355,0))=0,"",INDEX(Deals!$AE$2:$AE$355,MATCH($C653,Deals!$A$2:$A$355,0))),""))</f>
        <v/>
      </c>
      <c r="AE653" s="22">
        <f>IF($C653="","",IFERROR(IF(INDEX(Deals!$AF$2:$AF$355,MATCH($C653,Deals!$A$2:$A$355,0))=0,"",INDEX(Deals!$AF$2:$AF$355,MATCH($C653,Deals!$A$2:$A$355,0))),""))</f>
        <v/>
      </c>
      <c r="AF653" s="35">
        <f>IF($AD653="",DATE(1900,1,1),$AD653)</f>
        <v/>
      </c>
      <c r="AG653" s="35">
        <f>IF($AE653="",DATE(2100,12,31),$AE653)</f>
        <v/>
      </c>
      <c r="AH653" s="22">
        <f>IF($C653="","",IFERROR(IF(INDEX(Deals!$AG$2:$AG$355,MATCH($C653,Deals!$A$2:$A$355,0))=0,"",INDEX(Deals!$AG$2:$AG$355,MATCH($C653,Deals!$A$2:$A$355,0))),""))</f>
        <v/>
      </c>
      <c r="AI653" s="35">
        <f>IF($AH653="",DATE(1900,1,1),$AF653)</f>
        <v/>
      </c>
      <c r="AJ653" s="35">
        <f>IF($AH653="",DATE(2100,12,31),$AH653)</f>
        <v/>
      </c>
      <c r="AK653" s="32">
        <f>IF($AH653="",$AC653,$AC653*$S653)</f>
        <v/>
      </c>
      <c r="AL653" s="35">
        <f>IF($AH653="",DATE(2100,12,31),$AH653+1)</f>
        <v/>
      </c>
      <c r="AM653" s="35">
        <f>IF($AH653="",DATE(1900,1,1),$AG653)</f>
        <v/>
      </c>
      <c r="AN653" s="32">
        <f>IF($AH653="",0,$AC653*$T653)</f>
        <v/>
      </c>
    </row>
    <row r="654">
      <c r="A654" s="28" t="inlineStr">
        <is>
          <t>Yiyi</t>
        </is>
      </c>
      <c r="B654" s="16">
        <f>IF($A654="","",IFERROR(INDEX(Roster!$B$2:$B$40,MATCH($A654,Roster!$A$2:$A$40,0)),"?"))</f>
        <v/>
      </c>
      <c r="C654" s="28" t="inlineStr">
        <is>
          <t>WIE_1</t>
        </is>
      </c>
      <c r="D654" s="16">
        <f>IF($C654="","",IFERROR(IF(INDEX(Deals!$C$2:$C$355,MATCH($C654,Deals!$A$2:$A$355,0))=0,"",INDEX(Deals!$C$2:$C$355,MATCH($C654,Deals!$A$2:$A$355,0))),"?"))</f>
        <v/>
      </c>
      <c r="E654" s="16">
        <f>IF($C654="","",IFERROR(INDEX(Deals!$F$2:$F$355,MATCH($C654,Deals!$A$2:$A$355,0)),"?"))</f>
        <v/>
      </c>
      <c r="F654" s="28" t="inlineStr">
        <is>
          <t>Renewable Specialist</t>
        </is>
      </c>
      <c r="G654" s="28" t="inlineStr">
        <is>
          <t>Active</t>
        </is>
      </c>
      <c r="H654" s="31" t="n"/>
      <c r="I654" s="32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1">
        <f>IF($C654="",0,IFERROR(INDEX(Deals!$H$2:$H$355,MATCH($C654,Deals!$A$2:$A$355,0)),0))</f>
        <v/>
      </c>
      <c r="K654" s="32">
        <f>IF(Settings!$B$4="Yes",$I654*$J654,$I654)</f>
        <v/>
      </c>
      <c r="L654" s="22">
        <f>IF($C654="","",IFERROR(IF(INDEX(Deals!$I$2:$I$355,MATCH($C654,Deals!$A$2:$A$355,0))=0,"",INDEX(Deals!$I$2:$I$355,MATCH($C654,Deals!$A$2:$A$355,0))),""))</f>
        <v/>
      </c>
      <c r="M654" s="22">
        <f>IF($C654="","",IFERROR(IF(INDEX(Deals!$J$2:$J$355,MATCH($C654,Deals!$A$2:$A$355,0))=0,"",INDEX(Deals!$J$2:$J$355,MATCH($C654,Deals!$A$2:$A$355,0))),""))</f>
        <v/>
      </c>
      <c r="N654" s="35">
        <f>IF($L654="",DATE(1900,1,1),$L654)</f>
        <v/>
      </c>
      <c r="O654" s="35">
        <f>IF($M654="",DATE(2100,12,31),$M654)</f>
        <v/>
      </c>
      <c r="P654" s="20" t="inlineStr"/>
      <c r="Q654" s="43" t="inlineStr"/>
      <c r="R654" s="16">
        <f>IF($C654="","",IFERROR(IF(INDEX(Deals!$U$2:$U$355,MATCH($C654,Deals!$A$2:$A$355,0))=0,"",INDEX(Deals!$U$2:$U$355,MATCH($C654,Deals!$A$2:$A$355,0))),""))</f>
        <v/>
      </c>
      <c r="S654" s="34">
        <f>IFERROR(IF($U654="",1,INDEX(Deals!$V$2:$V$355,MATCH($C654,Deals!$A$2:$A$355,0))),1)</f>
        <v/>
      </c>
      <c r="T654" s="34">
        <f>IFERROR(IF($U654="",1,INDEX(Deals!$W$2:$W$355,MATCH($C654,Deals!$A$2:$A$355,0))),1)</f>
        <v/>
      </c>
      <c r="U654" s="22">
        <f>IF($C654="","",IFERROR(IF(INDEX(Deals!$Y$2:$Y$355,MATCH($C654,Deals!$A$2:$A$355,0))=0,"",INDEX(Deals!$Y$2:$Y$355,MATCH($C654,Deals!$A$2:$A$355,0))),""))</f>
        <v/>
      </c>
      <c r="V654" s="35">
        <f>IF($U654="",DATE(1900,1,1),$N654)</f>
        <v/>
      </c>
      <c r="W654" s="35">
        <f>IF($U654="",DATE(2100,12,31),$U654)</f>
        <v/>
      </c>
      <c r="X654" s="32">
        <f>IF($U654="",$K654,$K654*$S654)</f>
        <v/>
      </c>
      <c r="Y654" s="35">
        <f>IF($U654="",DATE(2100,12,31),$U654+1)</f>
        <v/>
      </c>
      <c r="Z654" s="35">
        <f>IF($U654="",DATE(1900,1,1),$O654)</f>
        <v/>
      </c>
      <c r="AA654" s="32">
        <f>IF($U654="",0,$K654*$T654)</f>
        <v/>
      </c>
      <c r="AB654" s="21">
        <f>IF($C654="",0,IFERROR(INDEX(Deals!$AD$2:$AD$355,MATCH($C654,Deals!$A$2:$A$355,0)),0))</f>
        <v/>
      </c>
      <c r="AC654" s="32">
        <f>IF(Settings!$B$4="Yes",$I654*$AB654,$I654)</f>
        <v/>
      </c>
      <c r="AD654" s="22">
        <f>IF($C654="","",IFERROR(IF(INDEX(Deals!$AE$2:$AE$355,MATCH($C654,Deals!$A$2:$A$355,0))=0,"",INDEX(Deals!$AE$2:$AE$355,MATCH($C654,Deals!$A$2:$A$355,0))),""))</f>
        <v/>
      </c>
      <c r="AE654" s="22">
        <f>IF($C654="","",IFERROR(IF(INDEX(Deals!$AF$2:$AF$355,MATCH($C654,Deals!$A$2:$A$355,0))=0,"",INDEX(Deals!$AF$2:$AF$355,MATCH($C654,Deals!$A$2:$A$355,0))),""))</f>
        <v/>
      </c>
      <c r="AF654" s="35">
        <f>IF($AD654="",DATE(1900,1,1),$AD654)</f>
        <v/>
      </c>
      <c r="AG654" s="35">
        <f>IF($AE654="",DATE(2100,12,31),$AE654)</f>
        <v/>
      </c>
      <c r="AH654" s="22">
        <f>IF($C654="","",IFERROR(IF(INDEX(Deals!$AG$2:$AG$355,MATCH($C654,Deals!$A$2:$A$355,0))=0,"",INDEX(Deals!$AG$2:$AG$355,MATCH($C654,Deals!$A$2:$A$355,0))),""))</f>
        <v/>
      </c>
      <c r="AI654" s="35">
        <f>IF($AH654="",DATE(1900,1,1),$AF654)</f>
        <v/>
      </c>
      <c r="AJ654" s="35">
        <f>IF($AH654="",DATE(2100,12,31),$AH654)</f>
        <v/>
      </c>
      <c r="AK654" s="32">
        <f>IF($AH654="",$AC654,$AC654*$S654)</f>
        <v/>
      </c>
      <c r="AL654" s="35">
        <f>IF($AH654="",DATE(2100,12,31),$AH654+1)</f>
        <v/>
      </c>
      <c r="AM654" s="35">
        <f>IF($AH654="",DATE(1900,1,1),$AG654)</f>
        <v/>
      </c>
      <c r="AN654" s="32">
        <f>IF($AH654="",0,$AC654*$T654)</f>
        <v/>
      </c>
    </row>
    <row r="655">
      <c r="A655" s="28" t="inlineStr">
        <is>
          <t>Yiyi</t>
        </is>
      </c>
      <c r="B655" s="16">
        <f>IF($A655="","",IFERROR(INDEX(Roster!$B$2:$B$40,MATCH($A655,Roster!$A$2:$A$40,0)),"?"))</f>
        <v/>
      </c>
      <c r="C655" s="28" t="inlineStr">
        <is>
          <t>Winchester_1</t>
        </is>
      </c>
      <c r="D655" s="16">
        <f>IF($C655="","",IFERROR(IF(INDEX(Deals!$C$2:$C$355,MATCH($C655,Deals!$A$2:$A$355,0))=0,"",INDEX(Deals!$C$2:$C$355,MATCH($C655,Deals!$A$2:$A$355,0))),"?"))</f>
        <v/>
      </c>
      <c r="E655" s="16">
        <f>IF($C655="","",IFERROR(INDEX(Deals!$F$2:$F$355,MATCH($C655,Deals!$A$2:$A$355,0)),"?"))</f>
        <v/>
      </c>
      <c r="F655" s="28" t="inlineStr">
        <is>
          <t>Renewable Specialist</t>
        </is>
      </c>
      <c r="G655" s="28" t="inlineStr">
        <is>
          <t>Active</t>
        </is>
      </c>
      <c r="H655" s="31" t="n"/>
      <c r="I655" s="32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1">
        <f>IF($C655="",0,IFERROR(INDEX(Deals!$H$2:$H$355,MATCH($C655,Deals!$A$2:$A$355,0)),0))</f>
        <v/>
      </c>
      <c r="K655" s="32">
        <f>IF(Settings!$B$4="Yes",$I655*$J655,$I655)</f>
        <v/>
      </c>
      <c r="L655" s="22">
        <f>IF($C655="","",IFERROR(IF(INDEX(Deals!$I$2:$I$355,MATCH($C655,Deals!$A$2:$A$355,0))=0,"",INDEX(Deals!$I$2:$I$355,MATCH($C655,Deals!$A$2:$A$355,0))),""))</f>
        <v/>
      </c>
      <c r="M655" s="22">
        <f>IF($C655="","",IFERROR(IF(INDEX(Deals!$J$2:$J$355,MATCH($C655,Deals!$A$2:$A$355,0))=0,"",INDEX(Deals!$J$2:$J$355,MATCH($C655,Deals!$A$2:$A$355,0))),""))</f>
        <v/>
      </c>
      <c r="N655" s="35">
        <f>IF($L655="",DATE(1900,1,1),$L655)</f>
        <v/>
      </c>
      <c r="O655" s="35">
        <f>IF($M655="",DATE(2100,12,31),$M655)</f>
        <v/>
      </c>
      <c r="P655" s="20" t="inlineStr"/>
      <c r="Q655" s="43" t="inlineStr"/>
      <c r="R655" s="16">
        <f>IF($C655="","",IFERROR(IF(INDEX(Deals!$U$2:$U$355,MATCH($C655,Deals!$A$2:$A$355,0))=0,"",INDEX(Deals!$U$2:$U$355,MATCH($C655,Deals!$A$2:$A$355,0))),""))</f>
        <v/>
      </c>
      <c r="S655" s="34">
        <f>IFERROR(IF($U655="",1,INDEX(Deals!$V$2:$V$355,MATCH($C655,Deals!$A$2:$A$355,0))),1)</f>
        <v/>
      </c>
      <c r="T655" s="34">
        <f>IFERROR(IF($U655="",1,INDEX(Deals!$W$2:$W$355,MATCH($C655,Deals!$A$2:$A$355,0))),1)</f>
        <v/>
      </c>
      <c r="U655" s="22">
        <f>IF($C655="","",IFERROR(IF(INDEX(Deals!$Y$2:$Y$355,MATCH($C655,Deals!$A$2:$A$355,0))=0,"",INDEX(Deals!$Y$2:$Y$355,MATCH($C655,Deals!$A$2:$A$355,0))),""))</f>
        <v/>
      </c>
      <c r="V655" s="35">
        <f>IF($U655="",DATE(1900,1,1),$N655)</f>
        <v/>
      </c>
      <c r="W655" s="35">
        <f>IF($U655="",DATE(2100,12,31),$U655)</f>
        <v/>
      </c>
      <c r="X655" s="32">
        <f>IF($U655="",$K655,$K655*$S655)</f>
        <v/>
      </c>
      <c r="Y655" s="35">
        <f>IF($U655="",DATE(2100,12,31),$U655+1)</f>
        <v/>
      </c>
      <c r="Z655" s="35">
        <f>IF($U655="",DATE(1900,1,1),$O655)</f>
        <v/>
      </c>
      <c r="AA655" s="32">
        <f>IF($U655="",0,$K655*$T655)</f>
        <v/>
      </c>
      <c r="AB655" s="21">
        <f>IF($C655="",0,IFERROR(INDEX(Deals!$AD$2:$AD$355,MATCH($C655,Deals!$A$2:$A$355,0)),0))</f>
        <v/>
      </c>
      <c r="AC655" s="32">
        <f>IF(Settings!$B$4="Yes",$I655*$AB655,$I655)</f>
        <v/>
      </c>
      <c r="AD655" s="22">
        <f>IF($C655="","",IFERROR(IF(INDEX(Deals!$AE$2:$AE$355,MATCH($C655,Deals!$A$2:$A$355,0))=0,"",INDEX(Deals!$AE$2:$AE$355,MATCH($C655,Deals!$A$2:$A$355,0))),""))</f>
        <v/>
      </c>
      <c r="AE655" s="22">
        <f>IF($C655="","",IFERROR(IF(INDEX(Deals!$AF$2:$AF$355,MATCH($C655,Deals!$A$2:$A$355,0))=0,"",INDEX(Deals!$AF$2:$AF$355,MATCH($C655,Deals!$A$2:$A$355,0))),""))</f>
        <v/>
      </c>
      <c r="AF655" s="35">
        <f>IF($AD655="",DATE(1900,1,1),$AD655)</f>
        <v/>
      </c>
      <c r="AG655" s="35">
        <f>IF($AE655="",DATE(2100,12,31),$AE655)</f>
        <v/>
      </c>
      <c r="AH655" s="22">
        <f>IF($C655="","",IFERROR(IF(INDEX(Deals!$AG$2:$AG$355,MATCH($C655,Deals!$A$2:$A$355,0))=0,"",INDEX(Deals!$AG$2:$AG$355,MATCH($C655,Deals!$A$2:$A$355,0))),""))</f>
        <v/>
      </c>
      <c r="AI655" s="35">
        <f>IF($AH655="",DATE(1900,1,1),$AF655)</f>
        <v/>
      </c>
      <c r="AJ655" s="35">
        <f>IF($AH655="",DATE(2100,12,31),$AH655)</f>
        <v/>
      </c>
      <c r="AK655" s="32">
        <f>IF($AH655="",$AC655,$AC655*$S655)</f>
        <v/>
      </c>
      <c r="AL655" s="35">
        <f>IF($AH655="",DATE(2100,12,31),$AH655+1)</f>
        <v/>
      </c>
      <c r="AM655" s="35">
        <f>IF($AH655="",DATE(1900,1,1),$AG655)</f>
        <v/>
      </c>
      <c r="AN655" s="32">
        <f>IF($AH655="",0,$AC655*$T655)</f>
        <v/>
      </c>
    </row>
    <row r="656">
      <c r="A656" s="28" t="inlineStr">
        <is>
          <t>Yiyi</t>
        </is>
      </c>
      <c r="B656" s="16">
        <f>IF($A656="","",IFERROR(INDEX(Roster!$B$2:$B$40,MATCH($A656,Roster!$A$2:$A$40,0)),"?"))</f>
        <v/>
      </c>
      <c r="C656" s="28" t="inlineStr">
        <is>
          <t>Yellowstone_2</t>
        </is>
      </c>
      <c r="D656" s="16">
        <f>IF($C656="","",IFERROR(IF(INDEX(Deals!$C$2:$C$355,MATCH($C656,Deals!$A$2:$A$355,0))=0,"",INDEX(Deals!$C$2:$C$355,MATCH($C656,Deals!$A$2:$A$355,0))),"?"))</f>
        <v/>
      </c>
      <c r="E656" s="16">
        <f>IF($C656="","",IFERROR(INDEX(Deals!$F$2:$F$355,MATCH($C656,Deals!$A$2:$A$355,0)),"?"))</f>
        <v/>
      </c>
      <c r="F656" s="28" t="inlineStr">
        <is>
          <t>Renewable Specialist</t>
        </is>
      </c>
      <c r="G656" s="28" t="inlineStr">
        <is>
          <t>Active</t>
        </is>
      </c>
      <c r="H656" s="31" t="n"/>
      <c r="I656" s="32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1">
        <f>IF($C656="",0,IFERROR(INDEX(Deals!$H$2:$H$355,MATCH($C656,Deals!$A$2:$A$355,0)),0))</f>
        <v/>
      </c>
      <c r="K656" s="32">
        <f>IF(Settings!$B$4="Yes",$I656*$J656,$I656)</f>
        <v/>
      </c>
      <c r="L656" s="22">
        <f>IF($C656="","",IFERROR(IF(INDEX(Deals!$I$2:$I$355,MATCH($C656,Deals!$A$2:$A$355,0))=0,"",INDEX(Deals!$I$2:$I$355,MATCH($C656,Deals!$A$2:$A$355,0))),""))</f>
        <v/>
      </c>
      <c r="M656" s="22">
        <f>IF($C656="","",IFERROR(IF(INDEX(Deals!$J$2:$J$355,MATCH($C656,Deals!$A$2:$A$355,0))=0,"",INDEX(Deals!$J$2:$J$355,MATCH($C656,Deals!$A$2:$A$355,0))),""))</f>
        <v/>
      </c>
      <c r="N656" s="35">
        <f>IF($L656="",DATE(1900,1,1),$L656)</f>
        <v/>
      </c>
      <c r="O656" s="35">
        <f>IF($M656="",DATE(2100,12,31),$M656)</f>
        <v/>
      </c>
      <c r="P656" s="20" t="inlineStr"/>
      <c r="Q656" s="43" t="inlineStr"/>
      <c r="R656" s="16">
        <f>IF($C656="","",IFERROR(IF(INDEX(Deals!$U$2:$U$355,MATCH($C656,Deals!$A$2:$A$355,0))=0,"",INDEX(Deals!$U$2:$U$355,MATCH($C656,Deals!$A$2:$A$355,0))),""))</f>
        <v/>
      </c>
      <c r="S656" s="34">
        <f>IFERROR(IF($U656="",1,INDEX(Deals!$V$2:$V$355,MATCH($C656,Deals!$A$2:$A$355,0))),1)</f>
        <v/>
      </c>
      <c r="T656" s="34">
        <f>IFERROR(IF($U656="",1,INDEX(Deals!$W$2:$W$355,MATCH($C656,Deals!$A$2:$A$355,0))),1)</f>
        <v/>
      </c>
      <c r="U656" s="22">
        <f>IF($C656="","",IFERROR(IF(INDEX(Deals!$Y$2:$Y$355,MATCH($C656,Deals!$A$2:$A$355,0))=0,"",INDEX(Deals!$Y$2:$Y$355,MATCH($C656,Deals!$A$2:$A$355,0))),""))</f>
        <v/>
      </c>
      <c r="V656" s="35">
        <f>IF($U656="",DATE(1900,1,1),$N656)</f>
        <v/>
      </c>
      <c r="W656" s="35">
        <f>IF($U656="",DATE(2100,12,31),$U656)</f>
        <v/>
      </c>
      <c r="X656" s="32">
        <f>IF($U656="",$K656,$K656*$S656)</f>
        <v/>
      </c>
      <c r="Y656" s="35">
        <f>IF($U656="",DATE(2100,12,31),$U656+1)</f>
        <v/>
      </c>
      <c r="Z656" s="35">
        <f>IF($U656="",DATE(1900,1,1),$O656)</f>
        <v/>
      </c>
      <c r="AA656" s="32">
        <f>IF($U656="",0,$K656*$T656)</f>
        <v/>
      </c>
      <c r="AB656" s="21">
        <f>IF($C656="",0,IFERROR(INDEX(Deals!$AD$2:$AD$355,MATCH($C656,Deals!$A$2:$A$355,0)),0))</f>
        <v/>
      </c>
      <c r="AC656" s="32">
        <f>IF(Settings!$B$4="Yes",$I656*$AB656,$I656)</f>
        <v/>
      </c>
      <c r="AD656" s="22">
        <f>IF($C656="","",IFERROR(IF(INDEX(Deals!$AE$2:$AE$355,MATCH($C656,Deals!$A$2:$A$355,0))=0,"",INDEX(Deals!$AE$2:$AE$355,MATCH($C656,Deals!$A$2:$A$355,0))),""))</f>
        <v/>
      </c>
      <c r="AE656" s="22">
        <f>IF($C656="","",IFERROR(IF(INDEX(Deals!$AF$2:$AF$355,MATCH($C656,Deals!$A$2:$A$355,0))=0,"",INDEX(Deals!$AF$2:$AF$355,MATCH($C656,Deals!$A$2:$A$355,0))),""))</f>
        <v/>
      </c>
      <c r="AF656" s="35">
        <f>IF($AD656="",DATE(1900,1,1),$AD656)</f>
        <v/>
      </c>
      <c r="AG656" s="35">
        <f>IF($AE656="",DATE(2100,12,31),$AE656)</f>
        <v/>
      </c>
      <c r="AH656" s="22">
        <f>IF($C656="","",IFERROR(IF(INDEX(Deals!$AG$2:$AG$355,MATCH($C656,Deals!$A$2:$A$355,0))=0,"",INDEX(Deals!$AG$2:$AG$355,MATCH($C656,Deals!$A$2:$A$355,0))),""))</f>
        <v/>
      </c>
      <c r="AI656" s="35">
        <f>IF($AH656="",DATE(1900,1,1),$AF656)</f>
        <v/>
      </c>
      <c r="AJ656" s="35">
        <f>IF($AH656="",DATE(2100,12,31),$AH656)</f>
        <v/>
      </c>
      <c r="AK656" s="32">
        <f>IF($AH656="",$AC656,$AC656*$S656)</f>
        <v/>
      </c>
      <c r="AL656" s="35">
        <f>IF($AH656="",DATE(2100,12,31),$AH656+1)</f>
        <v/>
      </c>
      <c r="AM656" s="35">
        <f>IF($AH656="",DATE(1900,1,1),$AG656)</f>
        <v/>
      </c>
      <c r="AN656" s="32">
        <f>IF($AH656="",0,$AC656*$T656)</f>
        <v/>
      </c>
    </row>
    <row r="657">
      <c r="A657" s="28" t="inlineStr">
        <is>
          <t>Yiyi</t>
        </is>
      </c>
      <c r="B657" s="16">
        <f>IF($A657="","",IFERROR(INDEX(Roster!$B$2:$B$40,MATCH($A657,Roster!$A$2:$A$40,0)),"?"))</f>
        <v/>
      </c>
      <c r="C657" s="28" t="inlineStr">
        <is>
          <t>Zora_1</t>
        </is>
      </c>
      <c r="D657" s="16">
        <f>IF($C657="","",IFERROR(IF(INDEX(Deals!$C$2:$C$355,MATCH($C657,Deals!$A$2:$A$355,0))=0,"",INDEX(Deals!$C$2:$C$355,MATCH($C657,Deals!$A$2:$A$355,0))),"?"))</f>
        <v/>
      </c>
      <c r="E657" s="16">
        <f>IF($C657="","",IFERROR(INDEX(Deals!$F$2:$F$355,MATCH($C657,Deals!$A$2:$A$355,0)),"?"))</f>
        <v/>
      </c>
      <c r="F657" s="28" t="inlineStr">
        <is>
          <t>Renewable Specialist</t>
        </is>
      </c>
      <c r="G657" s="28" t="inlineStr">
        <is>
          <t>Active</t>
        </is>
      </c>
      <c r="H657" s="31" t="n"/>
      <c r="I657" s="32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1">
        <f>IF($C657="",0,IFERROR(INDEX(Deals!$H$2:$H$355,MATCH($C657,Deals!$A$2:$A$355,0)),0))</f>
        <v/>
      </c>
      <c r="K657" s="32">
        <f>IF(Settings!$B$4="Yes",$I657*$J657,$I657)</f>
        <v/>
      </c>
      <c r="L657" s="22">
        <f>IF($C657="","",IFERROR(IF(INDEX(Deals!$I$2:$I$355,MATCH($C657,Deals!$A$2:$A$355,0))=0,"",INDEX(Deals!$I$2:$I$355,MATCH($C657,Deals!$A$2:$A$355,0))),""))</f>
        <v/>
      </c>
      <c r="M657" s="22">
        <f>IF($C657="","",IFERROR(IF(INDEX(Deals!$J$2:$J$355,MATCH($C657,Deals!$A$2:$A$355,0))=0,"",INDEX(Deals!$J$2:$J$355,MATCH($C657,Deals!$A$2:$A$355,0))),""))</f>
        <v/>
      </c>
      <c r="N657" s="35">
        <f>IF($L657="",DATE(1900,1,1),$L657)</f>
        <v/>
      </c>
      <c r="O657" s="35">
        <f>IF($M657="",DATE(2100,12,31),$M657)</f>
        <v/>
      </c>
      <c r="P657" s="20" t="inlineStr"/>
      <c r="Q657" s="43" t="inlineStr"/>
      <c r="R657" s="16">
        <f>IF($C657="","",IFERROR(IF(INDEX(Deals!$U$2:$U$355,MATCH($C657,Deals!$A$2:$A$355,0))=0,"",INDEX(Deals!$U$2:$U$355,MATCH($C657,Deals!$A$2:$A$355,0))),""))</f>
        <v/>
      </c>
      <c r="S657" s="34">
        <f>IFERROR(IF($U657="",1,INDEX(Deals!$V$2:$V$355,MATCH($C657,Deals!$A$2:$A$355,0))),1)</f>
        <v/>
      </c>
      <c r="T657" s="34">
        <f>IFERROR(IF($U657="",1,INDEX(Deals!$W$2:$W$355,MATCH($C657,Deals!$A$2:$A$355,0))),1)</f>
        <v/>
      </c>
      <c r="U657" s="22">
        <f>IF($C657="","",IFERROR(IF(INDEX(Deals!$Y$2:$Y$355,MATCH($C657,Deals!$A$2:$A$355,0))=0,"",INDEX(Deals!$Y$2:$Y$355,MATCH($C657,Deals!$A$2:$A$355,0))),""))</f>
        <v/>
      </c>
      <c r="V657" s="35">
        <f>IF($U657="",DATE(1900,1,1),$N657)</f>
        <v/>
      </c>
      <c r="W657" s="35">
        <f>IF($U657="",DATE(2100,12,31),$U657)</f>
        <v/>
      </c>
      <c r="X657" s="32">
        <f>IF($U657="",$K657,$K657*$S657)</f>
        <v/>
      </c>
      <c r="Y657" s="35">
        <f>IF($U657="",DATE(2100,12,31),$U657+1)</f>
        <v/>
      </c>
      <c r="Z657" s="35">
        <f>IF($U657="",DATE(1900,1,1),$O657)</f>
        <v/>
      </c>
      <c r="AA657" s="32">
        <f>IF($U657="",0,$K657*$T657)</f>
        <v/>
      </c>
      <c r="AB657" s="21">
        <f>IF($C657="",0,IFERROR(INDEX(Deals!$AD$2:$AD$355,MATCH($C657,Deals!$A$2:$A$355,0)),0))</f>
        <v/>
      </c>
      <c r="AC657" s="32">
        <f>IF(Settings!$B$4="Yes",$I657*$AB657,$I657)</f>
        <v/>
      </c>
      <c r="AD657" s="22">
        <f>IF($C657="","",IFERROR(IF(INDEX(Deals!$AE$2:$AE$355,MATCH($C657,Deals!$A$2:$A$355,0))=0,"",INDEX(Deals!$AE$2:$AE$355,MATCH($C657,Deals!$A$2:$A$355,0))),""))</f>
        <v/>
      </c>
      <c r="AE657" s="22">
        <f>IF($C657="","",IFERROR(IF(INDEX(Deals!$AF$2:$AF$355,MATCH($C657,Deals!$A$2:$A$355,0))=0,"",INDEX(Deals!$AF$2:$AF$355,MATCH($C657,Deals!$A$2:$A$355,0))),""))</f>
        <v/>
      </c>
      <c r="AF657" s="35">
        <f>IF($AD657="",DATE(1900,1,1),$AD657)</f>
        <v/>
      </c>
      <c r="AG657" s="35">
        <f>IF($AE657="",DATE(2100,12,31),$AE657)</f>
        <v/>
      </c>
      <c r="AH657" s="22">
        <f>IF($C657="","",IFERROR(IF(INDEX(Deals!$AG$2:$AG$355,MATCH($C657,Deals!$A$2:$A$355,0))=0,"",INDEX(Deals!$AG$2:$AG$355,MATCH($C657,Deals!$A$2:$A$355,0))),""))</f>
        <v/>
      </c>
      <c r="AI657" s="35">
        <f>IF($AH657="",DATE(1900,1,1),$AF657)</f>
        <v/>
      </c>
      <c r="AJ657" s="35">
        <f>IF($AH657="",DATE(2100,12,31),$AH657)</f>
        <v/>
      </c>
      <c r="AK657" s="32">
        <f>IF($AH657="",$AC657,$AC657*$S657)</f>
        <v/>
      </c>
      <c r="AL657" s="35">
        <f>IF($AH657="",DATE(2100,12,31),$AH657+1)</f>
        <v/>
      </c>
      <c r="AM657" s="35">
        <f>IF($AH657="",DATE(1900,1,1),$AG657)</f>
        <v/>
      </c>
      <c r="AN657" s="32">
        <f>IF($AH657="",0,$AC657*$T657)</f>
        <v/>
      </c>
    </row>
    <row r="658">
      <c r="A658" s="28" t="inlineStr">
        <is>
          <t>Eric</t>
        </is>
      </c>
      <c r="B658" s="16">
        <f>IF($A658="","",IFERROR(INDEX(Roster!$B$2:$B$40,MATCH($A658,Roster!$A$2:$A$40,0)),"?"))</f>
        <v/>
      </c>
      <c r="C658" s="28" t="inlineStr">
        <is>
          <t>AZ BESS_1</t>
        </is>
      </c>
      <c r="D658" s="16">
        <f>IF($C658="","",IFERROR(IF(INDEX(Deals!$C$2:$C$355,MATCH($C658,Deals!$A$2:$A$355,0))=0,"",INDEX(Deals!$C$2:$C$355,MATCH($C658,Deals!$A$2:$A$355,0))),"?"))</f>
        <v/>
      </c>
      <c r="E658" s="16">
        <f>IF($C658="","",IFERROR(INDEX(Deals!$F$2:$F$355,MATCH($C658,Deals!$A$2:$A$355,0)),"?"))</f>
        <v/>
      </c>
      <c r="F658" s="28" t="inlineStr">
        <is>
          <t>Renewable Specialist</t>
        </is>
      </c>
      <c r="G658" s="28" t="inlineStr">
        <is>
          <t>Active</t>
        </is>
      </c>
      <c r="H658" s="31" t="n"/>
      <c r="I658" s="32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1">
        <f>IF($C658="",0,IFERROR(INDEX(Deals!$H$2:$H$355,MATCH($C658,Deals!$A$2:$A$355,0)),0))</f>
        <v/>
      </c>
      <c r="K658" s="32">
        <f>IF(Settings!$B$4="Yes",$I658*$J658,$I658)</f>
        <v/>
      </c>
      <c r="L658" s="22">
        <f>IF($C658="","",IFERROR(IF(INDEX(Deals!$I$2:$I$355,MATCH($C658,Deals!$A$2:$A$355,0))=0,"",INDEX(Deals!$I$2:$I$355,MATCH($C658,Deals!$A$2:$A$355,0))),""))</f>
        <v/>
      </c>
      <c r="M658" s="22">
        <f>IF($C658="","",IFERROR(IF(INDEX(Deals!$J$2:$J$355,MATCH($C658,Deals!$A$2:$A$355,0))=0,"",INDEX(Deals!$J$2:$J$355,MATCH($C658,Deals!$A$2:$A$355,0))),""))</f>
        <v/>
      </c>
      <c r="N658" s="35">
        <f>IF($L658="",DATE(1900,1,1),$L658)</f>
        <v/>
      </c>
      <c r="O658" s="35">
        <f>IF($M658="",DATE(2100,12,31),$M658)</f>
        <v/>
      </c>
      <c r="P658" s="20" t="inlineStr"/>
      <c r="Q658" s="43" t="inlineStr"/>
      <c r="R658" s="16">
        <f>IF($C658="","",IFERROR(IF(INDEX(Deals!$U$2:$U$355,MATCH($C658,Deals!$A$2:$A$355,0))=0,"",INDEX(Deals!$U$2:$U$355,MATCH($C658,Deals!$A$2:$A$355,0))),""))</f>
        <v/>
      </c>
      <c r="S658" s="34">
        <f>IFERROR(IF($U658="",1,INDEX(Deals!$V$2:$V$355,MATCH($C658,Deals!$A$2:$A$355,0))),1)</f>
        <v/>
      </c>
      <c r="T658" s="34">
        <f>IFERROR(IF($U658="",1,INDEX(Deals!$W$2:$W$355,MATCH($C658,Deals!$A$2:$A$355,0))),1)</f>
        <v/>
      </c>
      <c r="U658" s="22">
        <f>IF($C658="","",IFERROR(IF(INDEX(Deals!$Y$2:$Y$355,MATCH($C658,Deals!$A$2:$A$355,0))=0,"",INDEX(Deals!$Y$2:$Y$355,MATCH($C658,Deals!$A$2:$A$355,0))),""))</f>
        <v/>
      </c>
      <c r="V658" s="35">
        <f>IF($U658="",DATE(1900,1,1),$N658)</f>
        <v/>
      </c>
      <c r="W658" s="35">
        <f>IF($U658="",DATE(2100,12,31),$U658)</f>
        <v/>
      </c>
      <c r="X658" s="32">
        <f>IF($U658="",$K658,$K658*$S658)</f>
        <v/>
      </c>
      <c r="Y658" s="35">
        <f>IF($U658="",DATE(2100,12,31),$U658+1)</f>
        <v/>
      </c>
      <c r="Z658" s="35">
        <f>IF($U658="",DATE(1900,1,1),$O658)</f>
        <v/>
      </c>
      <c r="AA658" s="32">
        <f>IF($U658="",0,$K658*$T658)</f>
        <v/>
      </c>
      <c r="AB658" s="21">
        <f>IF($C658="",0,IFERROR(INDEX(Deals!$AD$2:$AD$355,MATCH($C658,Deals!$A$2:$A$355,0)),0))</f>
        <v/>
      </c>
      <c r="AC658" s="32">
        <f>IF(Settings!$B$4="Yes",$I658*$AB658,$I658)</f>
        <v/>
      </c>
      <c r="AD658" s="22">
        <f>IF($C658="","",IFERROR(IF(INDEX(Deals!$AE$2:$AE$355,MATCH($C658,Deals!$A$2:$A$355,0))=0,"",INDEX(Deals!$AE$2:$AE$355,MATCH($C658,Deals!$A$2:$A$355,0))),""))</f>
        <v/>
      </c>
      <c r="AE658" s="22">
        <f>IF($C658="","",IFERROR(IF(INDEX(Deals!$AF$2:$AF$355,MATCH($C658,Deals!$A$2:$A$355,0))=0,"",INDEX(Deals!$AF$2:$AF$355,MATCH($C658,Deals!$A$2:$A$355,0))),""))</f>
        <v/>
      </c>
      <c r="AF658" s="35">
        <f>IF($AD658="",DATE(1900,1,1),$AD658)</f>
        <v/>
      </c>
      <c r="AG658" s="35">
        <f>IF($AE658="",DATE(2100,12,31),$AE658)</f>
        <v/>
      </c>
      <c r="AH658" s="22">
        <f>IF($C658="","",IFERROR(IF(INDEX(Deals!$AG$2:$AG$355,MATCH($C658,Deals!$A$2:$A$355,0))=0,"",INDEX(Deals!$AG$2:$AG$355,MATCH($C658,Deals!$A$2:$A$355,0))),""))</f>
        <v/>
      </c>
      <c r="AI658" s="35">
        <f>IF($AH658="",DATE(1900,1,1),$AF658)</f>
        <v/>
      </c>
      <c r="AJ658" s="35">
        <f>IF($AH658="",DATE(2100,12,31),$AH658)</f>
        <v/>
      </c>
      <c r="AK658" s="32">
        <f>IF($AH658="",$AC658,$AC658*$S658)</f>
        <v/>
      </c>
      <c r="AL658" s="35">
        <f>IF($AH658="",DATE(2100,12,31),$AH658+1)</f>
        <v/>
      </c>
      <c r="AM658" s="35">
        <f>IF($AH658="",DATE(1900,1,1),$AG658)</f>
        <v/>
      </c>
      <c r="AN658" s="32">
        <f>IF($AH658="",0,$AC658*$T658)</f>
        <v/>
      </c>
    </row>
    <row r="659">
      <c r="A659" s="28" t="inlineStr">
        <is>
          <t>Eric</t>
        </is>
      </c>
      <c r="B659" s="16">
        <f>IF($A659="","",IFERROR(INDEX(Roster!$B$2:$B$40,MATCH($A659,Roster!$A$2:$A$40,0)),"?"))</f>
        <v/>
      </c>
      <c r="C659" s="28" t="inlineStr">
        <is>
          <t>Canyon_2</t>
        </is>
      </c>
      <c r="D659" s="16">
        <f>IF($C659="","",IFERROR(IF(INDEX(Deals!$C$2:$C$355,MATCH($C659,Deals!$A$2:$A$355,0))=0,"",INDEX(Deals!$C$2:$C$355,MATCH($C659,Deals!$A$2:$A$355,0))),"?"))</f>
        <v/>
      </c>
      <c r="E659" s="16">
        <f>IF($C659="","",IFERROR(INDEX(Deals!$F$2:$F$355,MATCH($C659,Deals!$A$2:$A$355,0)),"?"))</f>
        <v/>
      </c>
      <c r="F659" s="28" t="inlineStr">
        <is>
          <t>Renewable Specialist</t>
        </is>
      </c>
      <c r="G659" s="28" t="inlineStr">
        <is>
          <t>Active</t>
        </is>
      </c>
      <c r="H659" s="31" t="n"/>
      <c r="I659" s="32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1">
        <f>IF($C659="",0,IFERROR(INDEX(Deals!$H$2:$H$355,MATCH($C659,Deals!$A$2:$A$355,0)),0))</f>
        <v/>
      </c>
      <c r="K659" s="32">
        <f>IF(Settings!$B$4="Yes",$I659*$J659,$I659)</f>
        <v/>
      </c>
      <c r="L659" s="22">
        <f>IF($C659="","",IFERROR(IF(INDEX(Deals!$I$2:$I$355,MATCH($C659,Deals!$A$2:$A$355,0))=0,"",INDEX(Deals!$I$2:$I$355,MATCH($C659,Deals!$A$2:$A$355,0))),""))</f>
        <v/>
      </c>
      <c r="M659" s="22">
        <f>IF($C659="","",IFERROR(IF(INDEX(Deals!$J$2:$J$355,MATCH($C659,Deals!$A$2:$A$355,0))=0,"",INDEX(Deals!$J$2:$J$355,MATCH($C659,Deals!$A$2:$A$355,0))),""))</f>
        <v/>
      </c>
      <c r="N659" s="35">
        <f>IF($L659="",DATE(1900,1,1),$L659)</f>
        <v/>
      </c>
      <c r="O659" s="35">
        <f>IF($M659="",DATE(2100,12,31),$M659)</f>
        <v/>
      </c>
      <c r="P659" s="20" t="inlineStr"/>
      <c r="Q659" s="43" t="inlineStr"/>
      <c r="R659" s="16">
        <f>IF($C659="","",IFERROR(IF(INDEX(Deals!$U$2:$U$355,MATCH($C659,Deals!$A$2:$A$355,0))=0,"",INDEX(Deals!$U$2:$U$355,MATCH($C659,Deals!$A$2:$A$355,0))),""))</f>
        <v/>
      </c>
      <c r="S659" s="34">
        <f>IFERROR(IF($U659="",1,INDEX(Deals!$V$2:$V$355,MATCH($C659,Deals!$A$2:$A$355,0))),1)</f>
        <v/>
      </c>
      <c r="T659" s="34">
        <f>IFERROR(IF($U659="",1,INDEX(Deals!$W$2:$W$355,MATCH($C659,Deals!$A$2:$A$355,0))),1)</f>
        <v/>
      </c>
      <c r="U659" s="22">
        <f>IF($C659="","",IFERROR(IF(INDEX(Deals!$Y$2:$Y$355,MATCH($C659,Deals!$A$2:$A$355,0))=0,"",INDEX(Deals!$Y$2:$Y$355,MATCH($C659,Deals!$A$2:$A$355,0))),""))</f>
        <v/>
      </c>
      <c r="V659" s="35">
        <f>IF($U659="",DATE(1900,1,1),$N659)</f>
        <v/>
      </c>
      <c r="W659" s="35">
        <f>IF($U659="",DATE(2100,12,31),$U659)</f>
        <v/>
      </c>
      <c r="X659" s="32">
        <f>IF($U659="",$K659,$K659*$S659)</f>
        <v/>
      </c>
      <c r="Y659" s="35">
        <f>IF($U659="",DATE(2100,12,31),$U659+1)</f>
        <v/>
      </c>
      <c r="Z659" s="35">
        <f>IF($U659="",DATE(1900,1,1),$O659)</f>
        <v/>
      </c>
      <c r="AA659" s="32">
        <f>IF($U659="",0,$K659*$T659)</f>
        <v/>
      </c>
      <c r="AB659" s="21">
        <f>IF($C659="",0,IFERROR(INDEX(Deals!$AD$2:$AD$355,MATCH($C659,Deals!$A$2:$A$355,0)),0))</f>
        <v/>
      </c>
      <c r="AC659" s="32">
        <f>IF(Settings!$B$4="Yes",$I659*$AB659,$I659)</f>
        <v/>
      </c>
      <c r="AD659" s="22">
        <f>IF($C659="","",IFERROR(IF(INDEX(Deals!$AE$2:$AE$355,MATCH($C659,Deals!$A$2:$A$355,0))=0,"",INDEX(Deals!$AE$2:$AE$355,MATCH($C659,Deals!$A$2:$A$355,0))),""))</f>
        <v/>
      </c>
      <c r="AE659" s="22">
        <f>IF($C659="","",IFERROR(IF(INDEX(Deals!$AF$2:$AF$355,MATCH($C659,Deals!$A$2:$A$355,0))=0,"",INDEX(Deals!$AF$2:$AF$355,MATCH($C659,Deals!$A$2:$A$355,0))),""))</f>
        <v/>
      </c>
      <c r="AF659" s="35">
        <f>IF($AD659="",DATE(1900,1,1),$AD659)</f>
        <v/>
      </c>
      <c r="AG659" s="35">
        <f>IF($AE659="",DATE(2100,12,31),$AE659)</f>
        <v/>
      </c>
      <c r="AH659" s="22">
        <f>IF($C659="","",IFERROR(IF(INDEX(Deals!$AG$2:$AG$355,MATCH($C659,Deals!$A$2:$A$355,0))=0,"",INDEX(Deals!$AG$2:$AG$355,MATCH($C659,Deals!$A$2:$A$355,0))),""))</f>
        <v/>
      </c>
      <c r="AI659" s="35">
        <f>IF($AH659="",DATE(1900,1,1),$AF659)</f>
        <v/>
      </c>
      <c r="AJ659" s="35">
        <f>IF($AH659="",DATE(2100,12,31),$AH659)</f>
        <v/>
      </c>
      <c r="AK659" s="32">
        <f>IF($AH659="",$AC659,$AC659*$S659)</f>
        <v/>
      </c>
      <c r="AL659" s="35">
        <f>IF($AH659="",DATE(2100,12,31),$AH659+1)</f>
        <v/>
      </c>
      <c r="AM659" s="35">
        <f>IF($AH659="",DATE(1900,1,1),$AG659)</f>
        <v/>
      </c>
      <c r="AN659" s="32">
        <f>IF($AH659="",0,$AC659*$T659)</f>
        <v/>
      </c>
    </row>
    <row r="660">
      <c r="A660" s="28" t="inlineStr">
        <is>
          <t>Eric</t>
        </is>
      </c>
      <c r="B660" s="16">
        <f>IF($A660="","",IFERROR(INDEX(Roster!$B$2:$B$40,MATCH($A660,Roster!$A$2:$A$40,0)),"?"))</f>
        <v/>
      </c>
      <c r="C660" s="28" t="inlineStr">
        <is>
          <t>Catalyze_2</t>
        </is>
      </c>
      <c r="D660" s="16">
        <f>IF($C660="","",IFERROR(IF(INDEX(Deals!$C$2:$C$355,MATCH($C660,Deals!$A$2:$A$355,0))=0,"",INDEX(Deals!$C$2:$C$355,MATCH($C660,Deals!$A$2:$A$355,0))),"?"))</f>
        <v/>
      </c>
      <c r="E660" s="16">
        <f>IF($C660="","",IFERROR(INDEX(Deals!$F$2:$F$355,MATCH($C660,Deals!$A$2:$A$355,0)),"?"))</f>
        <v/>
      </c>
      <c r="F660" s="28" t="inlineStr">
        <is>
          <t>Renewable Specialist</t>
        </is>
      </c>
      <c r="G660" s="28" t="inlineStr">
        <is>
          <t>Active</t>
        </is>
      </c>
      <c r="H660" s="31" t="n"/>
      <c r="I660" s="32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1">
        <f>IF($C660="",0,IFERROR(INDEX(Deals!$H$2:$H$355,MATCH($C660,Deals!$A$2:$A$355,0)),0))</f>
        <v/>
      </c>
      <c r="K660" s="32">
        <f>IF(Settings!$B$4="Yes",$I660*$J660,$I660)</f>
        <v/>
      </c>
      <c r="L660" s="22">
        <f>IF($C660="","",IFERROR(IF(INDEX(Deals!$I$2:$I$355,MATCH($C660,Deals!$A$2:$A$355,0))=0,"",INDEX(Deals!$I$2:$I$355,MATCH($C660,Deals!$A$2:$A$355,0))),""))</f>
        <v/>
      </c>
      <c r="M660" s="22">
        <f>IF($C660="","",IFERROR(IF(INDEX(Deals!$J$2:$J$355,MATCH($C660,Deals!$A$2:$A$355,0))=0,"",INDEX(Deals!$J$2:$J$355,MATCH($C660,Deals!$A$2:$A$355,0))),""))</f>
        <v/>
      </c>
      <c r="N660" s="35">
        <f>IF($L660="",DATE(1900,1,1),$L660)</f>
        <v/>
      </c>
      <c r="O660" s="35">
        <f>IF($M660="",DATE(2100,12,31),$M660)</f>
        <v/>
      </c>
      <c r="P660" s="20" t="inlineStr"/>
      <c r="Q660" s="43" t="inlineStr"/>
      <c r="R660" s="16">
        <f>IF($C660="","",IFERROR(IF(INDEX(Deals!$U$2:$U$355,MATCH($C660,Deals!$A$2:$A$355,0))=0,"",INDEX(Deals!$U$2:$U$355,MATCH($C660,Deals!$A$2:$A$355,0))),""))</f>
        <v/>
      </c>
      <c r="S660" s="34">
        <f>IFERROR(IF($U660="",1,INDEX(Deals!$V$2:$V$355,MATCH($C660,Deals!$A$2:$A$355,0))),1)</f>
        <v/>
      </c>
      <c r="T660" s="34">
        <f>IFERROR(IF($U660="",1,INDEX(Deals!$W$2:$W$355,MATCH($C660,Deals!$A$2:$A$355,0))),1)</f>
        <v/>
      </c>
      <c r="U660" s="22">
        <f>IF($C660="","",IFERROR(IF(INDEX(Deals!$Y$2:$Y$355,MATCH($C660,Deals!$A$2:$A$355,0))=0,"",INDEX(Deals!$Y$2:$Y$355,MATCH($C660,Deals!$A$2:$A$355,0))),""))</f>
        <v/>
      </c>
      <c r="V660" s="35">
        <f>IF($U660="",DATE(1900,1,1),$N660)</f>
        <v/>
      </c>
      <c r="W660" s="35">
        <f>IF($U660="",DATE(2100,12,31),$U660)</f>
        <v/>
      </c>
      <c r="X660" s="32">
        <f>IF($U660="",$K660,$K660*$S660)</f>
        <v/>
      </c>
      <c r="Y660" s="35">
        <f>IF($U660="",DATE(2100,12,31),$U660+1)</f>
        <v/>
      </c>
      <c r="Z660" s="35">
        <f>IF($U660="",DATE(1900,1,1),$O660)</f>
        <v/>
      </c>
      <c r="AA660" s="32">
        <f>IF($U660="",0,$K660*$T660)</f>
        <v/>
      </c>
      <c r="AB660" s="21">
        <f>IF($C660="",0,IFERROR(INDEX(Deals!$AD$2:$AD$355,MATCH($C660,Deals!$A$2:$A$355,0)),0))</f>
        <v/>
      </c>
      <c r="AC660" s="32">
        <f>IF(Settings!$B$4="Yes",$I660*$AB660,$I660)</f>
        <v/>
      </c>
      <c r="AD660" s="22">
        <f>IF($C660="","",IFERROR(IF(INDEX(Deals!$AE$2:$AE$355,MATCH($C660,Deals!$A$2:$A$355,0))=0,"",INDEX(Deals!$AE$2:$AE$355,MATCH($C660,Deals!$A$2:$A$355,0))),""))</f>
        <v/>
      </c>
      <c r="AE660" s="22">
        <f>IF($C660="","",IFERROR(IF(INDEX(Deals!$AF$2:$AF$355,MATCH($C660,Deals!$A$2:$A$355,0))=0,"",INDEX(Deals!$AF$2:$AF$355,MATCH($C660,Deals!$A$2:$A$355,0))),""))</f>
        <v/>
      </c>
      <c r="AF660" s="35">
        <f>IF($AD660="",DATE(1900,1,1),$AD660)</f>
        <v/>
      </c>
      <c r="AG660" s="35">
        <f>IF($AE660="",DATE(2100,12,31),$AE660)</f>
        <v/>
      </c>
      <c r="AH660" s="22">
        <f>IF($C660="","",IFERROR(IF(INDEX(Deals!$AG$2:$AG$355,MATCH($C660,Deals!$A$2:$A$355,0))=0,"",INDEX(Deals!$AG$2:$AG$355,MATCH($C660,Deals!$A$2:$A$355,0))),""))</f>
        <v/>
      </c>
      <c r="AI660" s="35">
        <f>IF($AH660="",DATE(1900,1,1),$AF660)</f>
        <v/>
      </c>
      <c r="AJ660" s="35">
        <f>IF($AH660="",DATE(2100,12,31),$AH660)</f>
        <v/>
      </c>
      <c r="AK660" s="32">
        <f>IF($AH660="",$AC660,$AC660*$S660)</f>
        <v/>
      </c>
      <c r="AL660" s="35">
        <f>IF($AH660="",DATE(2100,12,31),$AH660+1)</f>
        <v/>
      </c>
      <c r="AM660" s="35">
        <f>IF($AH660="",DATE(1900,1,1),$AG660)</f>
        <v/>
      </c>
      <c r="AN660" s="32">
        <f>IF($AH660="",0,$AC660*$T660)</f>
        <v/>
      </c>
    </row>
    <row r="661">
      <c r="A661" s="28" t="inlineStr">
        <is>
          <t>Eric</t>
        </is>
      </c>
      <c r="B661" s="16">
        <f>IF($A661="","",IFERROR(INDEX(Roster!$B$2:$B$40,MATCH($A661,Roster!$A$2:$A$40,0)),"?"))</f>
        <v/>
      </c>
      <c r="C661" s="28" t="inlineStr">
        <is>
          <t>DIF - Diverso_1</t>
        </is>
      </c>
      <c r="D661" s="16">
        <f>IF($C661="","",IFERROR(IF(INDEX(Deals!$C$2:$C$355,MATCH($C661,Deals!$A$2:$A$355,0))=0,"",INDEX(Deals!$C$2:$C$355,MATCH($C661,Deals!$A$2:$A$355,0))),"?"))</f>
        <v/>
      </c>
      <c r="E661" s="16">
        <f>IF($C661="","",IFERROR(INDEX(Deals!$F$2:$F$355,MATCH($C661,Deals!$A$2:$A$355,0)),"?"))</f>
        <v/>
      </c>
      <c r="F661" s="28" t="inlineStr">
        <is>
          <t>Renewable Specialist</t>
        </is>
      </c>
      <c r="G661" s="28" t="inlineStr">
        <is>
          <t>Active</t>
        </is>
      </c>
      <c r="H661" s="31" t="n"/>
      <c r="I661" s="32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1">
        <f>IF($C661="",0,IFERROR(INDEX(Deals!$H$2:$H$355,MATCH($C661,Deals!$A$2:$A$355,0)),0))</f>
        <v/>
      </c>
      <c r="K661" s="32">
        <f>IF(Settings!$B$4="Yes",$I661*$J661,$I661)</f>
        <v/>
      </c>
      <c r="L661" s="22">
        <f>IF($C661="","",IFERROR(IF(INDEX(Deals!$I$2:$I$355,MATCH($C661,Deals!$A$2:$A$355,0))=0,"",INDEX(Deals!$I$2:$I$355,MATCH($C661,Deals!$A$2:$A$355,0))),""))</f>
        <v/>
      </c>
      <c r="M661" s="22">
        <f>IF($C661="","",IFERROR(IF(INDEX(Deals!$J$2:$J$355,MATCH($C661,Deals!$A$2:$A$355,0))=0,"",INDEX(Deals!$J$2:$J$355,MATCH($C661,Deals!$A$2:$A$355,0))),""))</f>
        <v/>
      </c>
      <c r="N661" s="35">
        <f>IF($L661="",DATE(1900,1,1),$L661)</f>
        <v/>
      </c>
      <c r="O661" s="35">
        <f>IF($M661="",DATE(2100,12,31),$M661)</f>
        <v/>
      </c>
      <c r="P661" s="20" t="inlineStr"/>
      <c r="Q661" s="43" t="inlineStr"/>
      <c r="R661" s="16">
        <f>IF($C661="","",IFERROR(IF(INDEX(Deals!$U$2:$U$355,MATCH($C661,Deals!$A$2:$A$355,0))=0,"",INDEX(Deals!$U$2:$U$355,MATCH($C661,Deals!$A$2:$A$355,0))),""))</f>
        <v/>
      </c>
      <c r="S661" s="34">
        <f>IFERROR(IF($U661="",1,INDEX(Deals!$V$2:$V$355,MATCH($C661,Deals!$A$2:$A$355,0))),1)</f>
        <v/>
      </c>
      <c r="T661" s="34">
        <f>IFERROR(IF($U661="",1,INDEX(Deals!$W$2:$W$355,MATCH($C661,Deals!$A$2:$A$355,0))),1)</f>
        <v/>
      </c>
      <c r="U661" s="22">
        <f>IF($C661="","",IFERROR(IF(INDEX(Deals!$Y$2:$Y$355,MATCH($C661,Deals!$A$2:$A$355,0))=0,"",INDEX(Deals!$Y$2:$Y$355,MATCH($C661,Deals!$A$2:$A$355,0))),""))</f>
        <v/>
      </c>
      <c r="V661" s="35">
        <f>IF($U661="",DATE(1900,1,1),$N661)</f>
        <v/>
      </c>
      <c r="W661" s="35">
        <f>IF($U661="",DATE(2100,12,31),$U661)</f>
        <v/>
      </c>
      <c r="X661" s="32">
        <f>IF($U661="",$K661,$K661*$S661)</f>
        <v/>
      </c>
      <c r="Y661" s="35">
        <f>IF($U661="",DATE(2100,12,31),$U661+1)</f>
        <v/>
      </c>
      <c r="Z661" s="35">
        <f>IF($U661="",DATE(1900,1,1),$O661)</f>
        <v/>
      </c>
      <c r="AA661" s="32">
        <f>IF($U661="",0,$K661*$T661)</f>
        <v/>
      </c>
      <c r="AB661" s="21">
        <f>IF($C661="",0,IFERROR(INDEX(Deals!$AD$2:$AD$355,MATCH($C661,Deals!$A$2:$A$355,0)),0))</f>
        <v/>
      </c>
      <c r="AC661" s="32">
        <f>IF(Settings!$B$4="Yes",$I661*$AB661,$I661)</f>
        <v/>
      </c>
      <c r="AD661" s="22">
        <f>IF($C661="","",IFERROR(IF(INDEX(Deals!$AE$2:$AE$355,MATCH($C661,Deals!$A$2:$A$355,0))=0,"",INDEX(Deals!$AE$2:$AE$355,MATCH($C661,Deals!$A$2:$A$355,0))),""))</f>
        <v/>
      </c>
      <c r="AE661" s="22">
        <f>IF($C661="","",IFERROR(IF(INDEX(Deals!$AF$2:$AF$355,MATCH($C661,Deals!$A$2:$A$355,0))=0,"",INDEX(Deals!$AF$2:$AF$355,MATCH($C661,Deals!$A$2:$A$355,0))),""))</f>
        <v/>
      </c>
      <c r="AF661" s="35">
        <f>IF($AD661="",DATE(1900,1,1),$AD661)</f>
        <v/>
      </c>
      <c r="AG661" s="35">
        <f>IF($AE661="",DATE(2100,12,31),$AE661)</f>
        <v/>
      </c>
      <c r="AH661" s="22">
        <f>IF($C661="","",IFERROR(IF(INDEX(Deals!$AG$2:$AG$355,MATCH($C661,Deals!$A$2:$A$355,0))=0,"",INDEX(Deals!$AG$2:$AG$355,MATCH($C661,Deals!$A$2:$A$355,0))),""))</f>
        <v/>
      </c>
      <c r="AI661" s="35">
        <f>IF($AH661="",DATE(1900,1,1),$AF661)</f>
        <v/>
      </c>
      <c r="AJ661" s="35">
        <f>IF($AH661="",DATE(2100,12,31),$AH661)</f>
        <v/>
      </c>
      <c r="AK661" s="32">
        <f>IF($AH661="",$AC661,$AC661*$S661)</f>
        <v/>
      </c>
      <c r="AL661" s="35">
        <f>IF($AH661="",DATE(2100,12,31),$AH661+1)</f>
        <v/>
      </c>
      <c r="AM661" s="35">
        <f>IF($AH661="",DATE(1900,1,1),$AG661)</f>
        <v/>
      </c>
      <c r="AN661" s="32">
        <f>IF($AH661="",0,$AC661*$T661)</f>
        <v/>
      </c>
    </row>
    <row r="662">
      <c r="A662" s="28" t="inlineStr">
        <is>
          <t>Eric</t>
        </is>
      </c>
      <c r="B662" s="16">
        <f>IF($A662="","",IFERROR(INDEX(Roster!$B$2:$B$40,MATCH($A662,Roster!$A$2:$A$40,0)),"?"))</f>
        <v/>
      </c>
      <c r="C662" s="28" t="inlineStr">
        <is>
          <t>DIF Brahms_1</t>
        </is>
      </c>
      <c r="D662" s="16">
        <f>IF($C662="","",IFERROR(IF(INDEX(Deals!$C$2:$C$355,MATCH($C662,Deals!$A$2:$A$355,0))=0,"",INDEX(Deals!$C$2:$C$355,MATCH($C662,Deals!$A$2:$A$355,0))),"?"))</f>
        <v/>
      </c>
      <c r="E662" s="16">
        <f>IF($C662="","",IFERROR(INDEX(Deals!$F$2:$F$355,MATCH($C662,Deals!$A$2:$A$355,0)),"?"))</f>
        <v/>
      </c>
      <c r="F662" s="28" t="inlineStr">
        <is>
          <t>Renewable Specialist</t>
        </is>
      </c>
      <c r="G662" s="28" t="inlineStr">
        <is>
          <t>Active</t>
        </is>
      </c>
      <c r="H662" s="31" t="n"/>
      <c r="I662" s="32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1">
        <f>IF($C662="",0,IFERROR(INDEX(Deals!$H$2:$H$355,MATCH($C662,Deals!$A$2:$A$355,0)),0))</f>
        <v/>
      </c>
      <c r="K662" s="32">
        <f>IF(Settings!$B$4="Yes",$I662*$J662,$I662)</f>
        <v/>
      </c>
      <c r="L662" s="22">
        <f>IF($C662="","",IFERROR(IF(INDEX(Deals!$I$2:$I$355,MATCH($C662,Deals!$A$2:$A$355,0))=0,"",INDEX(Deals!$I$2:$I$355,MATCH($C662,Deals!$A$2:$A$355,0))),""))</f>
        <v/>
      </c>
      <c r="M662" s="22">
        <f>IF($C662="","",IFERROR(IF(INDEX(Deals!$J$2:$J$355,MATCH($C662,Deals!$A$2:$A$355,0))=0,"",INDEX(Deals!$J$2:$J$355,MATCH($C662,Deals!$A$2:$A$355,0))),""))</f>
        <v/>
      </c>
      <c r="N662" s="35">
        <f>IF($L662="",DATE(1900,1,1),$L662)</f>
        <v/>
      </c>
      <c r="O662" s="35">
        <f>IF($M662="",DATE(2100,12,31),$M662)</f>
        <v/>
      </c>
      <c r="P662" s="20" t="inlineStr"/>
      <c r="Q662" s="43" t="inlineStr"/>
      <c r="R662" s="16">
        <f>IF($C662="","",IFERROR(IF(INDEX(Deals!$U$2:$U$355,MATCH($C662,Deals!$A$2:$A$355,0))=0,"",INDEX(Deals!$U$2:$U$355,MATCH($C662,Deals!$A$2:$A$355,0))),""))</f>
        <v/>
      </c>
      <c r="S662" s="34">
        <f>IFERROR(IF($U662="",1,INDEX(Deals!$V$2:$V$355,MATCH($C662,Deals!$A$2:$A$355,0))),1)</f>
        <v/>
      </c>
      <c r="T662" s="34">
        <f>IFERROR(IF($U662="",1,INDEX(Deals!$W$2:$W$355,MATCH($C662,Deals!$A$2:$A$355,0))),1)</f>
        <v/>
      </c>
      <c r="U662" s="22">
        <f>IF($C662="","",IFERROR(IF(INDEX(Deals!$Y$2:$Y$355,MATCH($C662,Deals!$A$2:$A$355,0))=0,"",INDEX(Deals!$Y$2:$Y$355,MATCH($C662,Deals!$A$2:$A$355,0))),""))</f>
        <v/>
      </c>
      <c r="V662" s="35">
        <f>IF($U662="",DATE(1900,1,1),$N662)</f>
        <v/>
      </c>
      <c r="W662" s="35">
        <f>IF($U662="",DATE(2100,12,31),$U662)</f>
        <v/>
      </c>
      <c r="X662" s="32">
        <f>IF($U662="",$K662,$K662*$S662)</f>
        <v/>
      </c>
      <c r="Y662" s="35">
        <f>IF($U662="",DATE(2100,12,31),$U662+1)</f>
        <v/>
      </c>
      <c r="Z662" s="35">
        <f>IF($U662="",DATE(1900,1,1),$O662)</f>
        <v/>
      </c>
      <c r="AA662" s="32">
        <f>IF($U662="",0,$K662*$T662)</f>
        <v/>
      </c>
      <c r="AB662" s="21">
        <f>IF($C662="",0,IFERROR(INDEX(Deals!$AD$2:$AD$355,MATCH($C662,Deals!$A$2:$A$355,0)),0))</f>
        <v/>
      </c>
      <c r="AC662" s="32">
        <f>IF(Settings!$B$4="Yes",$I662*$AB662,$I662)</f>
        <v/>
      </c>
      <c r="AD662" s="22">
        <f>IF($C662="","",IFERROR(IF(INDEX(Deals!$AE$2:$AE$355,MATCH($C662,Deals!$A$2:$A$355,0))=0,"",INDEX(Deals!$AE$2:$AE$355,MATCH($C662,Deals!$A$2:$A$355,0))),""))</f>
        <v/>
      </c>
      <c r="AE662" s="22">
        <f>IF($C662="","",IFERROR(IF(INDEX(Deals!$AF$2:$AF$355,MATCH($C662,Deals!$A$2:$A$355,0))=0,"",INDEX(Deals!$AF$2:$AF$355,MATCH($C662,Deals!$A$2:$A$355,0))),""))</f>
        <v/>
      </c>
      <c r="AF662" s="35">
        <f>IF($AD662="",DATE(1900,1,1),$AD662)</f>
        <v/>
      </c>
      <c r="AG662" s="35">
        <f>IF($AE662="",DATE(2100,12,31),$AE662)</f>
        <v/>
      </c>
      <c r="AH662" s="22">
        <f>IF($C662="","",IFERROR(IF(INDEX(Deals!$AG$2:$AG$355,MATCH($C662,Deals!$A$2:$A$355,0))=0,"",INDEX(Deals!$AG$2:$AG$355,MATCH($C662,Deals!$A$2:$A$355,0))),""))</f>
        <v/>
      </c>
      <c r="AI662" s="35">
        <f>IF($AH662="",DATE(1900,1,1),$AF662)</f>
        <v/>
      </c>
      <c r="AJ662" s="35">
        <f>IF($AH662="",DATE(2100,12,31),$AH662)</f>
        <v/>
      </c>
      <c r="AK662" s="32">
        <f>IF($AH662="",$AC662,$AC662*$S662)</f>
        <v/>
      </c>
      <c r="AL662" s="35">
        <f>IF($AH662="",DATE(2100,12,31),$AH662+1)</f>
        <v/>
      </c>
      <c r="AM662" s="35">
        <f>IF($AH662="",DATE(1900,1,1),$AG662)</f>
        <v/>
      </c>
      <c r="AN662" s="32">
        <f>IF($AH662="",0,$AC662*$T662)</f>
        <v/>
      </c>
    </row>
    <row r="663">
      <c r="A663" s="28" t="inlineStr">
        <is>
          <t>Eric</t>
        </is>
      </c>
      <c r="B663" s="16">
        <f>IF($A663="","",IFERROR(INDEX(Roster!$B$2:$B$40,MATCH($A663,Roster!$A$2:$A$40,0)),"?"))</f>
        <v/>
      </c>
      <c r="C663" s="28" t="inlineStr">
        <is>
          <t>Greenkey_1</t>
        </is>
      </c>
      <c r="D663" s="16">
        <f>IF($C663="","",IFERROR(IF(INDEX(Deals!$C$2:$C$355,MATCH($C663,Deals!$A$2:$A$355,0))=0,"",INDEX(Deals!$C$2:$C$355,MATCH($C663,Deals!$A$2:$A$355,0))),"?"))</f>
        <v/>
      </c>
      <c r="E663" s="16">
        <f>IF($C663="","",IFERROR(INDEX(Deals!$F$2:$F$355,MATCH($C663,Deals!$A$2:$A$355,0)),"?"))</f>
        <v/>
      </c>
      <c r="F663" s="28" t="inlineStr">
        <is>
          <t>Renewable Specialist</t>
        </is>
      </c>
      <c r="G663" s="28" t="inlineStr">
        <is>
          <t>Active</t>
        </is>
      </c>
      <c r="H663" s="31" t="n"/>
      <c r="I663" s="32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1">
        <f>IF($C663="",0,IFERROR(INDEX(Deals!$H$2:$H$355,MATCH($C663,Deals!$A$2:$A$355,0)),0))</f>
        <v/>
      </c>
      <c r="K663" s="32">
        <f>IF(Settings!$B$4="Yes",$I663*$J663,$I663)</f>
        <v/>
      </c>
      <c r="L663" s="22">
        <f>IF($C663="","",IFERROR(IF(INDEX(Deals!$I$2:$I$355,MATCH($C663,Deals!$A$2:$A$355,0))=0,"",INDEX(Deals!$I$2:$I$355,MATCH($C663,Deals!$A$2:$A$355,0))),""))</f>
        <v/>
      </c>
      <c r="M663" s="22">
        <f>IF($C663="","",IFERROR(IF(INDEX(Deals!$J$2:$J$355,MATCH($C663,Deals!$A$2:$A$355,0))=0,"",INDEX(Deals!$J$2:$J$355,MATCH($C663,Deals!$A$2:$A$355,0))),""))</f>
        <v/>
      </c>
      <c r="N663" s="35">
        <f>IF($L663="",DATE(1900,1,1),$L663)</f>
        <v/>
      </c>
      <c r="O663" s="35">
        <f>IF($M663="",DATE(2100,12,31),$M663)</f>
        <v/>
      </c>
      <c r="P663" s="20" t="inlineStr"/>
      <c r="Q663" s="43" t="inlineStr"/>
      <c r="R663" s="16">
        <f>IF($C663="","",IFERROR(IF(INDEX(Deals!$U$2:$U$355,MATCH($C663,Deals!$A$2:$A$355,0))=0,"",INDEX(Deals!$U$2:$U$355,MATCH($C663,Deals!$A$2:$A$355,0))),""))</f>
        <v/>
      </c>
      <c r="S663" s="34">
        <f>IFERROR(IF($U663="",1,INDEX(Deals!$V$2:$V$355,MATCH($C663,Deals!$A$2:$A$355,0))),1)</f>
        <v/>
      </c>
      <c r="T663" s="34">
        <f>IFERROR(IF($U663="",1,INDEX(Deals!$W$2:$W$355,MATCH($C663,Deals!$A$2:$A$355,0))),1)</f>
        <v/>
      </c>
      <c r="U663" s="22">
        <f>IF($C663="","",IFERROR(IF(INDEX(Deals!$Y$2:$Y$355,MATCH($C663,Deals!$A$2:$A$355,0))=0,"",INDEX(Deals!$Y$2:$Y$355,MATCH($C663,Deals!$A$2:$A$355,0))),""))</f>
        <v/>
      </c>
      <c r="V663" s="35">
        <f>IF($U663="",DATE(1900,1,1),$N663)</f>
        <v/>
      </c>
      <c r="W663" s="35">
        <f>IF($U663="",DATE(2100,12,31),$U663)</f>
        <v/>
      </c>
      <c r="X663" s="32">
        <f>IF($U663="",$K663,$K663*$S663)</f>
        <v/>
      </c>
      <c r="Y663" s="35">
        <f>IF($U663="",DATE(2100,12,31),$U663+1)</f>
        <v/>
      </c>
      <c r="Z663" s="35">
        <f>IF($U663="",DATE(1900,1,1),$O663)</f>
        <v/>
      </c>
      <c r="AA663" s="32">
        <f>IF($U663="",0,$K663*$T663)</f>
        <v/>
      </c>
      <c r="AB663" s="21">
        <f>IF($C663="",0,IFERROR(INDEX(Deals!$AD$2:$AD$355,MATCH($C663,Deals!$A$2:$A$355,0)),0))</f>
        <v/>
      </c>
      <c r="AC663" s="32">
        <f>IF(Settings!$B$4="Yes",$I663*$AB663,$I663)</f>
        <v/>
      </c>
      <c r="AD663" s="22">
        <f>IF($C663="","",IFERROR(IF(INDEX(Deals!$AE$2:$AE$355,MATCH($C663,Deals!$A$2:$A$355,0))=0,"",INDEX(Deals!$AE$2:$AE$355,MATCH($C663,Deals!$A$2:$A$355,0))),""))</f>
        <v/>
      </c>
      <c r="AE663" s="22">
        <f>IF($C663="","",IFERROR(IF(INDEX(Deals!$AF$2:$AF$355,MATCH($C663,Deals!$A$2:$A$355,0))=0,"",INDEX(Deals!$AF$2:$AF$355,MATCH($C663,Deals!$A$2:$A$355,0))),""))</f>
        <v/>
      </c>
      <c r="AF663" s="35">
        <f>IF($AD663="",DATE(1900,1,1),$AD663)</f>
        <v/>
      </c>
      <c r="AG663" s="35">
        <f>IF($AE663="",DATE(2100,12,31),$AE663)</f>
        <v/>
      </c>
      <c r="AH663" s="22">
        <f>IF($C663="","",IFERROR(IF(INDEX(Deals!$AG$2:$AG$355,MATCH($C663,Deals!$A$2:$A$355,0))=0,"",INDEX(Deals!$AG$2:$AG$355,MATCH($C663,Deals!$A$2:$A$355,0))),""))</f>
        <v/>
      </c>
      <c r="AI663" s="35">
        <f>IF($AH663="",DATE(1900,1,1),$AF663)</f>
        <v/>
      </c>
      <c r="AJ663" s="35">
        <f>IF($AH663="",DATE(2100,12,31),$AH663)</f>
        <v/>
      </c>
      <c r="AK663" s="32">
        <f>IF($AH663="",$AC663,$AC663*$S663)</f>
        <v/>
      </c>
      <c r="AL663" s="35">
        <f>IF($AH663="",DATE(2100,12,31),$AH663+1)</f>
        <v/>
      </c>
      <c r="AM663" s="35">
        <f>IF($AH663="",DATE(1900,1,1),$AG663)</f>
        <v/>
      </c>
      <c r="AN663" s="32">
        <f>IF($AH663="",0,$AC663*$T663)</f>
        <v/>
      </c>
    </row>
    <row r="664">
      <c r="A664" s="28" t="inlineStr">
        <is>
          <t>Eric</t>
        </is>
      </c>
      <c r="B664" s="16">
        <f>IF($A664="","",IFERROR(INDEX(Roster!$B$2:$B$40,MATCH($A664,Roster!$A$2:$A$40,0)),"?"))</f>
        <v/>
      </c>
      <c r="C664" s="28" t="inlineStr">
        <is>
          <t>Hereford_1</t>
        </is>
      </c>
      <c r="D664" s="16">
        <f>IF($C664="","",IFERROR(IF(INDEX(Deals!$C$2:$C$355,MATCH($C664,Deals!$A$2:$A$355,0))=0,"",INDEX(Deals!$C$2:$C$355,MATCH($C664,Deals!$A$2:$A$355,0))),"?"))</f>
        <v/>
      </c>
      <c r="E664" s="16">
        <f>IF($C664="","",IFERROR(INDEX(Deals!$F$2:$F$355,MATCH($C664,Deals!$A$2:$A$355,0)),"?"))</f>
        <v/>
      </c>
      <c r="F664" s="28" t="inlineStr">
        <is>
          <t>Renewable Specialist</t>
        </is>
      </c>
      <c r="G664" s="28" t="inlineStr">
        <is>
          <t>Active</t>
        </is>
      </c>
      <c r="H664" s="31" t="n"/>
      <c r="I664" s="32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1">
        <f>IF($C664="",0,IFERROR(INDEX(Deals!$H$2:$H$355,MATCH($C664,Deals!$A$2:$A$355,0)),0))</f>
        <v/>
      </c>
      <c r="K664" s="32">
        <f>IF(Settings!$B$4="Yes",$I664*$J664,$I664)</f>
        <v/>
      </c>
      <c r="L664" s="22">
        <f>IF($C664="","",IFERROR(IF(INDEX(Deals!$I$2:$I$355,MATCH($C664,Deals!$A$2:$A$355,0))=0,"",INDEX(Deals!$I$2:$I$355,MATCH($C664,Deals!$A$2:$A$355,0))),""))</f>
        <v/>
      </c>
      <c r="M664" s="22">
        <f>IF($C664="","",IFERROR(IF(INDEX(Deals!$J$2:$J$355,MATCH($C664,Deals!$A$2:$A$355,0))=0,"",INDEX(Deals!$J$2:$J$355,MATCH($C664,Deals!$A$2:$A$355,0))),""))</f>
        <v/>
      </c>
      <c r="N664" s="35">
        <f>IF($L664="",DATE(1900,1,1),$L664)</f>
        <v/>
      </c>
      <c r="O664" s="35">
        <f>IF($M664="",DATE(2100,12,31),$M664)</f>
        <v/>
      </c>
      <c r="P664" s="20" t="inlineStr"/>
      <c r="Q664" s="43" t="inlineStr"/>
      <c r="R664" s="16">
        <f>IF($C664="","",IFERROR(IF(INDEX(Deals!$U$2:$U$355,MATCH($C664,Deals!$A$2:$A$355,0))=0,"",INDEX(Deals!$U$2:$U$355,MATCH($C664,Deals!$A$2:$A$355,0))),""))</f>
        <v/>
      </c>
      <c r="S664" s="34">
        <f>IFERROR(IF($U664="",1,INDEX(Deals!$V$2:$V$355,MATCH($C664,Deals!$A$2:$A$355,0))),1)</f>
        <v/>
      </c>
      <c r="T664" s="34">
        <f>IFERROR(IF($U664="",1,INDEX(Deals!$W$2:$W$355,MATCH($C664,Deals!$A$2:$A$355,0))),1)</f>
        <v/>
      </c>
      <c r="U664" s="22">
        <f>IF($C664="","",IFERROR(IF(INDEX(Deals!$Y$2:$Y$355,MATCH($C664,Deals!$A$2:$A$355,0))=0,"",INDEX(Deals!$Y$2:$Y$355,MATCH($C664,Deals!$A$2:$A$355,0))),""))</f>
        <v/>
      </c>
      <c r="V664" s="35">
        <f>IF($U664="",DATE(1900,1,1),$N664)</f>
        <v/>
      </c>
      <c r="W664" s="35">
        <f>IF($U664="",DATE(2100,12,31),$U664)</f>
        <v/>
      </c>
      <c r="X664" s="32">
        <f>IF($U664="",$K664,$K664*$S664)</f>
        <v/>
      </c>
      <c r="Y664" s="35">
        <f>IF($U664="",DATE(2100,12,31),$U664+1)</f>
        <v/>
      </c>
      <c r="Z664" s="35">
        <f>IF($U664="",DATE(1900,1,1),$O664)</f>
        <v/>
      </c>
      <c r="AA664" s="32">
        <f>IF($U664="",0,$K664*$T664)</f>
        <v/>
      </c>
      <c r="AB664" s="21">
        <f>IF($C664="",0,IFERROR(INDEX(Deals!$AD$2:$AD$355,MATCH($C664,Deals!$A$2:$A$355,0)),0))</f>
        <v/>
      </c>
      <c r="AC664" s="32">
        <f>IF(Settings!$B$4="Yes",$I664*$AB664,$I664)</f>
        <v/>
      </c>
      <c r="AD664" s="22">
        <f>IF($C664="","",IFERROR(IF(INDEX(Deals!$AE$2:$AE$355,MATCH($C664,Deals!$A$2:$A$355,0))=0,"",INDEX(Deals!$AE$2:$AE$355,MATCH($C664,Deals!$A$2:$A$355,0))),""))</f>
        <v/>
      </c>
      <c r="AE664" s="22">
        <f>IF($C664="","",IFERROR(IF(INDEX(Deals!$AF$2:$AF$355,MATCH($C664,Deals!$A$2:$A$355,0))=0,"",INDEX(Deals!$AF$2:$AF$355,MATCH($C664,Deals!$A$2:$A$355,0))),""))</f>
        <v/>
      </c>
      <c r="AF664" s="35">
        <f>IF($AD664="",DATE(1900,1,1),$AD664)</f>
        <v/>
      </c>
      <c r="AG664" s="35">
        <f>IF($AE664="",DATE(2100,12,31),$AE664)</f>
        <v/>
      </c>
      <c r="AH664" s="22">
        <f>IF($C664="","",IFERROR(IF(INDEX(Deals!$AG$2:$AG$355,MATCH($C664,Deals!$A$2:$A$355,0))=0,"",INDEX(Deals!$AG$2:$AG$355,MATCH($C664,Deals!$A$2:$A$355,0))),""))</f>
        <v/>
      </c>
      <c r="AI664" s="35">
        <f>IF($AH664="",DATE(1900,1,1),$AF664)</f>
        <v/>
      </c>
      <c r="AJ664" s="35">
        <f>IF($AH664="",DATE(2100,12,31),$AH664)</f>
        <v/>
      </c>
      <c r="AK664" s="32">
        <f>IF($AH664="",$AC664,$AC664*$S664)</f>
        <v/>
      </c>
      <c r="AL664" s="35">
        <f>IF($AH664="",DATE(2100,12,31),$AH664+1)</f>
        <v/>
      </c>
      <c r="AM664" s="35">
        <f>IF($AH664="",DATE(1900,1,1),$AG664)</f>
        <v/>
      </c>
      <c r="AN664" s="32">
        <f>IF($AH664="",0,$AC664*$T664)</f>
        <v/>
      </c>
    </row>
    <row r="665">
      <c r="A665" s="28" t="inlineStr">
        <is>
          <t>Eric</t>
        </is>
      </c>
      <c r="B665" s="16">
        <f>IF($A665="","",IFERROR(INDEX(Roster!$B$2:$B$40,MATCH($A665,Roster!$A$2:$A$40,0)),"?"))</f>
        <v/>
      </c>
      <c r="C665" s="28" t="inlineStr">
        <is>
          <t>Kanawha_1</t>
        </is>
      </c>
      <c r="D665" s="16">
        <f>IF($C665="","",IFERROR(IF(INDEX(Deals!$C$2:$C$355,MATCH($C665,Deals!$A$2:$A$355,0))=0,"",INDEX(Deals!$C$2:$C$355,MATCH($C665,Deals!$A$2:$A$355,0))),"?"))</f>
        <v/>
      </c>
      <c r="E665" s="16">
        <f>IF($C665="","",IFERROR(INDEX(Deals!$F$2:$F$355,MATCH($C665,Deals!$A$2:$A$355,0)),"?"))</f>
        <v/>
      </c>
      <c r="F665" s="28" t="inlineStr">
        <is>
          <t>Renewable Specialist</t>
        </is>
      </c>
      <c r="G665" s="28" t="inlineStr">
        <is>
          <t>Active</t>
        </is>
      </c>
      <c r="H665" s="31" t="n"/>
      <c r="I665" s="32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1">
        <f>IF($C665="",0,IFERROR(INDEX(Deals!$H$2:$H$355,MATCH($C665,Deals!$A$2:$A$355,0)),0))</f>
        <v/>
      </c>
      <c r="K665" s="32">
        <f>IF(Settings!$B$4="Yes",$I665*$J665,$I665)</f>
        <v/>
      </c>
      <c r="L665" s="22">
        <f>IF($C665="","",IFERROR(IF(INDEX(Deals!$I$2:$I$355,MATCH($C665,Deals!$A$2:$A$355,0))=0,"",INDEX(Deals!$I$2:$I$355,MATCH($C665,Deals!$A$2:$A$355,0))),""))</f>
        <v/>
      </c>
      <c r="M665" s="22">
        <f>IF($C665="","",IFERROR(IF(INDEX(Deals!$J$2:$J$355,MATCH($C665,Deals!$A$2:$A$355,0))=0,"",INDEX(Deals!$J$2:$J$355,MATCH($C665,Deals!$A$2:$A$355,0))),""))</f>
        <v/>
      </c>
      <c r="N665" s="35">
        <f>IF($L665="",DATE(1900,1,1),$L665)</f>
        <v/>
      </c>
      <c r="O665" s="35">
        <f>IF($M665="",DATE(2100,12,31),$M665)</f>
        <v/>
      </c>
      <c r="P665" s="20" t="inlineStr"/>
      <c r="Q665" s="43" t="inlineStr"/>
      <c r="R665" s="16">
        <f>IF($C665="","",IFERROR(IF(INDEX(Deals!$U$2:$U$355,MATCH($C665,Deals!$A$2:$A$355,0))=0,"",INDEX(Deals!$U$2:$U$355,MATCH($C665,Deals!$A$2:$A$355,0))),""))</f>
        <v/>
      </c>
      <c r="S665" s="34">
        <f>IFERROR(IF($U665="",1,INDEX(Deals!$V$2:$V$355,MATCH($C665,Deals!$A$2:$A$355,0))),1)</f>
        <v/>
      </c>
      <c r="T665" s="34">
        <f>IFERROR(IF($U665="",1,INDEX(Deals!$W$2:$W$355,MATCH($C665,Deals!$A$2:$A$355,0))),1)</f>
        <v/>
      </c>
      <c r="U665" s="22">
        <f>IF($C665="","",IFERROR(IF(INDEX(Deals!$Y$2:$Y$355,MATCH($C665,Deals!$A$2:$A$355,0))=0,"",INDEX(Deals!$Y$2:$Y$355,MATCH($C665,Deals!$A$2:$A$355,0))),""))</f>
        <v/>
      </c>
      <c r="V665" s="35">
        <f>IF($U665="",DATE(1900,1,1),$N665)</f>
        <v/>
      </c>
      <c r="W665" s="35">
        <f>IF($U665="",DATE(2100,12,31),$U665)</f>
        <v/>
      </c>
      <c r="X665" s="32">
        <f>IF($U665="",$K665,$K665*$S665)</f>
        <v/>
      </c>
      <c r="Y665" s="35">
        <f>IF($U665="",DATE(2100,12,31),$U665+1)</f>
        <v/>
      </c>
      <c r="Z665" s="35">
        <f>IF($U665="",DATE(1900,1,1),$O665)</f>
        <v/>
      </c>
      <c r="AA665" s="32">
        <f>IF($U665="",0,$K665*$T665)</f>
        <v/>
      </c>
      <c r="AB665" s="21">
        <f>IF($C665="",0,IFERROR(INDEX(Deals!$AD$2:$AD$355,MATCH($C665,Deals!$A$2:$A$355,0)),0))</f>
        <v/>
      </c>
      <c r="AC665" s="32">
        <f>IF(Settings!$B$4="Yes",$I665*$AB665,$I665)</f>
        <v/>
      </c>
      <c r="AD665" s="22">
        <f>IF($C665="","",IFERROR(IF(INDEX(Deals!$AE$2:$AE$355,MATCH($C665,Deals!$A$2:$A$355,0))=0,"",INDEX(Deals!$AE$2:$AE$355,MATCH($C665,Deals!$A$2:$A$355,0))),""))</f>
        <v/>
      </c>
      <c r="AE665" s="22">
        <f>IF($C665="","",IFERROR(IF(INDEX(Deals!$AF$2:$AF$355,MATCH($C665,Deals!$A$2:$A$355,0))=0,"",INDEX(Deals!$AF$2:$AF$355,MATCH($C665,Deals!$A$2:$A$355,0))),""))</f>
        <v/>
      </c>
      <c r="AF665" s="35">
        <f>IF($AD665="",DATE(1900,1,1),$AD665)</f>
        <v/>
      </c>
      <c r="AG665" s="35">
        <f>IF($AE665="",DATE(2100,12,31),$AE665)</f>
        <v/>
      </c>
      <c r="AH665" s="22">
        <f>IF($C665="","",IFERROR(IF(INDEX(Deals!$AG$2:$AG$355,MATCH($C665,Deals!$A$2:$A$355,0))=0,"",INDEX(Deals!$AG$2:$AG$355,MATCH($C665,Deals!$A$2:$A$355,0))),""))</f>
        <v/>
      </c>
      <c r="AI665" s="35">
        <f>IF($AH665="",DATE(1900,1,1),$AF665)</f>
        <v/>
      </c>
      <c r="AJ665" s="35">
        <f>IF($AH665="",DATE(2100,12,31),$AH665)</f>
        <v/>
      </c>
      <c r="AK665" s="32">
        <f>IF($AH665="",$AC665,$AC665*$S665)</f>
        <v/>
      </c>
      <c r="AL665" s="35">
        <f>IF($AH665="",DATE(2100,12,31),$AH665+1)</f>
        <v/>
      </c>
      <c r="AM665" s="35">
        <f>IF($AH665="",DATE(1900,1,1),$AG665)</f>
        <v/>
      </c>
      <c r="AN665" s="32">
        <f>IF($AH665="",0,$AC665*$T665)</f>
        <v/>
      </c>
    </row>
    <row r="666">
      <c r="A666" s="28" t="inlineStr">
        <is>
          <t>Eric</t>
        </is>
      </c>
      <c r="B666" s="16">
        <f>IF($A666="","",IFERROR(INDEX(Roster!$B$2:$B$40,MATCH($A666,Roster!$A$2:$A$40,0)),"?"))</f>
        <v/>
      </c>
      <c r="C666" s="28" t="inlineStr">
        <is>
          <t>Orca_1</t>
        </is>
      </c>
      <c r="D666" s="16">
        <f>IF($C666="","",IFERROR(IF(INDEX(Deals!$C$2:$C$355,MATCH($C666,Deals!$A$2:$A$355,0))=0,"",INDEX(Deals!$C$2:$C$355,MATCH($C666,Deals!$A$2:$A$355,0))),"?"))</f>
        <v/>
      </c>
      <c r="E666" s="16">
        <f>IF($C666="","",IFERROR(INDEX(Deals!$F$2:$F$355,MATCH($C666,Deals!$A$2:$A$355,0)),"?"))</f>
        <v/>
      </c>
      <c r="F666" s="28" t="inlineStr">
        <is>
          <t>Renewable Specialist</t>
        </is>
      </c>
      <c r="G666" s="28" t="inlineStr">
        <is>
          <t>Active</t>
        </is>
      </c>
      <c r="H666" s="31" t="n"/>
      <c r="I666" s="32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1">
        <f>IF($C666="",0,IFERROR(INDEX(Deals!$H$2:$H$355,MATCH($C666,Deals!$A$2:$A$355,0)),0))</f>
        <v/>
      </c>
      <c r="K666" s="32">
        <f>IF(Settings!$B$4="Yes",$I666*$J666,$I666)</f>
        <v/>
      </c>
      <c r="L666" s="22">
        <f>IF($C666="","",IFERROR(IF(INDEX(Deals!$I$2:$I$355,MATCH($C666,Deals!$A$2:$A$355,0))=0,"",INDEX(Deals!$I$2:$I$355,MATCH($C666,Deals!$A$2:$A$355,0))),""))</f>
        <v/>
      </c>
      <c r="M666" s="22">
        <f>IF($C666="","",IFERROR(IF(INDEX(Deals!$J$2:$J$355,MATCH($C666,Deals!$A$2:$A$355,0))=0,"",INDEX(Deals!$J$2:$J$355,MATCH($C666,Deals!$A$2:$A$355,0))),""))</f>
        <v/>
      </c>
      <c r="N666" s="35">
        <f>IF($L666="",DATE(1900,1,1),$L666)</f>
        <v/>
      </c>
      <c r="O666" s="35">
        <f>IF($M666="",DATE(2100,12,31),$M666)</f>
        <v/>
      </c>
      <c r="P666" s="20" t="inlineStr"/>
      <c r="Q666" s="43" t="inlineStr"/>
      <c r="R666" s="16">
        <f>IF($C666="","",IFERROR(IF(INDEX(Deals!$U$2:$U$355,MATCH($C666,Deals!$A$2:$A$355,0))=0,"",INDEX(Deals!$U$2:$U$355,MATCH($C666,Deals!$A$2:$A$355,0))),""))</f>
        <v/>
      </c>
      <c r="S666" s="34">
        <f>IFERROR(IF($U666="",1,INDEX(Deals!$V$2:$V$355,MATCH($C666,Deals!$A$2:$A$355,0))),1)</f>
        <v/>
      </c>
      <c r="T666" s="34">
        <f>IFERROR(IF($U666="",1,INDEX(Deals!$W$2:$W$355,MATCH($C666,Deals!$A$2:$A$355,0))),1)</f>
        <v/>
      </c>
      <c r="U666" s="22">
        <f>IF($C666="","",IFERROR(IF(INDEX(Deals!$Y$2:$Y$355,MATCH($C666,Deals!$A$2:$A$355,0))=0,"",INDEX(Deals!$Y$2:$Y$355,MATCH($C666,Deals!$A$2:$A$355,0))),""))</f>
        <v/>
      </c>
      <c r="V666" s="35">
        <f>IF($U666="",DATE(1900,1,1),$N666)</f>
        <v/>
      </c>
      <c r="W666" s="35">
        <f>IF($U666="",DATE(2100,12,31),$U666)</f>
        <v/>
      </c>
      <c r="X666" s="32">
        <f>IF($U666="",$K666,$K666*$S666)</f>
        <v/>
      </c>
      <c r="Y666" s="35">
        <f>IF($U666="",DATE(2100,12,31),$U666+1)</f>
        <v/>
      </c>
      <c r="Z666" s="35">
        <f>IF($U666="",DATE(1900,1,1),$O666)</f>
        <v/>
      </c>
      <c r="AA666" s="32">
        <f>IF($U666="",0,$K666*$T666)</f>
        <v/>
      </c>
      <c r="AB666" s="21">
        <f>IF($C666="",0,IFERROR(INDEX(Deals!$AD$2:$AD$355,MATCH($C666,Deals!$A$2:$A$355,0)),0))</f>
        <v/>
      </c>
      <c r="AC666" s="32">
        <f>IF(Settings!$B$4="Yes",$I666*$AB666,$I666)</f>
        <v/>
      </c>
      <c r="AD666" s="22">
        <f>IF($C666="","",IFERROR(IF(INDEX(Deals!$AE$2:$AE$355,MATCH($C666,Deals!$A$2:$A$355,0))=0,"",INDEX(Deals!$AE$2:$AE$355,MATCH($C666,Deals!$A$2:$A$355,0))),""))</f>
        <v/>
      </c>
      <c r="AE666" s="22">
        <f>IF($C666="","",IFERROR(IF(INDEX(Deals!$AF$2:$AF$355,MATCH($C666,Deals!$A$2:$A$355,0))=0,"",INDEX(Deals!$AF$2:$AF$355,MATCH($C666,Deals!$A$2:$A$355,0))),""))</f>
        <v/>
      </c>
      <c r="AF666" s="35">
        <f>IF($AD666="",DATE(1900,1,1),$AD666)</f>
        <v/>
      </c>
      <c r="AG666" s="35">
        <f>IF($AE666="",DATE(2100,12,31),$AE666)</f>
        <v/>
      </c>
      <c r="AH666" s="22">
        <f>IF($C666="","",IFERROR(IF(INDEX(Deals!$AG$2:$AG$355,MATCH($C666,Deals!$A$2:$A$355,0))=0,"",INDEX(Deals!$AG$2:$AG$355,MATCH($C666,Deals!$A$2:$A$355,0))),""))</f>
        <v/>
      </c>
      <c r="AI666" s="35">
        <f>IF($AH666="",DATE(1900,1,1),$AF666)</f>
        <v/>
      </c>
      <c r="AJ666" s="35">
        <f>IF($AH666="",DATE(2100,12,31),$AH666)</f>
        <v/>
      </c>
      <c r="AK666" s="32">
        <f>IF($AH666="",$AC666,$AC666*$S666)</f>
        <v/>
      </c>
      <c r="AL666" s="35">
        <f>IF($AH666="",DATE(2100,12,31),$AH666+1)</f>
        <v/>
      </c>
      <c r="AM666" s="35">
        <f>IF($AH666="",DATE(1900,1,1),$AG666)</f>
        <v/>
      </c>
      <c r="AN666" s="32">
        <f>IF($AH666="",0,$AC666*$T666)</f>
        <v/>
      </c>
    </row>
    <row r="667">
      <c r="A667" s="28" t="inlineStr">
        <is>
          <t>Eric</t>
        </is>
      </c>
      <c r="B667" s="16">
        <f>IF($A667="","",IFERROR(INDEX(Roster!$B$2:$B$40,MATCH($A667,Roster!$A$2:$A$40,0)),"?"))</f>
        <v/>
      </c>
      <c r="C667" s="28" t="inlineStr">
        <is>
          <t>PearlX_1</t>
        </is>
      </c>
      <c r="D667" s="16">
        <f>IF($C667="","",IFERROR(IF(INDEX(Deals!$C$2:$C$355,MATCH($C667,Deals!$A$2:$A$355,0))=0,"",INDEX(Deals!$C$2:$C$355,MATCH($C667,Deals!$A$2:$A$355,0))),"?"))</f>
        <v/>
      </c>
      <c r="E667" s="16">
        <f>IF($C667="","",IFERROR(INDEX(Deals!$F$2:$F$355,MATCH($C667,Deals!$A$2:$A$355,0)),"?"))</f>
        <v/>
      </c>
      <c r="F667" s="28" t="inlineStr">
        <is>
          <t>Renewable Specialist</t>
        </is>
      </c>
      <c r="G667" s="28" t="inlineStr">
        <is>
          <t>Active</t>
        </is>
      </c>
      <c r="H667" s="31" t="n"/>
      <c r="I667" s="32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1">
        <f>IF($C667="",0,IFERROR(INDEX(Deals!$H$2:$H$355,MATCH($C667,Deals!$A$2:$A$355,0)),0))</f>
        <v/>
      </c>
      <c r="K667" s="32">
        <f>IF(Settings!$B$4="Yes",$I667*$J667,$I667)</f>
        <v/>
      </c>
      <c r="L667" s="22">
        <f>IF($C667="","",IFERROR(IF(INDEX(Deals!$I$2:$I$355,MATCH($C667,Deals!$A$2:$A$355,0))=0,"",INDEX(Deals!$I$2:$I$355,MATCH($C667,Deals!$A$2:$A$355,0))),""))</f>
        <v/>
      </c>
      <c r="M667" s="22">
        <f>IF($C667="","",IFERROR(IF(INDEX(Deals!$J$2:$J$355,MATCH($C667,Deals!$A$2:$A$355,0))=0,"",INDEX(Deals!$J$2:$J$355,MATCH($C667,Deals!$A$2:$A$355,0))),""))</f>
        <v/>
      </c>
      <c r="N667" s="35">
        <f>IF($L667="",DATE(1900,1,1),$L667)</f>
        <v/>
      </c>
      <c r="O667" s="35">
        <f>IF($M667="",DATE(2100,12,31),$M667)</f>
        <v/>
      </c>
      <c r="P667" s="20" t="inlineStr"/>
      <c r="Q667" s="43" t="inlineStr"/>
      <c r="R667" s="16">
        <f>IF($C667="","",IFERROR(IF(INDEX(Deals!$U$2:$U$355,MATCH($C667,Deals!$A$2:$A$355,0))=0,"",INDEX(Deals!$U$2:$U$355,MATCH($C667,Deals!$A$2:$A$355,0))),""))</f>
        <v/>
      </c>
      <c r="S667" s="34">
        <f>IFERROR(IF($U667="",1,INDEX(Deals!$V$2:$V$355,MATCH($C667,Deals!$A$2:$A$355,0))),1)</f>
        <v/>
      </c>
      <c r="T667" s="34">
        <f>IFERROR(IF($U667="",1,INDEX(Deals!$W$2:$W$355,MATCH($C667,Deals!$A$2:$A$355,0))),1)</f>
        <v/>
      </c>
      <c r="U667" s="22">
        <f>IF($C667="","",IFERROR(IF(INDEX(Deals!$Y$2:$Y$355,MATCH($C667,Deals!$A$2:$A$355,0))=0,"",INDEX(Deals!$Y$2:$Y$355,MATCH($C667,Deals!$A$2:$A$355,0))),""))</f>
        <v/>
      </c>
      <c r="V667" s="35">
        <f>IF($U667="",DATE(1900,1,1),$N667)</f>
        <v/>
      </c>
      <c r="W667" s="35">
        <f>IF($U667="",DATE(2100,12,31),$U667)</f>
        <v/>
      </c>
      <c r="X667" s="32">
        <f>IF($U667="",$K667,$K667*$S667)</f>
        <v/>
      </c>
      <c r="Y667" s="35">
        <f>IF($U667="",DATE(2100,12,31),$U667+1)</f>
        <v/>
      </c>
      <c r="Z667" s="35">
        <f>IF($U667="",DATE(1900,1,1),$O667)</f>
        <v/>
      </c>
      <c r="AA667" s="32">
        <f>IF($U667="",0,$K667*$T667)</f>
        <v/>
      </c>
      <c r="AB667" s="21">
        <f>IF($C667="",0,IFERROR(INDEX(Deals!$AD$2:$AD$355,MATCH($C667,Deals!$A$2:$A$355,0)),0))</f>
        <v/>
      </c>
      <c r="AC667" s="32">
        <f>IF(Settings!$B$4="Yes",$I667*$AB667,$I667)</f>
        <v/>
      </c>
      <c r="AD667" s="22">
        <f>IF($C667="","",IFERROR(IF(INDEX(Deals!$AE$2:$AE$355,MATCH($C667,Deals!$A$2:$A$355,0))=0,"",INDEX(Deals!$AE$2:$AE$355,MATCH($C667,Deals!$A$2:$A$355,0))),""))</f>
        <v/>
      </c>
      <c r="AE667" s="22">
        <f>IF($C667="","",IFERROR(IF(INDEX(Deals!$AF$2:$AF$355,MATCH($C667,Deals!$A$2:$A$355,0))=0,"",INDEX(Deals!$AF$2:$AF$355,MATCH($C667,Deals!$A$2:$A$355,0))),""))</f>
        <v/>
      </c>
      <c r="AF667" s="35">
        <f>IF($AD667="",DATE(1900,1,1),$AD667)</f>
        <v/>
      </c>
      <c r="AG667" s="35">
        <f>IF($AE667="",DATE(2100,12,31),$AE667)</f>
        <v/>
      </c>
      <c r="AH667" s="22">
        <f>IF($C667="","",IFERROR(IF(INDEX(Deals!$AG$2:$AG$355,MATCH($C667,Deals!$A$2:$A$355,0))=0,"",INDEX(Deals!$AG$2:$AG$355,MATCH($C667,Deals!$A$2:$A$355,0))),""))</f>
        <v/>
      </c>
      <c r="AI667" s="35">
        <f>IF($AH667="",DATE(1900,1,1),$AF667)</f>
        <v/>
      </c>
      <c r="AJ667" s="35">
        <f>IF($AH667="",DATE(2100,12,31),$AH667)</f>
        <v/>
      </c>
      <c r="AK667" s="32">
        <f>IF($AH667="",$AC667,$AC667*$S667)</f>
        <v/>
      </c>
      <c r="AL667" s="35">
        <f>IF($AH667="",DATE(2100,12,31),$AH667+1)</f>
        <v/>
      </c>
      <c r="AM667" s="35">
        <f>IF($AH667="",DATE(1900,1,1),$AG667)</f>
        <v/>
      </c>
      <c r="AN667" s="32">
        <f>IF($AH667="",0,$AC667*$T667)</f>
        <v/>
      </c>
    </row>
    <row r="668">
      <c r="A668" s="28" t="inlineStr">
        <is>
          <t>Eric</t>
        </is>
      </c>
      <c r="B668" s="16">
        <f>IF($A668="","",IFERROR(INDEX(Roster!$B$2:$B$40,MATCH($A668,Roster!$A$2:$A$40,0)),"?"))</f>
        <v/>
      </c>
      <c r="C668" s="28" t="inlineStr">
        <is>
          <t>RBC Leaf_2</t>
        </is>
      </c>
      <c r="D668" s="16">
        <f>IF($C668="","",IFERROR(IF(INDEX(Deals!$C$2:$C$355,MATCH($C668,Deals!$A$2:$A$355,0))=0,"",INDEX(Deals!$C$2:$C$355,MATCH($C668,Deals!$A$2:$A$355,0))),"?"))</f>
        <v/>
      </c>
      <c r="E668" s="16">
        <f>IF($C668="","",IFERROR(INDEX(Deals!$F$2:$F$355,MATCH($C668,Deals!$A$2:$A$355,0)),"?"))</f>
        <v/>
      </c>
      <c r="F668" s="28" t="inlineStr">
        <is>
          <t>Renewable Specialist</t>
        </is>
      </c>
      <c r="G668" s="28" t="inlineStr">
        <is>
          <t>Active</t>
        </is>
      </c>
      <c r="H668" s="31" t="n"/>
      <c r="I668" s="32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1">
        <f>IF($C668="",0,IFERROR(INDEX(Deals!$H$2:$H$355,MATCH($C668,Deals!$A$2:$A$355,0)),0))</f>
        <v/>
      </c>
      <c r="K668" s="32">
        <f>IF(Settings!$B$4="Yes",$I668*$J668,$I668)</f>
        <v/>
      </c>
      <c r="L668" s="22">
        <f>IF($C668="","",IFERROR(IF(INDEX(Deals!$I$2:$I$355,MATCH($C668,Deals!$A$2:$A$355,0))=0,"",INDEX(Deals!$I$2:$I$355,MATCH($C668,Deals!$A$2:$A$355,0))),""))</f>
        <v/>
      </c>
      <c r="M668" s="22">
        <f>IF($C668="","",IFERROR(IF(INDEX(Deals!$J$2:$J$355,MATCH($C668,Deals!$A$2:$A$355,0))=0,"",INDEX(Deals!$J$2:$J$355,MATCH($C668,Deals!$A$2:$A$355,0))),""))</f>
        <v/>
      </c>
      <c r="N668" s="35">
        <f>IF($L668="",DATE(1900,1,1),$L668)</f>
        <v/>
      </c>
      <c r="O668" s="35">
        <f>IF($M668="",DATE(2100,12,31),$M668)</f>
        <v/>
      </c>
      <c r="P668" s="20" t="inlineStr"/>
      <c r="Q668" s="43" t="inlineStr"/>
      <c r="R668" s="16">
        <f>IF($C668="","",IFERROR(IF(INDEX(Deals!$U$2:$U$355,MATCH($C668,Deals!$A$2:$A$355,0))=0,"",INDEX(Deals!$U$2:$U$355,MATCH($C668,Deals!$A$2:$A$355,0))),""))</f>
        <v/>
      </c>
      <c r="S668" s="34">
        <f>IFERROR(IF($U668="",1,INDEX(Deals!$V$2:$V$355,MATCH($C668,Deals!$A$2:$A$355,0))),1)</f>
        <v/>
      </c>
      <c r="T668" s="34">
        <f>IFERROR(IF($U668="",1,INDEX(Deals!$W$2:$W$355,MATCH($C668,Deals!$A$2:$A$355,0))),1)</f>
        <v/>
      </c>
      <c r="U668" s="22">
        <f>IF($C668="","",IFERROR(IF(INDEX(Deals!$Y$2:$Y$355,MATCH($C668,Deals!$A$2:$A$355,0))=0,"",INDEX(Deals!$Y$2:$Y$355,MATCH($C668,Deals!$A$2:$A$355,0))),""))</f>
        <v/>
      </c>
      <c r="V668" s="35">
        <f>IF($U668="",DATE(1900,1,1),$N668)</f>
        <v/>
      </c>
      <c r="W668" s="35">
        <f>IF($U668="",DATE(2100,12,31),$U668)</f>
        <v/>
      </c>
      <c r="X668" s="32">
        <f>IF($U668="",$K668,$K668*$S668)</f>
        <v/>
      </c>
      <c r="Y668" s="35">
        <f>IF($U668="",DATE(2100,12,31),$U668+1)</f>
        <v/>
      </c>
      <c r="Z668" s="35">
        <f>IF($U668="",DATE(1900,1,1),$O668)</f>
        <v/>
      </c>
      <c r="AA668" s="32">
        <f>IF($U668="",0,$K668*$T668)</f>
        <v/>
      </c>
      <c r="AB668" s="21">
        <f>IF($C668="",0,IFERROR(INDEX(Deals!$AD$2:$AD$355,MATCH($C668,Deals!$A$2:$A$355,0)),0))</f>
        <v/>
      </c>
      <c r="AC668" s="32">
        <f>IF(Settings!$B$4="Yes",$I668*$AB668,$I668)</f>
        <v/>
      </c>
      <c r="AD668" s="22">
        <f>IF($C668="","",IFERROR(IF(INDEX(Deals!$AE$2:$AE$355,MATCH($C668,Deals!$A$2:$A$355,0))=0,"",INDEX(Deals!$AE$2:$AE$355,MATCH($C668,Deals!$A$2:$A$355,0))),""))</f>
        <v/>
      </c>
      <c r="AE668" s="22">
        <f>IF($C668="","",IFERROR(IF(INDEX(Deals!$AF$2:$AF$355,MATCH($C668,Deals!$A$2:$A$355,0))=0,"",INDEX(Deals!$AF$2:$AF$355,MATCH($C668,Deals!$A$2:$A$355,0))),""))</f>
        <v/>
      </c>
      <c r="AF668" s="35">
        <f>IF($AD668="",DATE(1900,1,1),$AD668)</f>
        <v/>
      </c>
      <c r="AG668" s="35">
        <f>IF($AE668="",DATE(2100,12,31),$AE668)</f>
        <v/>
      </c>
      <c r="AH668" s="22">
        <f>IF($C668="","",IFERROR(IF(INDEX(Deals!$AG$2:$AG$355,MATCH($C668,Deals!$A$2:$A$355,0))=0,"",INDEX(Deals!$AG$2:$AG$355,MATCH($C668,Deals!$A$2:$A$355,0))),""))</f>
        <v/>
      </c>
      <c r="AI668" s="35">
        <f>IF($AH668="",DATE(1900,1,1),$AF668)</f>
        <v/>
      </c>
      <c r="AJ668" s="35">
        <f>IF($AH668="",DATE(2100,12,31),$AH668)</f>
        <v/>
      </c>
      <c r="AK668" s="32">
        <f>IF($AH668="",$AC668,$AC668*$S668)</f>
        <v/>
      </c>
      <c r="AL668" s="35">
        <f>IF($AH668="",DATE(2100,12,31),$AH668+1)</f>
        <v/>
      </c>
      <c r="AM668" s="35">
        <f>IF($AH668="",DATE(1900,1,1),$AG668)</f>
        <v/>
      </c>
      <c r="AN668" s="32">
        <f>IF($AH668="",0,$AC668*$T668)</f>
        <v/>
      </c>
    </row>
    <row r="669">
      <c r="A669" s="28" t="inlineStr">
        <is>
          <t>Eric</t>
        </is>
      </c>
      <c r="B669" s="16">
        <f>IF($A669="","",IFERROR(INDEX(Roster!$B$2:$B$40,MATCH($A669,Roster!$A$2:$A$40,0)),"?"))</f>
        <v/>
      </c>
      <c r="C669" s="28" t="inlineStr">
        <is>
          <t>RBC Petal_1</t>
        </is>
      </c>
      <c r="D669" s="16">
        <f>IF($C669="","",IFERROR(IF(INDEX(Deals!$C$2:$C$355,MATCH($C669,Deals!$A$2:$A$355,0))=0,"",INDEX(Deals!$C$2:$C$355,MATCH($C669,Deals!$A$2:$A$355,0))),"?"))</f>
        <v/>
      </c>
      <c r="E669" s="16">
        <f>IF($C669="","",IFERROR(INDEX(Deals!$F$2:$F$355,MATCH($C669,Deals!$A$2:$A$355,0)),"?"))</f>
        <v/>
      </c>
      <c r="F669" s="28" t="inlineStr">
        <is>
          <t>Renewable Specialist</t>
        </is>
      </c>
      <c r="G669" s="28" t="inlineStr">
        <is>
          <t>Active</t>
        </is>
      </c>
      <c r="H669" s="31" t="n"/>
      <c r="I669" s="32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1">
        <f>IF($C669="",0,IFERROR(INDEX(Deals!$H$2:$H$355,MATCH($C669,Deals!$A$2:$A$355,0)),0))</f>
        <v/>
      </c>
      <c r="K669" s="32">
        <f>IF(Settings!$B$4="Yes",$I669*$J669,$I669)</f>
        <v/>
      </c>
      <c r="L669" s="22">
        <f>IF($C669="","",IFERROR(IF(INDEX(Deals!$I$2:$I$355,MATCH($C669,Deals!$A$2:$A$355,0))=0,"",INDEX(Deals!$I$2:$I$355,MATCH($C669,Deals!$A$2:$A$355,0))),""))</f>
        <v/>
      </c>
      <c r="M669" s="22">
        <f>IF($C669="","",IFERROR(IF(INDEX(Deals!$J$2:$J$355,MATCH($C669,Deals!$A$2:$A$355,0))=0,"",INDEX(Deals!$J$2:$J$355,MATCH($C669,Deals!$A$2:$A$355,0))),""))</f>
        <v/>
      </c>
      <c r="N669" s="35">
        <f>IF($L669="",DATE(1900,1,1),$L669)</f>
        <v/>
      </c>
      <c r="O669" s="35">
        <f>IF($M669="",DATE(2100,12,31),$M669)</f>
        <v/>
      </c>
      <c r="P669" s="20" t="inlineStr"/>
      <c r="Q669" s="43" t="inlineStr"/>
      <c r="R669" s="16">
        <f>IF($C669="","",IFERROR(IF(INDEX(Deals!$U$2:$U$355,MATCH($C669,Deals!$A$2:$A$355,0))=0,"",INDEX(Deals!$U$2:$U$355,MATCH($C669,Deals!$A$2:$A$355,0))),""))</f>
        <v/>
      </c>
      <c r="S669" s="34">
        <f>IFERROR(IF($U669="",1,INDEX(Deals!$V$2:$V$355,MATCH($C669,Deals!$A$2:$A$355,0))),1)</f>
        <v/>
      </c>
      <c r="T669" s="34">
        <f>IFERROR(IF($U669="",1,INDEX(Deals!$W$2:$W$355,MATCH($C669,Deals!$A$2:$A$355,0))),1)</f>
        <v/>
      </c>
      <c r="U669" s="22">
        <f>IF($C669="","",IFERROR(IF(INDEX(Deals!$Y$2:$Y$355,MATCH($C669,Deals!$A$2:$A$355,0))=0,"",INDEX(Deals!$Y$2:$Y$355,MATCH($C669,Deals!$A$2:$A$355,0))),""))</f>
        <v/>
      </c>
      <c r="V669" s="35">
        <f>IF($U669="",DATE(1900,1,1),$N669)</f>
        <v/>
      </c>
      <c r="W669" s="35">
        <f>IF($U669="",DATE(2100,12,31),$U669)</f>
        <v/>
      </c>
      <c r="X669" s="32">
        <f>IF($U669="",$K669,$K669*$S669)</f>
        <v/>
      </c>
      <c r="Y669" s="35">
        <f>IF($U669="",DATE(2100,12,31),$U669+1)</f>
        <v/>
      </c>
      <c r="Z669" s="35">
        <f>IF($U669="",DATE(1900,1,1),$O669)</f>
        <v/>
      </c>
      <c r="AA669" s="32">
        <f>IF($U669="",0,$K669*$T669)</f>
        <v/>
      </c>
      <c r="AB669" s="21">
        <f>IF($C669="",0,IFERROR(INDEX(Deals!$AD$2:$AD$355,MATCH($C669,Deals!$A$2:$A$355,0)),0))</f>
        <v/>
      </c>
      <c r="AC669" s="32">
        <f>IF(Settings!$B$4="Yes",$I669*$AB669,$I669)</f>
        <v/>
      </c>
      <c r="AD669" s="22">
        <f>IF($C669="","",IFERROR(IF(INDEX(Deals!$AE$2:$AE$355,MATCH($C669,Deals!$A$2:$A$355,0))=0,"",INDEX(Deals!$AE$2:$AE$355,MATCH($C669,Deals!$A$2:$A$355,0))),""))</f>
        <v/>
      </c>
      <c r="AE669" s="22">
        <f>IF($C669="","",IFERROR(IF(INDEX(Deals!$AF$2:$AF$355,MATCH($C669,Deals!$A$2:$A$355,0))=0,"",INDEX(Deals!$AF$2:$AF$355,MATCH($C669,Deals!$A$2:$A$355,0))),""))</f>
        <v/>
      </c>
      <c r="AF669" s="35">
        <f>IF($AD669="",DATE(1900,1,1),$AD669)</f>
        <v/>
      </c>
      <c r="AG669" s="35">
        <f>IF($AE669="",DATE(2100,12,31),$AE669)</f>
        <v/>
      </c>
      <c r="AH669" s="22">
        <f>IF($C669="","",IFERROR(IF(INDEX(Deals!$AG$2:$AG$355,MATCH($C669,Deals!$A$2:$A$355,0))=0,"",INDEX(Deals!$AG$2:$AG$355,MATCH($C669,Deals!$A$2:$A$355,0))),""))</f>
        <v/>
      </c>
      <c r="AI669" s="35">
        <f>IF($AH669="",DATE(1900,1,1),$AF669)</f>
        <v/>
      </c>
      <c r="AJ669" s="35">
        <f>IF($AH669="",DATE(2100,12,31),$AH669)</f>
        <v/>
      </c>
      <c r="AK669" s="32">
        <f>IF($AH669="",$AC669,$AC669*$S669)</f>
        <v/>
      </c>
      <c r="AL669" s="35">
        <f>IF($AH669="",DATE(2100,12,31),$AH669+1)</f>
        <v/>
      </c>
      <c r="AM669" s="35">
        <f>IF($AH669="",DATE(1900,1,1),$AG669)</f>
        <v/>
      </c>
      <c r="AN669" s="32">
        <f>IF($AH669="",0,$AC669*$T669)</f>
        <v/>
      </c>
    </row>
    <row r="670">
      <c r="A670" s="28" t="inlineStr">
        <is>
          <t>Eric</t>
        </is>
      </c>
      <c r="B670" s="16">
        <f>IF($A670="","",IFERROR(INDEX(Roster!$B$2:$B$40,MATCH($A670,Roster!$A$2:$A$40,0)),"?"))</f>
        <v/>
      </c>
      <c r="C670" s="28" t="inlineStr">
        <is>
          <t>Redball_6</t>
        </is>
      </c>
      <c r="D670" s="16">
        <f>IF($C670="","",IFERROR(IF(INDEX(Deals!$C$2:$C$355,MATCH($C670,Deals!$A$2:$A$355,0))=0,"",INDEX(Deals!$C$2:$C$355,MATCH($C670,Deals!$A$2:$A$355,0))),"?"))</f>
        <v/>
      </c>
      <c r="E670" s="16">
        <f>IF($C670="","",IFERROR(INDEX(Deals!$F$2:$F$355,MATCH($C670,Deals!$A$2:$A$355,0)),"?"))</f>
        <v/>
      </c>
      <c r="F670" s="28" t="inlineStr">
        <is>
          <t>Renewable Specialist</t>
        </is>
      </c>
      <c r="G670" s="28" t="inlineStr">
        <is>
          <t>Active</t>
        </is>
      </c>
      <c r="H670" s="31" t="n"/>
      <c r="I670" s="32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1">
        <f>IF($C670="",0,IFERROR(INDEX(Deals!$H$2:$H$355,MATCH($C670,Deals!$A$2:$A$355,0)),0))</f>
        <v/>
      </c>
      <c r="K670" s="32">
        <f>IF(Settings!$B$4="Yes",$I670*$J670,$I670)</f>
        <v/>
      </c>
      <c r="L670" s="22">
        <f>IF($C670="","",IFERROR(IF(INDEX(Deals!$I$2:$I$355,MATCH($C670,Deals!$A$2:$A$355,0))=0,"",INDEX(Deals!$I$2:$I$355,MATCH($C670,Deals!$A$2:$A$355,0))),""))</f>
        <v/>
      </c>
      <c r="M670" s="22">
        <f>IF($C670="","",IFERROR(IF(INDEX(Deals!$J$2:$J$355,MATCH($C670,Deals!$A$2:$A$355,0))=0,"",INDEX(Deals!$J$2:$J$355,MATCH($C670,Deals!$A$2:$A$355,0))),""))</f>
        <v/>
      </c>
      <c r="N670" s="35">
        <f>IF($L670="",DATE(1900,1,1),$L670)</f>
        <v/>
      </c>
      <c r="O670" s="35">
        <f>IF($M670="",DATE(2100,12,31),$M670)</f>
        <v/>
      </c>
      <c r="P670" s="20" t="inlineStr"/>
      <c r="Q670" s="43" t="inlineStr"/>
      <c r="R670" s="16">
        <f>IF($C670="","",IFERROR(IF(INDEX(Deals!$U$2:$U$355,MATCH($C670,Deals!$A$2:$A$355,0))=0,"",INDEX(Deals!$U$2:$U$355,MATCH($C670,Deals!$A$2:$A$355,0))),""))</f>
        <v/>
      </c>
      <c r="S670" s="34">
        <f>IFERROR(IF($U670="",1,INDEX(Deals!$V$2:$V$355,MATCH($C670,Deals!$A$2:$A$355,0))),1)</f>
        <v/>
      </c>
      <c r="T670" s="34">
        <f>IFERROR(IF($U670="",1,INDEX(Deals!$W$2:$W$355,MATCH($C670,Deals!$A$2:$A$355,0))),1)</f>
        <v/>
      </c>
      <c r="U670" s="22">
        <f>IF($C670="","",IFERROR(IF(INDEX(Deals!$Y$2:$Y$355,MATCH($C670,Deals!$A$2:$A$355,0))=0,"",INDEX(Deals!$Y$2:$Y$355,MATCH($C670,Deals!$A$2:$A$355,0))),""))</f>
        <v/>
      </c>
      <c r="V670" s="35">
        <f>IF($U670="",DATE(1900,1,1),$N670)</f>
        <v/>
      </c>
      <c r="W670" s="35">
        <f>IF($U670="",DATE(2100,12,31),$U670)</f>
        <v/>
      </c>
      <c r="X670" s="32">
        <f>IF($U670="",$K670,$K670*$S670)</f>
        <v/>
      </c>
      <c r="Y670" s="35">
        <f>IF($U670="",DATE(2100,12,31),$U670+1)</f>
        <v/>
      </c>
      <c r="Z670" s="35">
        <f>IF($U670="",DATE(1900,1,1),$O670)</f>
        <v/>
      </c>
      <c r="AA670" s="32">
        <f>IF($U670="",0,$K670*$T670)</f>
        <v/>
      </c>
      <c r="AB670" s="21">
        <f>IF($C670="",0,IFERROR(INDEX(Deals!$AD$2:$AD$355,MATCH($C670,Deals!$A$2:$A$355,0)),0))</f>
        <v/>
      </c>
      <c r="AC670" s="32">
        <f>IF(Settings!$B$4="Yes",$I670*$AB670,$I670)</f>
        <v/>
      </c>
      <c r="AD670" s="22">
        <f>IF($C670="","",IFERROR(IF(INDEX(Deals!$AE$2:$AE$355,MATCH($C670,Deals!$A$2:$A$355,0))=0,"",INDEX(Deals!$AE$2:$AE$355,MATCH($C670,Deals!$A$2:$A$355,0))),""))</f>
        <v/>
      </c>
      <c r="AE670" s="22">
        <f>IF($C670="","",IFERROR(IF(INDEX(Deals!$AF$2:$AF$355,MATCH($C670,Deals!$A$2:$A$355,0))=0,"",INDEX(Deals!$AF$2:$AF$355,MATCH($C670,Deals!$A$2:$A$355,0))),""))</f>
        <v/>
      </c>
      <c r="AF670" s="35">
        <f>IF($AD670="",DATE(1900,1,1),$AD670)</f>
        <v/>
      </c>
      <c r="AG670" s="35">
        <f>IF($AE670="",DATE(2100,12,31),$AE670)</f>
        <v/>
      </c>
      <c r="AH670" s="22">
        <f>IF($C670="","",IFERROR(IF(INDEX(Deals!$AG$2:$AG$355,MATCH($C670,Deals!$A$2:$A$355,0))=0,"",INDEX(Deals!$AG$2:$AG$355,MATCH($C670,Deals!$A$2:$A$355,0))),""))</f>
        <v/>
      </c>
      <c r="AI670" s="35">
        <f>IF($AH670="",DATE(1900,1,1),$AF670)</f>
        <v/>
      </c>
      <c r="AJ670" s="35">
        <f>IF($AH670="",DATE(2100,12,31),$AH670)</f>
        <v/>
      </c>
      <c r="AK670" s="32">
        <f>IF($AH670="",$AC670,$AC670*$S670)</f>
        <v/>
      </c>
      <c r="AL670" s="35">
        <f>IF($AH670="",DATE(2100,12,31),$AH670+1)</f>
        <v/>
      </c>
      <c r="AM670" s="35">
        <f>IF($AH670="",DATE(1900,1,1),$AG670)</f>
        <v/>
      </c>
      <c r="AN670" s="32">
        <f>IF($AH670="",0,$AC670*$T670)</f>
        <v/>
      </c>
    </row>
    <row r="671">
      <c r="A671" s="28" t="inlineStr">
        <is>
          <t>Eric</t>
        </is>
      </c>
      <c r="B671" s="16">
        <f>IF($A671="","",IFERROR(INDEX(Roster!$B$2:$B$40,MATCH($A671,Roster!$A$2:$A$40,0)),"?"))</f>
        <v/>
      </c>
      <c r="C671" s="28" t="inlineStr">
        <is>
          <t>Redwood_2</t>
        </is>
      </c>
      <c r="D671" s="16">
        <f>IF($C671="","",IFERROR(IF(INDEX(Deals!$C$2:$C$355,MATCH($C671,Deals!$A$2:$A$355,0))=0,"",INDEX(Deals!$C$2:$C$355,MATCH($C671,Deals!$A$2:$A$355,0))),"?"))</f>
        <v/>
      </c>
      <c r="E671" s="16">
        <f>IF($C671="","",IFERROR(INDEX(Deals!$F$2:$F$355,MATCH($C671,Deals!$A$2:$A$355,0)),"?"))</f>
        <v/>
      </c>
      <c r="F671" s="28" t="inlineStr">
        <is>
          <t>Renewable Specialist</t>
        </is>
      </c>
      <c r="G671" s="28" t="inlineStr">
        <is>
          <t>Active</t>
        </is>
      </c>
      <c r="H671" s="31" t="n"/>
      <c r="I671" s="32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1">
        <f>IF($C671="",0,IFERROR(INDEX(Deals!$H$2:$H$355,MATCH($C671,Deals!$A$2:$A$355,0)),0))</f>
        <v/>
      </c>
      <c r="K671" s="32">
        <f>IF(Settings!$B$4="Yes",$I671*$J671,$I671)</f>
        <v/>
      </c>
      <c r="L671" s="22">
        <f>IF($C671="","",IFERROR(IF(INDEX(Deals!$I$2:$I$355,MATCH($C671,Deals!$A$2:$A$355,0))=0,"",INDEX(Deals!$I$2:$I$355,MATCH($C671,Deals!$A$2:$A$355,0))),""))</f>
        <v/>
      </c>
      <c r="M671" s="22">
        <f>IF($C671="","",IFERROR(IF(INDEX(Deals!$J$2:$J$355,MATCH($C671,Deals!$A$2:$A$355,0))=0,"",INDEX(Deals!$J$2:$J$355,MATCH($C671,Deals!$A$2:$A$355,0))),""))</f>
        <v/>
      </c>
      <c r="N671" s="35">
        <f>IF($L671="",DATE(1900,1,1),$L671)</f>
        <v/>
      </c>
      <c r="O671" s="35">
        <f>IF($M671="",DATE(2100,12,31),$M671)</f>
        <v/>
      </c>
      <c r="P671" s="20" t="inlineStr"/>
      <c r="Q671" s="43" t="inlineStr"/>
      <c r="R671" s="16">
        <f>IF($C671="","",IFERROR(IF(INDEX(Deals!$U$2:$U$355,MATCH($C671,Deals!$A$2:$A$355,0))=0,"",INDEX(Deals!$U$2:$U$355,MATCH($C671,Deals!$A$2:$A$355,0))),""))</f>
        <v/>
      </c>
      <c r="S671" s="34">
        <f>IFERROR(IF($U671="",1,INDEX(Deals!$V$2:$V$355,MATCH($C671,Deals!$A$2:$A$355,0))),1)</f>
        <v/>
      </c>
      <c r="T671" s="34">
        <f>IFERROR(IF($U671="",1,INDEX(Deals!$W$2:$W$355,MATCH($C671,Deals!$A$2:$A$355,0))),1)</f>
        <v/>
      </c>
      <c r="U671" s="22">
        <f>IF($C671="","",IFERROR(IF(INDEX(Deals!$Y$2:$Y$355,MATCH($C671,Deals!$A$2:$A$355,0))=0,"",INDEX(Deals!$Y$2:$Y$355,MATCH($C671,Deals!$A$2:$A$355,0))),""))</f>
        <v/>
      </c>
      <c r="V671" s="35">
        <f>IF($U671="",DATE(1900,1,1),$N671)</f>
        <v/>
      </c>
      <c r="W671" s="35">
        <f>IF($U671="",DATE(2100,12,31),$U671)</f>
        <v/>
      </c>
      <c r="X671" s="32">
        <f>IF($U671="",$K671,$K671*$S671)</f>
        <v/>
      </c>
      <c r="Y671" s="35">
        <f>IF($U671="",DATE(2100,12,31),$U671+1)</f>
        <v/>
      </c>
      <c r="Z671" s="35">
        <f>IF($U671="",DATE(1900,1,1),$O671)</f>
        <v/>
      </c>
      <c r="AA671" s="32">
        <f>IF($U671="",0,$K671*$T671)</f>
        <v/>
      </c>
      <c r="AB671" s="21">
        <f>IF($C671="",0,IFERROR(INDEX(Deals!$AD$2:$AD$355,MATCH($C671,Deals!$A$2:$A$355,0)),0))</f>
        <v/>
      </c>
      <c r="AC671" s="32">
        <f>IF(Settings!$B$4="Yes",$I671*$AB671,$I671)</f>
        <v/>
      </c>
      <c r="AD671" s="22">
        <f>IF($C671="","",IFERROR(IF(INDEX(Deals!$AE$2:$AE$355,MATCH($C671,Deals!$A$2:$A$355,0))=0,"",INDEX(Deals!$AE$2:$AE$355,MATCH($C671,Deals!$A$2:$A$355,0))),""))</f>
        <v/>
      </c>
      <c r="AE671" s="22">
        <f>IF($C671="","",IFERROR(IF(INDEX(Deals!$AF$2:$AF$355,MATCH($C671,Deals!$A$2:$A$355,0))=0,"",INDEX(Deals!$AF$2:$AF$355,MATCH($C671,Deals!$A$2:$A$355,0))),""))</f>
        <v/>
      </c>
      <c r="AF671" s="35">
        <f>IF($AD671="",DATE(1900,1,1),$AD671)</f>
        <v/>
      </c>
      <c r="AG671" s="35">
        <f>IF($AE671="",DATE(2100,12,31),$AE671)</f>
        <v/>
      </c>
      <c r="AH671" s="22">
        <f>IF($C671="","",IFERROR(IF(INDEX(Deals!$AG$2:$AG$355,MATCH($C671,Deals!$A$2:$A$355,0))=0,"",INDEX(Deals!$AG$2:$AG$355,MATCH($C671,Deals!$A$2:$A$355,0))),""))</f>
        <v/>
      </c>
      <c r="AI671" s="35">
        <f>IF($AH671="",DATE(1900,1,1),$AF671)</f>
        <v/>
      </c>
      <c r="AJ671" s="35">
        <f>IF($AH671="",DATE(2100,12,31),$AH671)</f>
        <v/>
      </c>
      <c r="AK671" s="32">
        <f>IF($AH671="",$AC671,$AC671*$S671)</f>
        <v/>
      </c>
      <c r="AL671" s="35">
        <f>IF($AH671="",DATE(2100,12,31),$AH671+1)</f>
        <v/>
      </c>
      <c r="AM671" s="35">
        <f>IF($AH671="",DATE(1900,1,1),$AG671)</f>
        <v/>
      </c>
      <c r="AN671" s="32">
        <f>IF($AH671="",0,$AC671*$T671)</f>
        <v/>
      </c>
    </row>
    <row r="672">
      <c r="A672" s="28" t="inlineStr">
        <is>
          <t>Eric</t>
        </is>
      </c>
      <c r="B672" s="16">
        <f>IF($A672="","",IFERROR(INDEX(Roster!$B$2:$B$40,MATCH($A672,Roster!$A$2:$A$40,0)),"?"))</f>
        <v/>
      </c>
      <c r="C672" s="28" t="inlineStr">
        <is>
          <t>TEP Tax_1</t>
        </is>
      </c>
      <c r="D672" s="16">
        <f>IF($C672="","",IFERROR(IF(INDEX(Deals!$C$2:$C$355,MATCH($C672,Deals!$A$2:$A$355,0))=0,"",INDEX(Deals!$C$2:$C$355,MATCH($C672,Deals!$A$2:$A$355,0))),"?"))</f>
        <v/>
      </c>
      <c r="E672" s="16">
        <f>IF($C672="","",IFERROR(INDEX(Deals!$F$2:$F$355,MATCH($C672,Deals!$A$2:$A$355,0)),"?"))</f>
        <v/>
      </c>
      <c r="F672" s="28" t="inlineStr">
        <is>
          <t>Renewable Specialist</t>
        </is>
      </c>
      <c r="G672" s="28" t="inlineStr">
        <is>
          <t>Active</t>
        </is>
      </c>
      <c r="H672" s="31" t="n"/>
      <c r="I672" s="32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1">
        <f>IF($C672="",0,IFERROR(INDEX(Deals!$H$2:$H$355,MATCH($C672,Deals!$A$2:$A$355,0)),0))</f>
        <v/>
      </c>
      <c r="K672" s="32">
        <f>IF(Settings!$B$4="Yes",$I672*$J672,$I672)</f>
        <v/>
      </c>
      <c r="L672" s="22">
        <f>IF($C672="","",IFERROR(IF(INDEX(Deals!$I$2:$I$355,MATCH($C672,Deals!$A$2:$A$355,0))=0,"",INDEX(Deals!$I$2:$I$355,MATCH($C672,Deals!$A$2:$A$355,0))),""))</f>
        <v/>
      </c>
      <c r="M672" s="22">
        <f>IF($C672="","",IFERROR(IF(INDEX(Deals!$J$2:$J$355,MATCH($C672,Deals!$A$2:$A$355,0))=0,"",INDEX(Deals!$J$2:$J$355,MATCH($C672,Deals!$A$2:$A$355,0))),""))</f>
        <v/>
      </c>
      <c r="N672" s="35">
        <f>IF($L672="",DATE(1900,1,1),$L672)</f>
        <v/>
      </c>
      <c r="O672" s="35">
        <f>IF($M672="",DATE(2100,12,31),$M672)</f>
        <v/>
      </c>
      <c r="P672" s="20" t="inlineStr"/>
      <c r="Q672" s="43" t="inlineStr"/>
      <c r="R672" s="16">
        <f>IF($C672="","",IFERROR(IF(INDEX(Deals!$U$2:$U$355,MATCH($C672,Deals!$A$2:$A$355,0))=0,"",INDEX(Deals!$U$2:$U$355,MATCH($C672,Deals!$A$2:$A$355,0))),""))</f>
        <v/>
      </c>
      <c r="S672" s="34">
        <f>IFERROR(IF($U672="",1,INDEX(Deals!$V$2:$V$355,MATCH($C672,Deals!$A$2:$A$355,0))),1)</f>
        <v/>
      </c>
      <c r="T672" s="34">
        <f>IFERROR(IF($U672="",1,INDEX(Deals!$W$2:$W$355,MATCH($C672,Deals!$A$2:$A$355,0))),1)</f>
        <v/>
      </c>
      <c r="U672" s="22">
        <f>IF($C672="","",IFERROR(IF(INDEX(Deals!$Y$2:$Y$355,MATCH($C672,Deals!$A$2:$A$355,0))=0,"",INDEX(Deals!$Y$2:$Y$355,MATCH($C672,Deals!$A$2:$A$355,0))),""))</f>
        <v/>
      </c>
      <c r="V672" s="35">
        <f>IF($U672="",DATE(1900,1,1),$N672)</f>
        <v/>
      </c>
      <c r="W672" s="35">
        <f>IF($U672="",DATE(2100,12,31),$U672)</f>
        <v/>
      </c>
      <c r="X672" s="32">
        <f>IF($U672="",$K672,$K672*$S672)</f>
        <v/>
      </c>
      <c r="Y672" s="35">
        <f>IF($U672="",DATE(2100,12,31),$U672+1)</f>
        <v/>
      </c>
      <c r="Z672" s="35">
        <f>IF($U672="",DATE(1900,1,1),$O672)</f>
        <v/>
      </c>
      <c r="AA672" s="32">
        <f>IF($U672="",0,$K672*$T672)</f>
        <v/>
      </c>
      <c r="AB672" s="21">
        <f>IF($C672="",0,IFERROR(INDEX(Deals!$AD$2:$AD$355,MATCH($C672,Deals!$A$2:$A$355,0)),0))</f>
        <v/>
      </c>
      <c r="AC672" s="32">
        <f>IF(Settings!$B$4="Yes",$I672*$AB672,$I672)</f>
        <v/>
      </c>
      <c r="AD672" s="22">
        <f>IF($C672="","",IFERROR(IF(INDEX(Deals!$AE$2:$AE$355,MATCH($C672,Deals!$A$2:$A$355,0))=0,"",INDEX(Deals!$AE$2:$AE$355,MATCH($C672,Deals!$A$2:$A$355,0))),""))</f>
        <v/>
      </c>
      <c r="AE672" s="22">
        <f>IF($C672="","",IFERROR(IF(INDEX(Deals!$AF$2:$AF$355,MATCH($C672,Deals!$A$2:$A$355,0))=0,"",INDEX(Deals!$AF$2:$AF$355,MATCH($C672,Deals!$A$2:$A$355,0))),""))</f>
        <v/>
      </c>
      <c r="AF672" s="35">
        <f>IF($AD672="",DATE(1900,1,1),$AD672)</f>
        <v/>
      </c>
      <c r="AG672" s="35">
        <f>IF($AE672="",DATE(2100,12,31),$AE672)</f>
        <v/>
      </c>
      <c r="AH672" s="22">
        <f>IF($C672="","",IFERROR(IF(INDEX(Deals!$AG$2:$AG$355,MATCH($C672,Deals!$A$2:$A$355,0))=0,"",INDEX(Deals!$AG$2:$AG$355,MATCH($C672,Deals!$A$2:$A$355,0))),""))</f>
        <v/>
      </c>
      <c r="AI672" s="35">
        <f>IF($AH672="",DATE(1900,1,1),$AF672)</f>
        <v/>
      </c>
      <c r="AJ672" s="35">
        <f>IF($AH672="",DATE(2100,12,31),$AH672)</f>
        <v/>
      </c>
      <c r="AK672" s="32">
        <f>IF($AH672="",$AC672,$AC672*$S672)</f>
        <v/>
      </c>
      <c r="AL672" s="35">
        <f>IF($AH672="",DATE(2100,12,31),$AH672+1)</f>
        <v/>
      </c>
      <c r="AM672" s="35">
        <f>IF($AH672="",DATE(1900,1,1),$AG672)</f>
        <v/>
      </c>
      <c r="AN672" s="32">
        <f>IF($AH672="",0,$AC672*$T672)</f>
        <v/>
      </c>
    </row>
    <row r="673">
      <c r="A673" s="28" t="inlineStr">
        <is>
          <t>Eric</t>
        </is>
      </c>
      <c r="B673" s="16">
        <f>IF($A673="","",IFERROR(INDEX(Roster!$B$2:$B$40,MATCH($A673,Roster!$A$2:$A$40,0)),"?"))</f>
        <v/>
      </c>
      <c r="C673" s="28" t="inlineStr">
        <is>
          <t>Twister_1</t>
        </is>
      </c>
      <c r="D673" s="16">
        <f>IF($C673="","",IFERROR(IF(INDEX(Deals!$C$2:$C$355,MATCH($C673,Deals!$A$2:$A$355,0))=0,"",INDEX(Deals!$C$2:$C$355,MATCH($C673,Deals!$A$2:$A$355,0))),"?"))</f>
        <v/>
      </c>
      <c r="E673" s="16">
        <f>IF($C673="","",IFERROR(INDEX(Deals!$F$2:$F$355,MATCH($C673,Deals!$A$2:$A$355,0)),"?"))</f>
        <v/>
      </c>
      <c r="F673" s="28" t="inlineStr">
        <is>
          <t>Renewable Specialist</t>
        </is>
      </c>
      <c r="G673" s="28" t="inlineStr">
        <is>
          <t>Active</t>
        </is>
      </c>
      <c r="H673" s="31" t="n"/>
      <c r="I673" s="32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1">
        <f>IF($C673="",0,IFERROR(INDEX(Deals!$H$2:$H$355,MATCH($C673,Deals!$A$2:$A$355,0)),0))</f>
        <v/>
      </c>
      <c r="K673" s="32">
        <f>IF(Settings!$B$4="Yes",$I673*$J673,$I673)</f>
        <v/>
      </c>
      <c r="L673" s="22">
        <f>IF($C673="","",IFERROR(IF(INDEX(Deals!$I$2:$I$355,MATCH($C673,Deals!$A$2:$A$355,0))=0,"",INDEX(Deals!$I$2:$I$355,MATCH($C673,Deals!$A$2:$A$355,0))),""))</f>
        <v/>
      </c>
      <c r="M673" s="22">
        <f>IF($C673="","",IFERROR(IF(INDEX(Deals!$J$2:$J$355,MATCH($C673,Deals!$A$2:$A$355,0))=0,"",INDEX(Deals!$J$2:$J$355,MATCH($C673,Deals!$A$2:$A$355,0))),""))</f>
        <v/>
      </c>
      <c r="N673" s="35">
        <f>IF($L673="",DATE(1900,1,1),$L673)</f>
        <v/>
      </c>
      <c r="O673" s="35">
        <f>IF($M673="",DATE(2100,12,31),$M673)</f>
        <v/>
      </c>
      <c r="P673" s="20" t="inlineStr"/>
      <c r="Q673" s="43" t="inlineStr"/>
      <c r="R673" s="16">
        <f>IF($C673="","",IFERROR(IF(INDEX(Deals!$U$2:$U$355,MATCH($C673,Deals!$A$2:$A$355,0))=0,"",INDEX(Deals!$U$2:$U$355,MATCH($C673,Deals!$A$2:$A$355,0))),""))</f>
        <v/>
      </c>
      <c r="S673" s="34">
        <f>IFERROR(IF($U673="",1,INDEX(Deals!$V$2:$V$355,MATCH($C673,Deals!$A$2:$A$355,0))),1)</f>
        <v/>
      </c>
      <c r="T673" s="34">
        <f>IFERROR(IF($U673="",1,INDEX(Deals!$W$2:$W$355,MATCH($C673,Deals!$A$2:$A$355,0))),1)</f>
        <v/>
      </c>
      <c r="U673" s="22">
        <f>IF($C673="","",IFERROR(IF(INDEX(Deals!$Y$2:$Y$355,MATCH($C673,Deals!$A$2:$A$355,0))=0,"",INDEX(Deals!$Y$2:$Y$355,MATCH($C673,Deals!$A$2:$A$355,0))),""))</f>
        <v/>
      </c>
      <c r="V673" s="35">
        <f>IF($U673="",DATE(1900,1,1),$N673)</f>
        <v/>
      </c>
      <c r="W673" s="35">
        <f>IF($U673="",DATE(2100,12,31),$U673)</f>
        <v/>
      </c>
      <c r="X673" s="32">
        <f>IF($U673="",$K673,$K673*$S673)</f>
        <v/>
      </c>
      <c r="Y673" s="35">
        <f>IF($U673="",DATE(2100,12,31),$U673+1)</f>
        <v/>
      </c>
      <c r="Z673" s="35">
        <f>IF($U673="",DATE(1900,1,1),$O673)</f>
        <v/>
      </c>
      <c r="AA673" s="32">
        <f>IF($U673="",0,$K673*$T673)</f>
        <v/>
      </c>
      <c r="AB673" s="21">
        <f>IF($C673="",0,IFERROR(INDEX(Deals!$AD$2:$AD$355,MATCH($C673,Deals!$A$2:$A$355,0)),0))</f>
        <v/>
      </c>
      <c r="AC673" s="32">
        <f>IF(Settings!$B$4="Yes",$I673*$AB673,$I673)</f>
        <v/>
      </c>
      <c r="AD673" s="22">
        <f>IF($C673="","",IFERROR(IF(INDEX(Deals!$AE$2:$AE$355,MATCH($C673,Deals!$A$2:$A$355,0))=0,"",INDEX(Deals!$AE$2:$AE$355,MATCH($C673,Deals!$A$2:$A$355,0))),""))</f>
        <v/>
      </c>
      <c r="AE673" s="22">
        <f>IF($C673="","",IFERROR(IF(INDEX(Deals!$AF$2:$AF$355,MATCH($C673,Deals!$A$2:$A$355,0))=0,"",INDEX(Deals!$AF$2:$AF$355,MATCH($C673,Deals!$A$2:$A$355,0))),""))</f>
        <v/>
      </c>
      <c r="AF673" s="35">
        <f>IF($AD673="",DATE(1900,1,1),$AD673)</f>
        <v/>
      </c>
      <c r="AG673" s="35">
        <f>IF($AE673="",DATE(2100,12,31),$AE673)</f>
        <v/>
      </c>
      <c r="AH673" s="22">
        <f>IF($C673="","",IFERROR(IF(INDEX(Deals!$AG$2:$AG$355,MATCH($C673,Deals!$A$2:$A$355,0))=0,"",INDEX(Deals!$AG$2:$AG$355,MATCH($C673,Deals!$A$2:$A$355,0))),""))</f>
        <v/>
      </c>
      <c r="AI673" s="35">
        <f>IF($AH673="",DATE(1900,1,1),$AF673)</f>
        <v/>
      </c>
      <c r="AJ673" s="35">
        <f>IF($AH673="",DATE(2100,12,31),$AH673)</f>
        <v/>
      </c>
      <c r="AK673" s="32">
        <f>IF($AH673="",$AC673,$AC673*$S673)</f>
        <v/>
      </c>
      <c r="AL673" s="35">
        <f>IF($AH673="",DATE(2100,12,31),$AH673+1)</f>
        <v/>
      </c>
      <c r="AM673" s="35">
        <f>IF($AH673="",DATE(1900,1,1),$AG673)</f>
        <v/>
      </c>
      <c r="AN673" s="32">
        <f>IF($AH673="",0,$AC673*$T673)</f>
        <v/>
      </c>
    </row>
    <row r="674">
      <c r="A674" s="28" t="inlineStr">
        <is>
          <t>Robbie</t>
        </is>
      </c>
      <c r="B674" s="16">
        <f>IF($A674="","",IFERROR(INDEX(Roster!$B$2:$B$40,MATCH($A674,Roster!$A$2:$A$40,0)),"?"))</f>
        <v/>
      </c>
      <c r="C674" s="28" t="inlineStr">
        <is>
          <t>80/20 Assistance_1</t>
        </is>
      </c>
      <c r="D674" s="16">
        <f>IF($C674="","",IFERROR(IF(INDEX(Deals!$C$2:$C$355,MATCH($C674,Deals!$A$2:$A$355,0))=0,"",INDEX(Deals!$C$2:$C$355,MATCH($C674,Deals!$A$2:$A$355,0))),"?"))</f>
        <v/>
      </c>
      <c r="E674" s="16">
        <f>IF($C674="","",IFERROR(INDEX(Deals!$F$2:$F$355,MATCH($C674,Deals!$A$2:$A$355,0)),"?"))</f>
        <v/>
      </c>
      <c r="F674" s="28" t="inlineStr">
        <is>
          <t>Renewable Specialist</t>
        </is>
      </c>
      <c r="G674" s="28" t="inlineStr">
        <is>
          <t>Active</t>
        </is>
      </c>
      <c r="H674" s="31" t="n"/>
      <c r="I674" s="32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1">
        <f>IF($C674="",0,IFERROR(INDEX(Deals!$H$2:$H$355,MATCH($C674,Deals!$A$2:$A$355,0)),0))</f>
        <v/>
      </c>
      <c r="K674" s="32">
        <f>IF(Settings!$B$4="Yes",$I674*$J674,$I674)</f>
        <v/>
      </c>
      <c r="L674" s="22">
        <f>IF($C674="","",IFERROR(IF(INDEX(Deals!$I$2:$I$355,MATCH($C674,Deals!$A$2:$A$355,0))=0,"",INDEX(Deals!$I$2:$I$355,MATCH($C674,Deals!$A$2:$A$355,0))),""))</f>
        <v/>
      </c>
      <c r="M674" s="22">
        <f>IF($C674="","",IFERROR(IF(INDEX(Deals!$J$2:$J$355,MATCH($C674,Deals!$A$2:$A$355,0))=0,"",INDEX(Deals!$J$2:$J$355,MATCH($C674,Deals!$A$2:$A$355,0))),""))</f>
        <v/>
      </c>
      <c r="N674" s="35">
        <f>IF($L674="",DATE(1900,1,1),$L674)</f>
        <v/>
      </c>
      <c r="O674" s="35">
        <f>IF($M674="",DATE(2100,12,31),$M674)</f>
        <v/>
      </c>
      <c r="P674" s="20" t="inlineStr"/>
      <c r="Q674" s="43" t="inlineStr"/>
      <c r="R674" s="16">
        <f>IF($C674="","",IFERROR(IF(INDEX(Deals!$U$2:$U$355,MATCH($C674,Deals!$A$2:$A$355,0))=0,"",INDEX(Deals!$U$2:$U$355,MATCH($C674,Deals!$A$2:$A$355,0))),""))</f>
        <v/>
      </c>
      <c r="S674" s="34">
        <f>IFERROR(IF($U674="",1,INDEX(Deals!$V$2:$V$355,MATCH($C674,Deals!$A$2:$A$355,0))),1)</f>
        <v/>
      </c>
      <c r="T674" s="34">
        <f>IFERROR(IF($U674="",1,INDEX(Deals!$W$2:$W$355,MATCH($C674,Deals!$A$2:$A$355,0))),1)</f>
        <v/>
      </c>
      <c r="U674" s="22">
        <f>IF($C674="","",IFERROR(IF(INDEX(Deals!$Y$2:$Y$355,MATCH($C674,Deals!$A$2:$A$355,0))=0,"",INDEX(Deals!$Y$2:$Y$355,MATCH($C674,Deals!$A$2:$A$355,0))),""))</f>
        <v/>
      </c>
      <c r="V674" s="35">
        <f>IF($U674="",DATE(1900,1,1),$N674)</f>
        <v/>
      </c>
      <c r="W674" s="35">
        <f>IF($U674="",DATE(2100,12,31),$U674)</f>
        <v/>
      </c>
      <c r="X674" s="32">
        <f>IF($U674="",$K674,$K674*$S674)</f>
        <v/>
      </c>
      <c r="Y674" s="35">
        <f>IF($U674="",DATE(2100,12,31),$U674+1)</f>
        <v/>
      </c>
      <c r="Z674" s="35">
        <f>IF($U674="",DATE(1900,1,1),$O674)</f>
        <v/>
      </c>
      <c r="AA674" s="32">
        <f>IF($U674="",0,$K674*$T674)</f>
        <v/>
      </c>
      <c r="AB674" s="21">
        <f>IF($C674="",0,IFERROR(INDEX(Deals!$AD$2:$AD$355,MATCH($C674,Deals!$A$2:$A$355,0)),0))</f>
        <v/>
      </c>
      <c r="AC674" s="32">
        <f>IF(Settings!$B$4="Yes",$I674*$AB674,$I674)</f>
        <v/>
      </c>
      <c r="AD674" s="22">
        <f>IF($C674="","",IFERROR(IF(INDEX(Deals!$AE$2:$AE$355,MATCH($C674,Deals!$A$2:$A$355,0))=0,"",INDEX(Deals!$AE$2:$AE$355,MATCH($C674,Deals!$A$2:$A$355,0))),""))</f>
        <v/>
      </c>
      <c r="AE674" s="22">
        <f>IF($C674="","",IFERROR(IF(INDEX(Deals!$AF$2:$AF$355,MATCH($C674,Deals!$A$2:$A$355,0))=0,"",INDEX(Deals!$AF$2:$AF$355,MATCH($C674,Deals!$A$2:$A$355,0))),""))</f>
        <v/>
      </c>
      <c r="AF674" s="35">
        <f>IF($AD674="",DATE(1900,1,1),$AD674)</f>
        <v/>
      </c>
      <c r="AG674" s="35">
        <f>IF($AE674="",DATE(2100,12,31),$AE674)</f>
        <v/>
      </c>
      <c r="AH674" s="22">
        <f>IF($C674="","",IFERROR(IF(INDEX(Deals!$AG$2:$AG$355,MATCH($C674,Deals!$A$2:$A$355,0))=0,"",INDEX(Deals!$AG$2:$AG$355,MATCH($C674,Deals!$A$2:$A$355,0))),""))</f>
        <v/>
      </c>
      <c r="AI674" s="35">
        <f>IF($AH674="",DATE(1900,1,1),$AF674)</f>
        <v/>
      </c>
      <c r="AJ674" s="35">
        <f>IF($AH674="",DATE(2100,12,31),$AH674)</f>
        <v/>
      </c>
      <c r="AK674" s="32">
        <f>IF($AH674="",$AC674,$AC674*$S674)</f>
        <v/>
      </c>
      <c r="AL674" s="35">
        <f>IF($AH674="",DATE(2100,12,31),$AH674+1)</f>
        <v/>
      </c>
      <c r="AM674" s="35">
        <f>IF($AH674="",DATE(1900,1,1),$AG674)</f>
        <v/>
      </c>
      <c r="AN674" s="32">
        <f>IF($AH674="",0,$AC674*$T674)</f>
        <v/>
      </c>
    </row>
    <row r="675">
      <c r="A675" s="28" t="inlineStr">
        <is>
          <t>Robbie</t>
        </is>
      </c>
      <c r="B675" s="16">
        <f>IF($A675="","",IFERROR(INDEX(Roster!$B$2:$B$40,MATCH($A675,Roster!$A$2:$A$40,0)),"?"))</f>
        <v/>
      </c>
      <c r="C675" s="28" t="inlineStr">
        <is>
          <t>Bishopville_1</t>
        </is>
      </c>
      <c r="D675" s="16">
        <f>IF($C675="","",IFERROR(IF(INDEX(Deals!$C$2:$C$355,MATCH($C675,Deals!$A$2:$A$355,0))=0,"",INDEX(Deals!$C$2:$C$355,MATCH($C675,Deals!$A$2:$A$355,0))),"?"))</f>
        <v/>
      </c>
      <c r="E675" s="16">
        <f>IF($C675="","",IFERROR(INDEX(Deals!$F$2:$F$355,MATCH($C675,Deals!$A$2:$A$355,0)),"?"))</f>
        <v/>
      </c>
      <c r="F675" s="28" t="inlineStr">
        <is>
          <t>Renewable Specialist</t>
        </is>
      </c>
      <c r="G675" s="28" t="inlineStr">
        <is>
          <t>Active</t>
        </is>
      </c>
      <c r="H675" s="31" t="n"/>
      <c r="I675" s="32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1">
        <f>IF($C675="",0,IFERROR(INDEX(Deals!$H$2:$H$355,MATCH($C675,Deals!$A$2:$A$355,0)),0))</f>
        <v/>
      </c>
      <c r="K675" s="32">
        <f>IF(Settings!$B$4="Yes",$I675*$J675,$I675)</f>
        <v/>
      </c>
      <c r="L675" s="22">
        <f>IF($C675="","",IFERROR(IF(INDEX(Deals!$I$2:$I$355,MATCH($C675,Deals!$A$2:$A$355,0))=0,"",INDEX(Deals!$I$2:$I$355,MATCH($C675,Deals!$A$2:$A$355,0))),""))</f>
        <v/>
      </c>
      <c r="M675" s="22">
        <f>IF($C675="","",IFERROR(IF(INDEX(Deals!$J$2:$J$355,MATCH($C675,Deals!$A$2:$A$355,0))=0,"",INDEX(Deals!$J$2:$J$355,MATCH($C675,Deals!$A$2:$A$355,0))),""))</f>
        <v/>
      </c>
      <c r="N675" s="35">
        <f>IF($L675="",DATE(1900,1,1),$L675)</f>
        <v/>
      </c>
      <c r="O675" s="35">
        <f>IF($M675="",DATE(2100,12,31),$M675)</f>
        <v/>
      </c>
      <c r="P675" s="20" t="inlineStr"/>
      <c r="Q675" s="43" t="inlineStr"/>
      <c r="R675" s="16">
        <f>IF($C675="","",IFERROR(IF(INDEX(Deals!$U$2:$U$355,MATCH($C675,Deals!$A$2:$A$355,0))=0,"",INDEX(Deals!$U$2:$U$355,MATCH($C675,Deals!$A$2:$A$355,0))),""))</f>
        <v/>
      </c>
      <c r="S675" s="34">
        <f>IFERROR(IF($U675="",1,INDEX(Deals!$V$2:$V$355,MATCH($C675,Deals!$A$2:$A$355,0))),1)</f>
        <v/>
      </c>
      <c r="T675" s="34">
        <f>IFERROR(IF($U675="",1,INDEX(Deals!$W$2:$W$355,MATCH($C675,Deals!$A$2:$A$355,0))),1)</f>
        <v/>
      </c>
      <c r="U675" s="22">
        <f>IF($C675="","",IFERROR(IF(INDEX(Deals!$Y$2:$Y$355,MATCH($C675,Deals!$A$2:$A$355,0))=0,"",INDEX(Deals!$Y$2:$Y$355,MATCH($C675,Deals!$A$2:$A$355,0))),""))</f>
        <v/>
      </c>
      <c r="V675" s="35">
        <f>IF($U675="",DATE(1900,1,1),$N675)</f>
        <v/>
      </c>
      <c r="W675" s="35">
        <f>IF($U675="",DATE(2100,12,31),$U675)</f>
        <v/>
      </c>
      <c r="X675" s="32">
        <f>IF($U675="",$K675,$K675*$S675)</f>
        <v/>
      </c>
      <c r="Y675" s="35">
        <f>IF($U675="",DATE(2100,12,31),$U675+1)</f>
        <v/>
      </c>
      <c r="Z675" s="35">
        <f>IF($U675="",DATE(1900,1,1),$O675)</f>
        <v/>
      </c>
      <c r="AA675" s="32">
        <f>IF($U675="",0,$K675*$T675)</f>
        <v/>
      </c>
      <c r="AB675" s="21">
        <f>IF($C675="",0,IFERROR(INDEX(Deals!$AD$2:$AD$355,MATCH($C675,Deals!$A$2:$A$355,0)),0))</f>
        <v/>
      </c>
      <c r="AC675" s="32">
        <f>IF(Settings!$B$4="Yes",$I675*$AB675,$I675)</f>
        <v/>
      </c>
      <c r="AD675" s="22">
        <f>IF($C675="","",IFERROR(IF(INDEX(Deals!$AE$2:$AE$355,MATCH($C675,Deals!$A$2:$A$355,0))=0,"",INDEX(Deals!$AE$2:$AE$355,MATCH($C675,Deals!$A$2:$A$355,0))),""))</f>
        <v/>
      </c>
      <c r="AE675" s="22">
        <f>IF($C675="","",IFERROR(IF(INDEX(Deals!$AF$2:$AF$355,MATCH($C675,Deals!$A$2:$A$355,0))=0,"",INDEX(Deals!$AF$2:$AF$355,MATCH($C675,Deals!$A$2:$A$355,0))),""))</f>
        <v/>
      </c>
      <c r="AF675" s="35">
        <f>IF($AD675="",DATE(1900,1,1),$AD675)</f>
        <v/>
      </c>
      <c r="AG675" s="35">
        <f>IF($AE675="",DATE(2100,12,31),$AE675)</f>
        <v/>
      </c>
      <c r="AH675" s="22">
        <f>IF($C675="","",IFERROR(IF(INDEX(Deals!$AG$2:$AG$355,MATCH($C675,Deals!$A$2:$A$355,0))=0,"",INDEX(Deals!$AG$2:$AG$355,MATCH($C675,Deals!$A$2:$A$355,0))),""))</f>
        <v/>
      </c>
      <c r="AI675" s="35">
        <f>IF($AH675="",DATE(1900,1,1),$AF675)</f>
        <v/>
      </c>
      <c r="AJ675" s="35">
        <f>IF($AH675="",DATE(2100,12,31),$AH675)</f>
        <v/>
      </c>
      <c r="AK675" s="32">
        <f>IF($AH675="",$AC675,$AC675*$S675)</f>
        <v/>
      </c>
      <c r="AL675" s="35">
        <f>IF($AH675="",DATE(2100,12,31),$AH675+1)</f>
        <v/>
      </c>
      <c r="AM675" s="35">
        <f>IF($AH675="",DATE(1900,1,1),$AG675)</f>
        <v/>
      </c>
      <c r="AN675" s="32">
        <f>IF($AH675="",0,$AC675*$T675)</f>
        <v/>
      </c>
    </row>
    <row r="676">
      <c r="A676" s="28" t="inlineStr">
        <is>
          <t>Robbie</t>
        </is>
      </c>
      <c r="B676" s="16">
        <f>IF($A676="","",IFERROR(INDEX(Roster!$B$2:$B$40,MATCH($A676,Roster!$A$2:$A$40,0)),"?"))</f>
        <v/>
      </c>
      <c r="C676" s="28" t="inlineStr">
        <is>
          <t>Dawn_1</t>
        </is>
      </c>
      <c r="D676" s="16">
        <f>IF($C676="","",IFERROR(IF(INDEX(Deals!$C$2:$C$355,MATCH($C676,Deals!$A$2:$A$355,0))=0,"",INDEX(Deals!$C$2:$C$355,MATCH($C676,Deals!$A$2:$A$355,0))),"?"))</f>
        <v/>
      </c>
      <c r="E676" s="16">
        <f>IF($C676="","",IFERROR(INDEX(Deals!$F$2:$F$355,MATCH($C676,Deals!$A$2:$A$355,0)),"?"))</f>
        <v/>
      </c>
      <c r="F676" s="28" t="inlineStr">
        <is>
          <t>Renewable Specialist</t>
        </is>
      </c>
      <c r="G676" s="28" t="inlineStr">
        <is>
          <t>Active</t>
        </is>
      </c>
      <c r="H676" s="31" t="n"/>
      <c r="I676" s="32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1">
        <f>IF($C676="",0,IFERROR(INDEX(Deals!$H$2:$H$355,MATCH($C676,Deals!$A$2:$A$355,0)),0))</f>
        <v/>
      </c>
      <c r="K676" s="32">
        <f>IF(Settings!$B$4="Yes",$I676*$J676,$I676)</f>
        <v/>
      </c>
      <c r="L676" s="22">
        <f>IF($C676="","",IFERROR(IF(INDEX(Deals!$I$2:$I$355,MATCH($C676,Deals!$A$2:$A$355,0))=0,"",INDEX(Deals!$I$2:$I$355,MATCH($C676,Deals!$A$2:$A$355,0))),""))</f>
        <v/>
      </c>
      <c r="M676" s="22">
        <f>IF($C676="","",IFERROR(IF(INDEX(Deals!$J$2:$J$355,MATCH($C676,Deals!$A$2:$A$355,0))=0,"",INDEX(Deals!$J$2:$J$355,MATCH($C676,Deals!$A$2:$A$355,0))),""))</f>
        <v/>
      </c>
      <c r="N676" s="35">
        <f>IF($L676="",DATE(1900,1,1),$L676)</f>
        <v/>
      </c>
      <c r="O676" s="35">
        <f>IF($M676="",DATE(2100,12,31),$M676)</f>
        <v/>
      </c>
      <c r="P676" s="20" t="inlineStr"/>
      <c r="Q676" s="43" t="inlineStr"/>
      <c r="R676" s="16">
        <f>IF($C676="","",IFERROR(IF(INDEX(Deals!$U$2:$U$355,MATCH($C676,Deals!$A$2:$A$355,0))=0,"",INDEX(Deals!$U$2:$U$355,MATCH($C676,Deals!$A$2:$A$355,0))),""))</f>
        <v/>
      </c>
      <c r="S676" s="34">
        <f>IFERROR(IF($U676="",1,INDEX(Deals!$V$2:$V$355,MATCH($C676,Deals!$A$2:$A$355,0))),1)</f>
        <v/>
      </c>
      <c r="T676" s="34">
        <f>IFERROR(IF($U676="",1,INDEX(Deals!$W$2:$W$355,MATCH($C676,Deals!$A$2:$A$355,0))),1)</f>
        <v/>
      </c>
      <c r="U676" s="22">
        <f>IF($C676="","",IFERROR(IF(INDEX(Deals!$Y$2:$Y$355,MATCH($C676,Deals!$A$2:$A$355,0))=0,"",INDEX(Deals!$Y$2:$Y$355,MATCH($C676,Deals!$A$2:$A$355,0))),""))</f>
        <v/>
      </c>
      <c r="V676" s="35">
        <f>IF($U676="",DATE(1900,1,1),$N676)</f>
        <v/>
      </c>
      <c r="W676" s="35">
        <f>IF($U676="",DATE(2100,12,31),$U676)</f>
        <v/>
      </c>
      <c r="X676" s="32">
        <f>IF($U676="",$K676,$K676*$S676)</f>
        <v/>
      </c>
      <c r="Y676" s="35">
        <f>IF($U676="",DATE(2100,12,31),$U676+1)</f>
        <v/>
      </c>
      <c r="Z676" s="35">
        <f>IF($U676="",DATE(1900,1,1),$O676)</f>
        <v/>
      </c>
      <c r="AA676" s="32">
        <f>IF($U676="",0,$K676*$T676)</f>
        <v/>
      </c>
      <c r="AB676" s="21">
        <f>IF($C676="",0,IFERROR(INDEX(Deals!$AD$2:$AD$355,MATCH($C676,Deals!$A$2:$A$355,0)),0))</f>
        <v/>
      </c>
      <c r="AC676" s="32">
        <f>IF(Settings!$B$4="Yes",$I676*$AB676,$I676)</f>
        <v/>
      </c>
      <c r="AD676" s="22">
        <f>IF($C676="","",IFERROR(IF(INDEX(Deals!$AE$2:$AE$355,MATCH($C676,Deals!$A$2:$A$355,0))=0,"",INDEX(Deals!$AE$2:$AE$355,MATCH($C676,Deals!$A$2:$A$355,0))),""))</f>
        <v/>
      </c>
      <c r="AE676" s="22">
        <f>IF($C676="","",IFERROR(IF(INDEX(Deals!$AF$2:$AF$355,MATCH($C676,Deals!$A$2:$A$355,0))=0,"",INDEX(Deals!$AF$2:$AF$355,MATCH($C676,Deals!$A$2:$A$355,0))),""))</f>
        <v/>
      </c>
      <c r="AF676" s="35">
        <f>IF($AD676="",DATE(1900,1,1),$AD676)</f>
        <v/>
      </c>
      <c r="AG676" s="35">
        <f>IF($AE676="",DATE(2100,12,31),$AE676)</f>
        <v/>
      </c>
      <c r="AH676" s="22">
        <f>IF($C676="","",IFERROR(IF(INDEX(Deals!$AG$2:$AG$355,MATCH($C676,Deals!$A$2:$A$355,0))=0,"",INDEX(Deals!$AG$2:$AG$355,MATCH($C676,Deals!$A$2:$A$355,0))),""))</f>
        <v/>
      </c>
      <c r="AI676" s="35">
        <f>IF($AH676="",DATE(1900,1,1),$AF676)</f>
        <v/>
      </c>
      <c r="AJ676" s="35">
        <f>IF($AH676="",DATE(2100,12,31),$AH676)</f>
        <v/>
      </c>
      <c r="AK676" s="32">
        <f>IF($AH676="",$AC676,$AC676*$S676)</f>
        <v/>
      </c>
      <c r="AL676" s="35">
        <f>IF($AH676="",DATE(2100,12,31),$AH676+1)</f>
        <v/>
      </c>
      <c r="AM676" s="35">
        <f>IF($AH676="",DATE(1900,1,1),$AG676)</f>
        <v/>
      </c>
      <c r="AN676" s="32">
        <f>IF($AH676="",0,$AC676*$T676)</f>
        <v/>
      </c>
    </row>
    <row r="677">
      <c r="A677" s="28" t="inlineStr">
        <is>
          <t>Robbie</t>
        </is>
      </c>
      <c r="B677" s="16">
        <f>IF($A677="","",IFERROR(INDEX(Roster!$B$2:$B$40,MATCH($A677,Roster!$A$2:$A$40,0)),"?"))</f>
        <v/>
      </c>
      <c r="C677" s="28" t="inlineStr">
        <is>
          <t>Denergy_1</t>
        </is>
      </c>
      <c r="D677" s="16">
        <f>IF($C677="","",IFERROR(IF(INDEX(Deals!$C$2:$C$355,MATCH($C677,Deals!$A$2:$A$355,0))=0,"",INDEX(Deals!$C$2:$C$355,MATCH($C677,Deals!$A$2:$A$355,0))),"?"))</f>
        <v/>
      </c>
      <c r="E677" s="16">
        <f>IF($C677="","",IFERROR(INDEX(Deals!$F$2:$F$355,MATCH($C677,Deals!$A$2:$A$355,0)),"?"))</f>
        <v/>
      </c>
      <c r="F677" s="28" t="inlineStr">
        <is>
          <t>Renewable Specialist</t>
        </is>
      </c>
      <c r="G677" s="28" t="inlineStr">
        <is>
          <t>Active</t>
        </is>
      </c>
      <c r="H677" s="31" t="n"/>
      <c r="I677" s="32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1">
        <f>IF($C677="",0,IFERROR(INDEX(Deals!$H$2:$H$355,MATCH($C677,Deals!$A$2:$A$355,0)),0))</f>
        <v/>
      </c>
      <c r="K677" s="32">
        <f>IF(Settings!$B$4="Yes",$I677*$J677,$I677)</f>
        <v/>
      </c>
      <c r="L677" s="22">
        <f>IF($C677="","",IFERROR(IF(INDEX(Deals!$I$2:$I$355,MATCH($C677,Deals!$A$2:$A$355,0))=0,"",INDEX(Deals!$I$2:$I$355,MATCH($C677,Deals!$A$2:$A$355,0))),""))</f>
        <v/>
      </c>
      <c r="M677" s="22">
        <f>IF($C677="","",IFERROR(IF(INDEX(Deals!$J$2:$J$355,MATCH($C677,Deals!$A$2:$A$355,0))=0,"",INDEX(Deals!$J$2:$J$355,MATCH($C677,Deals!$A$2:$A$355,0))),""))</f>
        <v/>
      </c>
      <c r="N677" s="35">
        <f>IF($L677="",DATE(1900,1,1),$L677)</f>
        <v/>
      </c>
      <c r="O677" s="35">
        <f>IF($M677="",DATE(2100,12,31),$M677)</f>
        <v/>
      </c>
      <c r="P677" s="20" t="inlineStr"/>
      <c r="Q677" s="43" t="inlineStr"/>
      <c r="R677" s="16">
        <f>IF($C677="","",IFERROR(IF(INDEX(Deals!$U$2:$U$355,MATCH($C677,Deals!$A$2:$A$355,0))=0,"",INDEX(Deals!$U$2:$U$355,MATCH($C677,Deals!$A$2:$A$355,0))),""))</f>
        <v/>
      </c>
      <c r="S677" s="34">
        <f>IFERROR(IF($U677="",1,INDEX(Deals!$V$2:$V$355,MATCH($C677,Deals!$A$2:$A$355,0))),1)</f>
        <v/>
      </c>
      <c r="T677" s="34">
        <f>IFERROR(IF($U677="",1,INDEX(Deals!$W$2:$W$355,MATCH($C677,Deals!$A$2:$A$355,0))),1)</f>
        <v/>
      </c>
      <c r="U677" s="22">
        <f>IF($C677="","",IFERROR(IF(INDEX(Deals!$Y$2:$Y$355,MATCH($C677,Deals!$A$2:$A$355,0))=0,"",INDEX(Deals!$Y$2:$Y$355,MATCH($C677,Deals!$A$2:$A$355,0))),""))</f>
        <v/>
      </c>
      <c r="V677" s="35">
        <f>IF($U677="",DATE(1900,1,1),$N677)</f>
        <v/>
      </c>
      <c r="W677" s="35">
        <f>IF($U677="",DATE(2100,12,31),$U677)</f>
        <v/>
      </c>
      <c r="X677" s="32">
        <f>IF($U677="",$K677,$K677*$S677)</f>
        <v/>
      </c>
      <c r="Y677" s="35">
        <f>IF($U677="",DATE(2100,12,31),$U677+1)</f>
        <v/>
      </c>
      <c r="Z677" s="35">
        <f>IF($U677="",DATE(1900,1,1),$O677)</f>
        <v/>
      </c>
      <c r="AA677" s="32">
        <f>IF($U677="",0,$K677*$T677)</f>
        <v/>
      </c>
      <c r="AB677" s="21">
        <f>IF($C677="",0,IFERROR(INDEX(Deals!$AD$2:$AD$355,MATCH($C677,Deals!$A$2:$A$355,0)),0))</f>
        <v/>
      </c>
      <c r="AC677" s="32">
        <f>IF(Settings!$B$4="Yes",$I677*$AB677,$I677)</f>
        <v/>
      </c>
      <c r="AD677" s="22">
        <f>IF($C677="","",IFERROR(IF(INDEX(Deals!$AE$2:$AE$355,MATCH($C677,Deals!$A$2:$A$355,0))=0,"",INDEX(Deals!$AE$2:$AE$355,MATCH($C677,Deals!$A$2:$A$355,0))),""))</f>
        <v/>
      </c>
      <c r="AE677" s="22">
        <f>IF($C677="","",IFERROR(IF(INDEX(Deals!$AF$2:$AF$355,MATCH($C677,Deals!$A$2:$A$355,0))=0,"",INDEX(Deals!$AF$2:$AF$355,MATCH($C677,Deals!$A$2:$A$355,0))),""))</f>
        <v/>
      </c>
      <c r="AF677" s="35">
        <f>IF($AD677="",DATE(1900,1,1),$AD677)</f>
        <v/>
      </c>
      <c r="AG677" s="35">
        <f>IF($AE677="",DATE(2100,12,31),$AE677)</f>
        <v/>
      </c>
      <c r="AH677" s="22">
        <f>IF($C677="","",IFERROR(IF(INDEX(Deals!$AG$2:$AG$355,MATCH($C677,Deals!$A$2:$A$355,0))=0,"",INDEX(Deals!$AG$2:$AG$355,MATCH($C677,Deals!$A$2:$A$355,0))),""))</f>
        <v/>
      </c>
      <c r="AI677" s="35">
        <f>IF($AH677="",DATE(1900,1,1),$AF677)</f>
        <v/>
      </c>
      <c r="AJ677" s="35">
        <f>IF($AH677="",DATE(2100,12,31),$AH677)</f>
        <v/>
      </c>
      <c r="AK677" s="32">
        <f>IF($AH677="",$AC677,$AC677*$S677)</f>
        <v/>
      </c>
      <c r="AL677" s="35">
        <f>IF($AH677="",DATE(2100,12,31),$AH677+1)</f>
        <v/>
      </c>
      <c r="AM677" s="35">
        <f>IF($AH677="",DATE(1900,1,1),$AG677)</f>
        <v/>
      </c>
      <c r="AN677" s="32">
        <f>IF($AH677="",0,$AC677*$T677)</f>
        <v/>
      </c>
    </row>
    <row r="678">
      <c r="A678" s="28" t="inlineStr">
        <is>
          <t>Robbie</t>
        </is>
      </c>
      <c r="B678" s="16">
        <f>IF($A678="","",IFERROR(INDEX(Roster!$B$2:$B$40,MATCH($A678,Roster!$A$2:$A$40,0)),"?"))</f>
        <v/>
      </c>
      <c r="C678" s="28" t="inlineStr">
        <is>
          <t>DIF Twister_2</t>
        </is>
      </c>
      <c r="D678" s="16">
        <f>IF($C678="","",IFERROR(IF(INDEX(Deals!$C$2:$C$355,MATCH($C678,Deals!$A$2:$A$355,0))=0,"",INDEX(Deals!$C$2:$C$355,MATCH($C678,Deals!$A$2:$A$355,0))),"?"))</f>
        <v/>
      </c>
      <c r="E678" s="16">
        <f>IF($C678="","",IFERROR(INDEX(Deals!$F$2:$F$355,MATCH($C678,Deals!$A$2:$A$355,0)),"?"))</f>
        <v/>
      </c>
      <c r="F678" s="28" t="inlineStr">
        <is>
          <t>Renewable Specialist</t>
        </is>
      </c>
      <c r="G678" s="28" t="inlineStr">
        <is>
          <t>Active</t>
        </is>
      </c>
      <c r="H678" s="31" t="n"/>
      <c r="I678" s="32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1">
        <f>IF($C678="",0,IFERROR(INDEX(Deals!$H$2:$H$355,MATCH($C678,Deals!$A$2:$A$355,0)),0))</f>
        <v/>
      </c>
      <c r="K678" s="32">
        <f>IF(Settings!$B$4="Yes",$I678*$J678,$I678)</f>
        <v/>
      </c>
      <c r="L678" s="22">
        <f>IF($C678="","",IFERROR(IF(INDEX(Deals!$I$2:$I$355,MATCH($C678,Deals!$A$2:$A$355,0))=0,"",INDEX(Deals!$I$2:$I$355,MATCH($C678,Deals!$A$2:$A$355,0))),""))</f>
        <v/>
      </c>
      <c r="M678" s="22">
        <f>IF($C678="","",IFERROR(IF(INDEX(Deals!$J$2:$J$355,MATCH($C678,Deals!$A$2:$A$355,0))=0,"",INDEX(Deals!$J$2:$J$355,MATCH($C678,Deals!$A$2:$A$355,0))),""))</f>
        <v/>
      </c>
      <c r="N678" s="35">
        <f>IF($L678="",DATE(1900,1,1),$L678)</f>
        <v/>
      </c>
      <c r="O678" s="35">
        <f>IF($M678="",DATE(2100,12,31),$M678)</f>
        <v/>
      </c>
      <c r="P678" s="20" t="inlineStr"/>
      <c r="Q678" s="43" t="inlineStr"/>
      <c r="R678" s="16">
        <f>IF($C678="","",IFERROR(IF(INDEX(Deals!$U$2:$U$355,MATCH($C678,Deals!$A$2:$A$355,0))=0,"",INDEX(Deals!$U$2:$U$355,MATCH($C678,Deals!$A$2:$A$355,0))),""))</f>
        <v/>
      </c>
      <c r="S678" s="34">
        <f>IFERROR(IF($U678="",1,INDEX(Deals!$V$2:$V$355,MATCH($C678,Deals!$A$2:$A$355,0))),1)</f>
        <v/>
      </c>
      <c r="T678" s="34">
        <f>IFERROR(IF($U678="",1,INDEX(Deals!$W$2:$W$355,MATCH($C678,Deals!$A$2:$A$355,0))),1)</f>
        <v/>
      </c>
      <c r="U678" s="22">
        <f>IF($C678="","",IFERROR(IF(INDEX(Deals!$Y$2:$Y$355,MATCH($C678,Deals!$A$2:$A$355,0))=0,"",INDEX(Deals!$Y$2:$Y$355,MATCH($C678,Deals!$A$2:$A$355,0))),""))</f>
        <v/>
      </c>
      <c r="V678" s="35">
        <f>IF($U678="",DATE(1900,1,1),$N678)</f>
        <v/>
      </c>
      <c r="W678" s="35">
        <f>IF($U678="",DATE(2100,12,31),$U678)</f>
        <v/>
      </c>
      <c r="X678" s="32">
        <f>IF($U678="",$K678,$K678*$S678)</f>
        <v/>
      </c>
      <c r="Y678" s="35">
        <f>IF($U678="",DATE(2100,12,31),$U678+1)</f>
        <v/>
      </c>
      <c r="Z678" s="35">
        <f>IF($U678="",DATE(1900,1,1),$O678)</f>
        <v/>
      </c>
      <c r="AA678" s="32">
        <f>IF($U678="",0,$K678*$T678)</f>
        <v/>
      </c>
      <c r="AB678" s="21">
        <f>IF($C678="",0,IFERROR(INDEX(Deals!$AD$2:$AD$355,MATCH($C678,Deals!$A$2:$A$355,0)),0))</f>
        <v/>
      </c>
      <c r="AC678" s="32">
        <f>IF(Settings!$B$4="Yes",$I678*$AB678,$I678)</f>
        <v/>
      </c>
      <c r="AD678" s="22">
        <f>IF($C678="","",IFERROR(IF(INDEX(Deals!$AE$2:$AE$355,MATCH($C678,Deals!$A$2:$A$355,0))=0,"",INDEX(Deals!$AE$2:$AE$355,MATCH($C678,Deals!$A$2:$A$355,0))),""))</f>
        <v/>
      </c>
      <c r="AE678" s="22">
        <f>IF($C678="","",IFERROR(IF(INDEX(Deals!$AF$2:$AF$355,MATCH($C678,Deals!$A$2:$A$355,0))=0,"",INDEX(Deals!$AF$2:$AF$355,MATCH($C678,Deals!$A$2:$A$355,0))),""))</f>
        <v/>
      </c>
      <c r="AF678" s="35">
        <f>IF($AD678="",DATE(1900,1,1),$AD678)</f>
        <v/>
      </c>
      <c r="AG678" s="35">
        <f>IF($AE678="",DATE(2100,12,31),$AE678)</f>
        <v/>
      </c>
      <c r="AH678" s="22">
        <f>IF($C678="","",IFERROR(IF(INDEX(Deals!$AG$2:$AG$355,MATCH($C678,Deals!$A$2:$A$355,0))=0,"",INDEX(Deals!$AG$2:$AG$355,MATCH($C678,Deals!$A$2:$A$355,0))),""))</f>
        <v/>
      </c>
      <c r="AI678" s="35">
        <f>IF($AH678="",DATE(1900,1,1),$AF678)</f>
        <v/>
      </c>
      <c r="AJ678" s="35">
        <f>IF($AH678="",DATE(2100,12,31),$AH678)</f>
        <v/>
      </c>
      <c r="AK678" s="32">
        <f>IF($AH678="",$AC678,$AC678*$S678)</f>
        <v/>
      </c>
      <c r="AL678" s="35">
        <f>IF($AH678="",DATE(2100,12,31),$AH678+1)</f>
        <v/>
      </c>
      <c r="AM678" s="35">
        <f>IF($AH678="",DATE(1900,1,1),$AG678)</f>
        <v/>
      </c>
      <c r="AN678" s="32">
        <f>IF($AH678="",0,$AC678*$T678)</f>
        <v/>
      </c>
    </row>
    <row r="679">
      <c r="A679" s="28" t="inlineStr">
        <is>
          <t>Robbie</t>
        </is>
      </c>
      <c r="B679" s="16">
        <f>IF($A679="","",IFERROR(INDEX(Roster!$B$2:$B$40,MATCH($A679,Roster!$A$2:$A$40,0)),"?"))</f>
        <v/>
      </c>
      <c r="C679" s="28" t="inlineStr">
        <is>
          <t>Elektron_1</t>
        </is>
      </c>
      <c r="D679" s="16">
        <f>IF($C679="","",IFERROR(IF(INDEX(Deals!$C$2:$C$355,MATCH($C679,Deals!$A$2:$A$355,0))=0,"",INDEX(Deals!$C$2:$C$355,MATCH($C679,Deals!$A$2:$A$355,0))),"?"))</f>
        <v/>
      </c>
      <c r="E679" s="16">
        <f>IF($C679="","",IFERROR(INDEX(Deals!$F$2:$F$355,MATCH($C679,Deals!$A$2:$A$355,0)),"?"))</f>
        <v/>
      </c>
      <c r="F679" s="28" t="inlineStr">
        <is>
          <t>Renewable Specialist</t>
        </is>
      </c>
      <c r="G679" s="28" t="inlineStr">
        <is>
          <t>Active</t>
        </is>
      </c>
      <c r="H679" s="31" t="n"/>
      <c r="I679" s="32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1">
        <f>IF($C679="",0,IFERROR(INDEX(Deals!$H$2:$H$355,MATCH($C679,Deals!$A$2:$A$355,0)),0))</f>
        <v/>
      </c>
      <c r="K679" s="32">
        <f>IF(Settings!$B$4="Yes",$I679*$J679,$I679)</f>
        <v/>
      </c>
      <c r="L679" s="22">
        <f>IF($C679="","",IFERROR(IF(INDEX(Deals!$I$2:$I$355,MATCH($C679,Deals!$A$2:$A$355,0))=0,"",INDEX(Deals!$I$2:$I$355,MATCH($C679,Deals!$A$2:$A$355,0))),""))</f>
        <v/>
      </c>
      <c r="M679" s="22">
        <f>IF($C679="","",IFERROR(IF(INDEX(Deals!$J$2:$J$355,MATCH($C679,Deals!$A$2:$A$355,0))=0,"",INDEX(Deals!$J$2:$J$355,MATCH($C679,Deals!$A$2:$A$355,0))),""))</f>
        <v/>
      </c>
      <c r="N679" s="35">
        <f>IF($L679="",DATE(1900,1,1),$L679)</f>
        <v/>
      </c>
      <c r="O679" s="35">
        <f>IF($M679="",DATE(2100,12,31),$M679)</f>
        <v/>
      </c>
      <c r="P679" s="20" t="inlineStr"/>
      <c r="Q679" s="43" t="inlineStr"/>
      <c r="R679" s="16">
        <f>IF($C679="","",IFERROR(IF(INDEX(Deals!$U$2:$U$355,MATCH($C679,Deals!$A$2:$A$355,0))=0,"",INDEX(Deals!$U$2:$U$355,MATCH($C679,Deals!$A$2:$A$355,0))),""))</f>
        <v/>
      </c>
      <c r="S679" s="34">
        <f>IFERROR(IF($U679="",1,INDEX(Deals!$V$2:$V$355,MATCH($C679,Deals!$A$2:$A$355,0))),1)</f>
        <v/>
      </c>
      <c r="T679" s="34">
        <f>IFERROR(IF($U679="",1,INDEX(Deals!$W$2:$W$355,MATCH($C679,Deals!$A$2:$A$355,0))),1)</f>
        <v/>
      </c>
      <c r="U679" s="22">
        <f>IF($C679="","",IFERROR(IF(INDEX(Deals!$Y$2:$Y$355,MATCH($C679,Deals!$A$2:$A$355,0))=0,"",INDEX(Deals!$Y$2:$Y$355,MATCH($C679,Deals!$A$2:$A$355,0))),""))</f>
        <v/>
      </c>
      <c r="V679" s="35">
        <f>IF($U679="",DATE(1900,1,1),$N679)</f>
        <v/>
      </c>
      <c r="W679" s="35">
        <f>IF($U679="",DATE(2100,12,31),$U679)</f>
        <v/>
      </c>
      <c r="X679" s="32">
        <f>IF($U679="",$K679,$K679*$S679)</f>
        <v/>
      </c>
      <c r="Y679" s="35">
        <f>IF($U679="",DATE(2100,12,31),$U679+1)</f>
        <v/>
      </c>
      <c r="Z679" s="35">
        <f>IF($U679="",DATE(1900,1,1),$O679)</f>
        <v/>
      </c>
      <c r="AA679" s="32">
        <f>IF($U679="",0,$K679*$T679)</f>
        <v/>
      </c>
      <c r="AB679" s="21">
        <f>IF($C679="",0,IFERROR(INDEX(Deals!$AD$2:$AD$355,MATCH($C679,Deals!$A$2:$A$355,0)),0))</f>
        <v/>
      </c>
      <c r="AC679" s="32">
        <f>IF(Settings!$B$4="Yes",$I679*$AB679,$I679)</f>
        <v/>
      </c>
      <c r="AD679" s="22">
        <f>IF($C679="","",IFERROR(IF(INDEX(Deals!$AE$2:$AE$355,MATCH($C679,Deals!$A$2:$A$355,0))=0,"",INDEX(Deals!$AE$2:$AE$355,MATCH($C679,Deals!$A$2:$A$355,0))),""))</f>
        <v/>
      </c>
      <c r="AE679" s="22">
        <f>IF($C679="","",IFERROR(IF(INDEX(Deals!$AF$2:$AF$355,MATCH($C679,Deals!$A$2:$A$355,0))=0,"",INDEX(Deals!$AF$2:$AF$355,MATCH($C679,Deals!$A$2:$A$355,0))),""))</f>
        <v/>
      </c>
      <c r="AF679" s="35">
        <f>IF($AD679="",DATE(1900,1,1),$AD679)</f>
        <v/>
      </c>
      <c r="AG679" s="35">
        <f>IF($AE679="",DATE(2100,12,31),$AE679)</f>
        <v/>
      </c>
      <c r="AH679" s="22">
        <f>IF($C679="","",IFERROR(IF(INDEX(Deals!$AG$2:$AG$355,MATCH($C679,Deals!$A$2:$A$355,0))=0,"",INDEX(Deals!$AG$2:$AG$355,MATCH($C679,Deals!$A$2:$A$355,0))),""))</f>
        <v/>
      </c>
      <c r="AI679" s="35">
        <f>IF($AH679="",DATE(1900,1,1),$AF679)</f>
        <v/>
      </c>
      <c r="AJ679" s="35">
        <f>IF($AH679="",DATE(2100,12,31),$AH679)</f>
        <v/>
      </c>
      <c r="AK679" s="32">
        <f>IF($AH679="",$AC679,$AC679*$S679)</f>
        <v/>
      </c>
      <c r="AL679" s="35">
        <f>IF($AH679="",DATE(2100,12,31),$AH679+1)</f>
        <v/>
      </c>
      <c r="AM679" s="35">
        <f>IF($AH679="",DATE(1900,1,1),$AG679)</f>
        <v/>
      </c>
      <c r="AN679" s="32">
        <f>IF($AH679="",0,$AC679*$T679)</f>
        <v/>
      </c>
    </row>
    <row r="680">
      <c r="A680" s="28" t="inlineStr">
        <is>
          <t>Robbie</t>
        </is>
      </c>
      <c r="B680" s="16">
        <f>IF($A680="","",IFERROR(INDEX(Roster!$B$2:$B$40,MATCH($A680,Roster!$A$2:$A$40,0)),"?"))</f>
        <v/>
      </c>
      <c r="C680" s="28" t="inlineStr">
        <is>
          <t>Gateway_3</t>
        </is>
      </c>
      <c r="D680" s="16">
        <f>IF($C680="","",IFERROR(IF(INDEX(Deals!$C$2:$C$355,MATCH($C680,Deals!$A$2:$A$355,0))=0,"",INDEX(Deals!$C$2:$C$355,MATCH($C680,Deals!$A$2:$A$355,0))),"?"))</f>
        <v/>
      </c>
      <c r="E680" s="16">
        <f>IF($C680="","",IFERROR(INDEX(Deals!$F$2:$F$355,MATCH($C680,Deals!$A$2:$A$355,0)),"?"))</f>
        <v/>
      </c>
      <c r="F680" s="28" t="inlineStr">
        <is>
          <t>Renewable Specialist</t>
        </is>
      </c>
      <c r="G680" s="28" t="inlineStr">
        <is>
          <t>Active</t>
        </is>
      </c>
      <c r="H680" s="31" t="n"/>
      <c r="I680" s="32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1">
        <f>IF($C680="",0,IFERROR(INDEX(Deals!$H$2:$H$355,MATCH($C680,Deals!$A$2:$A$355,0)),0))</f>
        <v/>
      </c>
      <c r="K680" s="32">
        <f>IF(Settings!$B$4="Yes",$I680*$J680,$I680)</f>
        <v/>
      </c>
      <c r="L680" s="22">
        <f>IF($C680="","",IFERROR(IF(INDEX(Deals!$I$2:$I$355,MATCH($C680,Deals!$A$2:$A$355,0))=0,"",INDEX(Deals!$I$2:$I$355,MATCH($C680,Deals!$A$2:$A$355,0))),""))</f>
        <v/>
      </c>
      <c r="M680" s="22">
        <f>IF($C680="","",IFERROR(IF(INDEX(Deals!$J$2:$J$355,MATCH($C680,Deals!$A$2:$A$355,0))=0,"",INDEX(Deals!$J$2:$J$355,MATCH($C680,Deals!$A$2:$A$355,0))),""))</f>
        <v/>
      </c>
      <c r="N680" s="35">
        <f>IF($L680="",DATE(1900,1,1),$L680)</f>
        <v/>
      </c>
      <c r="O680" s="35">
        <f>IF($M680="",DATE(2100,12,31),$M680)</f>
        <v/>
      </c>
      <c r="P680" s="20" t="inlineStr"/>
      <c r="Q680" s="43" t="inlineStr"/>
      <c r="R680" s="16">
        <f>IF($C680="","",IFERROR(IF(INDEX(Deals!$U$2:$U$355,MATCH($C680,Deals!$A$2:$A$355,0))=0,"",INDEX(Deals!$U$2:$U$355,MATCH($C680,Deals!$A$2:$A$355,0))),""))</f>
        <v/>
      </c>
      <c r="S680" s="34">
        <f>IFERROR(IF($U680="",1,INDEX(Deals!$V$2:$V$355,MATCH($C680,Deals!$A$2:$A$355,0))),1)</f>
        <v/>
      </c>
      <c r="T680" s="34">
        <f>IFERROR(IF($U680="",1,INDEX(Deals!$W$2:$W$355,MATCH($C680,Deals!$A$2:$A$355,0))),1)</f>
        <v/>
      </c>
      <c r="U680" s="22">
        <f>IF($C680="","",IFERROR(IF(INDEX(Deals!$Y$2:$Y$355,MATCH($C680,Deals!$A$2:$A$355,0))=0,"",INDEX(Deals!$Y$2:$Y$355,MATCH($C680,Deals!$A$2:$A$355,0))),""))</f>
        <v/>
      </c>
      <c r="V680" s="35">
        <f>IF($U680="",DATE(1900,1,1),$N680)</f>
        <v/>
      </c>
      <c r="W680" s="35">
        <f>IF($U680="",DATE(2100,12,31),$U680)</f>
        <v/>
      </c>
      <c r="X680" s="32">
        <f>IF($U680="",$K680,$K680*$S680)</f>
        <v/>
      </c>
      <c r="Y680" s="35">
        <f>IF($U680="",DATE(2100,12,31),$U680+1)</f>
        <v/>
      </c>
      <c r="Z680" s="35">
        <f>IF($U680="",DATE(1900,1,1),$O680)</f>
        <v/>
      </c>
      <c r="AA680" s="32">
        <f>IF($U680="",0,$K680*$T680)</f>
        <v/>
      </c>
      <c r="AB680" s="21">
        <f>IF($C680="",0,IFERROR(INDEX(Deals!$AD$2:$AD$355,MATCH($C680,Deals!$A$2:$A$355,0)),0))</f>
        <v/>
      </c>
      <c r="AC680" s="32">
        <f>IF(Settings!$B$4="Yes",$I680*$AB680,$I680)</f>
        <v/>
      </c>
      <c r="AD680" s="22">
        <f>IF($C680="","",IFERROR(IF(INDEX(Deals!$AE$2:$AE$355,MATCH($C680,Deals!$A$2:$A$355,0))=0,"",INDEX(Deals!$AE$2:$AE$355,MATCH($C680,Deals!$A$2:$A$355,0))),""))</f>
        <v/>
      </c>
      <c r="AE680" s="22">
        <f>IF($C680="","",IFERROR(IF(INDEX(Deals!$AF$2:$AF$355,MATCH($C680,Deals!$A$2:$A$355,0))=0,"",INDEX(Deals!$AF$2:$AF$355,MATCH($C680,Deals!$A$2:$A$355,0))),""))</f>
        <v/>
      </c>
      <c r="AF680" s="35">
        <f>IF($AD680="",DATE(1900,1,1),$AD680)</f>
        <v/>
      </c>
      <c r="AG680" s="35">
        <f>IF($AE680="",DATE(2100,12,31),$AE680)</f>
        <v/>
      </c>
      <c r="AH680" s="22">
        <f>IF($C680="","",IFERROR(IF(INDEX(Deals!$AG$2:$AG$355,MATCH($C680,Deals!$A$2:$A$355,0))=0,"",INDEX(Deals!$AG$2:$AG$355,MATCH($C680,Deals!$A$2:$A$355,0))),""))</f>
        <v/>
      </c>
      <c r="AI680" s="35">
        <f>IF($AH680="",DATE(1900,1,1),$AF680)</f>
        <v/>
      </c>
      <c r="AJ680" s="35">
        <f>IF($AH680="",DATE(2100,12,31),$AH680)</f>
        <v/>
      </c>
      <c r="AK680" s="32">
        <f>IF($AH680="",$AC680,$AC680*$S680)</f>
        <v/>
      </c>
      <c r="AL680" s="35">
        <f>IF($AH680="",DATE(2100,12,31),$AH680+1)</f>
        <v/>
      </c>
      <c r="AM680" s="35">
        <f>IF($AH680="",DATE(1900,1,1),$AG680)</f>
        <v/>
      </c>
      <c r="AN680" s="32">
        <f>IF($AH680="",0,$AC680*$T680)</f>
        <v/>
      </c>
    </row>
    <row r="681">
      <c r="A681" s="28" t="inlineStr">
        <is>
          <t>Robbie</t>
        </is>
      </c>
      <c r="B681" s="16">
        <f>IF($A681="","",IFERROR(INDEX(Roster!$B$2:$B$40,MATCH($A681,Roster!$A$2:$A$40,0)),"?"))</f>
        <v/>
      </c>
      <c r="C681" s="28" t="inlineStr">
        <is>
          <t>Hamby_1</t>
        </is>
      </c>
      <c r="D681" s="16">
        <f>IF($C681="","",IFERROR(IF(INDEX(Deals!$C$2:$C$355,MATCH($C681,Deals!$A$2:$A$355,0))=0,"",INDEX(Deals!$C$2:$C$355,MATCH($C681,Deals!$A$2:$A$355,0))),"?"))</f>
        <v/>
      </c>
      <c r="E681" s="16">
        <f>IF($C681="","",IFERROR(INDEX(Deals!$F$2:$F$355,MATCH($C681,Deals!$A$2:$A$355,0)),"?"))</f>
        <v/>
      </c>
      <c r="F681" s="28" t="inlineStr">
        <is>
          <t>Renewable Specialist</t>
        </is>
      </c>
      <c r="G681" s="28" t="inlineStr">
        <is>
          <t>Active</t>
        </is>
      </c>
      <c r="H681" s="31" t="n"/>
      <c r="I681" s="32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1">
        <f>IF($C681="",0,IFERROR(INDEX(Deals!$H$2:$H$355,MATCH($C681,Deals!$A$2:$A$355,0)),0))</f>
        <v/>
      </c>
      <c r="K681" s="32">
        <f>IF(Settings!$B$4="Yes",$I681*$J681,$I681)</f>
        <v/>
      </c>
      <c r="L681" s="22">
        <f>IF($C681="","",IFERROR(IF(INDEX(Deals!$I$2:$I$355,MATCH($C681,Deals!$A$2:$A$355,0))=0,"",INDEX(Deals!$I$2:$I$355,MATCH($C681,Deals!$A$2:$A$355,0))),""))</f>
        <v/>
      </c>
      <c r="M681" s="22">
        <f>IF($C681="","",IFERROR(IF(INDEX(Deals!$J$2:$J$355,MATCH($C681,Deals!$A$2:$A$355,0))=0,"",INDEX(Deals!$J$2:$J$355,MATCH($C681,Deals!$A$2:$A$355,0))),""))</f>
        <v/>
      </c>
      <c r="N681" s="35">
        <f>IF($L681="",DATE(1900,1,1),$L681)</f>
        <v/>
      </c>
      <c r="O681" s="35">
        <f>IF($M681="",DATE(2100,12,31),$M681)</f>
        <v/>
      </c>
      <c r="P681" s="20" t="inlineStr"/>
      <c r="Q681" s="43" t="inlineStr"/>
      <c r="R681" s="16">
        <f>IF($C681="","",IFERROR(IF(INDEX(Deals!$U$2:$U$355,MATCH($C681,Deals!$A$2:$A$355,0))=0,"",INDEX(Deals!$U$2:$U$355,MATCH($C681,Deals!$A$2:$A$355,0))),""))</f>
        <v/>
      </c>
      <c r="S681" s="34">
        <f>IFERROR(IF($U681="",1,INDEX(Deals!$V$2:$V$355,MATCH($C681,Deals!$A$2:$A$355,0))),1)</f>
        <v/>
      </c>
      <c r="T681" s="34">
        <f>IFERROR(IF($U681="",1,INDEX(Deals!$W$2:$W$355,MATCH($C681,Deals!$A$2:$A$355,0))),1)</f>
        <v/>
      </c>
      <c r="U681" s="22">
        <f>IF($C681="","",IFERROR(IF(INDEX(Deals!$Y$2:$Y$355,MATCH($C681,Deals!$A$2:$A$355,0))=0,"",INDEX(Deals!$Y$2:$Y$355,MATCH($C681,Deals!$A$2:$A$355,0))),""))</f>
        <v/>
      </c>
      <c r="V681" s="35">
        <f>IF($U681="",DATE(1900,1,1),$N681)</f>
        <v/>
      </c>
      <c r="W681" s="35">
        <f>IF($U681="",DATE(2100,12,31),$U681)</f>
        <v/>
      </c>
      <c r="X681" s="32">
        <f>IF($U681="",$K681,$K681*$S681)</f>
        <v/>
      </c>
      <c r="Y681" s="35">
        <f>IF($U681="",DATE(2100,12,31),$U681+1)</f>
        <v/>
      </c>
      <c r="Z681" s="35">
        <f>IF($U681="",DATE(1900,1,1),$O681)</f>
        <v/>
      </c>
      <c r="AA681" s="32">
        <f>IF($U681="",0,$K681*$T681)</f>
        <v/>
      </c>
      <c r="AB681" s="21">
        <f>IF($C681="",0,IFERROR(INDEX(Deals!$AD$2:$AD$355,MATCH($C681,Deals!$A$2:$A$355,0)),0))</f>
        <v/>
      </c>
      <c r="AC681" s="32">
        <f>IF(Settings!$B$4="Yes",$I681*$AB681,$I681)</f>
        <v/>
      </c>
      <c r="AD681" s="22">
        <f>IF($C681="","",IFERROR(IF(INDEX(Deals!$AE$2:$AE$355,MATCH($C681,Deals!$A$2:$A$355,0))=0,"",INDEX(Deals!$AE$2:$AE$355,MATCH($C681,Deals!$A$2:$A$355,0))),""))</f>
        <v/>
      </c>
      <c r="AE681" s="22">
        <f>IF($C681="","",IFERROR(IF(INDEX(Deals!$AF$2:$AF$355,MATCH($C681,Deals!$A$2:$A$355,0))=0,"",INDEX(Deals!$AF$2:$AF$355,MATCH($C681,Deals!$A$2:$A$355,0))),""))</f>
        <v/>
      </c>
      <c r="AF681" s="35">
        <f>IF($AD681="",DATE(1900,1,1),$AD681)</f>
        <v/>
      </c>
      <c r="AG681" s="35">
        <f>IF($AE681="",DATE(2100,12,31),$AE681)</f>
        <v/>
      </c>
      <c r="AH681" s="22">
        <f>IF($C681="","",IFERROR(IF(INDEX(Deals!$AG$2:$AG$355,MATCH($C681,Deals!$A$2:$A$355,0))=0,"",INDEX(Deals!$AG$2:$AG$355,MATCH($C681,Deals!$A$2:$A$355,0))),""))</f>
        <v/>
      </c>
      <c r="AI681" s="35">
        <f>IF($AH681="",DATE(1900,1,1),$AF681)</f>
        <v/>
      </c>
      <c r="AJ681" s="35">
        <f>IF($AH681="",DATE(2100,12,31),$AH681)</f>
        <v/>
      </c>
      <c r="AK681" s="32">
        <f>IF($AH681="",$AC681,$AC681*$S681)</f>
        <v/>
      </c>
      <c r="AL681" s="35">
        <f>IF($AH681="",DATE(2100,12,31),$AH681+1)</f>
        <v/>
      </c>
      <c r="AM681" s="35">
        <f>IF($AH681="",DATE(1900,1,1),$AG681)</f>
        <v/>
      </c>
      <c r="AN681" s="32">
        <f>IF($AH681="",0,$AC681*$T681)</f>
        <v/>
      </c>
    </row>
    <row r="682">
      <c r="A682" s="28" t="inlineStr">
        <is>
          <t>Robbie</t>
        </is>
      </c>
      <c r="B682" s="16">
        <f>IF($A682="","",IFERROR(INDEX(Roster!$B$2:$B$40,MATCH($A682,Roster!$A$2:$A$40,0)),"?"))</f>
        <v/>
      </c>
      <c r="C682" s="28" t="inlineStr">
        <is>
          <t>MeadowBrook_1</t>
        </is>
      </c>
      <c r="D682" s="16">
        <f>IF($C682="","",IFERROR(IF(INDEX(Deals!$C$2:$C$355,MATCH($C682,Deals!$A$2:$A$355,0))=0,"",INDEX(Deals!$C$2:$C$355,MATCH($C682,Deals!$A$2:$A$355,0))),"?"))</f>
        <v/>
      </c>
      <c r="E682" s="16">
        <f>IF($C682="","",IFERROR(INDEX(Deals!$F$2:$F$355,MATCH($C682,Deals!$A$2:$A$355,0)),"?"))</f>
        <v/>
      </c>
      <c r="F682" s="28" t="inlineStr">
        <is>
          <t>Renewable Specialist</t>
        </is>
      </c>
      <c r="G682" s="28" t="inlineStr">
        <is>
          <t>Active</t>
        </is>
      </c>
      <c r="H682" s="31" t="n"/>
      <c r="I682" s="32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1">
        <f>IF($C682="",0,IFERROR(INDEX(Deals!$H$2:$H$355,MATCH($C682,Deals!$A$2:$A$355,0)),0))</f>
        <v/>
      </c>
      <c r="K682" s="32">
        <f>IF(Settings!$B$4="Yes",$I682*$J682,$I682)</f>
        <v/>
      </c>
      <c r="L682" s="22">
        <f>IF($C682="","",IFERROR(IF(INDEX(Deals!$I$2:$I$355,MATCH($C682,Deals!$A$2:$A$355,0))=0,"",INDEX(Deals!$I$2:$I$355,MATCH($C682,Deals!$A$2:$A$355,0))),""))</f>
        <v/>
      </c>
      <c r="M682" s="22">
        <f>IF($C682="","",IFERROR(IF(INDEX(Deals!$J$2:$J$355,MATCH($C682,Deals!$A$2:$A$355,0))=0,"",INDEX(Deals!$J$2:$J$355,MATCH($C682,Deals!$A$2:$A$355,0))),""))</f>
        <v/>
      </c>
      <c r="N682" s="35">
        <f>IF($L682="",DATE(1900,1,1),$L682)</f>
        <v/>
      </c>
      <c r="O682" s="35">
        <f>IF($M682="",DATE(2100,12,31),$M682)</f>
        <v/>
      </c>
      <c r="P682" s="20" t="inlineStr"/>
      <c r="Q682" s="43" t="inlineStr"/>
      <c r="R682" s="16">
        <f>IF($C682="","",IFERROR(IF(INDEX(Deals!$U$2:$U$355,MATCH($C682,Deals!$A$2:$A$355,0))=0,"",INDEX(Deals!$U$2:$U$355,MATCH($C682,Deals!$A$2:$A$355,0))),""))</f>
        <v/>
      </c>
      <c r="S682" s="34">
        <f>IFERROR(IF($U682="",1,INDEX(Deals!$V$2:$V$355,MATCH($C682,Deals!$A$2:$A$355,0))),1)</f>
        <v/>
      </c>
      <c r="T682" s="34">
        <f>IFERROR(IF($U682="",1,INDEX(Deals!$W$2:$W$355,MATCH($C682,Deals!$A$2:$A$355,0))),1)</f>
        <v/>
      </c>
      <c r="U682" s="22">
        <f>IF($C682="","",IFERROR(IF(INDEX(Deals!$Y$2:$Y$355,MATCH($C682,Deals!$A$2:$A$355,0))=0,"",INDEX(Deals!$Y$2:$Y$355,MATCH($C682,Deals!$A$2:$A$355,0))),""))</f>
        <v/>
      </c>
      <c r="V682" s="35">
        <f>IF($U682="",DATE(1900,1,1),$N682)</f>
        <v/>
      </c>
      <c r="W682" s="35">
        <f>IF($U682="",DATE(2100,12,31),$U682)</f>
        <v/>
      </c>
      <c r="X682" s="32">
        <f>IF($U682="",$K682,$K682*$S682)</f>
        <v/>
      </c>
      <c r="Y682" s="35">
        <f>IF($U682="",DATE(2100,12,31),$U682+1)</f>
        <v/>
      </c>
      <c r="Z682" s="35">
        <f>IF($U682="",DATE(1900,1,1),$O682)</f>
        <v/>
      </c>
      <c r="AA682" s="32">
        <f>IF($U682="",0,$K682*$T682)</f>
        <v/>
      </c>
      <c r="AB682" s="21">
        <f>IF($C682="",0,IFERROR(INDEX(Deals!$AD$2:$AD$355,MATCH($C682,Deals!$A$2:$A$355,0)),0))</f>
        <v/>
      </c>
      <c r="AC682" s="32">
        <f>IF(Settings!$B$4="Yes",$I682*$AB682,$I682)</f>
        <v/>
      </c>
      <c r="AD682" s="22">
        <f>IF($C682="","",IFERROR(IF(INDEX(Deals!$AE$2:$AE$355,MATCH($C682,Deals!$A$2:$A$355,0))=0,"",INDEX(Deals!$AE$2:$AE$355,MATCH($C682,Deals!$A$2:$A$355,0))),""))</f>
        <v/>
      </c>
      <c r="AE682" s="22">
        <f>IF($C682="","",IFERROR(IF(INDEX(Deals!$AF$2:$AF$355,MATCH($C682,Deals!$A$2:$A$355,0))=0,"",INDEX(Deals!$AF$2:$AF$355,MATCH($C682,Deals!$A$2:$A$355,0))),""))</f>
        <v/>
      </c>
      <c r="AF682" s="35">
        <f>IF($AD682="",DATE(1900,1,1),$AD682)</f>
        <v/>
      </c>
      <c r="AG682" s="35">
        <f>IF($AE682="",DATE(2100,12,31),$AE682)</f>
        <v/>
      </c>
      <c r="AH682" s="22">
        <f>IF($C682="","",IFERROR(IF(INDEX(Deals!$AG$2:$AG$355,MATCH($C682,Deals!$A$2:$A$355,0))=0,"",INDEX(Deals!$AG$2:$AG$355,MATCH($C682,Deals!$A$2:$A$355,0))),""))</f>
        <v/>
      </c>
      <c r="AI682" s="35">
        <f>IF($AH682="",DATE(1900,1,1),$AF682)</f>
        <v/>
      </c>
      <c r="AJ682" s="35">
        <f>IF($AH682="",DATE(2100,12,31),$AH682)</f>
        <v/>
      </c>
      <c r="AK682" s="32">
        <f>IF($AH682="",$AC682,$AC682*$S682)</f>
        <v/>
      </c>
      <c r="AL682" s="35">
        <f>IF($AH682="",DATE(2100,12,31),$AH682+1)</f>
        <v/>
      </c>
      <c r="AM682" s="35">
        <f>IF($AH682="",DATE(1900,1,1),$AG682)</f>
        <v/>
      </c>
      <c r="AN682" s="32">
        <f>IF($AH682="",0,$AC682*$T682)</f>
        <v/>
      </c>
    </row>
    <row r="683">
      <c r="A683" s="28" t="inlineStr">
        <is>
          <t>Robbie</t>
        </is>
      </c>
      <c r="B683" s="16">
        <f>IF($A683="","",IFERROR(INDEX(Roster!$B$2:$B$40,MATCH($A683,Roster!$A$2:$A$40,0)),"?"))</f>
        <v/>
      </c>
      <c r="C683" s="28" t="inlineStr">
        <is>
          <t>Neutrino_1</t>
        </is>
      </c>
      <c r="D683" s="16">
        <f>IF($C683="","",IFERROR(IF(INDEX(Deals!$C$2:$C$355,MATCH($C683,Deals!$A$2:$A$355,0))=0,"",INDEX(Deals!$C$2:$C$355,MATCH($C683,Deals!$A$2:$A$355,0))),"?"))</f>
        <v/>
      </c>
      <c r="E683" s="16">
        <f>IF($C683="","",IFERROR(INDEX(Deals!$F$2:$F$355,MATCH($C683,Deals!$A$2:$A$355,0)),"?"))</f>
        <v/>
      </c>
      <c r="F683" s="28" t="inlineStr">
        <is>
          <t>Renewable Specialist</t>
        </is>
      </c>
      <c r="G683" s="28" t="inlineStr">
        <is>
          <t>Active</t>
        </is>
      </c>
      <c r="H683" s="31" t="n"/>
      <c r="I683" s="32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1">
        <f>IF($C683="",0,IFERROR(INDEX(Deals!$H$2:$H$355,MATCH($C683,Deals!$A$2:$A$355,0)),0))</f>
        <v/>
      </c>
      <c r="K683" s="32">
        <f>IF(Settings!$B$4="Yes",$I683*$J683,$I683)</f>
        <v/>
      </c>
      <c r="L683" s="22">
        <f>IF($C683="","",IFERROR(IF(INDEX(Deals!$I$2:$I$355,MATCH($C683,Deals!$A$2:$A$355,0))=0,"",INDEX(Deals!$I$2:$I$355,MATCH($C683,Deals!$A$2:$A$355,0))),""))</f>
        <v/>
      </c>
      <c r="M683" s="22">
        <f>IF($C683="","",IFERROR(IF(INDEX(Deals!$J$2:$J$355,MATCH($C683,Deals!$A$2:$A$355,0))=0,"",INDEX(Deals!$J$2:$J$355,MATCH($C683,Deals!$A$2:$A$355,0))),""))</f>
        <v/>
      </c>
      <c r="N683" s="35">
        <f>IF($L683="",DATE(1900,1,1),$L683)</f>
        <v/>
      </c>
      <c r="O683" s="35">
        <f>IF($M683="",DATE(2100,12,31),$M683)</f>
        <v/>
      </c>
      <c r="P683" s="20" t="inlineStr"/>
      <c r="Q683" s="43" t="inlineStr"/>
      <c r="R683" s="16">
        <f>IF($C683="","",IFERROR(IF(INDEX(Deals!$U$2:$U$355,MATCH($C683,Deals!$A$2:$A$355,0))=0,"",INDEX(Deals!$U$2:$U$355,MATCH($C683,Deals!$A$2:$A$355,0))),""))</f>
        <v/>
      </c>
      <c r="S683" s="34">
        <f>IFERROR(IF($U683="",1,INDEX(Deals!$V$2:$V$355,MATCH($C683,Deals!$A$2:$A$355,0))),1)</f>
        <v/>
      </c>
      <c r="T683" s="34">
        <f>IFERROR(IF($U683="",1,INDEX(Deals!$W$2:$W$355,MATCH($C683,Deals!$A$2:$A$355,0))),1)</f>
        <v/>
      </c>
      <c r="U683" s="22">
        <f>IF($C683="","",IFERROR(IF(INDEX(Deals!$Y$2:$Y$355,MATCH($C683,Deals!$A$2:$A$355,0))=0,"",INDEX(Deals!$Y$2:$Y$355,MATCH($C683,Deals!$A$2:$A$355,0))),""))</f>
        <v/>
      </c>
      <c r="V683" s="35">
        <f>IF($U683="",DATE(1900,1,1),$N683)</f>
        <v/>
      </c>
      <c r="W683" s="35">
        <f>IF($U683="",DATE(2100,12,31),$U683)</f>
        <v/>
      </c>
      <c r="X683" s="32">
        <f>IF($U683="",$K683,$K683*$S683)</f>
        <v/>
      </c>
      <c r="Y683" s="35">
        <f>IF($U683="",DATE(2100,12,31),$U683+1)</f>
        <v/>
      </c>
      <c r="Z683" s="35">
        <f>IF($U683="",DATE(1900,1,1),$O683)</f>
        <v/>
      </c>
      <c r="AA683" s="32">
        <f>IF($U683="",0,$K683*$T683)</f>
        <v/>
      </c>
      <c r="AB683" s="21">
        <f>IF($C683="",0,IFERROR(INDEX(Deals!$AD$2:$AD$355,MATCH($C683,Deals!$A$2:$A$355,0)),0))</f>
        <v/>
      </c>
      <c r="AC683" s="32">
        <f>IF(Settings!$B$4="Yes",$I683*$AB683,$I683)</f>
        <v/>
      </c>
      <c r="AD683" s="22">
        <f>IF($C683="","",IFERROR(IF(INDEX(Deals!$AE$2:$AE$355,MATCH($C683,Deals!$A$2:$A$355,0))=0,"",INDEX(Deals!$AE$2:$AE$355,MATCH($C683,Deals!$A$2:$A$355,0))),""))</f>
        <v/>
      </c>
      <c r="AE683" s="22">
        <f>IF($C683="","",IFERROR(IF(INDEX(Deals!$AF$2:$AF$355,MATCH($C683,Deals!$A$2:$A$355,0))=0,"",INDEX(Deals!$AF$2:$AF$355,MATCH($C683,Deals!$A$2:$A$355,0))),""))</f>
        <v/>
      </c>
      <c r="AF683" s="35">
        <f>IF($AD683="",DATE(1900,1,1),$AD683)</f>
        <v/>
      </c>
      <c r="AG683" s="35">
        <f>IF($AE683="",DATE(2100,12,31),$AE683)</f>
        <v/>
      </c>
      <c r="AH683" s="22">
        <f>IF($C683="","",IFERROR(IF(INDEX(Deals!$AG$2:$AG$355,MATCH($C683,Deals!$A$2:$A$355,0))=0,"",INDEX(Deals!$AG$2:$AG$355,MATCH($C683,Deals!$A$2:$A$355,0))),""))</f>
        <v/>
      </c>
      <c r="AI683" s="35">
        <f>IF($AH683="",DATE(1900,1,1),$AF683)</f>
        <v/>
      </c>
      <c r="AJ683" s="35">
        <f>IF($AH683="",DATE(2100,12,31),$AH683)</f>
        <v/>
      </c>
      <c r="AK683" s="32">
        <f>IF($AH683="",$AC683,$AC683*$S683)</f>
        <v/>
      </c>
      <c r="AL683" s="35">
        <f>IF($AH683="",DATE(2100,12,31),$AH683+1)</f>
        <v/>
      </c>
      <c r="AM683" s="35">
        <f>IF($AH683="",DATE(1900,1,1),$AG683)</f>
        <v/>
      </c>
      <c r="AN683" s="32">
        <f>IF($AH683="",0,$AC683*$T683)</f>
        <v/>
      </c>
    </row>
    <row r="684">
      <c r="A684" s="28" t="inlineStr">
        <is>
          <t>Robbie</t>
        </is>
      </c>
      <c r="B684" s="16">
        <f>IF($A684="","",IFERROR(INDEX(Roster!$B$2:$B$40,MATCH($A684,Roster!$A$2:$A$40,0)),"?"))</f>
        <v/>
      </c>
      <c r="C684" s="28" t="inlineStr">
        <is>
          <t>Papago_1</t>
        </is>
      </c>
      <c r="D684" s="16">
        <f>IF($C684="","",IFERROR(IF(INDEX(Deals!$C$2:$C$355,MATCH($C684,Deals!$A$2:$A$355,0))=0,"",INDEX(Deals!$C$2:$C$355,MATCH($C684,Deals!$A$2:$A$355,0))),"?"))</f>
        <v/>
      </c>
      <c r="E684" s="16">
        <f>IF($C684="","",IFERROR(INDEX(Deals!$F$2:$F$355,MATCH($C684,Deals!$A$2:$A$355,0)),"?"))</f>
        <v/>
      </c>
      <c r="F684" s="28" t="inlineStr">
        <is>
          <t>Renewable Specialist</t>
        </is>
      </c>
      <c r="G684" s="28" t="inlineStr">
        <is>
          <t>Active</t>
        </is>
      </c>
      <c r="H684" s="31" t="n"/>
      <c r="I684" s="32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1">
        <f>IF($C684="",0,IFERROR(INDEX(Deals!$H$2:$H$355,MATCH($C684,Deals!$A$2:$A$355,0)),0))</f>
        <v/>
      </c>
      <c r="K684" s="32">
        <f>IF(Settings!$B$4="Yes",$I684*$J684,$I684)</f>
        <v/>
      </c>
      <c r="L684" s="22">
        <f>IF($C684="","",IFERROR(IF(INDEX(Deals!$I$2:$I$355,MATCH($C684,Deals!$A$2:$A$355,0))=0,"",INDEX(Deals!$I$2:$I$355,MATCH($C684,Deals!$A$2:$A$355,0))),""))</f>
        <v/>
      </c>
      <c r="M684" s="22">
        <f>IF($C684="","",IFERROR(IF(INDEX(Deals!$J$2:$J$355,MATCH($C684,Deals!$A$2:$A$355,0))=0,"",INDEX(Deals!$J$2:$J$355,MATCH($C684,Deals!$A$2:$A$355,0))),""))</f>
        <v/>
      </c>
      <c r="N684" s="35">
        <f>IF($L684="",DATE(1900,1,1),$L684)</f>
        <v/>
      </c>
      <c r="O684" s="35">
        <f>IF($M684="",DATE(2100,12,31),$M684)</f>
        <v/>
      </c>
      <c r="P684" s="20" t="inlineStr"/>
      <c r="Q684" s="43" t="inlineStr"/>
      <c r="R684" s="16">
        <f>IF($C684="","",IFERROR(IF(INDEX(Deals!$U$2:$U$355,MATCH($C684,Deals!$A$2:$A$355,0))=0,"",INDEX(Deals!$U$2:$U$355,MATCH($C684,Deals!$A$2:$A$355,0))),""))</f>
        <v/>
      </c>
      <c r="S684" s="34">
        <f>IFERROR(IF($U684="",1,INDEX(Deals!$V$2:$V$355,MATCH($C684,Deals!$A$2:$A$355,0))),1)</f>
        <v/>
      </c>
      <c r="T684" s="34">
        <f>IFERROR(IF($U684="",1,INDEX(Deals!$W$2:$W$355,MATCH($C684,Deals!$A$2:$A$355,0))),1)</f>
        <v/>
      </c>
      <c r="U684" s="22">
        <f>IF($C684="","",IFERROR(IF(INDEX(Deals!$Y$2:$Y$355,MATCH($C684,Deals!$A$2:$A$355,0))=0,"",INDEX(Deals!$Y$2:$Y$355,MATCH($C684,Deals!$A$2:$A$355,0))),""))</f>
        <v/>
      </c>
      <c r="V684" s="35">
        <f>IF($U684="",DATE(1900,1,1),$N684)</f>
        <v/>
      </c>
      <c r="W684" s="35">
        <f>IF($U684="",DATE(2100,12,31),$U684)</f>
        <v/>
      </c>
      <c r="X684" s="32">
        <f>IF($U684="",$K684,$K684*$S684)</f>
        <v/>
      </c>
      <c r="Y684" s="35">
        <f>IF($U684="",DATE(2100,12,31),$U684+1)</f>
        <v/>
      </c>
      <c r="Z684" s="35">
        <f>IF($U684="",DATE(1900,1,1),$O684)</f>
        <v/>
      </c>
      <c r="AA684" s="32">
        <f>IF($U684="",0,$K684*$T684)</f>
        <v/>
      </c>
      <c r="AB684" s="21">
        <f>IF($C684="",0,IFERROR(INDEX(Deals!$AD$2:$AD$355,MATCH($C684,Deals!$A$2:$A$355,0)),0))</f>
        <v/>
      </c>
      <c r="AC684" s="32">
        <f>IF(Settings!$B$4="Yes",$I684*$AB684,$I684)</f>
        <v/>
      </c>
      <c r="AD684" s="22">
        <f>IF($C684="","",IFERROR(IF(INDEX(Deals!$AE$2:$AE$355,MATCH($C684,Deals!$A$2:$A$355,0))=0,"",INDEX(Deals!$AE$2:$AE$355,MATCH($C684,Deals!$A$2:$A$355,0))),""))</f>
        <v/>
      </c>
      <c r="AE684" s="22">
        <f>IF($C684="","",IFERROR(IF(INDEX(Deals!$AF$2:$AF$355,MATCH($C684,Deals!$A$2:$A$355,0))=0,"",INDEX(Deals!$AF$2:$AF$355,MATCH($C684,Deals!$A$2:$A$355,0))),""))</f>
        <v/>
      </c>
      <c r="AF684" s="35">
        <f>IF($AD684="",DATE(1900,1,1),$AD684)</f>
        <v/>
      </c>
      <c r="AG684" s="35">
        <f>IF($AE684="",DATE(2100,12,31),$AE684)</f>
        <v/>
      </c>
      <c r="AH684" s="22">
        <f>IF($C684="","",IFERROR(IF(INDEX(Deals!$AG$2:$AG$355,MATCH($C684,Deals!$A$2:$A$355,0))=0,"",INDEX(Deals!$AG$2:$AG$355,MATCH($C684,Deals!$A$2:$A$355,0))),""))</f>
        <v/>
      </c>
      <c r="AI684" s="35">
        <f>IF($AH684="",DATE(1900,1,1),$AF684)</f>
        <v/>
      </c>
      <c r="AJ684" s="35">
        <f>IF($AH684="",DATE(2100,12,31),$AH684)</f>
        <v/>
      </c>
      <c r="AK684" s="32">
        <f>IF($AH684="",$AC684,$AC684*$S684)</f>
        <v/>
      </c>
      <c r="AL684" s="35">
        <f>IF($AH684="",DATE(2100,12,31),$AH684+1)</f>
        <v/>
      </c>
      <c r="AM684" s="35">
        <f>IF($AH684="",DATE(1900,1,1),$AG684)</f>
        <v/>
      </c>
      <c r="AN684" s="32">
        <f>IF($AH684="",0,$AC684*$T684)</f>
        <v/>
      </c>
    </row>
    <row r="685">
      <c r="A685" s="28" t="inlineStr">
        <is>
          <t>Robbie</t>
        </is>
      </c>
      <c r="B685" s="16">
        <f>IF($A685="","",IFERROR(INDEX(Roster!$B$2:$B$40,MATCH($A685,Roster!$A$2:$A$40,0)),"?"))</f>
        <v/>
      </c>
      <c r="C685" s="28" t="inlineStr">
        <is>
          <t>Tax_7</t>
        </is>
      </c>
      <c r="D685" s="16">
        <f>IF($C685="","",IFERROR(IF(INDEX(Deals!$C$2:$C$355,MATCH($C685,Deals!$A$2:$A$355,0))=0,"",INDEX(Deals!$C$2:$C$355,MATCH($C685,Deals!$A$2:$A$355,0))),"?"))</f>
        <v/>
      </c>
      <c r="E685" s="16">
        <f>IF($C685="","",IFERROR(INDEX(Deals!$F$2:$F$355,MATCH($C685,Deals!$A$2:$A$355,0)),"?"))</f>
        <v/>
      </c>
      <c r="F685" s="28" t="inlineStr">
        <is>
          <t>Renewable Specialist</t>
        </is>
      </c>
      <c r="G685" s="28" t="inlineStr">
        <is>
          <t>Active</t>
        </is>
      </c>
      <c r="H685" s="31" t="n"/>
      <c r="I685" s="32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1">
        <f>IF($C685="",0,IFERROR(INDEX(Deals!$H$2:$H$355,MATCH($C685,Deals!$A$2:$A$355,0)),0))</f>
        <v/>
      </c>
      <c r="K685" s="32">
        <f>IF(Settings!$B$4="Yes",$I685*$J685,$I685)</f>
        <v/>
      </c>
      <c r="L685" s="22">
        <f>IF($C685="","",IFERROR(IF(INDEX(Deals!$I$2:$I$355,MATCH($C685,Deals!$A$2:$A$355,0))=0,"",INDEX(Deals!$I$2:$I$355,MATCH($C685,Deals!$A$2:$A$355,0))),""))</f>
        <v/>
      </c>
      <c r="M685" s="22">
        <f>IF($C685="","",IFERROR(IF(INDEX(Deals!$J$2:$J$355,MATCH($C685,Deals!$A$2:$A$355,0))=0,"",INDEX(Deals!$J$2:$J$355,MATCH($C685,Deals!$A$2:$A$355,0))),""))</f>
        <v/>
      </c>
      <c r="N685" s="35">
        <f>IF($L685="",DATE(1900,1,1),$L685)</f>
        <v/>
      </c>
      <c r="O685" s="35">
        <f>IF($M685="",DATE(2100,12,31),$M685)</f>
        <v/>
      </c>
      <c r="P685" s="20" t="inlineStr"/>
      <c r="Q685" s="43" t="inlineStr"/>
      <c r="R685" s="16">
        <f>IF($C685="","",IFERROR(IF(INDEX(Deals!$U$2:$U$355,MATCH($C685,Deals!$A$2:$A$355,0))=0,"",INDEX(Deals!$U$2:$U$355,MATCH($C685,Deals!$A$2:$A$355,0))),""))</f>
        <v/>
      </c>
      <c r="S685" s="34">
        <f>IFERROR(IF($U685="",1,INDEX(Deals!$V$2:$V$355,MATCH($C685,Deals!$A$2:$A$355,0))),1)</f>
        <v/>
      </c>
      <c r="T685" s="34">
        <f>IFERROR(IF($U685="",1,INDEX(Deals!$W$2:$W$355,MATCH($C685,Deals!$A$2:$A$355,0))),1)</f>
        <v/>
      </c>
      <c r="U685" s="22">
        <f>IF($C685="","",IFERROR(IF(INDEX(Deals!$Y$2:$Y$355,MATCH($C685,Deals!$A$2:$A$355,0))=0,"",INDEX(Deals!$Y$2:$Y$355,MATCH($C685,Deals!$A$2:$A$355,0))),""))</f>
        <v/>
      </c>
      <c r="V685" s="35">
        <f>IF($U685="",DATE(1900,1,1),$N685)</f>
        <v/>
      </c>
      <c r="W685" s="35">
        <f>IF($U685="",DATE(2100,12,31),$U685)</f>
        <v/>
      </c>
      <c r="X685" s="32">
        <f>IF($U685="",$K685,$K685*$S685)</f>
        <v/>
      </c>
      <c r="Y685" s="35">
        <f>IF($U685="",DATE(2100,12,31),$U685+1)</f>
        <v/>
      </c>
      <c r="Z685" s="35">
        <f>IF($U685="",DATE(1900,1,1),$O685)</f>
        <v/>
      </c>
      <c r="AA685" s="32">
        <f>IF($U685="",0,$K685*$T685)</f>
        <v/>
      </c>
      <c r="AB685" s="21">
        <f>IF($C685="",0,IFERROR(INDEX(Deals!$AD$2:$AD$355,MATCH($C685,Deals!$A$2:$A$355,0)),0))</f>
        <v/>
      </c>
      <c r="AC685" s="32">
        <f>IF(Settings!$B$4="Yes",$I685*$AB685,$I685)</f>
        <v/>
      </c>
      <c r="AD685" s="22">
        <f>IF($C685="","",IFERROR(IF(INDEX(Deals!$AE$2:$AE$355,MATCH($C685,Deals!$A$2:$A$355,0))=0,"",INDEX(Deals!$AE$2:$AE$355,MATCH($C685,Deals!$A$2:$A$355,0))),""))</f>
        <v/>
      </c>
      <c r="AE685" s="22">
        <f>IF($C685="","",IFERROR(IF(INDEX(Deals!$AF$2:$AF$355,MATCH($C685,Deals!$A$2:$A$355,0))=0,"",INDEX(Deals!$AF$2:$AF$355,MATCH($C685,Deals!$A$2:$A$355,0))),""))</f>
        <v/>
      </c>
      <c r="AF685" s="35">
        <f>IF($AD685="",DATE(1900,1,1),$AD685)</f>
        <v/>
      </c>
      <c r="AG685" s="35">
        <f>IF($AE685="",DATE(2100,12,31),$AE685)</f>
        <v/>
      </c>
      <c r="AH685" s="22">
        <f>IF($C685="","",IFERROR(IF(INDEX(Deals!$AG$2:$AG$355,MATCH($C685,Deals!$A$2:$A$355,0))=0,"",INDEX(Deals!$AG$2:$AG$355,MATCH($C685,Deals!$A$2:$A$355,0))),""))</f>
        <v/>
      </c>
      <c r="AI685" s="35">
        <f>IF($AH685="",DATE(1900,1,1),$AF685)</f>
        <v/>
      </c>
      <c r="AJ685" s="35">
        <f>IF($AH685="",DATE(2100,12,31),$AH685)</f>
        <v/>
      </c>
      <c r="AK685" s="32">
        <f>IF($AH685="",$AC685,$AC685*$S685)</f>
        <v/>
      </c>
      <c r="AL685" s="35">
        <f>IF($AH685="",DATE(2100,12,31),$AH685+1)</f>
        <v/>
      </c>
      <c r="AM685" s="35">
        <f>IF($AH685="",DATE(1900,1,1),$AG685)</f>
        <v/>
      </c>
      <c r="AN685" s="32">
        <f>IF($AH685="",0,$AC685*$T685)</f>
        <v/>
      </c>
    </row>
    <row r="686">
      <c r="A686" s="28" t="inlineStr">
        <is>
          <t>Robbie</t>
        </is>
      </c>
      <c r="B686" s="16">
        <f>IF($A686="","",IFERROR(INDEX(Roster!$B$2:$B$40,MATCH($A686,Roster!$A$2:$A$40,0)),"?"))</f>
        <v/>
      </c>
      <c r="C686" s="28" t="inlineStr">
        <is>
          <t>Tax_8</t>
        </is>
      </c>
      <c r="D686" s="16">
        <f>IF($C686="","",IFERROR(IF(INDEX(Deals!$C$2:$C$355,MATCH($C686,Deals!$A$2:$A$355,0))=0,"",INDEX(Deals!$C$2:$C$355,MATCH($C686,Deals!$A$2:$A$355,0))),"?"))</f>
        <v/>
      </c>
      <c r="E686" s="16">
        <f>IF($C686="","",IFERROR(INDEX(Deals!$F$2:$F$355,MATCH($C686,Deals!$A$2:$A$355,0)),"?"))</f>
        <v/>
      </c>
      <c r="F686" s="28" t="inlineStr">
        <is>
          <t>Renewable Specialist</t>
        </is>
      </c>
      <c r="G686" s="28" t="inlineStr">
        <is>
          <t>Active</t>
        </is>
      </c>
      <c r="H686" s="31" t="n"/>
      <c r="I686" s="32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1">
        <f>IF($C686="",0,IFERROR(INDEX(Deals!$H$2:$H$355,MATCH($C686,Deals!$A$2:$A$355,0)),0))</f>
        <v/>
      </c>
      <c r="K686" s="32">
        <f>IF(Settings!$B$4="Yes",$I686*$J686,$I686)</f>
        <v/>
      </c>
      <c r="L686" s="22">
        <f>IF($C686="","",IFERROR(IF(INDEX(Deals!$I$2:$I$355,MATCH($C686,Deals!$A$2:$A$355,0))=0,"",INDEX(Deals!$I$2:$I$355,MATCH($C686,Deals!$A$2:$A$355,0))),""))</f>
        <v/>
      </c>
      <c r="M686" s="22">
        <f>IF($C686="","",IFERROR(IF(INDEX(Deals!$J$2:$J$355,MATCH($C686,Deals!$A$2:$A$355,0))=0,"",INDEX(Deals!$J$2:$J$355,MATCH($C686,Deals!$A$2:$A$355,0))),""))</f>
        <v/>
      </c>
      <c r="N686" s="35">
        <f>IF($L686="",DATE(1900,1,1),$L686)</f>
        <v/>
      </c>
      <c r="O686" s="35">
        <f>IF($M686="",DATE(2100,12,31),$M686)</f>
        <v/>
      </c>
      <c r="P686" s="20" t="inlineStr"/>
      <c r="Q686" s="43" t="inlineStr"/>
      <c r="R686" s="16">
        <f>IF($C686="","",IFERROR(IF(INDEX(Deals!$U$2:$U$355,MATCH($C686,Deals!$A$2:$A$355,0))=0,"",INDEX(Deals!$U$2:$U$355,MATCH($C686,Deals!$A$2:$A$355,0))),""))</f>
        <v/>
      </c>
      <c r="S686" s="34">
        <f>IFERROR(IF($U686="",1,INDEX(Deals!$V$2:$V$355,MATCH($C686,Deals!$A$2:$A$355,0))),1)</f>
        <v/>
      </c>
      <c r="T686" s="34">
        <f>IFERROR(IF($U686="",1,INDEX(Deals!$W$2:$W$355,MATCH($C686,Deals!$A$2:$A$355,0))),1)</f>
        <v/>
      </c>
      <c r="U686" s="22">
        <f>IF($C686="","",IFERROR(IF(INDEX(Deals!$Y$2:$Y$355,MATCH($C686,Deals!$A$2:$A$355,0))=0,"",INDEX(Deals!$Y$2:$Y$355,MATCH($C686,Deals!$A$2:$A$355,0))),""))</f>
        <v/>
      </c>
      <c r="V686" s="35">
        <f>IF($U686="",DATE(1900,1,1),$N686)</f>
        <v/>
      </c>
      <c r="W686" s="35">
        <f>IF($U686="",DATE(2100,12,31),$U686)</f>
        <v/>
      </c>
      <c r="X686" s="32">
        <f>IF($U686="",$K686,$K686*$S686)</f>
        <v/>
      </c>
      <c r="Y686" s="35">
        <f>IF($U686="",DATE(2100,12,31),$U686+1)</f>
        <v/>
      </c>
      <c r="Z686" s="35">
        <f>IF($U686="",DATE(1900,1,1),$O686)</f>
        <v/>
      </c>
      <c r="AA686" s="32">
        <f>IF($U686="",0,$K686*$T686)</f>
        <v/>
      </c>
      <c r="AB686" s="21">
        <f>IF($C686="",0,IFERROR(INDEX(Deals!$AD$2:$AD$355,MATCH($C686,Deals!$A$2:$A$355,0)),0))</f>
        <v/>
      </c>
      <c r="AC686" s="32">
        <f>IF(Settings!$B$4="Yes",$I686*$AB686,$I686)</f>
        <v/>
      </c>
      <c r="AD686" s="22">
        <f>IF($C686="","",IFERROR(IF(INDEX(Deals!$AE$2:$AE$355,MATCH($C686,Deals!$A$2:$A$355,0))=0,"",INDEX(Deals!$AE$2:$AE$355,MATCH($C686,Deals!$A$2:$A$355,0))),""))</f>
        <v/>
      </c>
      <c r="AE686" s="22">
        <f>IF($C686="","",IFERROR(IF(INDEX(Deals!$AF$2:$AF$355,MATCH($C686,Deals!$A$2:$A$355,0))=0,"",INDEX(Deals!$AF$2:$AF$355,MATCH($C686,Deals!$A$2:$A$355,0))),""))</f>
        <v/>
      </c>
      <c r="AF686" s="35">
        <f>IF($AD686="",DATE(1900,1,1),$AD686)</f>
        <v/>
      </c>
      <c r="AG686" s="35">
        <f>IF($AE686="",DATE(2100,12,31),$AE686)</f>
        <v/>
      </c>
      <c r="AH686" s="22">
        <f>IF($C686="","",IFERROR(IF(INDEX(Deals!$AG$2:$AG$355,MATCH($C686,Deals!$A$2:$A$355,0))=0,"",INDEX(Deals!$AG$2:$AG$355,MATCH($C686,Deals!$A$2:$A$355,0))),""))</f>
        <v/>
      </c>
      <c r="AI686" s="35">
        <f>IF($AH686="",DATE(1900,1,1),$AF686)</f>
        <v/>
      </c>
      <c r="AJ686" s="35">
        <f>IF($AH686="",DATE(2100,12,31),$AH686)</f>
        <v/>
      </c>
      <c r="AK686" s="32">
        <f>IF($AH686="",$AC686,$AC686*$S686)</f>
        <v/>
      </c>
      <c r="AL686" s="35">
        <f>IF($AH686="",DATE(2100,12,31),$AH686+1)</f>
        <v/>
      </c>
      <c r="AM686" s="35">
        <f>IF($AH686="",DATE(1900,1,1),$AG686)</f>
        <v/>
      </c>
      <c r="AN686" s="32">
        <f>IF($AH686="",0,$AC686*$T686)</f>
        <v/>
      </c>
    </row>
    <row r="687">
      <c r="A687" s="28" t="inlineStr">
        <is>
          <t>Robbie</t>
        </is>
      </c>
      <c r="B687" s="16">
        <f>IF($A687="","",IFERROR(INDEX(Roster!$B$2:$B$40,MATCH($A687,Roster!$A$2:$A$40,0)),"?"))</f>
        <v/>
      </c>
      <c r="C687" s="28" t="inlineStr">
        <is>
          <t>Whale_3</t>
        </is>
      </c>
      <c r="D687" s="16">
        <f>IF($C687="","",IFERROR(IF(INDEX(Deals!$C$2:$C$355,MATCH($C687,Deals!$A$2:$A$355,0))=0,"",INDEX(Deals!$C$2:$C$355,MATCH($C687,Deals!$A$2:$A$355,0))),"?"))</f>
        <v/>
      </c>
      <c r="E687" s="16">
        <f>IF($C687="","",IFERROR(INDEX(Deals!$F$2:$F$355,MATCH($C687,Deals!$A$2:$A$355,0)),"?"))</f>
        <v/>
      </c>
      <c r="F687" s="28" t="inlineStr">
        <is>
          <t>Renewable Specialist</t>
        </is>
      </c>
      <c r="G687" s="28" t="inlineStr">
        <is>
          <t>Active</t>
        </is>
      </c>
      <c r="H687" s="31" t="n"/>
      <c r="I687" s="32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1">
        <f>IF($C687="",0,IFERROR(INDEX(Deals!$H$2:$H$355,MATCH($C687,Deals!$A$2:$A$355,0)),0))</f>
        <v/>
      </c>
      <c r="K687" s="32">
        <f>IF(Settings!$B$4="Yes",$I687*$J687,$I687)</f>
        <v/>
      </c>
      <c r="L687" s="22">
        <f>IF($C687="","",IFERROR(IF(INDEX(Deals!$I$2:$I$355,MATCH($C687,Deals!$A$2:$A$355,0))=0,"",INDEX(Deals!$I$2:$I$355,MATCH($C687,Deals!$A$2:$A$355,0))),""))</f>
        <v/>
      </c>
      <c r="M687" s="22">
        <f>IF($C687="","",IFERROR(IF(INDEX(Deals!$J$2:$J$355,MATCH($C687,Deals!$A$2:$A$355,0))=0,"",INDEX(Deals!$J$2:$J$355,MATCH($C687,Deals!$A$2:$A$355,0))),""))</f>
        <v/>
      </c>
      <c r="N687" s="35">
        <f>IF($L687="",DATE(1900,1,1),$L687)</f>
        <v/>
      </c>
      <c r="O687" s="35">
        <f>IF($M687="",DATE(2100,12,31),$M687)</f>
        <v/>
      </c>
      <c r="P687" s="20" t="inlineStr"/>
      <c r="Q687" s="43" t="inlineStr"/>
      <c r="R687" s="16">
        <f>IF($C687="","",IFERROR(IF(INDEX(Deals!$U$2:$U$355,MATCH($C687,Deals!$A$2:$A$355,0))=0,"",INDEX(Deals!$U$2:$U$355,MATCH($C687,Deals!$A$2:$A$355,0))),""))</f>
        <v/>
      </c>
      <c r="S687" s="34">
        <f>IFERROR(IF($U687="",1,INDEX(Deals!$V$2:$V$355,MATCH($C687,Deals!$A$2:$A$355,0))),1)</f>
        <v/>
      </c>
      <c r="T687" s="34">
        <f>IFERROR(IF($U687="",1,INDEX(Deals!$W$2:$W$355,MATCH($C687,Deals!$A$2:$A$355,0))),1)</f>
        <v/>
      </c>
      <c r="U687" s="22">
        <f>IF($C687="","",IFERROR(IF(INDEX(Deals!$Y$2:$Y$355,MATCH($C687,Deals!$A$2:$A$355,0))=0,"",INDEX(Deals!$Y$2:$Y$355,MATCH($C687,Deals!$A$2:$A$355,0))),""))</f>
        <v/>
      </c>
      <c r="V687" s="35">
        <f>IF($U687="",DATE(1900,1,1),$N687)</f>
        <v/>
      </c>
      <c r="W687" s="35">
        <f>IF($U687="",DATE(2100,12,31),$U687)</f>
        <v/>
      </c>
      <c r="X687" s="32">
        <f>IF($U687="",$K687,$K687*$S687)</f>
        <v/>
      </c>
      <c r="Y687" s="35">
        <f>IF($U687="",DATE(2100,12,31),$U687+1)</f>
        <v/>
      </c>
      <c r="Z687" s="35">
        <f>IF($U687="",DATE(1900,1,1),$O687)</f>
        <v/>
      </c>
      <c r="AA687" s="32">
        <f>IF($U687="",0,$K687*$T687)</f>
        <v/>
      </c>
      <c r="AB687" s="21">
        <f>IF($C687="",0,IFERROR(INDEX(Deals!$AD$2:$AD$355,MATCH($C687,Deals!$A$2:$A$355,0)),0))</f>
        <v/>
      </c>
      <c r="AC687" s="32">
        <f>IF(Settings!$B$4="Yes",$I687*$AB687,$I687)</f>
        <v/>
      </c>
      <c r="AD687" s="22">
        <f>IF($C687="","",IFERROR(IF(INDEX(Deals!$AE$2:$AE$355,MATCH($C687,Deals!$A$2:$A$355,0))=0,"",INDEX(Deals!$AE$2:$AE$355,MATCH($C687,Deals!$A$2:$A$355,0))),""))</f>
        <v/>
      </c>
      <c r="AE687" s="22">
        <f>IF($C687="","",IFERROR(IF(INDEX(Deals!$AF$2:$AF$355,MATCH($C687,Deals!$A$2:$A$355,0))=0,"",INDEX(Deals!$AF$2:$AF$355,MATCH($C687,Deals!$A$2:$A$355,0))),""))</f>
        <v/>
      </c>
      <c r="AF687" s="35">
        <f>IF($AD687="",DATE(1900,1,1),$AD687)</f>
        <v/>
      </c>
      <c r="AG687" s="35">
        <f>IF($AE687="",DATE(2100,12,31),$AE687)</f>
        <v/>
      </c>
      <c r="AH687" s="22">
        <f>IF($C687="","",IFERROR(IF(INDEX(Deals!$AG$2:$AG$355,MATCH($C687,Deals!$A$2:$A$355,0))=0,"",INDEX(Deals!$AG$2:$AG$355,MATCH($C687,Deals!$A$2:$A$355,0))),""))</f>
        <v/>
      </c>
      <c r="AI687" s="35">
        <f>IF($AH687="",DATE(1900,1,1),$AF687)</f>
        <v/>
      </c>
      <c r="AJ687" s="35">
        <f>IF($AH687="",DATE(2100,12,31),$AH687)</f>
        <v/>
      </c>
      <c r="AK687" s="32">
        <f>IF($AH687="",$AC687,$AC687*$S687)</f>
        <v/>
      </c>
      <c r="AL687" s="35">
        <f>IF($AH687="",DATE(2100,12,31),$AH687+1)</f>
        <v/>
      </c>
      <c r="AM687" s="35">
        <f>IF($AH687="",DATE(1900,1,1),$AG687)</f>
        <v/>
      </c>
      <c r="AN687" s="32">
        <f>IF($AH687="",0,$AC687*$T687)</f>
        <v/>
      </c>
    </row>
    <row r="688">
      <c r="A688" s="28" t="inlineStr">
        <is>
          <t>Robbie</t>
        </is>
      </c>
      <c r="B688" s="16">
        <f>IF($A688="","",IFERROR(INDEX(Roster!$B$2:$B$40,MATCH($A688,Roster!$A$2:$A$40,0)),"?"))</f>
        <v/>
      </c>
      <c r="C688" s="28" t="inlineStr">
        <is>
          <t>White Tail_2</t>
        </is>
      </c>
      <c r="D688" s="16">
        <f>IF($C688="","",IFERROR(IF(INDEX(Deals!$C$2:$C$355,MATCH($C688,Deals!$A$2:$A$355,0))=0,"",INDEX(Deals!$C$2:$C$355,MATCH($C688,Deals!$A$2:$A$355,0))),"?"))</f>
        <v/>
      </c>
      <c r="E688" s="16">
        <f>IF($C688="","",IFERROR(INDEX(Deals!$F$2:$F$355,MATCH($C688,Deals!$A$2:$A$355,0)),"?"))</f>
        <v/>
      </c>
      <c r="F688" s="28" t="inlineStr">
        <is>
          <t>Renewable Specialist</t>
        </is>
      </c>
      <c r="G688" s="28" t="inlineStr">
        <is>
          <t>Active</t>
        </is>
      </c>
      <c r="H688" s="31" t="n"/>
      <c r="I688" s="32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1">
        <f>IF($C688="",0,IFERROR(INDEX(Deals!$H$2:$H$355,MATCH($C688,Deals!$A$2:$A$355,0)),0))</f>
        <v/>
      </c>
      <c r="K688" s="32">
        <f>IF(Settings!$B$4="Yes",$I688*$J688,$I688)</f>
        <v/>
      </c>
      <c r="L688" s="22">
        <f>IF($C688="","",IFERROR(IF(INDEX(Deals!$I$2:$I$355,MATCH($C688,Deals!$A$2:$A$355,0))=0,"",INDEX(Deals!$I$2:$I$355,MATCH($C688,Deals!$A$2:$A$355,0))),""))</f>
        <v/>
      </c>
      <c r="M688" s="22">
        <f>IF($C688="","",IFERROR(IF(INDEX(Deals!$J$2:$J$355,MATCH($C688,Deals!$A$2:$A$355,0))=0,"",INDEX(Deals!$J$2:$J$355,MATCH($C688,Deals!$A$2:$A$355,0))),""))</f>
        <v/>
      </c>
      <c r="N688" s="35">
        <f>IF($L688="",DATE(1900,1,1),$L688)</f>
        <v/>
      </c>
      <c r="O688" s="35">
        <f>IF($M688="",DATE(2100,12,31),$M688)</f>
        <v/>
      </c>
      <c r="P688" s="20" t="inlineStr"/>
      <c r="Q688" s="43" t="inlineStr"/>
      <c r="R688" s="16">
        <f>IF($C688="","",IFERROR(IF(INDEX(Deals!$U$2:$U$355,MATCH($C688,Deals!$A$2:$A$355,0))=0,"",INDEX(Deals!$U$2:$U$355,MATCH($C688,Deals!$A$2:$A$355,0))),""))</f>
        <v/>
      </c>
      <c r="S688" s="34">
        <f>IFERROR(IF($U688="",1,INDEX(Deals!$V$2:$V$355,MATCH($C688,Deals!$A$2:$A$355,0))),1)</f>
        <v/>
      </c>
      <c r="T688" s="34">
        <f>IFERROR(IF($U688="",1,INDEX(Deals!$W$2:$W$355,MATCH($C688,Deals!$A$2:$A$355,0))),1)</f>
        <v/>
      </c>
      <c r="U688" s="22">
        <f>IF($C688="","",IFERROR(IF(INDEX(Deals!$Y$2:$Y$355,MATCH($C688,Deals!$A$2:$A$355,0))=0,"",INDEX(Deals!$Y$2:$Y$355,MATCH($C688,Deals!$A$2:$A$355,0))),""))</f>
        <v/>
      </c>
      <c r="V688" s="35">
        <f>IF($U688="",DATE(1900,1,1),$N688)</f>
        <v/>
      </c>
      <c r="W688" s="35">
        <f>IF($U688="",DATE(2100,12,31),$U688)</f>
        <v/>
      </c>
      <c r="X688" s="32">
        <f>IF($U688="",$K688,$K688*$S688)</f>
        <v/>
      </c>
      <c r="Y688" s="35">
        <f>IF($U688="",DATE(2100,12,31),$U688+1)</f>
        <v/>
      </c>
      <c r="Z688" s="35">
        <f>IF($U688="",DATE(1900,1,1),$O688)</f>
        <v/>
      </c>
      <c r="AA688" s="32">
        <f>IF($U688="",0,$K688*$T688)</f>
        <v/>
      </c>
      <c r="AB688" s="21">
        <f>IF($C688="",0,IFERROR(INDEX(Deals!$AD$2:$AD$355,MATCH($C688,Deals!$A$2:$A$355,0)),0))</f>
        <v/>
      </c>
      <c r="AC688" s="32">
        <f>IF(Settings!$B$4="Yes",$I688*$AB688,$I688)</f>
        <v/>
      </c>
      <c r="AD688" s="22">
        <f>IF($C688="","",IFERROR(IF(INDEX(Deals!$AE$2:$AE$355,MATCH($C688,Deals!$A$2:$A$355,0))=0,"",INDEX(Deals!$AE$2:$AE$355,MATCH($C688,Deals!$A$2:$A$355,0))),""))</f>
        <v/>
      </c>
      <c r="AE688" s="22">
        <f>IF($C688="","",IFERROR(IF(INDEX(Deals!$AF$2:$AF$355,MATCH($C688,Deals!$A$2:$A$355,0))=0,"",INDEX(Deals!$AF$2:$AF$355,MATCH($C688,Deals!$A$2:$A$355,0))),""))</f>
        <v/>
      </c>
      <c r="AF688" s="35">
        <f>IF($AD688="",DATE(1900,1,1),$AD688)</f>
        <v/>
      </c>
      <c r="AG688" s="35">
        <f>IF($AE688="",DATE(2100,12,31),$AE688)</f>
        <v/>
      </c>
      <c r="AH688" s="22">
        <f>IF($C688="","",IFERROR(IF(INDEX(Deals!$AG$2:$AG$355,MATCH($C688,Deals!$A$2:$A$355,0))=0,"",INDEX(Deals!$AG$2:$AG$355,MATCH($C688,Deals!$A$2:$A$355,0))),""))</f>
        <v/>
      </c>
      <c r="AI688" s="35">
        <f>IF($AH688="",DATE(1900,1,1),$AF688)</f>
        <v/>
      </c>
      <c r="AJ688" s="35">
        <f>IF($AH688="",DATE(2100,12,31),$AH688)</f>
        <v/>
      </c>
      <c r="AK688" s="32">
        <f>IF($AH688="",$AC688,$AC688*$S688)</f>
        <v/>
      </c>
      <c r="AL688" s="35">
        <f>IF($AH688="",DATE(2100,12,31),$AH688+1)</f>
        <v/>
      </c>
      <c r="AM688" s="35">
        <f>IF($AH688="",DATE(1900,1,1),$AG688)</f>
        <v/>
      </c>
      <c r="AN688" s="32">
        <f>IF($AH688="",0,$AC688*$T688)</f>
        <v/>
      </c>
    </row>
    <row r="689">
      <c r="A689" s="28" t="inlineStr">
        <is>
          <t>Robbie</t>
        </is>
      </c>
      <c r="B689" s="16">
        <f>IF($A689="","",IFERROR(INDEX(Roster!$B$2:$B$40,MATCH($A689,Roster!$A$2:$A$40,0)),"?"))</f>
        <v/>
      </c>
      <c r="C689" s="28" t="inlineStr">
        <is>
          <t>Zora_1</t>
        </is>
      </c>
      <c r="D689" s="16">
        <f>IF($C689="","",IFERROR(IF(INDEX(Deals!$C$2:$C$355,MATCH($C689,Deals!$A$2:$A$355,0))=0,"",INDEX(Deals!$C$2:$C$355,MATCH($C689,Deals!$A$2:$A$355,0))),"?"))</f>
        <v/>
      </c>
      <c r="E689" s="16">
        <f>IF($C689="","",IFERROR(INDEX(Deals!$F$2:$F$355,MATCH($C689,Deals!$A$2:$A$355,0)),"?"))</f>
        <v/>
      </c>
      <c r="F689" s="28" t="inlineStr">
        <is>
          <t>Renewable Specialist</t>
        </is>
      </c>
      <c r="G689" s="28" t="inlineStr">
        <is>
          <t>Active</t>
        </is>
      </c>
      <c r="H689" s="31" t="n"/>
      <c r="I689" s="32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1">
        <f>IF($C689="",0,IFERROR(INDEX(Deals!$H$2:$H$355,MATCH($C689,Deals!$A$2:$A$355,0)),0))</f>
        <v/>
      </c>
      <c r="K689" s="32">
        <f>IF(Settings!$B$4="Yes",$I689*$J689,$I689)</f>
        <v/>
      </c>
      <c r="L689" s="22">
        <f>IF($C689="","",IFERROR(IF(INDEX(Deals!$I$2:$I$355,MATCH($C689,Deals!$A$2:$A$355,0))=0,"",INDEX(Deals!$I$2:$I$355,MATCH($C689,Deals!$A$2:$A$355,0))),""))</f>
        <v/>
      </c>
      <c r="M689" s="22">
        <f>IF($C689="","",IFERROR(IF(INDEX(Deals!$J$2:$J$355,MATCH($C689,Deals!$A$2:$A$355,0))=0,"",INDEX(Deals!$J$2:$J$355,MATCH($C689,Deals!$A$2:$A$355,0))),""))</f>
        <v/>
      </c>
      <c r="N689" s="35">
        <f>IF($L689="",DATE(1900,1,1),$L689)</f>
        <v/>
      </c>
      <c r="O689" s="35">
        <f>IF($M689="",DATE(2100,12,31),$M689)</f>
        <v/>
      </c>
      <c r="P689" s="20" t="inlineStr"/>
      <c r="Q689" s="43" t="inlineStr"/>
      <c r="R689" s="16">
        <f>IF($C689="","",IFERROR(IF(INDEX(Deals!$U$2:$U$355,MATCH($C689,Deals!$A$2:$A$355,0))=0,"",INDEX(Deals!$U$2:$U$355,MATCH($C689,Deals!$A$2:$A$355,0))),""))</f>
        <v/>
      </c>
      <c r="S689" s="34">
        <f>IFERROR(IF($U689="",1,INDEX(Deals!$V$2:$V$355,MATCH($C689,Deals!$A$2:$A$355,0))),1)</f>
        <v/>
      </c>
      <c r="T689" s="34">
        <f>IFERROR(IF($U689="",1,INDEX(Deals!$W$2:$W$355,MATCH($C689,Deals!$A$2:$A$355,0))),1)</f>
        <v/>
      </c>
      <c r="U689" s="22">
        <f>IF($C689="","",IFERROR(IF(INDEX(Deals!$Y$2:$Y$355,MATCH($C689,Deals!$A$2:$A$355,0))=0,"",INDEX(Deals!$Y$2:$Y$355,MATCH($C689,Deals!$A$2:$A$355,0))),""))</f>
        <v/>
      </c>
      <c r="V689" s="35">
        <f>IF($U689="",DATE(1900,1,1),$N689)</f>
        <v/>
      </c>
      <c r="W689" s="35">
        <f>IF($U689="",DATE(2100,12,31),$U689)</f>
        <v/>
      </c>
      <c r="X689" s="32">
        <f>IF($U689="",$K689,$K689*$S689)</f>
        <v/>
      </c>
      <c r="Y689" s="35">
        <f>IF($U689="",DATE(2100,12,31),$U689+1)</f>
        <v/>
      </c>
      <c r="Z689" s="35">
        <f>IF($U689="",DATE(1900,1,1),$O689)</f>
        <v/>
      </c>
      <c r="AA689" s="32">
        <f>IF($U689="",0,$K689*$T689)</f>
        <v/>
      </c>
      <c r="AB689" s="21">
        <f>IF($C689="",0,IFERROR(INDEX(Deals!$AD$2:$AD$355,MATCH($C689,Deals!$A$2:$A$355,0)),0))</f>
        <v/>
      </c>
      <c r="AC689" s="32">
        <f>IF(Settings!$B$4="Yes",$I689*$AB689,$I689)</f>
        <v/>
      </c>
      <c r="AD689" s="22">
        <f>IF($C689="","",IFERROR(IF(INDEX(Deals!$AE$2:$AE$355,MATCH($C689,Deals!$A$2:$A$355,0))=0,"",INDEX(Deals!$AE$2:$AE$355,MATCH($C689,Deals!$A$2:$A$355,0))),""))</f>
        <v/>
      </c>
      <c r="AE689" s="22">
        <f>IF($C689="","",IFERROR(IF(INDEX(Deals!$AF$2:$AF$355,MATCH($C689,Deals!$A$2:$A$355,0))=0,"",INDEX(Deals!$AF$2:$AF$355,MATCH($C689,Deals!$A$2:$A$355,0))),""))</f>
        <v/>
      </c>
      <c r="AF689" s="35">
        <f>IF($AD689="",DATE(1900,1,1),$AD689)</f>
        <v/>
      </c>
      <c r="AG689" s="35">
        <f>IF($AE689="",DATE(2100,12,31),$AE689)</f>
        <v/>
      </c>
      <c r="AH689" s="22">
        <f>IF($C689="","",IFERROR(IF(INDEX(Deals!$AG$2:$AG$355,MATCH($C689,Deals!$A$2:$A$355,0))=0,"",INDEX(Deals!$AG$2:$AG$355,MATCH($C689,Deals!$A$2:$A$355,0))),""))</f>
        <v/>
      </c>
      <c r="AI689" s="35">
        <f>IF($AH689="",DATE(1900,1,1),$AF689)</f>
        <v/>
      </c>
      <c r="AJ689" s="35">
        <f>IF($AH689="",DATE(2100,12,31),$AH689)</f>
        <v/>
      </c>
      <c r="AK689" s="32">
        <f>IF($AH689="",$AC689,$AC689*$S689)</f>
        <v/>
      </c>
      <c r="AL689" s="35">
        <f>IF($AH689="",DATE(2100,12,31),$AH689+1)</f>
        <v/>
      </c>
      <c r="AM689" s="35">
        <f>IF($AH689="",DATE(1900,1,1),$AG689)</f>
        <v/>
      </c>
      <c r="AN689" s="32">
        <f>IF($AH689="",0,$AC689*$T689)</f>
        <v/>
      </c>
    </row>
    <row r="690">
      <c r="A690" s="31" t="n"/>
      <c r="B690" s="16">
        <f>IF($A690="","",IFERROR(INDEX(Roster!$B$2:$B$40,MATCH($A690,Roster!$A$2:$A$40,0)),"?"))</f>
        <v/>
      </c>
      <c r="C690" s="31" t="n"/>
      <c r="D690" s="16">
        <f>IF($C690="","",IFERROR(IF(INDEX(Deals!$C$2:$C$355,MATCH($C690,Deals!$A$2:$A$355,0))=0,"",INDEX(Deals!$C$2:$C$355,MATCH($C690,Deals!$A$2:$A$355,0))),"?"))</f>
        <v/>
      </c>
      <c r="E690" s="16">
        <f>IF($C690="","",IFERROR(INDEX(Deals!$F$2:$F$355,MATCH($C690,Deals!$A$2:$A$355,0)),"?"))</f>
        <v/>
      </c>
      <c r="F690" s="31" t="n"/>
      <c r="G690" s="31" t="n"/>
      <c r="H690" s="31" t="n"/>
      <c r="I690" s="32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1">
        <f>IF($C690="",0,IFERROR(INDEX(Deals!$H$2:$H$355,MATCH($C690,Deals!$A$2:$A$355,0)),0))</f>
        <v/>
      </c>
      <c r="K690" s="32">
        <f>IF(Settings!$B$4="Yes",$I690*$J690,$I690)</f>
        <v/>
      </c>
      <c r="L690" s="22">
        <f>IF($C690="","",IFERROR(IF(INDEX(Deals!$I$2:$I$355,MATCH($C690,Deals!$A$2:$A$355,0))=0,"",INDEX(Deals!$I$2:$I$355,MATCH($C690,Deals!$A$2:$A$355,0))),""))</f>
        <v/>
      </c>
      <c r="M690" s="22">
        <f>IF($C690="","",IFERROR(IF(INDEX(Deals!$J$2:$J$355,MATCH($C690,Deals!$A$2:$A$355,0))=0,"",INDEX(Deals!$J$2:$J$355,MATCH($C690,Deals!$A$2:$A$355,0))),""))</f>
        <v/>
      </c>
      <c r="N690" s="35">
        <f>IF($L690="",DATE(1900,1,1),$L690)</f>
        <v/>
      </c>
      <c r="O690" s="35">
        <f>IF($M690="",DATE(2100,12,31),$M690)</f>
        <v/>
      </c>
      <c r="P690" s="41" t="n"/>
      <c r="Q690" s="31" t="n"/>
      <c r="R690" s="16">
        <f>IF($C690="","",IFERROR(IF(INDEX(Deals!$U$2:$U$355,MATCH($C690,Deals!$A$2:$A$355,0))=0,"",INDEX(Deals!$U$2:$U$355,MATCH($C690,Deals!$A$2:$A$355,0))),""))</f>
        <v/>
      </c>
      <c r="S690" s="34">
        <f>IFERROR(IF($U690="",1,INDEX(Deals!$V$2:$V$355,MATCH($C690,Deals!$A$2:$A$355,0))),1)</f>
        <v/>
      </c>
      <c r="T690" s="34">
        <f>IFERROR(IF($U690="",1,INDEX(Deals!$W$2:$W$355,MATCH($C690,Deals!$A$2:$A$355,0))),1)</f>
        <v/>
      </c>
      <c r="U690" s="22">
        <f>IF($C690="","",IFERROR(IF(INDEX(Deals!$Y$2:$Y$355,MATCH($C690,Deals!$A$2:$A$355,0))=0,"",INDEX(Deals!$Y$2:$Y$355,MATCH($C690,Deals!$A$2:$A$355,0))),""))</f>
        <v/>
      </c>
      <c r="V690" s="35">
        <f>IF($U690="",DATE(1900,1,1),$N690)</f>
        <v/>
      </c>
      <c r="W690" s="35">
        <f>IF($U690="",DATE(2100,12,31),$U690)</f>
        <v/>
      </c>
      <c r="X690" s="32">
        <f>IF($U690="",$K690,$K690*$S690)</f>
        <v/>
      </c>
      <c r="Y690" s="35">
        <f>IF($U690="",DATE(2100,12,31),$U690+1)</f>
        <v/>
      </c>
      <c r="Z690" s="35">
        <f>IF($U690="",DATE(1900,1,1),$O690)</f>
        <v/>
      </c>
      <c r="AA690" s="32">
        <f>IF($U690="",0,$K690*$T690)</f>
        <v/>
      </c>
      <c r="AB690" s="21">
        <f>IF($C690="",0,IFERROR(INDEX(Deals!$AD$2:$AD$355,MATCH($C690,Deals!$A$2:$A$355,0)),0))</f>
        <v/>
      </c>
      <c r="AC690" s="32">
        <f>IF(Settings!$B$4="Yes",$I690*$AB690,$I690)</f>
        <v/>
      </c>
      <c r="AD690" s="22">
        <f>IF($C690="","",IFERROR(IF(INDEX(Deals!$AE$2:$AE$355,MATCH($C690,Deals!$A$2:$A$355,0))=0,"",INDEX(Deals!$AE$2:$AE$355,MATCH($C690,Deals!$A$2:$A$355,0))),""))</f>
        <v/>
      </c>
      <c r="AE690" s="22">
        <f>IF($C690="","",IFERROR(IF(INDEX(Deals!$AF$2:$AF$355,MATCH($C690,Deals!$A$2:$A$355,0))=0,"",INDEX(Deals!$AF$2:$AF$355,MATCH($C690,Deals!$A$2:$A$355,0))),""))</f>
        <v/>
      </c>
      <c r="AF690" s="35">
        <f>IF($AD690="",DATE(1900,1,1),$AD690)</f>
        <v/>
      </c>
      <c r="AG690" s="35">
        <f>IF($AE690="",DATE(2100,12,31),$AE690)</f>
        <v/>
      </c>
      <c r="AH690" s="22">
        <f>IF($C690="","",IFERROR(IF(INDEX(Deals!$AG$2:$AG$355,MATCH($C690,Deals!$A$2:$A$355,0))=0,"",INDEX(Deals!$AG$2:$AG$355,MATCH($C690,Deals!$A$2:$A$355,0))),""))</f>
        <v/>
      </c>
      <c r="AI690" s="35">
        <f>IF($AH690="",DATE(1900,1,1),$AF690)</f>
        <v/>
      </c>
      <c r="AJ690" s="35">
        <f>IF($AH690="",DATE(2100,12,31),$AH690)</f>
        <v/>
      </c>
      <c r="AK690" s="32">
        <f>IF($AH690="",$AC690,$AC690*$S690)</f>
        <v/>
      </c>
      <c r="AL690" s="35">
        <f>IF($AH690="",DATE(2100,12,31),$AH690+1)</f>
        <v/>
      </c>
      <c r="AM690" s="35">
        <f>IF($AH690="",DATE(1900,1,1),$AG690)</f>
        <v/>
      </c>
      <c r="AN690" s="32">
        <f>IF($AH690="",0,$AC690*$T690)</f>
        <v/>
      </c>
    </row>
    <row r="691">
      <c r="A691" s="31" t="n"/>
      <c r="B691" s="16">
        <f>IF($A691="","",IFERROR(INDEX(Roster!$B$2:$B$40,MATCH($A691,Roster!$A$2:$A$40,0)),"?"))</f>
        <v/>
      </c>
      <c r="C691" s="31" t="n"/>
      <c r="D691" s="16">
        <f>IF($C691="","",IFERROR(IF(INDEX(Deals!$C$2:$C$355,MATCH($C691,Deals!$A$2:$A$355,0))=0,"",INDEX(Deals!$C$2:$C$355,MATCH($C691,Deals!$A$2:$A$355,0))),"?"))</f>
        <v/>
      </c>
      <c r="E691" s="16">
        <f>IF($C691="","",IFERROR(INDEX(Deals!$F$2:$F$355,MATCH($C691,Deals!$A$2:$A$355,0)),"?"))</f>
        <v/>
      </c>
      <c r="F691" s="31" t="n"/>
      <c r="G691" s="31" t="n"/>
      <c r="H691" s="31" t="n"/>
      <c r="I691" s="32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1">
        <f>IF($C691="",0,IFERROR(INDEX(Deals!$H$2:$H$355,MATCH($C691,Deals!$A$2:$A$355,0)),0))</f>
        <v/>
      </c>
      <c r="K691" s="32">
        <f>IF(Settings!$B$4="Yes",$I691*$J691,$I691)</f>
        <v/>
      </c>
      <c r="L691" s="22">
        <f>IF($C691="","",IFERROR(IF(INDEX(Deals!$I$2:$I$355,MATCH($C691,Deals!$A$2:$A$355,0))=0,"",INDEX(Deals!$I$2:$I$355,MATCH($C691,Deals!$A$2:$A$355,0))),""))</f>
        <v/>
      </c>
      <c r="M691" s="22">
        <f>IF($C691="","",IFERROR(IF(INDEX(Deals!$J$2:$J$355,MATCH($C691,Deals!$A$2:$A$355,0))=0,"",INDEX(Deals!$J$2:$J$355,MATCH($C691,Deals!$A$2:$A$355,0))),""))</f>
        <v/>
      </c>
      <c r="N691" s="35">
        <f>IF($L691="",DATE(1900,1,1),$L691)</f>
        <v/>
      </c>
      <c r="O691" s="35">
        <f>IF($M691="",DATE(2100,12,31),$M691)</f>
        <v/>
      </c>
      <c r="P691" s="41" t="n"/>
      <c r="Q691" s="31" t="n"/>
      <c r="R691" s="16">
        <f>IF($C691="","",IFERROR(IF(INDEX(Deals!$U$2:$U$355,MATCH($C691,Deals!$A$2:$A$355,0))=0,"",INDEX(Deals!$U$2:$U$355,MATCH($C691,Deals!$A$2:$A$355,0))),""))</f>
        <v/>
      </c>
      <c r="S691" s="34">
        <f>IFERROR(IF($U691="",1,INDEX(Deals!$V$2:$V$355,MATCH($C691,Deals!$A$2:$A$355,0))),1)</f>
        <v/>
      </c>
      <c r="T691" s="34">
        <f>IFERROR(IF($U691="",1,INDEX(Deals!$W$2:$W$355,MATCH($C691,Deals!$A$2:$A$355,0))),1)</f>
        <v/>
      </c>
      <c r="U691" s="22">
        <f>IF($C691="","",IFERROR(IF(INDEX(Deals!$Y$2:$Y$355,MATCH($C691,Deals!$A$2:$A$355,0))=0,"",INDEX(Deals!$Y$2:$Y$355,MATCH($C691,Deals!$A$2:$A$355,0))),""))</f>
        <v/>
      </c>
      <c r="V691" s="35">
        <f>IF($U691="",DATE(1900,1,1),$N691)</f>
        <v/>
      </c>
      <c r="W691" s="35">
        <f>IF($U691="",DATE(2100,12,31),$U691)</f>
        <v/>
      </c>
      <c r="X691" s="32">
        <f>IF($U691="",$K691,$K691*$S691)</f>
        <v/>
      </c>
      <c r="Y691" s="35">
        <f>IF($U691="",DATE(2100,12,31),$U691+1)</f>
        <v/>
      </c>
      <c r="Z691" s="35">
        <f>IF($U691="",DATE(1900,1,1),$O691)</f>
        <v/>
      </c>
      <c r="AA691" s="32">
        <f>IF($U691="",0,$K691*$T691)</f>
        <v/>
      </c>
      <c r="AB691" s="21">
        <f>IF($C691="",0,IFERROR(INDEX(Deals!$AD$2:$AD$355,MATCH($C691,Deals!$A$2:$A$355,0)),0))</f>
        <v/>
      </c>
      <c r="AC691" s="32">
        <f>IF(Settings!$B$4="Yes",$I691*$AB691,$I691)</f>
        <v/>
      </c>
      <c r="AD691" s="22">
        <f>IF($C691="","",IFERROR(IF(INDEX(Deals!$AE$2:$AE$355,MATCH($C691,Deals!$A$2:$A$355,0))=0,"",INDEX(Deals!$AE$2:$AE$355,MATCH($C691,Deals!$A$2:$A$355,0))),""))</f>
        <v/>
      </c>
      <c r="AE691" s="22">
        <f>IF($C691="","",IFERROR(IF(INDEX(Deals!$AF$2:$AF$355,MATCH($C691,Deals!$A$2:$A$355,0))=0,"",INDEX(Deals!$AF$2:$AF$355,MATCH($C691,Deals!$A$2:$A$355,0))),""))</f>
        <v/>
      </c>
      <c r="AF691" s="35">
        <f>IF($AD691="",DATE(1900,1,1),$AD691)</f>
        <v/>
      </c>
      <c r="AG691" s="35">
        <f>IF($AE691="",DATE(2100,12,31),$AE691)</f>
        <v/>
      </c>
      <c r="AH691" s="22">
        <f>IF($C691="","",IFERROR(IF(INDEX(Deals!$AG$2:$AG$355,MATCH($C691,Deals!$A$2:$A$355,0))=0,"",INDEX(Deals!$AG$2:$AG$355,MATCH($C691,Deals!$A$2:$A$355,0))),""))</f>
        <v/>
      </c>
      <c r="AI691" s="35">
        <f>IF($AH691="",DATE(1900,1,1),$AF691)</f>
        <v/>
      </c>
      <c r="AJ691" s="35">
        <f>IF($AH691="",DATE(2100,12,31),$AH691)</f>
        <v/>
      </c>
      <c r="AK691" s="32">
        <f>IF($AH691="",$AC691,$AC691*$S691)</f>
        <v/>
      </c>
      <c r="AL691" s="35">
        <f>IF($AH691="",DATE(2100,12,31),$AH691+1)</f>
        <v/>
      </c>
      <c r="AM691" s="35">
        <f>IF($AH691="",DATE(1900,1,1),$AG691)</f>
        <v/>
      </c>
      <c r="AN691" s="32">
        <f>IF($AH691="",0,$AC691*$T691)</f>
        <v/>
      </c>
    </row>
    <row r="692">
      <c r="A692" s="31" t="n"/>
      <c r="B692" s="16">
        <f>IF($A692="","",IFERROR(INDEX(Roster!$B$2:$B$40,MATCH($A692,Roster!$A$2:$A$40,0)),"?"))</f>
        <v/>
      </c>
      <c r="C692" s="31" t="n"/>
      <c r="D692" s="16">
        <f>IF($C692="","",IFERROR(IF(INDEX(Deals!$C$2:$C$355,MATCH($C692,Deals!$A$2:$A$355,0))=0,"",INDEX(Deals!$C$2:$C$355,MATCH($C692,Deals!$A$2:$A$355,0))),"?"))</f>
        <v/>
      </c>
      <c r="E692" s="16">
        <f>IF($C692="","",IFERROR(INDEX(Deals!$F$2:$F$355,MATCH($C692,Deals!$A$2:$A$355,0)),"?"))</f>
        <v/>
      </c>
      <c r="F692" s="31" t="n"/>
      <c r="G692" s="31" t="n"/>
      <c r="H692" s="31" t="n"/>
      <c r="I692" s="32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1">
        <f>IF($C692="",0,IFERROR(INDEX(Deals!$H$2:$H$355,MATCH($C692,Deals!$A$2:$A$355,0)),0))</f>
        <v/>
      </c>
      <c r="K692" s="32">
        <f>IF(Settings!$B$4="Yes",$I692*$J692,$I692)</f>
        <v/>
      </c>
      <c r="L692" s="22">
        <f>IF($C692="","",IFERROR(IF(INDEX(Deals!$I$2:$I$355,MATCH($C692,Deals!$A$2:$A$355,0))=0,"",INDEX(Deals!$I$2:$I$355,MATCH($C692,Deals!$A$2:$A$355,0))),""))</f>
        <v/>
      </c>
      <c r="M692" s="22">
        <f>IF($C692="","",IFERROR(IF(INDEX(Deals!$J$2:$J$355,MATCH($C692,Deals!$A$2:$A$355,0))=0,"",INDEX(Deals!$J$2:$J$355,MATCH($C692,Deals!$A$2:$A$355,0))),""))</f>
        <v/>
      </c>
      <c r="N692" s="35">
        <f>IF($L692="",DATE(1900,1,1),$L692)</f>
        <v/>
      </c>
      <c r="O692" s="35">
        <f>IF($M692="",DATE(2100,12,31),$M692)</f>
        <v/>
      </c>
      <c r="P692" s="41" t="n"/>
      <c r="Q692" s="31" t="n"/>
      <c r="R692" s="16">
        <f>IF($C692="","",IFERROR(IF(INDEX(Deals!$U$2:$U$355,MATCH($C692,Deals!$A$2:$A$355,0))=0,"",INDEX(Deals!$U$2:$U$355,MATCH($C692,Deals!$A$2:$A$355,0))),""))</f>
        <v/>
      </c>
      <c r="S692" s="34">
        <f>IFERROR(IF($U692="",1,INDEX(Deals!$V$2:$V$355,MATCH($C692,Deals!$A$2:$A$355,0))),1)</f>
        <v/>
      </c>
      <c r="T692" s="34">
        <f>IFERROR(IF($U692="",1,INDEX(Deals!$W$2:$W$355,MATCH($C692,Deals!$A$2:$A$355,0))),1)</f>
        <v/>
      </c>
      <c r="U692" s="22">
        <f>IF($C692="","",IFERROR(IF(INDEX(Deals!$Y$2:$Y$355,MATCH($C692,Deals!$A$2:$A$355,0))=0,"",INDEX(Deals!$Y$2:$Y$355,MATCH($C692,Deals!$A$2:$A$355,0))),""))</f>
        <v/>
      </c>
      <c r="V692" s="35">
        <f>IF($U692="",DATE(1900,1,1),$N692)</f>
        <v/>
      </c>
      <c r="W692" s="35">
        <f>IF($U692="",DATE(2100,12,31),$U692)</f>
        <v/>
      </c>
      <c r="X692" s="32">
        <f>IF($U692="",$K692,$K692*$S692)</f>
        <v/>
      </c>
      <c r="Y692" s="35">
        <f>IF($U692="",DATE(2100,12,31),$U692+1)</f>
        <v/>
      </c>
      <c r="Z692" s="35">
        <f>IF($U692="",DATE(1900,1,1),$O692)</f>
        <v/>
      </c>
      <c r="AA692" s="32">
        <f>IF($U692="",0,$K692*$T692)</f>
        <v/>
      </c>
      <c r="AB692" s="21">
        <f>IF($C692="",0,IFERROR(INDEX(Deals!$AD$2:$AD$355,MATCH($C692,Deals!$A$2:$A$355,0)),0))</f>
        <v/>
      </c>
      <c r="AC692" s="32">
        <f>IF(Settings!$B$4="Yes",$I692*$AB692,$I692)</f>
        <v/>
      </c>
      <c r="AD692" s="22">
        <f>IF($C692="","",IFERROR(IF(INDEX(Deals!$AE$2:$AE$355,MATCH($C692,Deals!$A$2:$A$355,0))=0,"",INDEX(Deals!$AE$2:$AE$355,MATCH($C692,Deals!$A$2:$A$355,0))),""))</f>
        <v/>
      </c>
      <c r="AE692" s="22">
        <f>IF($C692="","",IFERROR(IF(INDEX(Deals!$AF$2:$AF$355,MATCH($C692,Deals!$A$2:$A$355,0))=0,"",INDEX(Deals!$AF$2:$AF$355,MATCH($C692,Deals!$A$2:$A$355,0))),""))</f>
        <v/>
      </c>
      <c r="AF692" s="35">
        <f>IF($AD692="",DATE(1900,1,1),$AD692)</f>
        <v/>
      </c>
      <c r="AG692" s="35">
        <f>IF($AE692="",DATE(2100,12,31),$AE692)</f>
        <v/>
      </c>
      <c r="AH692" s="22">
        <f>IF($C692="","",IFERROR(IF(INDEX(Deals!$AG$2:$AG$355,MATCH($C692,Deals!$A$2:$A$355,0))=0,"",INDEX(Deals!$AG$2:$AG$355,MATCH($C692,Deals!$A$2:$A$355,0))),""))</f>
        <v/>
      </c>
      <c r="AI692" s="35">
        <f>IF($AH692="",DATE(1900,1,1),$AF692)</f>
        <v/>
      </c>
      <c r="AJ692" s="35">
        <f>IF($AH692="",DATE(2100,12,31),$AH692)</f>
        <v/>
      </c>
      <c r="AK692" s="32">
        <f>IF($AH692="",$AC692,$AC692*$S692)</f>
        <v/>
      </c>
      <c r="AL692" s="35">
        <f>IF($AH692="",DATE(2100,12,31),$AH692+1)</f>
        <v/>
      </c>
      <c r="AM692" s="35">
        <f>IF($AH692="",DATE(1900,1,1),$AG692)</f>
        <v/>
      </c>
      <c r="AN692" s="32">
        <f>IF($AH692="",0,$AC692*$T692)</f>
        <v/>
      </c>
    </row>
    <row r="693">
      <c r="A693" s="31" t="n"/>
      <c r="B693" s="16">
        <f>IF($A693="","",IFERROR(INDEX(Roster!$B$2:$B$40,MATCH($A693,Roster!$A$2:$A$40,0)),"?"))</f>
        <v/>
      </c>
      <c r="C693" s="31" t="n"/>
      <c r="D693" s="16">
        <f>IF($C693="","",IFERROR(IF(INDEX(Deals!$C$2:$C$355,MATCH($C693,Deals!$A$2:$A$355,0))=0,"",INDEX(Deals!$C$2:$C$355,MATCH($C693,Deals!$A$2:$A$355,0))),"?"))</f>
        <v/>
      </c>
      <c r="E693" s="16">
        <f>IF($C693="","",IFERROR(INDEX(Deals!$F$2:$F$355,MATCH($C693,Deals!$A$2:$A$355,0)),"?"))</f>
        <v/>
      </c>
      <c r="F693" s="31" t="n"/>
      <c r="G693" s="31" t="n"/>
      <c r="H693" s="31" t="n"/>
      <c r="I693" s="32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1">
        <f>IF($C693="",0,IFERROR(INDEX(Deals!$H$2:$H$355,MATCH($C693,Deals!$A$2:$A$355,0)),0))</f>
        <v/>
      </c>
      <c r="K693" s="32">
        <f>IF(Settings!$B$4="Yes",$I693*$J693,$I693)</f>
        <v/>
      </c>
      <c r="L693" s="22">
        <f>IF($C693="","",IFERROR(IF(INDEX(Deals!$I$2:$I$355,MATCH($C693,Deals!$A$2:$A$355,0))=0,"",INDEX(Deals!$I$2:$I$355,MATCH($C693,Deals!$A$2:$A$355,0))),""))</f>
        <v/>
      </c>
      <c r="M693" s="22">
        <f>IF($C693="","",IFERROR(IF(INDEX(Deals!$J$2:$J$355,MATCH($C693,Deals!$A$2:$A$355,0))=0,"",INDEX(Deals!$J$2:$J$355,MATCH($C693,Deals!$A$2:$A$355,0))),""))</f>
        <v/>
      </c>
      <c r="N693" s="35">
        <f>IF($L693="",DATE(1900,1,1),$L693)</f>
        <v/>
      </c>
      <c r="O693" s="35">
        <f>IF($M693="",DATE(2100,12,31),$M693)</f>
        <v/>
      </c>
      <c r="P693" s="41" t="n"/>
      <c r="Q693" s="31" t="n"/>
      <c r="R693" s="16">
        <f>IF($C693="","",IFERROR(IF(INDEX(Deals!$U$2:$U$355,MATCH($C693,Deals!$A$2:$A$355,0))=0,"",INDEX(Deals!$U$2:$U$355,MATCH($C693,Deals!$A$2:$A$355,0))),""))</f>
        <v/>
      </c>
      <c r="S693" s="34">
        <f>IFERROR(IF($U693="",1,INDEX(Deals!$V$2:$V$355,MATCH($C693,Deals!$A$2:$A$355,0))),1)</f>
        <v/>
      </c>
      <c r="T693" s="34">
        <f>IFERROR(IF($U693="",1,INDEX(Deals!$W$2:$W$355,MATCH($C693,Deals!$A$2:$A$355,0))),1)</f>
        <v/>
      </c>
      <c r="U693" s="22">
        <f>IF($C693="","",IFERROR(IF(INDEX(Deals!$Y$2:$Y$355,MATCH($C693,Deals!$A$2:$A$355,0))=0,"",INDEX(Deals!$Y$2:$Y$355,MATCH($C693,Deals!$A$2:$A$355,0))),""))</f>
        <v/>
      </c>
      <c r="V693" s="35">
        <f>IF($U693="",DATE(1900,1,1),$N693)</f>
        <v/>
      </c>
      <c r="W693" s="35">
        <f>IF($U693="",DATE(2100,12,31),$U693)</f>
        <v/>
      </c>
      <c r="X693" s="32">
        <f>IF($U693="",$K693,$K693*$S693)</f>
        <v/>
      </c>
      <c r="Y693" s="35">
        <f>IF($U693="",DATE(2100,12,31),$U693+1)</f>
        <v/>
      </c>
      <c r="Z693" s="35">
        <f>IF($U693="",DATE(1900,1,1),$O693)</f>
        <v/>
      </c>
      <c r="AA693" s="32">
        <f>IF($U693="",0,$K693*$T693)</f>
        <v/>
      </c>
      <c r="AB693" s="21">
        <f>IF($C693="",0,IFERROR(INDEX(Deals!$AD$2:$AD$355,MATCH($C693,Deals!$A$2:$A$355,0)),0))</f>
        <v/>
      </c>
      <c r="AC693" s="32">
        <f>IF(Settings!$B$4="Yes",$I693*$AB693,$I693)</f>
        <v/>
      </c>
      <c r="AD693" s="22">
        <f>IF($C693="","",IFERROR(IF(INDEX(Deals!$AE$2:$AE$355,MATCH($C693,Deals!$A$2:$A$355,0))=0,"",INDEX(Deals!$AE$2:$AE$355,MATCH($C693,Deals!$A$2:$A$355,0))),""))</f>
        <v/>
      </c>
      <c r="AE693" s="22">
        <f>IF($C693="","",IFERROR(IF(INDEX(Deals!$AF$2:$AF$355,MATCH($C693,Deals!$A$2:$A$355,0))=0,"",INDEX(Deals!$AF$2:$AF$355,MATCH($C693,Deals!$A$2:$A$355,0))),""))</f>
        <v/>
      </c>
      <c r="AF693" s="35">
        <f>IF($AD693="",DATE(1900,1,1),$AD693)</f>
        <v/>
      </c>
      <c r="AG693" s="35">
        <f>IF($AE693="",DATE(2100,12,31),$AE693)</f>
        <v/>
      </c>
      <c r="AH693" s="22">
        <f>IF($C693="","",IFERROR(IF(INDEX(Deals!$AG$2:$AG$355,MATCH($C693,Deals!$A$2:$A$355,0))=0,"",INDEX(Deals!$AG$2:$AG$355,MATCH($C693,Deals!$A$2:$A$355,0))),""))</f>
        <v/>
      </c>
      <c r="AI693" s="35">
        <f>IF($AH693="",DATE(1900,1,1),$AF693)</f>
        <v/>
      </c>
      <c r="AJ693" s="35">
        <f>IF($AH693="",DATE(2100,12,31),$AH693)</f>
        <v/>
      </c>
      <c r="AK693" s="32">
        <f>IF($AH693="",$AC693,$AC693*$S693)</f>
        <v/>
      </c>
      <c r="AL693" s="35">
        <f>IF($AH693="",DATE(2100,12,31),$AH693+1)</f>
        <v/>
      </c>
      <c r="AM693" s="35">
        <f>IF($AH693="",DATE(1900,1,1),$AG693)</f>
        <v/>
      </c>
      <c r="AN693" s="32">
        <f>IF($AH693="",0,$AC693*$T693)</f>
        <v/>
      </c>
    </row>
    <row r="694">
      <c r="A694" s="31" t="n"/>
      <c r="B694" s="16">
        <f>IF($A694="","",IFERROR(INDEX(Roster!$B$2:$B$40,MATCH($A694,Roster!$A$2:$A$40,0)),"?"))</f>
        <v/>
      </c>
      <c r="C694" s="31" t="n"/>
      <c r="D694" s="16">
        <f>IF($C694="","",IFERROR(IF(INDEX(Deals!$C$2:$C$355,MATCH($C694,Deals!$A$2:$A$355,0))=0,"",INDEX(Deals!$C$2:$C$355,MATCH($C694,Deals!$A$2:$A$355,0))),"?"))</f>
        <v/>
      </c>
      <c r="E694" s="16">
        <f>IF($C694="","",IFERROR(INDEX(Deals!$F$2:$F$355,MATCH($C694,Deals!$A$2:$A$355,0)),"?"))</f>
        <v/>
      </c>
      <c r="F694" s="31" t="n"/>
      <c r="G694" s="31" t="n"/>
      <c r="H694" s="31" t="n"/>
      <c r="I694" s="32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1">
        <f>IF($C694="",0,IFERROR(INDEX(Deals!$H$2:$H$355,MATCH($C694,Deals!$A$2:$A$355,0)),0))</f>
        <v/>
      </c>
      <c r="K694" s="32">
        <f>IF(Settings!$B$4="Yes",$I694*$J694,$I694)</f>
        <v/>
      </c>
      <c r="L694" s="22">
        <f>IF($C694="","",IFERROR(IF(INDEX(Deals!$I$2:$I$355,MATCH($C694,Deals!$A$2:$A$355,0))=0,"",INDEX(Deals!$I$2:$I$355,MATCH($C694,Deals!$A$2:$A$355,0))),""))</f>
        <v/>
      </c>
      <c r="M694" s="22">
        <f>IF($C694="","",IFERROR(IF(INDEX(Deals!$J$2:$J$355,MATCH($C694,Deals!$A$2:$A$355,0))=0,"",INDEX(Deals!$J$2:$J$355,MATCH($C694,Deals!$A$2:$A$355,0))),""))</f>
        <v/>
      </c>
      <c r="N694" s="35">
        <f>IF($L694="",DATE(1900,1,1),$L694)</f>
        <v/>
      </c>
      <c r="O694" s="35">
        <f>IF($M694="",DATE(2100,12,31),$M694)</f>
        <v/>
      </c>
      <c r="P694" s="41" t="n"/>
      <c r="Q694" s="31" t="n"/>
      <c r="R694" s="16">
        <f>IF($C694="","",IFERROR(IF(INDEX(Deals!$U$2:$U$355,MATCH($C694,Deals!$A$2:$A$355,0))=0,"",INDEX(Deals!$U$2:$U$355,MATCH($C694,Deals!$A$2:$A$355,0))),""))</f>
        <v/>
      </c>
      <c r="S694" s="34">
        <f>IFERROR(IF($U694="",1,INDEX(Deals!$V$2:$V$355,MATCH($C694,Deals!$A$2:$A$355,0))),1)</f>
        <v/>
      </c>
      <c r="T694" s="34">
        <f>IFERROR(IF($U694="",1,INDEX(Deals!$W$2:$W$355,MATCH($C694,Deals!$A$2:$A$355,0))),1)</f>
        <v/>
      </c>
      <c r="U694" s="22">
        <f>IF($C694="","",IFERROR(IF(INDEX(Deals!$Y$2:$Y$355,MATCH($C694,Deals!$A$2:$A$355,0))=0,"",INDEX(Deals!$Y$2:$Y$355,MATCH($C694,Deals!$A$2:$A$355,0))),""))</f>
        <v/>
      </c>
      <c r="V694" s="35">
        <f>IF($U694="",DATE(1900,1,1),$N694)</f>
        <v/>
      </c>
      <c r="W694" s="35">
        <f>IF($U694="",DATE(2100,12,31),$U694)</f>
        <v/>
      </c>
      <c r="X694" s="32">
        <f>IF($U694="",$K694,$K694*$S694)</f>
        <v/>
      </c>
      <c r="Y694" s="35">
        <f>IF($U694="",DATE(2100,12,31),$U694+1)</f>
        <v/>
      </c>
      <c r="Z694" s="35">
        <f>IF($U694="",DATE(1900,1,1),$O694)</f>
        <v/>
      </c>
      <c r="AA694" s="32">
        <f>IF($U694="",0,$K694*$T694)</f>
        <v/>
      </c>
      <c r="AB694" s="21">
        <f>IF($C694="",0,IFERROR(INDEX(Deals!$AD$2:$AD$355,MATCH($C694,Deals!$A$2:$A$355,0)),0))</f>
        <v/>
      </c>
      <c r="AC694" s="32">
        <f>IF(Settings!$B$4="Yes",$I694*$AB694,$I694)</f>
        <v/>
      </c>
      <c r="AD694" s="22">
        <f>IF($C694="","",IFERROR(IF(INDEX(Deals!$AE$2:$AE$355,MATCH($C694,Deals!$A$2:$A$355,0))=0,"",INDEX(Deals!$AE$2:$AE$355,MATCH($C694,Deals!$A$2:$A$355,0))),""))</f>
        <v/>
      </c>
      <c r="AE694" s="22">
        <f>IF($C694="","",IFERROR(IF(INDEX(Deals!$AF$2:$AF$355,MATCH($C694,Deals!$A$2:$A$355,0))=0,"",INDEX(Deals!$AF$2:$AF$355,MATCH($C694,Deals!$A$2:$A$355,0))),""))</f>
        <v/>
      </c>
      <c r="AF694" s="35">
        <f>IF($AD694="",DATE(1900,1,1),$AD694)</f>
        <v/>
      </c>
      <c r="AG694" s="35">
        <f>IF($AE694="",DATE(2100,12,31),$AE694)</f>
        <v/>
      </c>
      <c r="AH694" s="22">
        <f>IF($C694="","",IFERROR(IF(INDEX(Deals!$AG$2:$AG$355,MATCH($C694,Deals!$A$2:$A$355,0))=0,"",INDEX(Deals!$AG$2:$AG$355,MATCH($C694,Deals!$A$2:$A$355,0))),""))</f>
        <v/>
      </c>
      <c r="AI694" s="35">
        <f>IF($AH694="",DATE(1900,1,1),$AF694)</f>
        <v/>
      </c>
      <c r="AJ694" s="35">
        <f>IF($AH694="",DATE(2100,12,31),$AH694)</f>
        <v/>
      </c>
      <c r="AK694" s="32">
        <f>IF($AH694="",$AC694,$AC694*$S694)</f>
        <v/>
      </c>
      <c r="AL694" s="35">
        <f>IF($AH694="",DATE(2100,12,31),$AH694+1)</f>
        <v/>
      </c>
      <c r="AM694" s="35">
        <f>IF($AH694="",DATE(1900,1,1),$AG694)</f>
        <v/>
      </c>
      <c r="AN694" s="32">
        <f>IF($AH694="",0,$AC694*$T694)</f>
        <v/>
      </c>
    </row>
    <row r="695">
      <c r="A695" s="31" t="n"/>
      <c r="B695" s="16">
        <f>IF($A695="","",IFERROR(INDEX(Roster!$B$2:$B$40,MATCH($A695,Roster!$A$2:$A$40,0)),"?"))</f>
        <v/>
      </c>
      <c r="C695" s="31" t="n"/>
      <c r="D695" s="16">
        <f>IF($C695="","",IFERROR(IF(INDEX(Deals!$C$2:$C$355,MATCH($C695,Deals!$A$2:$A$355,0))=0,"",INDEX(Deals!$C$2:$C$355,MATCH($C695,Deals!$A$2:$A$355,0))),"?"))</f>
        <v/>
      </c>
      <c r="E695" s="16">
        <f>IF($C695="","",IFERROR(INDEX(Deals!$F$2:$F$355,MATCH($C695,Deals!$A$2:$A$355,0)),"?"))</f>
        <v/>
      </c>
      <c r="F695" s="31" t="n"/>
      <c r="G695" s="31" t="n"/>
      <c r="H695" s="31" t="n"/>
      <c r="I695" s="32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1">
        <f>IF($C695="",0,IFERROR(INDEX(Deals!$H$2:$H$355,MATCH($C695,Deals!$A$2:$A$355,0)),0))</f>
        <v/>
      </c>
      <c r="K695" s="32">
        <f>IF(Settings!$B$4="Yes",$I695*$J695,$I695)</f>
        <v/>
      </c>
      <c r="L695" s="22">
        <f>IF($C695="","",IFERROR(IF(INDEX(Deals!$I$2:$I$355,MATCH($C695,Deals!$A$2:$A$355,0))=0,"",INDEX(Deals!$I$2:$I$355,MATCH($C695,Deals!$A$2:$A$355,0))),""))</f>
        <v/>
      </c>
      <c r="M695" s="22">
        <f>IF($C695="","",IFERROR(IF(INDEX(Deals!$J$2:$J$355,MATCH($C695,Deals!$A$2:$A$355,0))=0,"",INDEX(Deals!$J$2:$J$355,MATCH($C695,Deals!$A$2:$A$355,0))),""))</f>
        <v/>
      </c>
      <c r="N695" s="35">
        <f>IF($L695="",DATE(1900,1,1),$L695)</f>
        <v/>
      </c>
      <c r="O695" s="35">
        <f>IF($M695="",DATE(2100,12,31),$M695)</f>
        <v/>
      </c>
      <c r="P695" s="41" t="n"/>
      <c r="Q695" s="31" t="n"/>
      <c r="R695" s="16">
        <f>IF($C695="","",IFERROR(IF(INDEX(Deals!$U$2:$U$355,MATCH($C695,Deals!$A$2:$A$355,0))=0,"",INDEX(Deals!$U$2:$U$355,MATCH($C695,Deals!$A$2:$A$355,0))),""))</f>
        <v/>
      </c>
      <c r="S695" s="34">
        <f>IFERROR(IF($U695="",1,INDEX(Deals!$V$2:$V$355,MATCH($C695,Deals!$A$2:$A$355,0))),1)</f>
        <v/>
      </c>
      <c r="T695" s="34">
        <f>IFERROR(IF($U695="",1,INDEX(Deals!$W$2:$W$355,MATCH($C695,Deals!$A$2:$A$355,0))),1)</f>
        <v/>
      </c>
      <c r="U695" s="22">
        <f>IF($C695="","",IFERROR(IF(INDEX(Deals!$Y$2:$Y$355,MATCH($C695,Deals!$A$2:$A$355,0))=0,"",INDEX(Deals!$Y$2:$Y$355,MATCH($C695,Deals!$A$2:$A$355,0))),""))</f>
        <v/>
      </c>
      <c r="V695" s="35">
        <f>IF($U695="",DATE(1900,1,1),$N695)</f>
        <v/>
      </c>
      <c r="W695" s="35">
        <f>IF($U695="",DATE(2100,12,31),$U695)</f>
        <v/>
      </c>
      <c r="X695" s="32">
        <f>IF($U695="",$K695,$K695*$S695)</f>
        <v/>
      </c>
      <c r="Y695" s="35">
        <f>IF($U695="",DATE(2100,12,31),$U695+1)</f>
        <v/>
      </c>
      <c r="Z695" s="35">
        <f>IF($U695="",DATE(1900,1,1),$O695)</f>
        <v/>
      </c>
      <c r="AA695" s="32">
        <f>IF($U695="",0,$K695*$T695)</f>
        <v/>
      </c>
      <c r="AB695" s="21">
        <f>IF($C695="",0,IFERROR(INDEX(Deals!$AD$2:$AD$355,MATCH($C695,Deals!$A$2:$A$355,0)),0))</f>
        <v/>
      </c>
      <c r="AC695" s="32">
        <f>IF(Settings!$B$4="Yes",$I695*$AB695,$I695)</f>
        <v/>
      </c>
      <c r="AD695" s="22">
        <f>IF($C695="","",IFERROR(IF(INDEX(Deals!$AE$2:$AE$355,MATCH($C695,Deals!$A$2:$A$355,0))=0,"",INDEX(Deals!$AE$2:$AE$355,MATCH($C695,Deals!$A$2:$A$355,0))),""))</f>
        <v/>
      </c>
      <c r="AE695" s="22">
        <f>IF($C695="","",IFERROR(IF(INDEX(Deals!$AF$2:$AF$355,MATCH($C695,Deals!$A$2:$A$355,0))=0,"",INDEX(Deals!$AF$2:$AF$355,MATCH($C695,Deals!$A$2:$A$355,0))),""))</f>
        <v/>
      </c>
      <c r="AF695" s="35">
        <f>IF($AD695="",DATE(1900,1,1),$AD695)</f>
        <v/>
      </c>
      <c r="AG695" s="35">
        <f>IF($AE695="",DATE(2100,12,31),$AE695)</f>
        <v/>
      </c>
      <c r="AH695" s="22">
        <f>IF($C695="","",IFERROR(IF(INDEX(Deals!$AG$2:$AG$355,MATCH($C695,Deals!$A$2:$A$355,0))=0,"",INDEX(Deals!$AG$2:$AG$355,MATCH($C695,Deals!$A$2:$A$355,0))),""))</f>
        <v/>
      </c>
      <c r="AI695" s="35">
        <f>IF($AH695="",DATE(1900,1,1),$AF695)</f>
        <v/>
      </c>
      <c r="AJ695" s="35">
        <f>IF($AH695="",DATE(2100,12,31),$AH695)</f>
        <v/>
      </c>
      <c r="AK695" s="32">
        <f>IF($AH695="",$AC695,$AC695*$S695)</f>
        <v/>
      </c>
      <c r="AL695" s="35">
        <f>IF($AH695="",DATE(2100,12,31),$AH695+1)</f>
        <v/>
      </c>
      <c r="AM695" s="35">
        <f>IF($AH695="",DATE(1900,1,1),$AG695)</f>
        <v/>
      </c>
      <c r="AN695" s="32">
        <f>IF($AH695="",0,$AC695*$T695)</f>
        <v/>
      </c>
    </row>
    <row r="696">
      <c r="A696" s="31" t="n"/>
      <c r="B696" s="16">
        <f>IF($A696="","",IFERROR(INDEX(Roster!$B$2:$B$40,MATCH($A696,Roster!$A$2:$A$40,0)),"?"))</f>
        <v/>
      </c>
      <c r="C696" s="31" t="n"/>
      <c r="D696" s="16">
        <f>IF($C696="","",IFERROR(IF(INDEX(Deals!$C$2:$C$355,MATCH($C696,Deals!$A$2:$A$355,0))=0,"",INDEX(Deals!$C$2:$C$355,MATCH($C696,Deals!$A$2:$A$355,0))),"?"))</f>
        <v/>
      </c>
      <c r="E696" s="16">
        <f>IF($C696="","",IFERROR(INDEX(Deals!$F$2:$F$355,MATCH($C696,Deals!$A$2:$A$355,0)),"?"))</f>
        <v/>
      </c>
      <c r="F696" s="31" t="n"/>
      <c r="G696" s="31" t="n"/>
      <c r="H696" s="31" t="n"/>
      <c r="I696" s="32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1">
        <f>IF($C696="",0,IFERROR(INDEX(Deals!$H$2:$H$355,MATCH($C696,Deals!$A$2:$A$355,0)),0))</f>
        <v/>
      </c>
      <c r="K696" s="32">
        <f>IF(Settings!$B$4="Yes",$I696*$J696,$I696)</f>
        <v/>
      </c>
      <c r="L696" s="22">
        <f>IF($C696="","",IFERROR(IF(INDEX(Deals!$I$2:$I$355,MATCH($C696,Deals!$A$2:$A$355,0))=0,"",INDEX(Deals!$I$2:$I$355,MATCH($C696,Deals!$A$2:$A$355,0))),""))</f>
        <v/>
      </c>
      <c r="M696" s="22">
        <f>IF($C696="","",IFERROR(IF(INDEX(Deals!$J$2:$J$355,MATCH($C696,Deals!$A$2:$A$355,0))=0,"",INDEX(Deals!$J$2:$J$355,MATCH($C696,Deals!$A$2:$A$355,0))),""))</f>
        <v/>
      </c>
      <c r="N696" s="35">
        <f>IF($L696="",DATE(1900,1,1),$L696)</f>
        <v/>
      </c>
      <c r="O696" s="35">
        <f>IF($M696="",DATE(2100,12,31),$M696)</f>
        <v/>
      </c>
      <c r="P696" s="41" t="n"/>
      <c r="Q696" s="31" t="n"/>
      <c r="R696" s="16">
        <f>IF($C696="","",IFERROR(IF(INDEX(Deals!$U$2:$U$355,MATCH($C696,Deals!$A$2:$A$355,0))=0,"",INDEX(Deals!$U$2:$U$355,MATCH($C696,Deals!$A$2:$A$355,0))),""))</f>
        <v/>
      </c>
      <c r="S696" s="34">
        <f>IFERROR(IF($U696="",1,INDEX(Deals!$V$2:$V$355,MATCH($C696,Deals!$A$2:$A$355,0))),1)</f>
        <v/>
      </c>
      <c r="T696" s="34">
        <f>IFERROR(IF($U696="",1,INDEX(Deals!$W$2:$W$355,MATCH($C696,Deals!$A$2:$A$355,0))),1)</f>
        <v/>
      </c>
      <c r="U696" s="22">
        <f>IF($C696="","",IFERROR(IF(INDEX(Deals!$Y$2:$Y$355,MATCH($C696,Deals!$A$2:$A$355,0))=0,"",INDEX(Deals!$Y$2:$Y$355,MATCH($C696,Deals!$A$2:$A$355,0))),""))</f>
        <v/>
      </c>
      <c r="V696" s="35">
        <f>IF($U696="",DATE(1900,1,1),$N696)</f>
        <v/>
      </c>
      <c r="W696" s="35">
        <f>IF($U696="",DATE(2100,12,31),$U696)</f>
        <v/>
      </c>
      <c r="X696" s="32">
        <f>IF($U696="",$K696,$K696*$S696)</f>
        <v/>
      </c>
      <c r="Y696" s="35">
        <f>IF($U696="",DATE(2100,12,31),$U696+1)</f>
        <v/>
      </c>
      <c r="Z696" s="35">
        <f>IF($U696="",DATE(1900,1,1),$O696)</f>
        <v/>
      </c>
      <c r="AA696" s="32">
        <f>IF($U696="",0,$K696*$T696)</f>
        <v/>
      </c>
      <c r="AB696" s="21">
        <f>IF($C696="",0,IFERROR(INDEX(Deals!$AD$2:$AD$355,MATCH($C696,Deals!$A$2:$A$355,0)),0))</f>
        <v/>
      </c>
      <c r="AC696" s="32">
        <f>IF(Settings!$B$4="Yes",$I696*$AB696,$I696)</f>
        <v/>
      </c>
      <c r="AD696" s="22">
        <f>IF($C696="","",IFERROR(IF(INDEX(Deals!$AE$2:$AE$355,MATCH($C696,Deals!$A$2:$A$355,0))=0,"",INDEX(Deals!$AE$2:$AE$355,MATCH($C696,Deals!$A$2:$A$355,0))),""))</f>
        <v/>
      </c>
      <c r="AE696" s="22">
        <f>IF($C696="","",IFERROR(IF(INDEX(Deals!$AF$2:$AF$355,MATCH($C696,Deals!$A$2:$A$355,0))=0,"",INDEX(Deals!$AF$2:$AF$355,MATCH($C696,Deals!$A$2:$A$355,0))),""))</f>
        <v/>
      </c>
      <c r="AF696" s="35">
        <f>IF($AD696="",DATE(1900,1,1),$AD696)</f>
        <v/>
      </c>
      <c r="AG696" s="35">
        <f>IF($AE696="",DATE(2100,12,31),$AE696)</f>
        <v/>
      </c>
      <c r="AH696" s="22">
        <f>IF($C696="","",IFERROR(IF(INDEX(Deals!$AG$2:$AG$355,MATCH($C696,Deals!$A$2:$A$355,0))=0,"",INDEX(Deals!$AG$2:$AG$355,MATCH($C696,Deals!$A$2:$A$355,0))),""))</f>
        <v/>
      </c>
      <c r="AI696" s="35">
        <f>IF($AH696="",DATE(1900,1,1),$AF696)</f>
        <v/>
      </c>
      <c r="AJ696" s="35">
        <f>IF($AH696="",DATE(2100,12,31),$AH696)</f>
        <v/>
      </c>
      <c r="AK696" s="32">
        <f>IF($AH696="",$AC696,$AC696*$S696)</f>
        <v/>
      </c>
      <c r="AL696" s="35">
        <f>IF($AH696="",DATE(2100,12,31),$AH696+1)</f>
        <v/>
      </c>
      <c r="AM696" s="35">
        <f>IF($AH696="",DATE(1900,1,1),$AG696)</f>
        <v/>
      </c>
      <c r="AN696" s="32">
        <f>IF($AH696="",0,$AC696*$T696)</f>
        <v/>
      </c>
    </row>
    <row r="697">
      <c r="A697" s="31" t="n"/>
      <c r="B697" s="16">
        <f>IF($A697="","",IFERROR(INDEX(Roster!$B$2:$B$40,MATCH($A697,Roster!$A$2:$A$40,0)),"?"))</f>
        <v/>
      </c>
      <c r="C697" s="31" t="n"/>
      <c r="D697" s="16">
        <f>IF($C697="","",IFERROR(IF(INDEX(Deals!$C$2:$C$355,MATCH($C697,Deals!$A$2:$A$355,0))=0,"",INDEX(Deals!$C$2:$C$355,MATCH($C697,Deals!$A$2:$A$355,0))),"?"))</f>
        <v/>
      </c>
      <c r="E697" s="16">
        <f>IF($C697="","",IFERROR(INDEX(Deals!$F$2:$F$355,MATCH($C697,Deals!$A$2:$A$355,0)),"?"))</f>
        <v/>
      </c>
      <c r="F697" s="31" t="n"/>
      <c r="G697" s="31" t="n"/>
      <c r="H697" s="31" t="n"/>
      <c r="I697" s="32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1">
        <f>IF($C697="",0,IFERROR(INDEX(Deals!$H$2:$H$355,MATCH($C697,Deals!$A$2:$A$355,0)),0))</f>
        <v/>
      </c>
      <c r="K697" s="32">
        <f>IF(Settings!$B$4="Yes",$I697*$J697,$I697)</f>
        <v/>
      </c>
      <c r="L697" s="22">
        <f>IF($C697="","",IFERROR(IF(INDEX(Deals!$I$2:$I$355,MATCH($C697,Deals!$A$2:$A$355,0))=0,"",INDEX(Deals!$I$2:$I$355,MATCH($C697,Deals!$A$2:$A$355,0))),""))</f>
        <v/>
      </c>
      <c r="M697" s="22">
        <f>IF($C697="","",IFERROR(IF(INDEX(Deals!$J$2:$J$355,MATCH($C697,Deals!$A$2:$A$355,0))=0,"",INDEX(Deals!$J$2:$J$355,MATCH($C697,Deals!$A$2:$A$355,0))),""))</f>
        <v/>
      </c>
      <c r="N697" s="35">
        <f>IF($L697="",DATE(1900,1,1),$L697)</f>
        <v/>
      </c>
      <c r="O697" s="35">
        <f>IF($M697="",DATE(2100,12,31),$M697)</f>
        <v/>
      </c>
      <c r="P697" s="41" t="n"/>
      <c r="Q697" s="31" t="n"/>
      <c r="R697" s="16">
        <f>IF($C697="","",IFERROR(IF(INDEX(Deals!$U$2:$U$355,MATCH($C697,Deals!$A$2:$A$355,0))=0,"",INDEX(Deals!$U$2:$U$355,MATCH($C697,Deals!$A$2:$A$355,0))),""))</f>
        <v/>
      </c>
      <c r="S697" s="34">
        <f>IFERROR(IF($U697="",1,INDEX(Deals!$V$2:$V$355,MATCH($C697,Deals!$A$2:$A$355,0))),1)</f>
        <v/>
      </c>
      <c r="T697" s="34">
        <f>IFERROR(IF($U697="",1,INDEX(Deals!$W$2:$W$355,MATCH($C697,Deals!$A$2:$A$355,0))),1)</f>
        <v/>
      </c>
      <c r="U697" s="22">
        <f>IF($C697="","",IFERROR(IF(INDEX(Deals!$Y$2:$Y$355,MATCH($C697,Deals!$A$2:$A$355,0))=0,"",INDEX(Deals!$Y$2:$Y$355,MATCH($C697,Deals!$A$2:$A$355,0))),""))</f>
        <v/>
      </c>
      <c r="V697" s="35">
        <f>IF($U697="",DATE(1900,1,1),$N697)</f>
        <v/>
      </c>
      <c r="W697" s="35">
        <f>IF($U697="",DATE(2100,12,31),$U697)</f>
        <v/>
      </c>
      <c r="X697" s="32">
        <f>IF($U697="",$K697,$K697*$S697)</f>
        <v/>
      </c>
      <c r="Y697" s="35">
        <f>IF($U697="",DATE(2100,12,31),$U697+1)</f>
        <v/>
      </c>
      <c r="Z697" s="35">
        <f>IF($U697="",DATE(1900,1,1),$O697)</f>
        <v/>
      </c>
      <c r="AA697" s="32">
        <f>IF($U697="",0,$K697*$T697)</f>
        <v/>
      </c>
      <c r="AB697" s="21">
        <f>IF($C697="",0,IFERROR(INDEX(Deals!$AD$2:$AD$355,MATCH($C697,Deals!$A$2:$A$355,0)),0))</f>
        <v/>
      </c>
      <c r="AC697" s="32">
        <f>IF(Settings!$B$4="Yes",$I697*$AB697,$I697)</f>
        <v/>
      </c>
      <c r="AD697" s="22">
        <f>IF($C697="","",IFERROR(IF(INDEX(Deals!$AE$2:$AE$355,MATCH($C697,Deals!$A$2:$A$355,0))=0,"",INDEX(Deals!$AE$2:$AE$355,MATCH($C697,Deals!$A$2:$A$355,0))),""))</f>
        <v/>
      </c>
      <c r="AE697" s="22">
        <f>IF($C697="","",IFERROR(IF(INDEX(Deals!$AF$2:$AF$355,MATCH($C697,Deals!$A$2:$A$355,0))=0,"",INDEX(Deals!$AF$2:$AF$355,MATCH($C697,Deals!$A$2:$A$355,0))),""))</f>
        <v/>
      </c>
      <c r="AF697" s="35">
        <f>IF($AD697="",DATE(1900,1,1),$AD697)</f>
        <v/>
      </c>
      <c r="AG697" s="35">
        <f>IF($AE697="",DATE(2100,12,31),$AE697)</f>
        <v/>
      </c>
      <c r="AH697" s="22">
        <f>IF($C697="","",IFERROR(IF(INDEX(Deals!$AG$2:$AG$355,MATCH($C697,Deals!$A$2:$A$355,0))=0,"",INDEX(Deals!$AG$2:$AG$355,MATCH($C697,Deals!$A$2:$A$355,0))),""))</f>
        <v/>
      </c>
      <c r="AI697" s="35">
        <f>IF($AH697="",DATE(1900,1,1),$AF697)</f>
        <v/>
      </c>
      <c r="AJ697" s="35">
        <f>IF($AH697="",DATE(2100,12,31),$AH697)</f>
        <v/>
      </c>
      <c r="AK697" s="32">
        <f>IF($AH697="",$AC697,$AC697*$S697)</f>
        <v/>
      </c>
      <c r="AL697" s="35">
        <f>IF($AH697="",DATE(2100,12,31),$AH697+1)</f>
        <v/>
      </c>
      <c r="AM697" s="35">
        <f>IF($AH697="",DATE(1900,1,1),$AG697)</f>
        <v/>
      </c>
      <c r="AN697" s="32">
        <f>IF($AH697="",0,$AC697*$T697)</f>
        <v/>
      </c>
    </row>
    <row r="698">
      <c r="A698" s="31" t="n"/>
      <c r="B698" s="16">
        <f>IF($A698="","",IFERROR(INDEX(Roster!$B$2:$B$40,MATCH($A698,Roster!$A$2:$A$40,0)),"?"))</f>
        <v/>
      </c>
      <c r="C698" s="31" t="n"/>
      <c r="D698" s="16">
        <f>IF($C698="","",IFERROR(IF(INDEX(Deals!$C$2:$C$355,MATCH($C698,Deals!$A$2:$A$355,0))=0,"",INDEX(Deals!$C$2:$C$355,MATCH($C698,Deals!$A$2:$A$355,0))),"?"))</f>
        <v/>
      </c>
      <c r="E698" s="16">
        <f>IF($C698="","",IFERROR(INDEX(Deals!$F$2:$F$355,MATCH($C698,Deals!$A$2:$A$355,0)),"?"))</f>
        <v/>
      </c>
      <c r="F698" s="31" t="n"/>
      <c r="G698" s="31" t="n"/>
      <c r="H698" s="31" t="n"/>
      <c r="I698" s="32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1">
        <f>IF($C698="",0,IFERROR(INDEX(Deals!$H$2:$H$355,MATCH($C698,Deals!$A$2:$A$355,0)),0))</f>
        <v/>
      </c>
      <c r="K698" s="32">
        <f>IF(Settings!$B$4="Yes",$I698*$J698,$I698)</f>
        <v/>
      </c>
      <c r="L698" s="22">
        <f>IF($C698="","",IFERROR(IF(INDEX(Deals!$I$2:$I$355,MATCH($C698,Deals!$A$2:$A$355,0))=0,"",INDEX(Deals!$I$2:$I$355,MATCH($C698,Deals!$A$2:$A$355,0))),""))</f>
        <v/>
      </c>
      <c r="M698" s="22">
        <f>IF($C698="","",IFERROR(IF(INDEX(Deals!$J$2:$J$355,MATCH($C698,Deals!$A$2:$A$355,0))=0,"",INDEX(Deals!$J$2:$J$355,MATCH($C698,Deals!$A$2:$A$355,0))),""))</f>
        <v/>
      </c>
      <c r="N698" s="35">
        <f>IF($L698="",DATE(1900,1,1),$L698)</f>
        <v/>
      </c>
      <c r="O698" s="35">
        <f>IF($M698="",DATE(2100,12,31),$M698)</f>
        <v/>
      </c>
      <c r="P698" s="41" t="n"/>
      <c r="Q698" s="31" t="n"/>
      <c r="R698" s="16">
        <f>IF($C698="","",IFERROR(IF(INDEX(Deals!$U$2:$U$355,MATCH($C698,Deals!$A$2:$A$355,0))=0,"",INDEX(Deals!$U$2:$U$355,MATCH($C698,Deals!$A$2:$A$355,0))),""))</f>
        <v/>
      </c>
      <c r="S698" s="34">
        <f>IFERROR(IF($U698="",1,INDEX(Deals!$V$2:$V$355,MATCH($C698,Deals!$A$2:$A$355,0))),1)</f>
        <v/>
      </c>
      <c r="T698" s="34">
        <f>IFERROR(IF($U698="",1,INDEX(Deals!$W$2:$W$355,MATCH($C698,Deals!$A$2:$A$355,0))),1)</f>
        <v/>
      </c>
      <c r="U698" s="22">
        <f>IF($C698="","",IFERROR(IF(INDEX(Deals!$Y$2:$Y$355,MATCH($C698,Deals!$A$2:$A$355,0))=0,"",INDEX(Deals!$Y$2:$Y$355,MATCH($C698,Deals!$A$2:$A$355,0))),""))</f>
        <v/>
      </c>
      <c r="V698" s="35">
        <f>IF($U698="",DATE(1900,1,1),$N698)</f>
        <v/>
      </c>
      <c r="W698" s="35">
        <f>IF($U698="",DATE(2100,12,31),$U698)</f>
        <v/>
      </c>
      <c r="X698" s="32">
        <f>IF($U698="",$K698,$K698*$S698)</f>
        <v/>
      </c>
      <c r="Y698" s="35">
        <f>IF($U698="",DATE(2100,12,31),$U698+1)</f>
        <v/>
      </c>
      <c r="Z698" s="35">
        <f>IF($U698="",DATE(1900,1,1),$O698)</f>
        <v/>
      </c>
      <c r="AA698" s="32">
        <f>IF($U698="",0,$K698*$T698)</f>
        <v/>
      </c>
      <c r="AB698" s="21">
        <f>IF($C698="",0,IFERROR(INDEX(Deals!$AD$2:$AD$355,MATCH($C698,Deals!$A$2:$A$355,0)),0))</f>
        <v/>
      </c>
      <c r="AC698" s="32">
        <f>IF(Settings!$B$4="Yes",$I698*$AB698,$I698)</f>
        <v/>
      </c>
      <c r="AD698" s="22">
        <f>IF($C698="","",IFERROR(IF(INDEX(Deals!$AE$2:$AE$355,MATCH($C698,Deals!$A$2:$A$355,0))=0,"",INDEX(Deals!$AE$2:$AE$355,MATCH($C698,Deals!$A$2:$A$355,0))),""))</f>
        <v/>
      </c>
      <c r="AE698" s="22">
        <f>IF($C698="","",IFERROR(IF(INDEX(Deals!$AF$2:$AF$355,MATCH($C698,Deals!$A$2:$A$355,0))=0,"",INDEX(Deals!$AF$2:$AF$355,MATCH($C698,Deals!$A$2:$A$355,0))),""))</f>
        <v/>
      </c>
      <c r="AF698" s="35">
        <f>IF($AD698="",DATE(1900,1,1),$AD698)</f>
        <v/>
      </c>
      <c r="AG698" s="35">
        <f>IF($AE698="",DATE(2100,12,31),$AE698)</f>
        <v/>
      </c>
      <c r="AH698" s="22">
        <f>IF($C698="","",IFERROR(IF(INDEX(Deals!$AG$2:$AG$355,MATCH($C698,Deals!$A$2:$A$355,0))=0,"",INDEX(Deals!$AG$2:$AG$355,MATCH($C698,Deals!$A$2:$A$355,0))),""))</f>
        <v/>
      </c>
      <c r="AI698" s="35">
        <f>IF($AH698="",DATE(1900,1,1),$AF698)</f>
        <v/>
      </c>
      <c r="AJ698" s="35">
        <f>IF($AH698="",DATE(2100,12,31),$AH698)</f>
        <v/>
      </c>
      <c r="AK698" s="32">
        <f>IF($AH698="",$AC698,$AC698*$S698)</f>
        <v/>
      </c>
      <c r="AL698" s="35">
        <f>IF($AH698="",DATE(2100,12,31),$AH698+1)</f>
        <v/>
      </c>
      <c r="AM698" s="35">
        <f>IF($AH698="",DATE(1900,1,1),$AG698)</f>
        <v/>
      </c>
      <c r="AN698" s="32">
        <f>IF($AH698="",0,$AC698*$T698)</f>
        <v/>
      </c>
    </row>
    <row r="699">
      <c r="A699" s="31" t="n"/>
      <c r="B699" s="16">
        <f>IF($A699="","",IFERROR(INDEX(Roster!$B$2:$B$40,MATCH($A699,Roster!$A$2:$A$40,0)),"?"))</f>
        <v/>
      </c>
      <c r="C699" s="31" t="n"/>
      <c r="D699" s="16">
        <f>IF($C699="","",IFERROR(IF(INDEX(Deals!$C$2:$C$355,MATCH($C699,Deals!$A$2:$A$355,0))=0,"",INDEX(Deals!$C$2:$C$355,MATCH($C699,Deals!$A$2:$A$355,0))),"?"))</f>
        <v/>
      </c>
      <c r="E699" s="16">
        <f>IF($C699="","",IFERROR(INDEX(Deals!$F$2:$F$355,MATCH($C699,Deals!$A$2:$A$355,0)),"?"))</f>
        <v/>
      </c>
      <c r="F699" s="31" t="n"/>
      <c r="G699" s="31" t="n"/>
      <c r="H699" s="31" t="n"/>
      <c r="I699" s="32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1">
        <f>IF($C699="",0,IFERROR(INDEX(Deals!$H$2:$H$355,MATCH($C699,Deals!$A$2:$A$355,0)),0))</f>
        <v/>
      </c>
      <c r="K699" s="32">
        <f>IF(Settings!$B$4="Yes",$I699*$J699,$I699)</f>
        <v/>
      </c>
      <c r="L699" s="22">
        <f>IF($C699="","",IFERROR(IF(INDEX(Deals!$I$2:$I$355,MATCH($C699,Deals!$A$2:$A$355,0))=0,"",INDEX(Deals!$I$2:$I$355,MATCH($C699,Deals!$A$2:$A$355,0))),""))</f>
        <v/>
      </c>
      <c r="M699" s="22">
        <f>IF($C699="","",IFERROR(IF(INDEX(Deals!$J$2:$J$355,MATCH($C699,Deals!$A$2:$A$355,0))=0,"",INDEX(Deals!$J$2:$J$355,MATCH($C699,Deals!$A$2:$A$355,0))),""))</f>
        <v/>
      </c>
      <c r="N699" s="35">
        <f>IF($L699="",DATE(1900,1,1),$L699)</f>
        <v/>
      </c>
      <c r="O699" s="35">
        <f>IF($M699="",DATE(2100,12,31),$M699)</f>
        <v/>
      </c>
      <c r="P699" s="41" t="n"/>
      <c r="Q699" s="31" t="n"/>
      <c r="R699" s="16">
        <f>IF($C699="","",IFERROR(IF(INDEX(Deals!$U$2:$U$355,MATCH($C699,Deals!$A$2:$A$355,0))=0,"",INDEX(Deals!$U$2:$U$355,MATCH($C699,Deals!$A$2:$A$355,0))),""))</f>
        <v/>
      </c>
      <c r="S699" s="34">
        <f>IFERROR(IF($U699="",1,INDEX(Deals!$V$2:$V$355,MATCH($C699,Deals!$A$2:$A$355,0))),1)</f>
        <v/>
      </c>
      <c r="T699" s="34">
        <f>IFERROR(IF($U699="",1,INDEX(Deals!$W$2:$W$355,MATCH($C699,Deals!$A$2:$A$355,0))),1)</f>
        <v/>
      </c>
      <c r="U699" s="22">
        <f>IF($C699="","",IFERROR(IF(INDEX(Deals!$Y$2:$Y$355,MATCH($C699,Deals!$A$2:$A$355,0))=0,"",INDEX(Deals!$Y$2:$Y$355,MATCH($C699,Deals!$A$2:$A$355,0))),""))</f>
        <v/>
      </c>
      <c r="V699" s="35">
        <f>IF($U699="",DATE(1900,1,1),$N699)</f>
        <v/>
      </c>
      <c r="W699" s="35">
        <f>IF($U699="",DATE(2100,12,31),$U699)</f>
        <v/>
      </c>
      <c r="X699" s="32">
        <f>IF($U699="",$K699,$K699*$S699)</f>
        <v/>
      </c>
      <c r="Y699" s="35">
        <f>IF($U699="",DATE(2100,12,31),$U699+1)</f>
        <v/>
      </c>
      <c r="Z699" s="35">
        <f>IF($U699="",DATE(1900,1,1),$O699)</f>
        <v/>
      </c>
      <c r="AA699" s="32">
        <f>IF($U699="",0,$K699*$T699)</f>
        <v/>
      </c>
      <c r="AB699" s="21">
        <f>IF($C699="",0,IFERROR(INDEX(Deals!$AD$2:$AD$355,MATCH($C699,Deals!$A$2:$A$355,0)),0))</f>
        <v/>
      </c>
      <c r="AC699" s="32">
        <f>IF(Settings!$B$4="Yes",$I699*$AB699,$I699)</f>
        <v/>
      </c>
      <c r="AD699" s="22">
        <f>IF($C699="","",IFERROR(IF(INDEX(Deals!$AE$2:$AE$355,MATCH($C699,Deals!$A$2:$A$355,0))=0,"",INDEX(Deals!$AE$2:$AE$355,MATCH($C699,Deals!$A$2:$A$355,0))),""))</f>
        <v/>
      </c>
      <c r="AE699" s="22">
        <f>IF($C699="","",IFERROR(IF(INDEX(Deals!$AF$2:$AF$355,MATCH($C699,Deals!$A$2:$A$355,0))=0,"",INDEX(Deals!$AF$2:$AF$355,MATCH($C699,Deals!$A$2:$A$355,0))),""))</f>
        <v/>
      </c>
      <c r="AF699" s="35">
        <f>IF($AD699="",DATE(1900,1,1),$AD699)</f>
        <v/>
      </c>
      <c r="AG699" s="35">
        <f>IF($AE699="",DATE(2100,12,31),$AE699)</f>
        <v/>
      </c>
      <c r="AH699" s="22">
        <f>IF($C699="","",IFERROR(IF(INDEX(Deals!$AG$2:$AG$355,MATCH($C699,Deals!$A$2:$A$355,0))=0,"",INDEX(Deals!$AG$2:$AG$355,MATCH($C699,Deals!$A$2:$A$355,0))),""))</f>
        <v/>
      </c>
      <c r="AI699" s="35">
        <f>IF($AH699="",DATE(1900,1,1),$AF699)</f>
        <v/>
      </c>
      <c r="AJ699" s="35">
        <f>IF($AH699="",DATE(2100,12,31),$AH699)</f>
        <v/>
      </c>
      <c r="AK699" s="32">
        <f>IF($AH699="",$AC699,$AC699*$S699)</f>
        <v/>
      </c>
      <c r="AL699" s="35">
        <f>IF($AH699="",DATE(2100,12,31),$AH699+1)</f>
        <v/>
      </c>
      <c r="AM699" s="35">
        <f>IF($AH699="",DATE(1900,1,1),$AG699)</f>
        <v/>
      </c>
      <c r="AN699" s="32">
        <f>IF($AH699="",0,$AC699*$T699)</f>
        <v/>
      </c>
    </row>
    <row r="700">
      <c r="A700" s="31" t="n"/>
      <c r="B700" s="16">
        <f>IF($A700="","",IFERROR(INDEX(Roster!$B$2:$B$40,MATCH($A700,Roster!$A$2:$A$40,0)),"?"))</f>
        <v/>
      </c>
      <c r="C700" s="31" t="n"/>
      <c r="D700" s="16">
        <f>IF($C700="","",IFERROR(IF(INDEX(Deals!$C$2:$C$355,MATCH($C700,Deals!$A$2:$A$355,0))=0,"",INDEX(Deals!$C$2:$C$355,MATCH($C700,Deals!$A$2:$A$355,0))),"?"))</f>
        <v/>
      </c>
      <c r="E700" s="16">
        <f>IF($C700="","",IFERROR(INDEX(Deals!$F$2:$F$355,MATCH($C700,Deals!$A$2:$A$355,0)),"?"))</f>
        <v/>
      </c>
      <c r="F700" s="31" t="n"/>
      <c r="G700" s="31" t="n"/>
      <c r="H700" s="31" t="n"/>
      <c r="I700" s="32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1">
        <f>IF($C700="",0,IFERROR(INDEX(Deals!$H$2:$H$355,MATCH($C700,Deals!$A$2:$A$355,0)),0))</f>
        <v/>
      </c>
      <c r="K700" s="32">
        <f>IF(Settings!$B$4="Yes",$I700*$J700,$I700)</f>
        <v/>
      </c>
      <c r="L700" s="22">
        <f>IF($C700="","",IFERROR(IF(INDEX(Deals!$I$2:$I$355,MATCH($C700,Deals!$A$2:$A$355,0))=0,"",INDEX(Deals!$I$2:$I$355,MATCH($C700,Deals!$A$2:$A$355,0))),""))</f>
        <v/>
      </c>
      <c r="M700" s="22">
        <f>IF($C700="","",IFERROR(IF(INDEX(Deals!$J$2:$J$355,MATCH($C700,Deals!$A$2:$A$355,0))=0,"",INDEX(Deals!$J$2:$J$355,MATCH($C700,Deals!$A$2:$A$355,0))),""))</f>
        <v/>
      </c>
      <c r="N700" s="35">
        <f>IF($L700="",DATE(1900,1,1),$L700)</f>
        <v/>
      </c>
      <c r="O700" s="35">
        <f>IF($M700="",DATE(2100,12,31),$M700)</f>
        <v/>
      </c>
      <c r="P700" s="41" t="n"/>
      <c r="Q700" s="31" t="n"/>
      <c r="R700" s="16">
        <f>IF($C700="","",IFERROR(IF(INDEX(Deals!$U$2:$U$355,MATCH($C700,Deals!$A$2:$A$355,0))=0,"",INDEX(Deals!$U$2:$U$355,MATCH($C700,Deals!$A$2:$A$355,0))),""))</f>
        <v/>
      </c>
      <c r="S700" s="34">
        <f>IFERROR(IF($U700="",1,INDEX(Deals!$V$2:$V$355,MATCH($C700,Deals!$A$2:$A$355,0))),1)</f>
        <v/>
      </c>
      <c r="T700" s="34">
        <f>IFERROR(IF($U700="",1,INDEX(Deals!$W$2:$W$355,MATCH($C700,Deals!$A$2:$A$355,0))),1)</f>
        <v/>
      </c>
      <c r="U700" s="22">
        <f>IF($C700="","",IFERROR(IF(INDEX(Deals!$Y$2:$Y$355,MATCH($C700,Deals!$A$2:$A$355,0))=0,"",INDEX(Deals!$Y$2:$Y$355,MATCH($C700,Deals!$A$2:$A$355,0))),""))</f>
        <v/>
      </c>
      <c r="V700" s="35">
        <f>IF($U700="",DATE(1900,1,1),$N700)</f>
        <v/>
      </c>
      <c r="W700" s="35">
        <f>IF($U700="",DATE(2100,12,31),$U700)</f>
        <v/>
      </c>
      <c r="X700" s="32">
        <f>IF($U700="",$K700,$K700*$S700)</f>
        <v/>
      </c>
      <c r="Y700" s="35">
        <f>IF($U700="",DATE(2100,12,31),$U700+1)</f>
        <v/>
      </c>
      <c r="Z700" s="35">
        <f>IF($U700="",DATE(1900,1,1),$O700)</f>
        <v/>
      </c>
      <c r="AA700" s="32">
        <f>IF($U700="",0,$K700*$T700)</f>
        <v/>
      </c>
      <c r="AB700" s="21">
        <f>IF($C700="",0,IFERROR(INDEX(Deals!$AD$2:$AD$355,MATCH($C700,Deals!$A$2:$A$355,0)),0))</f>
        <v/>
      </c>
      <c r="AC700" s="32">
        <f>IF(Settings!$B$4="Yes",$I700*$AB700,$I700)</f>
        <v/>
      </c>
      <c r="AD700" s="22">
        <f>IF($C700="","",IFERROR(IF(INDEX(Deals!$AE$2:$AE$355,MATCH($C700,Deals!$A$2:$A$355,0))=0,"",INDEX(Deals!$AE$2:$AE$355,MATCH($C700,Deals!$A$2:$A$355,0))),""))</f>
        <v/>
      </c>
      <c r="AE700" s="22">
        <f>IF($C700="","",IFERROR(IF(INDEX(Deals!$AF$2:$AF$355,MATCH($C700,Deals!$A$2:$A$355,0))=0,"",INDEX(Deals!$AF$2:$AF$355,MATCH($C700,Deals!$A$2:$A$355,0))),""))</f>
        <v/>
      </c>
      <c r="AF700" s="35">
        <f>IF($AD700="",DATE(1900,1,1),$AD700)</f>
        <v/>
      </c>
      <c r="AG700" s="35">
        <f>IF($AE700="",DATE(2100,12,31),$AE700)</f>
        <v/>
      </c>
      <c r="AH700" s="22">
        <f>IF($C700="","",IFERROR(IF(INDEX(Deals!$AG$2:$AG$355,MATCH($C700,Deals!$A$2:$A$355,0))=0,"",INDEX(Deals!$AG$2:$AG$355,MATCH($C700,Deals!$A$2:$A$355,0))),""))</f>
        <v/>
      </c>
      <c r="AI700" s="35">
        <f>IF($AH700="",DATE(1900,1,1),$AF700)</f>
        <v/>
      </c>
      <c r="AJ700" s="35">
        <f>IF($AH700="",DATE(2100,12,31),$AH700)</f>
        <v/>
      </c>
      <c r="AK700" s="32">
        <f>IF($AH700="",$AC700,$AC700*$S700)</f>
        <v/>
      </c>
      <c r="AL700" s="35">
        <f>IF($AH700="",DATE(2100,12,31),$AH700+1)</f>
        <v/>
      </c>
      <c r="AM700" s="35">
        <f>IF($AH700="",DATE(1900,1,1),$AG700)</f>
        <v/>
      </c>
      <c r="AN700" s="32">
        <f>IF($AH700="",0,$AC700*$T700)</f>
        <v/>
      </c>
    </row>
    <row r="701">
      <c r="A701" s="31" t="n"/>
      <c r="B701" s="16">
        <f>IF($A701="","",IFERROR(INDEX(Roster!$B$2:$B$40,MATCH($A701,Roster!$A$2:$A$40,0)),"?"))</f>
        <v/>
      </c>
      <c r="C701" s="31" t="n"/>
      <c r="D701" s="16">
        <f>IF($C701="","",IFERROR(IF(INDEX(Deals!$C$2:$C$355,MATCH($C701,Deals!$A$2:$A$355,0))=0,"",INDEX(Deals!$C$2:$C$355,MATCH($C701,Deals!$A$2:$A$355,0))),"?"))</f>
        <v/>
      </c>
      <c r="E701" s="16">
        <f>IF($C701="","",IFERROR(INDEX(Deals!$F$2:$F$355,MATCH($C701,Deals!$A$2:$A$355,0)),"?"))</f>
        <v/>
      </c>
      <c r="F701" s="31" t="n"/>
      <c r="G701" s="31" t="n"/>
      <c r="H701" s="31" t="n"/>
      <c r="I701" s="32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1">
        <f>IF($C701="",0,IFERROR(INDEX(Deals!$H$2:$H$355,MATCH($C701,Deals!$A$2:$A$355,0)),0))</f>
        <v/>
      </c>
      <c r="K701" s="32">
        <f>IF(Settings!$B$4="Yes",$I701*$J701,$I701)</f>
        <v/>
      </c>
      <c r="L701" s="22">
        <f>IF($C701="","",IFERROR(IF(INDEX(Deals!$I$2:$I$355,MATCH($C701,Deals!$A$2:$A$355,0))=0,"",INDEX(Deals!$I$2:$I$355,MATCH($C701,Deals!$A$2:$A$355,0))),""))</f>
        <v/>
      </c>
      <c r="M701" s="22">
        <f>IF($C701="","",IFERROR(IF(INDEX(Deals!$J$2:$J$355,MATCH($C701,Deals!$A$2:$A$355,0))=0,"",INDEX(Deals!$J$2:$J$355,MATCH($C701,Deals!$A$2:$A$355,0))),""))</f>
        <v/>
      </c>
      <c r="N701" s="35">
        <f>IF($L701="",DATE(1900,1,1),$L701)</f>
        <v/>
      </c>
      <c r="O701" s="35">
        <f>IF($M701="",DATE(2100,12,31),$M701)</f>
        <v/>
      </c>
      <c r="P701" s="41" t="n"/>
      <c r="Q701" s="31" t="n"/>
      <c r="R701" s="16">
        <f>IF($C701="","",IFERROR(IF(INDEX(Deals!$U$2:$U$355,MATCH($C701,Deals!$A$2:$A$355,0))=0,"",INDEX(Deals!$U$2:$U$355,MATCH($C701,Deals!$A$2:$A$355,0))),""))</f>
        <v/>
      </c>
      <c r="S701" s="34">
        <f>IFERROR(IF($U701="",1,INDEX(Deals!$V$2:$V$355,MATCH($C701,Deals!$A$2:$A$355,0))),1)</f>
        <v/>
      </c>
      <c r="T701" s="34">
        <f>IFERROR(IF($U701="",1,INDEX(Deals!$W$2:$W$355,MATCH($C701,Deals!$A$2:$A$355,0))),1)</f>
        <v/>
      </c>
      <c r="U701" s="22">
        <f>IF($C701="","",IFERROR(IF(INDEX(Deals!$Y$2:$Y$355,MATCH($C701,Deals!$A$2:$A$355,0))=0,"",INDEX(Deals!$Y$2:$Y$355,MATCH($C701,Deals!$A$2:$A$355,0))),""))</f>
        <v/>
      </c>
      <c r="V701" s="35">
        <f>IF($U701="",DATE(1900,1,1),$N701)</f>
        <v/>
      </c>
      <c r="W701" s="35">
        <f>IF($U701="",DATE(2100,12,31),$U701)</f>
        <v/>
      </c>
      <c r="X701" s="32">
        <f>IF($U701="",$K701,$K701*$S701)</f>
        <v/>
      </c>
      <c r="Y701" s="35">
        <f>IF($U701="",DATE(2100,12,31),$U701+1)</f>
        <v/>
      </c>
      <c r="Z701" s="35">
        <f>IF($U701="",DATE(1900,1,1),$O701)</f>
        <v/>
      </c>
      <c r="AA701" s="32">
        <f>IF($U701="",0,$K701*$T701)</f>
        <v/>
      </c>
      <c r="AB701" s="21">
        <f>IF($C701="",0,IFERROR(INDEX(Deals!$AD$2:$AD$355,MATCH($C701,Deals!$A$2:$A$355,0)),0))</f>
        <v/>
      </c>
      <c r="AC701" s="32">
        <f>IF(Settings!$B$4="Yes",$I701*$AB701,$I701)</f>
        <v/>
      </c>
      <c r="AD701" s="22">
        <f>IF($C701="","",IFERROR(IF(INDEX(Deals!$AE$2:$AE$355,MATCH($C701,Deals!$A$2:$A$355,0))=0,"",INDEX(Deals!$AE$2:$AE$355,MATCH($C701,Deals!$A$2:$A$355,0))),""))</f>
        <v/>
      </c>
      <c r="AE701" s="22">
        <f>IF($C701="","",IFERROR(IF(INDEX(Deals!$AF$2:$AF$355,MATCH($C701,Deals!$A$2:$A$355,0))=0,"",INDEX(Deals!$AF$2:$AF$355,MATCH($C701,Deals!$A$2:$A$355,0))),""))</f>
        <v/>
      </c>
      <c r="AF701" s="35">
        <f>IF($AD701="",DATE(1900,1,1),$AD701)</f>
        <v/>
      </c>
      <c r="AG701" s="35">
        <f>IF($AE701="",DATE(2100,12,31),$AE701)</f>
        <v/>
      </c>
      <c r="AH701" s="22">
        <f>IF($C701="","",IFERROR(IF(INDEX(Deals!$AG$2:$AG$355,MATCH($C701,Deals!$A$2:$A$355,0))=0,"",INDEX(Deals!$AG$2:$AG$355,MATCH($C701,Deals!$A$2:$A$355,0))),""))</f>
        <v/>
      </c>
      <c r="AI701" s="35">
        <f>IF($AH701="",DATE(1900,1,1),$AF701)</f>
        <v/>
      </c>
      <c r="AJ701" s="35">
        <f>IF($AH701="",DATE(2100,12,31),$AH701)</f>
        <v/>
      </c>
      <c r="AK701" s="32">
        <f>IF($AH701="",$AC701,$AC701*$S701)</f>
        <v/>
      </c>
      <c r="AL701" s="35">
        <f>IF($AH701="",DATE(2100,12,31),$AH701+1)</f>
        <v/>
      </c>
      <c r="AM701" s="35">
        <f>IF($AH701="",DATE(1900,1,1),$AG701)</f>
        <v/>
      </c>
      <c r="AN701" s="32">
        <f>IF($AH701="",0,$AC701*$T701)</f>
        <v/>
      </c>
    </row>
    <row r="702">
      <c r="A702" s="31" t="n"/>
      <c r="B702" s="16">
        <f>IF($A702="","",IFERROR(INDEX(Roster!$B$2:$B$40,MATCH($A702,Roster!$A$2:$A$40,0)),"?"))</f>
        <v/>
      </c>
      <c r="C702" s="31" t="n"/>
      <c r="D702" s="16">
        <f>IF($C702="","",IFERROR(IF(INDEX(Deals!$C$2:$C$355,MATCH($C702,Deals!$A$2:$A$355,0))=0,"",INDEX(Deals!$C$2:$C$355,MATCH($C702,Deals!$A$2:$A$355,0))),"?"))</f>
        <v/>
      </c>
      <c r="E702" s="16">
        <f>IF($C702="","",IFERROR(INDEX(Deals!$F$2:$F$355,MATCH($C702,Deals!$A$2:$A$355,0)),"?"))</f>
        <v/>
      </c>
      <c r="F702" s="31" t="n"/>
      <c r="G702" s="31" t="n"/>
      <c r="H702" s="31" t="n"/>
      <c r="I702" s="32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1">
        <f>IF($C702="",0,IFERROR(INDEX(Deals!$H$2:$H$355,MATCH($C702,Deals!$A$2:$A$355,0)),0))</f>
        <v/>
      </c>
      <c r="K702" s="32">
        <f>IF(Settings!$B$4="Yes",$I702*$J702,$I702)</f>
        <v/>
      </c>
      <c r="L702" s="22">
        <f>IF($C702="","",IFERROR(IF(INDEX(Deals!$I$2:$I$355,MATCH($C702,Deals!$A$2:$A$355,0))=0,"",INDEX(Deals!$I$2:$I$355,MATCH($C702,Deals!$A$2:$A$355,0))),""))</f>
        <v/>
      </c>
      <c r="M702" s="22">
        <f>IF($C702="","",IFERROR(IF(INDEX(Deals!$J$2:$J$355,MATCH($C702,Deals!$A$2:$A$355,0))=0,"",INDEX(Deals!$J$2:$J$355,MATCH($C702,Deals!$A$2:$A$355,0))),""))</f>
        <v/>
      </c>
      <c r="N702" s="35">
        <f>IF($L702="",DATE(1900,1,1),$L702)</f>
        <v/>
      </c>
      <c r="O702" s="35">
        <f>IF($M702="",DATE(2100,12,31),$M702)</f>
        <v/>
      </c>
      <c r="P702" s="41" t="n"/>
      <c r="Q702" s="31" t="n"/>
      <c r="R702" s="16">
        <f>IF($C702="","",IFERROR(IF(INDEX(Deals!$U$2:$U$355,MATCH($C702,Deals!$A$2:$A$355,0))=0,"",INDEX(Deals!$U$2:$U$355,MATCH($C702,Deals!$A$2:$A$355,0))),""))</f>
        <v/>
      </c>
      <c r="S702" s="34">
        <f>IFERROR(IF($U702="",1,INDEX(Deals!$V$2:$V$355,MATCH($C702,Deals!$A$2:$A$355,0))),1)</f>
        <v/>
      </c>
      <c r="T702" s="34">
        <f>IFERROR(IF($U702="",1,INDEX(Deals!$W$2:$W$355,MATCH($C702,Deals!$A$2:$A$355,0))),1)</f>
        <v/>
      </c>
      <c r="U702" s="22">
        <f>IF($C702="","",IFERROR(IF(INDEX(Deals!$Y$2:$Y$355,MATCH($C702,Deals!$A$2:$A$355,0))=0,"",INDEX(Deals!$Y$2:$Y$355,MATCH($C702,Deals!$A$2:$A$355,0))),""))</f>
        <v/>
      </c>
      <c r="V702" s="35">
        <f>IF($U702="",DATE(1900,1,1),$N702)</f>
        <v/>
      </c>
      <c r="W702" s="35">
        <f>IF($U702="",DATE(2100,12,31),$U702)</f>
        <v/>
      </c>
      <c r="X702" s="32">
        <f>IF($U702="",$K702,$K702*$S702)</f>
        <v/>
      </c>
      <c r="Y702" s="35">
        <f>IF($U702="",DATE(2100,12,31),$U702+1)</f>
        <v/>
      </c>
      <c r="Z702" s="35">
        <f>IF($U702="",DATE(1900,1,1),$O702)</f>
        <v/>
      </c>
      <c r="AA702" s="32">
        <f>IF($U702="",0,$K702*$T702)</f>
        <v/>
      </c>
      <c r="AB702" s="21">
        <f>IF($C702="",0,IFERROR(INDEX(Deals!$AD$2:$AD$355,MATCH($C702,Deals!$A$2:$A$355,0)),0))</f>
        <v/>
      </c>
      <c r="AC702" s="32">
        <f>IF(Settings!$B$4="Yes",$I702*$AB702,$I702)</f>
        <v/>
      </c>
      <c r="AD702" s="22">
        <f>IF($C702="","",IFERROR(IF(INDEX(Deals!$AE$2:$AE$355,MATCH($C702,Deals!$A$2:$A$355,0))=0,"",INDEX(Deals!$AE$2:$AE$355,MATCH($C702,Deals!$A$2:$A$355,0))),""))</f>
        <v/>
      </c>
      <c r="AE702" s="22">
        <f>IF($C702="","",IFERROR(IF(INDEX(Deals!$AF$2:$AF$355,MATCH($C702,Deals!$A$2:$A$355,0))=0,"",INDEX(Deals!$AF$2:$AF$355,MATCH($C702,Deals!$A$2:$A$355,0))),""))</f>
        <v/>
      </c>
      <c r="AF702" s="35">
        <f>IF($AD702="",DATE(1900,1,1),$AD702)</f>
        <v/>
      </c>
      <c r="AG702" s="35">
        <f>IF($AE702="",DATE(2100,12,31),$AE702)</f>
        <v/>
      </c>
      <c r="AH702" s="22">
        <f>IF($C702="","",IFERROR(IF(INDEX(Deals!$AG$2:$AG$355,MATCH($C702,Deals!$A$2:$A$355,0))=0,"",INDEX(Deals!$AG$2:$AG$355,MATCH($C702,Deals!$A$2:$A$355,0))),""))</f>
        <v/>
      </c>
      <c r="AI702" s="35">
        <f>IF($AH702="",DATE(1900,1,1),$AF702)</f>
        <v/>
      </c>
      <c r="AJ702" s="35">
        <f>IF($AH702="",DATE(2100,12,31),$AH702)</f>
        <v/>
      </c>
      <c r="AK702" s="32">
        <f>IF($AH702="",$AC702,$AC702*$S702)</f>
        <v/>
      </c>
      <c r="AL702" s="35">
        <f>IF($AH702="",DATE(2100,12,31),$AH702+1)</f>
        <v/>
      </c>
      <c r="AM702" s="35">
        <f>IF($AH702="",DATE(1900,1,1),$AG702)</f>
        <v/>
      </c>
      <c r="AN702" s="32">
        <f>IF($AH702="",0,$AC702*$T702)</f>
        <v/>
      </c>
    </row>
    <row r="703">
      <c r="A703" s="31" t="n"/>
      <c r="B703" s="16">
        <f>IF($A703="","",IFERROR(INDEX(Roster!$B$2:$B$40,MATCH($A703,Roster!$A$2:$A$40,0)),"?"))</f>
        <v/>
      </c>
      <c r="C703" s="31" t="n"/>
      <c r="D703" s="16">
        <f>IF($C703="","",IFERROR(IF(INDEX(Deals!$C$2:$C$355,MATCH($C703,Deals!$A$2:$A$355,0))=0,"",INDEX(Deals!$C$2:$C$355,MATCH($C703,Deals!$A$2:$A$355,0))),"?"))</f>
        <v/>
      </c>
      <c r="E703" s="16">
        <f>IF($C703="","",IFERROR(INDEX(Deals!$F$2:$F$355,MATCH($C703,Deals!$A$2:$A$355,0)),"?"))</f>
        <v/>
      </c>
      <c r="F703" s="31" t="n"/>
      <c r="G703" s="31" t="n"/>
      <c r="H703" s="31" t="n"/>
      <c r="I703" s="32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1">
        <f>IF($C703="",0,IFERROR(INDEX(Deals!$H$2:$H$355,MATCH($C703,Deals!$A$2:$A$355,0)),0))</f>
        <v/>
      </c>
      <c r="K703" s="32">
        <f>IF(Settings!$B$4="Yes",$I703*$J703,$I703)</f>
        <v/>
      </c>
      <c r="L703" s="22">
        <f>IF($C703="","",IFERROR(IF(INDEX(Deals!$I$2:$I$355,MATCH($C703,Deals!$A$2:$A$355,0))=0,"",INDEX(Deals!$I$2:$I$355,MATCH($C703,Deals!$A$2:$A$355,0))),""))</f>
        <v/>
      </c>
      <c r="M703" s="22">
        <f>IF($C703="","",IFERROR(IF(INDEX(Deals!$J$2:$J$355,MATCH($C703,Deals!$A$2:$A$355,0))=0,"",INDEX(Deals!$J$2:$J$355,MATCH($C703,Deals!$A$2:$A$355,0))),""))</f>
        <v/>
      </c>
      <c r="N703" s="35">
        <f>IF($L703="",DATE(1900,1,1),$L703)</f>
        <v/>
      </c>
      <c r="O703" s="35">
        <f>IF($M703="",DATE(2100,12,31),$M703)</f>
        <v/>
      </c>
      <c r="P703" s="41" t="n"/>
      <c r="Q703" s="31" t="n"/>
      <c r="R703" s="16">
        <f>IF($C703="","",IFERROR(IF(INDEX(Deals!$U$2:$U$355,MATCH($C703,Deals!$A$2:$A$355,0))=0,"",INDEX(Deals!$U$2:$U$355,MATCH($C703,Deals!$A$2:$A$355,0))),""))</f>
        <v/>
      </c>
      <c r="S703" s="34">
        <f>IFERROR(IF($U703="",1,INDEX(Deals!$V$2:$V$355,MATCH($C703,Deals!$A$2:$A$355,0))),1)</f>
        <v/>
      </c>
      <c r="T703" s="34">
        <f>IFERROR(IF($U703="",1,INDEX(Deals!$W$2:$W$355,MATCH($C703,Deals!$A$2:$A$355,0))),1)</f>
        <v/>
      </c>
      <c r="U703" s="22">
        <f>IF($C703="","",IFERROR(IF(INDEX(Deals!$Y$2:$Y$355,MATCH($C703,Deals!$A$2:$A$355,0))=0,"",INDEX(Deals!$Y$2:$Y$355,MATCH($C703,Deals!$A$2:$A$355,0))),""))</f>
        <v/>
      </c>
      <c r="V703" s="35">
        <f>IF($U703="",DATE(1900,1,1),$N703)</f>
        <v/>
      </c>
      <c r="W703" s="35">
        <f>IF($U703="",DATE(2100,12,31),$U703)</f>
        <v/>
      </c>
      <c r="X703" s="32">
        <f>IF($U703="",$K703,$K703*$S703)</f>
        <v/>
      </c>
      <c r="Y703" s="35">
        <f>IF($U703="",DATE(2100,12,31),$U703+1)</f>
        <v/>
      </c>
      <c r="Z703" s="35">
        <f>IF($U703="",DATE(1900,1,1),$O703)</f>
        <v/>
      </c>
      <c r="AA703" s="32">
        <f>IF($U703="",0,$K703*$T703)</f>
        <v/>
      </c>
      <c r="AB703" s="21">
        <f>IF($C703="",0,IFERROR(INDEX(Deals!$AD$2:$AD$355,MATCH($C703,Deals!$A$2:$A$355,0)),0))</f>
        <v/>
      </c>
      <c r="AC703" s="32">
        <f>IF(Settings!$B$4="Yes",$I703*$AB703,$I703)</f>
        <v/>
      </c>
      <c r="AD703" s="22">
        <f>IF($C703="","",IFERROR(IF(INDEX(Deals!$AE$2:$AE$355,MATCH($C703,Deals!$A$2:$A$355,0))=0,"",INDEX(Deals!$AE$2:$AE$355,MATCH($C703,Deals!$A$2:$A$355,0))),""))</f>
        <v/>
      </c>
      <c r="AE703" s="22">
        <f>IF($C703="","",IFERROR(IF(INDEX(Deals!$AF$2:$AF$355,MATCH($C703,Deals!$A$2:$A$355,0))=0,"",INDEX(Deals!$AF$2:$AF$355,MATCH($C703,Deals!$A$2:$A$355,0))),""))</f>
        <v/>
      </c>
      <c r="AF703" s="35">
        <f>IF($AD703="",DATE(1900,1,1),$AD703)</f>
        <v/>
      </c>
      <c r="AG703" s="35">
        <f>IF($AE703="",DATE(2100,12,31),$AE703)</f>
        <v/>
      </c>
      <c r="AH703" s="22">
        <f>IF($C703="","",IFERROR(IF(INDEX(Deals!$AG$2:$AG$355,MATCH($C703,Deals!$A$2:$A$355,0))=0,"",INDEX(Deals!$AG$2:$AG$355,MATCH($C703,Deals!$A$2:$A$355,0))),""))</f>
        <v/>
      </c>
      <c r="AI703" s="35">
        <f>IF($AH703="",DATE(1900,1,1),$AF703)</f>
        <v/>
      </c>
      <c r="AJ703" s="35">
        <f>IF($AH703="",DATE(2100,12,31),$AH703)</f>
        <v/>
      </c>
      <c r="AK703" s="32">
        <f>IF($AH703="",$AC703,$AC703*$S703)</f>
        <v/>
      </c>
      <c r="AL703" s="35">
        <f>IF($AH703="",DATE(2100,12,31),$AH703+1)</f>
        <v/>
      </c>
      <c r="AM703" s="35">
        <f>IF($AH703="",DATE(1900,1,1),$AG703)</f>
        <v/>
      </c>
      <c r="AN703" s="32">
        <f>IF($AH703="",0,$AC703*$T703)</f>
        <v/>
      </c>
    </row>
    <row r="704">
      <c r="A704" s="31" t="n"/>
      <c r="B704" s="16">
        <f>IF($A704="","",IFERROR(INDEX(Roster!$B$2:$B$40,MATCH($A704,Roster!$A$2:$A$40,0)),"?"))</f>
        <v/>
      </c>
      <c r="C704" s="31" t="n"/>
      <c r="D704" s="16">
        <f>IF($C704="","",IFERROR(IF(INDEX(Deals!$C$2:$C$355,MATCH($C704,Deals!$A$2:$A$355,0))=0,"",INDEX(Deals!$C$2:$C$355,MATCH($C704,Deals!$A$2:$A$355,0))),"?"))</f>
        <v/>
      </c>
      <c r="E704" s="16">
        <f>IF($C704="","",IFERROR(INDEX(Deals!$F$2:$F$355,MATCH($C704,Deals!$A$2:$A$355,0)),"?"))</f>
        <v/>
      </c>
      <c r="F704" s="31" t="n"/>
      <c r="G704" s="31" t="n"/>
      <c r="H704" s="31" t="n"/>
      <c r="I704" s="32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1">
        <f>IF($C704="",0,IFERROR(INDEX(Deals!$H$2:$H$355,MATCH($C704,Deals!$A$2:$A$355,0)),0))</f>
        <v/>
      </c>
      <c r="K704" s="32">
        <f>IF(Settings!$B$4="Yes",$I704*$J704,$I704)</f>
        <v/>
      </c>
      <c r="L704" s="22">
        <f>IF($C704="","",IFERROR(IF(INDEX(Deals!$I$2:$I$355,MATCH($C704,Deals!$A$2:$A$355,0))=0,"",INDEX(Deals!$I$2:$I$355,MATCH($C704,Deals!$A$2:$A$355,0))),""))</f>
        <v/>
      </c>
      <c r="M704" s="22">
        <f>IF($C704="","",IFERROR(IF(INDEX(Deals!$J$2:$J$355,MATCH($C704,Deals!$A$2:$A$355,0))=0,"",INDEX(Deals!$J$2:$J$355,MATCH($C704,Deals!$A$2:$A$355,0))),""))</f>
        <v/>
      </c>
      <c r="N704" s="35">
        <f>IF($L704="",DATE(1900,1,1),$L704)</f>
        <v/>
      </c>
      <c r="O704" s="35">
        <f>IF($M704="",DATE(2100,12,31),$M704)</f>
        <v/>
      </c>
      <c r="P704" s="41" t="n"/>
      <c r="Q704" s="31" t="n"/>
      <c r="R704" s="16">
        <f>IF($C704="","",IFERROR(IF(INDEX(Deals!$U$2:$U$355,MATCH($C704,Deals!$A$2:$A$355,0))=0,"",INDEX(Deals!$U$2:$U$355,MATCH($C704,Deals!$A$2:$A$355,0))),""))</f>
        <v/>
      </c>
      <c r="S704" s="34">
        <f>IFERROR(IF($U704="",1,INDEX(Deals!$V$2:$V$355,MATCH($C704,Deals!$A$2:$A$355,0))),1)</f>
        <v/>
      </c>
      <c r="T704" s="34">
        <f>IFERROR(IF($U704="",1,INDEX(Deals!$W$2:$W$355,MATCH($C704,Deals!$A$2:$A$355,0))),1)</f>
        <v/>
      </c>
      <c r="U704" s="22">
        <f>IF($C704="","",IFERROR(IF(INDEX(Deals!$Y$2:$Y$355,MATCH($C704,Deals!$A$2:$A$355,0))=0,"",INDEX(Deals!$Y$2:$Y$355,MATCH($C704,Deals!$A$2:$A$355,0))),""))</f>
        <v/>
      </c>
      <c r="V704" s="35">
        <f>IF($U704="",DATE(1900,1,1),$N704)</f>
        <v/>
      </c>
      <c r="W704" s="35">
        <f>IF($U704="",DATE(2100,12,31),$U704)</f>
        <v/>
      </c>
      <c r="X704" s="32">
        <f>IF($U704="",$K704,$K704*$S704)</f>
        <v/>
      </c>
      <c r="Y704" s="35">
        <f>IF($U704="",DATE(2100,12,31),$U704+1)</f>
        <v/>
      </c>
      <c r="Z704" s="35">
        <f>IF($U704="",DATE(1900,1,1),$O704)</f>
        <v/>
      </c>
      <c r="AA704" s="32">
        <f>IF($U704="",0,$K704*$T704)</f>
        <v/>
      </c>
      <c r="AB704" s="21">
        <f>IF($C704="",0,IFERROR(INDEX(Deals!$AD$2:$AD$355,MATCH($C704,Deals!$A$2:$A$355,0)),0))</f>
        <v/>
      </c>
      <c r="AC704" s="32">
        <f>IF(Settings!$B$4="Yes",$I704*$AB704,$I704)</f>
        <v/>
      </c>
      <c r="AD704" s="22">
        <f>IF($C704="","",IFERROR(IF(INDEX(Deals!$AE$2:$AE$355,MATCH($C704,Deals!$A$2:$A$355,0))=0,"",INDEX(Deals!$AE$2:$AE$355,MATCH($C704,Deals!$A$2:$A$355,0))),""))</f>
        <v/>
      </c>
      <c r="AE704" s="22">
        <f>IF($C704="","",IFERROR(IF(INDEX(Deals!$AF$2:$AF$355,MATCH($C704,Deals!$A$2:$A$355,0))=0,"",INDEX(Deals!$AF$2:$AF$355,MATCH($C704,Deals!$A$2:$A$355,0))),""))</f>
        <v/>
      </c>
      <c r="AF704" s="35">
        <f>IF($AD704="",DATE(1900,1,1),$AD704)</f>
        <v/>
      </c>
      <c r="AG704" s="35">
        <f>IF($AE704="",DATE(2100,12,31),$AE704)</f>
        <v/>
      </c>
      <c r="AH704" s="22">
        <f>IF($C704="","",IFERROR(IF(INDEX(Deals!$AG$2:$AG$355,MATCH($C704,Deals!$A$2:$A$355,0))=0,"",INDEX(Deals!$AG$2:$AG$355,MATCH($C704,Deals!$A$2:$A$355,0))),""))</f>
        <v/>
      </c>
      <c r="AI704" s="35">
        <f>IF($AH704="",DATE(1900,1,1),$AF704)</f>
        <v/>
      </c>
      <c r="AJ704" s="35">
        <f>IF($AH704="",DATE(2100,12,31),$AH704)</f>
        <v/>
      </c>
      <c r="AK704" s="32">
        <f>IF($AH704="",$AC704,$AC704*$S704)</f>
        <v/>
      </c>
      <c r="AL704" s="35">
        <f>IF($AH704="",DATE(2100,12,31),$AH704+1)</f>
        <v/>
      </c>
      <c r="AM704" s="35">
        <f>IF($AH704="",DATE(1900,1,1),$AG704)</f>
        <v/>
      </c>
      <c r="AN704" s="32">
        <f>IF($AH704="",0,$AC704*$T704)</f>
        <v/>
      </c>
    </row>
    <row r="705">
      <c r="A705" s="31" t="n"/>
      <c r="B705" s="16">
        <f>IF($A705="","",IFERROR(INDEX(Roster!$B$2:$B$40,MATCH($A705,Roster!$A$2:$A$40,0)),"?"))</f>
        <v/>
      </c>
      <c r="C705" s="31" t="n"/>
      <c r="D705" s="16">
        <f>IF($C705="","",IFERROR(IF(INDEX(Deals!$C$2:$C$355,MATCH($C705,Deals!$A$2:$A$355,0))=0,"",INDEX(Deals!$C$2:$C$355,MATCH($C705,Deals!$A$2:$A$355,0))),"?"))</f>
        <v/>
      </c>
      <c r="E705" s="16">
        <f>IF($C705="","",IFERROR(INDEX(Deals!$F$2:$F$355,MATCH($C705,Deals!$A$2:$A$355,0)),"?"))</f>
        <v/>
      </c>
      <c r="F705" s="31" t="n"/>
      <c r="G705" s="31" t="n"/>
      <c r="H705" s="31" t="n"/>
      <c r="I705" s="32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1">
        <f>IF($C705="",0,IFERROR(INDEX(Deals!$H$2:$H$355,MATCH($C705,Deals!$A$2:$A$355,0)),0))</f>
        <v/>
      </c>
      <c r="K705" s="32">
        <f>IF(Settings!$B$4="Yes",$I705*$J705,$I705)</f>
        <v/>
      </c>
      <c r="L705" s="22">
        <f>IF($C705="","",IFERROR(IF(INDEX(Deals!$I$2:$I$355,MATCH($C705,Deals!$A$2:$A$355,0))=0,"",INDEX(Deals!$I$2:$I$355,MATCH($C705,Deals!$A$2:$A$355,0))),""))</f>
        <v/>
      </c>
      <c r="M705" s="22">
        <f>IF($C705="","",IFERROR(IF(INDEX(Deals!$J$2:$J$355,MATCH($C705,Deals!$A$2:$A$355,0))=0,"",INDEX(Deals!$J$2:$J$355,MATCH($C705,Deals!$A$2:$A$355,0))),""))</f>
        <v/>
      </c>
      <c r="N705" s="35">
        <f>IF($L705="",DATE(1900,1,1),$L705)</f>
        <v/>
      </c>
      <c r="O705" s="35">
        <f>IF($M705="",DATE(2100,12,31),$M705)</f>
        <v/>
      </c>
      <c r="P705" s="41" t="n"/>
      <c r="Q705" s="31" t="n"/>
      <c r="R705" s="16">
        <f>IF($C705="","",IFERROR(IF(INDEX(Deals!$U$2:$U$355,MATCH($C705,Deals!$A$2:$A$355,0))=0,"",INDEX(Deals!$U$2:$U$355,MATCH($C705,Deals!$A$2:$A$355,0))),""))</f>
        <v/>
      </c>
      <c r="S705" s="34">
        <f>IFERROR(IF($U705="",1,INDEX(Deals!$V$2:$V$355,MATCH($C705,Deals!$A$2:$A$355,0))),1)</f>
        <v/>
      </c>
      <c r="T705" s="34">
        <f>IFERROR(IF($U705="",1,INDEX(Deals!$W$2:$W$355,MATCH($C705,Deals!$A$2:$A$355,0))),1)</f>
        <v/>
      </c>
      <c r="U705" s="22">
        <f>IF($C705="","",IFERROR(IF(INDEX(Deals!$Y$2:$Y$355,MATCH($C705,Deals!$A$2:$A$355,0))=0,"",INDEX(Deals!$Y$2:$Y$355,MATCH($C705,Deals!$A$2:$A$355,0))),""))</f>
        <v/>
      </c>
      <c r="V705" s="35">
        <f>IF($U705="",DATE(1900,1,1),$N705)</f>
        <v/>
      </c>
      <c r="W705" s="35">
        <f>IF($U705="",DATE(2100,12,31),$U705)</f>
        <v/>
      </c>
      <c r="X705" s="32">
        <f>IF($U705="",$K705,$K705*$S705)</f>
        <v/>
      </c>
      <c r="Y705" s="35">
        <f>IF($U705="",DATE(2100,12,31),$U705+1)</f>
        <v/>
      </c>
      <c r="Z705" s="35">
        <f>IF($U705="",DATE(1900,1,1),$O705)</f>
        <v/>
      </c>
      <c r="AA705" s="32">
        <f>IF($U705="",0,$K705*$T705)</f>
        <v/>
      </c>
      <c r="AB705" s="21">
        <f>IF($C705="",0,IFERROR(INDEX(Deals!$AD$2:$AD$355,MATCH($C705,Deals!$A$2:$A$355,0)),0))</f>
        <v/>
      </c>
      <c r="AC705" s="32">
        <f>IF(Settings!$B$4="Yes",$I705*$AB705,$I705)</f>
        <v/>
      </c>
      <c r="AD705" s="22">
        <f>IF($C705="","",IFERROR(IF(INDEX(Deals!$AE$2:$AE$355,MATCH($C705,Deals!$A$2:$A$355,0))=0,"",INDEX(Deals!$AE$2:$AE$355,MATCH($C705,Deals!$A$2:$A$355,0))),""))</f>
        <v/>
      </c>
      <c r="AE705" s="22">
        <f>IF($C705="","",IFERROR(IF(INDEX(Deals!$AF$2:$AF$355,MATCH($C705,Deals!$A$2:$A$355,0))=0,"",INDEX(Deals!$AF$2:$AF$355,MATCH($C705,Deals!$A$2:$A$355,0))),""))</f>
        <v/>
      </c>
      <c r="AF705" s="35">
        <f>IF($AD705="",DATE(1900,1,1),$AD705)</f>
        <v/>
      </c>
      <c r="AG705" s="35">
        <f>IF($AE705="",DATE(2100,12,31),$AE705)</f>
        <v/>
      </c>
      <c r="AH705" s="22">
        <f>IF($C705="","",IFERROR(IF(INDEX(Deals!$AG$2:$AG$355,MATCH($C705,Deals!$A$2:$A$355,0))=0,"",INDEX(Deals!$AG$2:$AG$355,MATCH($C705,Deals!$A$2:$A$355,0))),""))</f>
        <v/>
      </c>
      <c r="AI705" s="35">
        <f>IF($AH705="",DATE(1900,1,1),$AF705)</f>
        <v/>
      </c>
      <c r="AJ705" s="35">
        <f>IF($AH705="",DATE(2100,12,31),$AH705)</f>
        <v/>
      </c>
      <c r="AK705" s="32">
        <f>IF($AH705="",$AC705,$AC705*$S705)</f>
        <v/>
      </c>
      <c r="AL705" s="35">
        <f>IF($AH705="",DATE(2100,12,31),$AH705+1)</f>
        <v/>
      </c>
      <c r="AM705" s="35">
        <f>IF($AH705="",DATE(1900,1,1),$AG705)</f>
        <v/>
      </c>
      <c r="AN705" s="32">
        <f>IF($AH705="",0,$AC705*$T705)</f>
        <v/>
      </c>
    </row>
    <row r="706">
      <c r="A706" s="31" t="n"/>
      <c r="B706" s="16">
        <f>IF($A706="","",IFERROR(INDEX(Roster!$B$2:$B$40,MATCH($A706,Roster!$A$2:$A$40,0)),"?"))</f>
        <v/>
      </c>
      <c r="C706" s="31" t="n"/>
      <c r="D706" s="16">
        <f>IF($C706="","",IFERROR(IF(INDEX(Deals!$C$2:$C$355,MATCH($C706,Deals!$A$2:$A$355,0))=0,"",INDEX(Deals!$C$2:$C$355,MATCH($C706,Deals!$A$2:$A$355,0))),"?"))</f>
        <v/>
      </c>
      <c r="E706" s="16">
        <f>IF($C706="","",IFERROR(INDEX(Deals!$F$2:$F$355,MATCH($C706,Deals!$A$2:$A$355,0)),"?"))</f>
        <v/>
      </c>
      <c r="F706" s="31" t="n"/>
      <c r="G706" s="31" t="n"/>
      <c r="H706" s="31" t="n"/>
      <c r="I706" s="32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1">
        <f>IF($C706="",0,IFERROR(INDEX(Deals!$H$2:$H$355,MATCH($C706,Deals!$A$2:$A$355,0)),0))</f>
        <v/>
      </c>
      <c r="K706" s="32">
        <f>IF(Settings!$B$4="Yes",$I706*$J706,$I706)</f>
        <v/>
      </c>
      <c r="L706" s="22">
        <f>IF($C706="","",IFERROR(IF(INDEX(Deals!$I$2:$I$355,MATCH($C706,Deals!$A$2:$A$355,0))=0,"",INDEX(Deals!$I$2:$I$355,MATCH($C706,Deals!$A$2:$A$355,0))),""))</f>
        <v/>
      </c>
      <c r="M706" s="22">
        <f>IF($C706="","",IFERROR(IF(INDEX(Deals!$J$2:$J$355,MATCH($C706,Deals!$A$2:$A$355,0))=0,"",INDEX(Deals!$J$2:$J$355,MATCH($C706,Deals!$A$2:$A$355,0))),""))</f>
        <v/>
      </c>
      <c r="N706" s="35">
        <f>IF($L706="",DATE(1900,1,1),$L706)</f>
        <v/>
      </c>
      <c r="O706" s="35">
        <f>IF($M706="",DATE(2100,12,31),$M706)</f>
        <v/>
      </c>
      <c r="P706" s="41" t="n"/>
      <c r="Q706" s="31" t="n"/>
      <c r="R706" s="16">
        <f>IF($C706="","",IFERROR(IF(INDEX(Deals!$U$2:$U$355,MATCH($C706,Deals!$A$2:$A$355,0))=0,"",INDEX(Deals!$U$2:$U$355,MATCH($C706,Deals!$A$2:$A$355,0))),""))</f>
        <v/>
      </c>
      <c r="S706" s="34">
        <f>IFERROR(IF($U706="",1,INDEX(Deals!$V$2:$V$355,MATCH($C706,Deals!$A$2:$A$355,0))),1)</f>
        <v/>
      </c>
      <c r="T706" s="34">
        <f>IFERROR(IF($U706="",1,INDEX(Deals!$W$2:$W$355,MATCH($C706,Deals!$A$2:$A$355,0))),1)</f>
        <v/>
      </c>
      <c r="U706" s="22">
        <f>IF($C706="","",IFERROR(IF(INDEX(Deals!$Y$2:$Y$355,MATCH($C706,Deals!$A$2:$A$355,0))=0,"",INDEX(Deals!$Y$2:$Y$355,MATCH($C706,Deals!$A$2:$A$355,0))),""))</f>
        <v/>
      </c>
      <c r="V706" s="35">
        <f>IF($U706="",DATE(1900,1,1),$N706)</f>
        <v/>
      </c>
      <c r="W706" s="35">
        <f>IF($U706="",DATE(2100,12,31),$U706)</f>
        <v/>
      </c>
      <c r="X706" s="32">
        <f>IF($U706="",$K706,$K706*$S706)</f>
        <v/>
      </c>
      <c r="Y706" s="35">
        <f>IF($U706="",DATE(2100,12,31),$U706+1)</f>
        <v/>
      </c>
      <c r="Z706" s="35">
        <f>IF($U706="",DATE(1900,1,1),$O706)</f>
        <v/>
      </c>
      <c r="AA706" s="32">
        <f>IF($U706="",0,$K706*$T706)</f>
        <v/>
      </c>
      <c r="AB706" s="21">
        <f>IF($C706="",0,IFERROR(INDEX(Deals!$AD$2:$AD$355,MATCH($C706,Deals!$A$2:$A$355,0)),0))</f>
        <v/>
      </c>
      <c r="AC706" s="32">
        <f>IF(Settings!$B$4="Yes",$I706*$AB706,$I706)</f>
        <v/>
      </c>
      <c r="AD706" s="22">
        <f>IF($C706="","",IFERROR(IF(INDEX(Deals!$AE$2:$AE$355,MATCH($C706,Deals!$A$2:$A$355,0))=0,"",INDEX(Deals!$AE$2:$AE$355,MATCH($C706,Deals!$A$2:$A$355,0))),""))</f>
        <v/>
      </c>
      <c r="AE706" s="22">
        <f>IF($C706="","",IFERROR(IF(INDEX(Deals!$AF$2:$AF$355,MATCH($C706,Deals!$A$2:$A$355,0))=0,"",INDEX(Deals!$AF$2:$AF$355,MATCH($C706,Deals!$A$2:$A$355,0))),""))</f>
        <v/>
      </c>
      <c r="AF706" s="35">
        <f>IF($AD706="",DATE(1900,1,1),$AD706)</f>
        <v/>
      </c>
      <c r="AG706" s="35">
        <f>IF($AE706="",DATE(2100,12,31),$AE706)</f>
        <v/>
      </c>
      <c r="AH706" s="22">
        <f>IF($C706="","",IFERROR(IF(INDEX(Deals!$AG$2:$AG$355,MATCH($C706,Deals!$A$2:$A$355,0))=0,"",INDEX(Deals!$AG$2:$AG$355,MATCH($C706,Deals!$A$2:$A$355,0))),""))</f>
        <v/>
      </c>
      <c r="AI706" s="35">
        <f>IF($AH706="",DATE(1900,1,1),$AF706)</f>
        <v/>
      </c>
      <c r="AJ706" s="35">
        <f>IF($AH706="",DATE(2100,12,31),$AH706)</f>
        <v/>
      </c>
      <c r="AK706" s="32">
        <f>IF($AH706="",$AC706,$AC706*$S706)</f>
        <v/>
      </c>
      <c r="AL706" s="35">
        <f>IF($AH706="",DATE(2100,12,31),$AH706+1)</f>
        <v/>
      </c>
      <c r="AM706" s="35">
        <f>IF($AH706="",DATE(1900,1,1),$AG706)</f>
        <v/>
      </c>
      <c r="AN706" s="32">
        <f>IF($AH706="",0,$AC706*$T706)</f>
        <v/>
      </c>
    </row>
    <row r="707">
      <c r="A707" s="31" t="n"/>
      <c r="B707" s="16">
        <f>IF($A707="","",IFERROR(INDEX(Roster!$B$2:$B$40,MATCH($A707,Roster!$A$2:$A$40,0)),"?"))</f>
        <v/>
      </c>
      <c r="C707" s="31" t="n"/>
      <c r="D707" s="16">
        <f>IF($C707="","",IFERROR(IF(INDEX(Deals!$C$2:$C$355,MATCH($C707,Deals!$A$2:$A$355,0))=0,"",INDEX(Deals!$C$2:$C$355,MATCH($C707,Deals!$A$2:$A$355,0))),"?"))</f>
        <v/>
      </c>
      <c r="E707" s="16">
        <f>IF($C707="","",IFERROR(INDEX(Deals!$F$2:$F$355,MATCH($C707,Deals!$A$2:$A$355,0)),"?"))</f>
        <v/>
      </c>
      <c r="F707" s="31" t="n"/>
      <c r="G707" s="31" t="n"/>
      <c r="H707" s="31" t="n"/>
      <c r="I707" s="32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1">
        <f>IF($C707="",0,IFERROR(INDEX(Deals!$H$2:$H$355,MATCH($C707,Deals!$A$2:$A$355,0)),0))</f>
        <v/>
      </c>
      <c r="K707" s="32">
        <f>IF(Settings!$B$4="Yes",$I707*$J707,$I707)</f>
        <v/>
      </c>
      <c r="L707" s="22">
        <f>IF($C707="","",IFERROR(IF(INDEX(Deals!$I$2:$I$355,MATCH($C707,Deals!$A$2:$A$355,0))=0,"",INDEX(Deals!$I$2:$I$355,MATCH($C707,Deals!$A$2:$A$355,0))),""))</f>
        <v/>
      </c>
      <c r="M707" s="22">
        <f>IF($C707="","",IFERROR(IF(INDEX(Deals!$J$2:$J$355,MATCH($C707,Deals!$A$2:$A$355,0))=0,"",INDEX(Deals!$J$2:$J$355,MATCH($C707,Deals!$A$2:$A$355,0))),""))</f>
        <v/>
      </c>
      <c r="N707" s="35">
        <f>IF($L707="",DATE(1900,1,1),$L707)</f>
        <v/>
      </c>
      <c r="O707" s="35">
        <f>IF($M707="",DATE(2100,12,31),$M707)</f>
        <v/>
      </c>
      <c r="P707" s="41" t="n"/>
      <c r="Q707" s="31" t="n"/>
      <c r="R707" s="16">
        <f>IF($C707="","",IFERROR(IF(INDEX(Deals!$U$2:$U$355,MATCH($C707,Deals!$A$2:$A$355,0))=0,"",INDEX(Deals!$U$2:$U$355,MATCH($C707,Deals!$A$2:$A$355,0))),""))</f>
        <v/>
      </c>
      <c r="S707" s="34">
        <f>IFERROR(IF($U707="",1,INDEX(Deals!$V$2:$V$355,MATCH($C707,Deals!$A$2:$A$355,0))),1)</f>
        <v/>
      </c>
      <c r="T707" s="34">
        <f>IFERROR(IF($U707="",1,INDEX(Deals!$W$2:$W$355,MATCH($C707,Deals!$A$2:$A$355,0))),1)</f>
        <v/>
      </c>
      <c r="U707" s="22">
        <f>IF($C707="","",IFERROR(IF(INDEX(Deals!$Y$2:$Y$355,MATCH($C707,Deals!$A$2:$A$355,0))=0,"",INDEX(Deals!$Y$2:$Y$355,MATCH($C707,Deals!$A$2:$A$355,0))),""))</f>
        <v/>
      </c>
      <c r="V707" s="35">
        <f>IF($U707="",DATE(1900,1,1),$N707)</f>
        <v/>
      </c>
      <c r="W707" s="35">
        <f>IF($U707="",DATE(2100,12,31),$U707)</f>
        <v/>
      </c>
      <c r="X707" s="32">
        <f>IF($U707="",$K707,$K707*$S707)</f>
        <v/>
      </c>
      <c r="Y707" s="35">
        <f>IF($U707="",DATE(2100,12,31),$U707+1)</f>
        <v/>
      </c>
      <c r="Z707" s="35">
        <f>IF($U707="",DATE(1900,1,1),$O707)</f>
        <v/>
      </c>
      <c r="AA707" s="32">
        <f>IF($U707="",0,$K707*$T707)</f>
        <v/>
      </c>
      <c r="AB707" s="21">
        <f>IF($C707="",0,IFERROR(INDEX(Deals!$AD$2:$AD$355,MATCH($C707,Deals!$A$2:$A$355,0)),0))</f>
        <v/>
      </c>
      <c r="AC707" s="32">
        <f>IF(Settings!$B$4="Yes",$I707*$AB707,$I707)</f>
        <v/>
      </c>
      <c r="AD707" s="22">
        <f>IF($C707="","",IFERROR(IF(INDEX(Deals!$AE$2:$AE$355,MATCH($C707,Deals!$A$2:$A$355,0))=0,"",INDEX(Deals!$AE$2:$AE$355,MATCH($C707,Deals!$A$2:$A$355,0))),""))</f>
        <v/>
      </c>
      <c r="AE707" s="22">
        <f>IF($C707="","",IFERROR(IF(INDEX(Deals!$AF$2:$AF$355,MATCH($C707,Deals!$A$2:$A$355,0))=0,"",INDEX(Deals!$AF$2:$AF$355,MATCH($C707,Deals!$A$2:$A$355,0))),""))</f>
        <v/>
      </c>
      <c r="AF707" s="35">
        <f>IF($AD707="",DATE(1900,1,1),$AD707)</f>
        <v/>
      </c>
      <c r="AG707" s="35">
        <f>IF($AE707="",DATE(2100,12,31),$AE707)</f>
        <v/>
      </c>
      <c r="AH707" s="22">
        <f>IF($C707="","",IFERROR(IF(INDEX(Deals!$AG$2:$AG$355,MATCH($C707,Deals!$A$2:$A$355,0))=0,"",INDEX(Deals!$AG$2:$AG$355,MATCH($C707,Deals!$A$2:$A$355,0))),""))</f>
        <v/>
      </c>
      <c r="AI707" s="35">
        <f>IF($AH707="",DATE(1900,1,1),$AF707)</f>
        <v/>
      </c>
      <c r="AJ707" s="35">
        <f>IF($AH707="",DATE(2100,12,31),$AH707)</f>
        <v/>
      </c>
      <c r="AK707" s="32">
        <f>IF($AH707="",$AC707,$AC707*$S707)</f>
        <v/>
      </c>
      <c r="AL707" s="35">
        <f>IF($AH707="",DATE(2100,12,31),$AH707+1)</f>
        <v/>
      </c>
      <c r="AM707" s="35">
        <f>IF($AH707="",DATE(1900,1,1),$AG707)</f>
        <v/>
      </c>
      <c r="AN707" s="32">
        <f>IF($AH707="",0,$AC707*$T707)</f>
        <v/>
      </c>
    </row>
    <row r="708">
      <c r="A708" s="31" t="n"/>
      <c r="B708" s="16">
        <f>IF($A708="","",IFERROR(INDEX(Roster!$B$2:$B$40,MATCH($A708,Roster!$A$2:$A$40,0)),"?"))</f>
        <v/>
      </c>
      <c r="C708" s="31" t="n"/>
      <c r="D708" s="16">
        <f>IF($C708="","",IFERROR(IF(INDEX(Deals!$C$2:$C$355,MATCH($C708,Deals!$A$2:$A$355,0))=0,"",INDEX(Deals!$C$2:$C$355,MATCH($C708,Deals!$A$2:$A$355,0))),"?"))</f>
        <v/>
      </c>
      <c r="E708" s="16">
        <f>IF($C708="","",IFERROR(INDEX(Deals!$F$2:$F$355,MATCH($C708,Deals!$A$2:$A$355,0)),"?"))</f>
        <v/>
      </c>
      <c r="F708" s="31" t="n"/>
      <c r="G708" s="31" t="n"/>
      <c r="H708" s="31" t="n"/>
      <c r="I708" s="32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1">
        <f>IF($C708="",0,IFERROR(INDEX(Deals!$H$2:$H$355,MATCH($C708,Deals!$A$2:$A$355,0)),0))</f>
        <v/>
      </c>
      <c r="K708" s="32">
        <f>IF(Settings!$B$4="Yes",$I708*$J708,$I708)</f>
        <v/>
      </c>
      <c r="L708" s="22">
        <f>IF($C708="","",IFERROR(IF(INDEX(Deals!$I$2:$I$355,MATCH($C708,Deals!$A$2:$A$355,0))=0,"",INDEX(Deals!$I$2:$I$355,MATCH($C708,Deals!$A$2:$A$355,0))),""))</f>
        <v/>
      </c>
      <c r="M708" s="22">
        <f>IF($C708="","",IFERROR(IF(INDEX(Deals!$J$2:$J$355,MATCH($C708,Deals!$A$2:$A$355,0))=0,"",INDEX(Deals!$J$2:$J$355,MATCH($C708,Deals!$A$2:$A$355,0))),""))</f>
        <v/>
      </c>
      <c r="N708" s="35">
        <f>IF($L708="",DATE(1900,1,1),$L708)</f>
        <v/>
      </c>
      <c r="O708" s="35">
        <f>IF($M708="",DATE(2100,12,31),$M708)</f>
        <v/>
      </c>
      <c r="P708" s="41" t="n"/>
      <c r="Q708" s="31" t="n"/>
      <c r="R708" s="16">
        <f>IF($C708="","",IFERROR(IF(INDEX(Deals!$U$2:$U$355,MATCH($C708,Deals!$A$2:$A$355,0))=0,"",INDEX(Deals!$U$2:$U$355,MATCH($C708,Deals!$A$2:$A$355,0))),""))</f>
        <v/>
      </c>
      <c r="S708" s="34">
        <f>IFERROR(IF($U708="",1,INDEX(Deals!$V$2:$V$355,MATCH($C708,Deals!$A$2:$A$355,0))),1)</f>
        <v/>
      </c>
      <c r="T708" s="34">
        <f>IFERROR(IF($U708="",1,INDEX(Deals!$W$2:$W$355,MATCH($C708,Deals!$A$2:$A$355,0))),1)</f>
        <v/>
      </c>
      <c r="U708" s="22">
        <f>IF($C708="","",IFERROR(IF(INDEX(Deals!$Y$2:$Y$355,MATCH($C708,Deals!$A$2:$A$355,0))=0,"",INDEX(Deals!$Y$2:$Y$355,MATCH($C708,Deals!$A$2:$A$355,0))),""))</f>
        <v/>
      </c>
      <c r="V708" s="35">
        <f>IF($U708="",DATE(1900,1,1),$N708)</f>
        <v/>
      </c>
      <c r="W708" s="35">
        <f>IF($U708="",DATE(2100,12,31),$U708)</f>
        <v/>
      </c>
      <c r="X708" s="32">
        <f>IF($U708="",$K708,$K708*$S708)</f>
        <v/>
      </c>
      <c r="Y708" s="35">
        <f>IF($U708="",DATE(2100,12,31),$U708+1)</f>
        <v/>
      </c>
      <c r="Z708" s="35">
        <f>IF($U708="",DATE(1900,1,1),$O708)</f>
        <v/>
      </c>
      <c r="AA708" s="32">
        <f>IF($U708="",0,$K708*$T708)</f>
        <v/>
      </c>
      <c r="AB708" s="21">
        <f>IF($C708="",0,IFERROR(INDEX(Deals!$AD$2:$AD$355,MATCH($C708,Deals!$A$2:$A$355,0)),0))</f>
        <v/>
      </c>
      <c r="AC708" s="32">
        <f>IF(Settings!$B$4="Yes",$I708*$AB708,$I708)</f>
        <v/>
      </c>
      <c r="AD708" s="22">
        <f>IF($C708="","",IFERROR(IF(INDEX(Deals!$AE$2:$AE$355,MATCH($C708,Deals!$A$2:$A$355,0))=0,"",INDEX(Deals!$AE$2:$AE$355,MATCH($C708,Deals!$A$2:$A$355,0))),""))</f>
        <v/>
      </c>
      <c r="AE708" s="22">
        <f>IF($C708="","",IFERROR(IF(INDEX(Deals!$AF$2:$AF$355,MATCH($C708,Deals!$A$2:$A$355,0))=0,"",INDEX(Deals!$AF$2:$AF$355,MATCH($C708,Deals!$A$2:$A$355,0))),""))</f>
        <v/>
      </c>
      <c r="AF708" s="35">
        <f>IF($AD708="",DATE(1900,1,1),$AD708)</f>
        <v/>
      </c>
      <c r="AG708" s="35">
        <f>IF($AE708="",DATE(2100,12,31),$AE708)</f>
        <v/>
      </c>
      <c r="AH708" s="22">
        <f>IF($C708="","",IFERROR(IF(INDEX(Deals!$AG$2:$AG$355,MATCH($C708,Deals!$A$2:$A$355,0))=0,"",INDEX(Deals!$AG$2:$AG$355,MATCH($C708,Deals!$A$2:$A$355,0))),""))</f>
        <v/>
      </c>
      <c r="AI708" s="35">
        <f>IF($AH708="",DATE(1900,1,1),$AF708)</f>
        <v/>
      </c>
      <c r="AJ708" s="35">
        <f>IF($AH708="",DATE(2100,12,31),$AH708)</f>
        <v/>
      </c>
      <c r="AK708" s="32">
        <f>IF($AH708="",$AC708,$AC708*$S708)</f>
        <v/>
      </c>
      <c r="AL708" s="35">
        <f>IF($AH708="",DATE(2100,12,31),$AH708+1)</f>
        <v/>
      </c>
      <c r="AM708" s="35">
        <f>IF($AH708="",DATE(1900,1,1),$AG708)</f>
        <v/>
      </c>
      <c r="AN708" s="32">
        <f>IF($AH708="",0,$AC708*$T708)</f>
        <v/>
      </c>
    </row>
    <row r="709">
      <c r="A709" s="31" t="n"/>
      <c r="B709" s="16">
        <f>IF($A709="","",IFERROR(INDEX(Roster!$B$2:$B$40,MATCH($A709,Roster!$A$2:$A$40,0)),"?"))</f>
        <v/>
      </c>
      <c r="C709" s="31" t="n"/>
      <c r="D709" s="16">
        <f>IF($C709="","",IFERROR(IF(INDEX(Deals!$C$2:$C$355,MATCH($C709,Deals!$A$2:$A$355,0))=0,"",INDEX(Deals!$C$2:$C$355,MATCH($C709,Deals!$A$2:$A$355,0))),"?"))</f>
        <v/>
      </c>
      <c r="E709" s="16">
        <f>IF($C709="","",IFERROR(INDEX(Deals!$F$2:$F$355,MATCH($C709,Deals!$A$2:$A$355,0)),"?"))</f>
        <v/>
      </c>
      <c r="F709" s="31" t="n"/>
      <c r="G709" s="31" t="n"/>
      <c r="H709" s="31" t="n"/>
      <c r="I709" s="32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1">
        <f>IF($C709="",0,IFERROR(INDEX(Deals!$H$2:$H$355,MATCH($C709,Deals!$A$2:$A$355,0)),0))</f>
        <v/>
      </c>
      <c r="K709" s="32">
        <f>IF(Settings!$B$4="Yes",$I709*$J709,$I709)</f>
        <v/>
      </c>
      <c r="L709" s="22">
        <f>IF($C709="","",IFERROR(IF(INDEX(Deals!$I$2:$I$355,MATCH($C709,Deals!$A$2:$A$355,0))=0,"",INDEX(Deals!$I$2:$I$355,MATCH($C709,Deals!$A$2:$A$355,0))),""))</f>
        <v/>
      </c>
      <c r="M709" s="22">
        <f>IF($C709="","",IFERROR(IF(INDEX(Deals!$J$2:$J$355,MATCH($C709,Deals!$A$2:$A$355,0))=0,"",INDEX(Deals!$J$2:$J$355,MATCH($C709,Deals!$A$2:$A$355,0))),""))</f>
        <v/>
      </c>
      <c r="N709" s="35">
        <f>IF($L709="",DATE(1900,1,1),$L709)</f>
        <v/>
      </c>
      <c r="O709" s="35">
        <f>IF($M709="",DATE(2100,12,31),$M709)</f>
        <v/>
      </c>
      <c r="P709" s="41" t="n"/>
      <c r="Q709" s="31" t="n"/>
      <c r="R709" s="16">
        <f>IF($C709="","",IFERROR(IF(INDEX(Deals!$U$2:$U$355,MATCH($C709,Deals!$A$2:$A$355,0))=0,"",INDEX(Deals!$U$2:$U$355,MATCH($C709,Deals!$A$2:$A$355,0))),""))</f>
        <v/>
      </c>
      <c r="S709" s="34">
        <f>IFERROR(IF($U709="",1,INDEX(Deals!$V$2:$V$355,MATCH($C709,Deals!$A$2:$A$355,0))),1)</f>
        <v/>
      </c>
      <c r="T709" s="34">
        <f>IFERROR(IF($U709="",1,INDEX(Deals!$W$2:$W$355,MATCH($C709,Deals!$A$2:$A$355,0))),1)</f>
        <v/>
      </c>
      <c r="U709" s="22">
        <f>IF($C709="","",IFERROR(IF(INDEX(Deals!$Y$2:$Y$355,MATCH($C709,Deals!$A$2:$A$355,0))=0,"",INDEX(Deals!$Y$2:$Y$355,MATCH($C709,Deals!$A$2:$A$355,0))),""))</f>
        <v/>
      </c>
      <c r="V709" s="35">
        <f>IF($U709="",DATE(1900,1,1),$N709)</f>
        <v/>
      </c>
      <c r="W709" s="35">
        <f>IF($U709="",DATE(2100,12,31),$U709)</f>
        <v/>
      </c>
      <c r="X709" s="32">
        <f>IF($U709="",$K709,$K709*$S709)</f>
        <v/>
      </c>
      <c r="Y709" s="35">
        <f>IF($U709="",DATE(2100,12,31),$U709+1)</f>
        <v/>
      </c>
      <c r="Z709" s="35">
        <f>IF($U709="",DATE(1900,1,1),$O709)</f>
        <v/>
      </c>
      <c r="AA709" s="32">
        <f>IF($U709="",0,$K709*$T709)</f>
        <v/>
      </c>
      <c r="AB709" s="21">
        <f>IF($C709="",0,IFERROR(INDEX(Deals!$AD$2:$AD$355,MATCH($C709,Deals!$A$2:$A$355,0)),0))</f>
        <v/>
      </c>
      <c r="AC709" s="32">
        <f>IF(Settings!$B$4="Yes",$I709*$AB709,$I709)</f>
        <v/>
      </c>
      <c r="AD709" s="22">
        <f>IF($C709="","",IFERROR(IF(INDEX(Deals!$AE$2:$AE$355,MATCH($C709,Deals!$A$2:$A$355,0))=0,"",INDEX(Deals!$AE$2:$AE$355,MATCH($C709,Deals!$A$2:$A$355,0))),""))</f>
        <v/>
      </c>
      <c r="AE709" s="22">
        <f>IF($C709="","",IFERROR(IF(INDEX(Deals!$AF$2:$AF$355,MATCH($C709,Deals!$A$2:$A$355,0))=0,"",INDEX(Deals!$AF$2:$AF$355,MATCH($C709,Deals!$A$2:$A$355,0))),""))</f>
        <v/>
      </c>
      <c r="AF709" s="35">
        <f>IF($AD709="",DATE(1900,1,1),$AD709)</f>
        <v/>
      </c>
      <c r="AG709" s="35">
        <f>IF($AE709="",DATE(2100,12,31),$AE709)</f>
        <v/>
      </c>
      <c r="AH709" s="22">
        <f>IF($C709="","",IFERROR(IF(INDEX(Deals!$AG$2:$AG$355,MATCH($C709,Deals!$A$2:$A$355,0))=0,"",INDEX(Deals!$AG$2:$AG$355,MATCH($C709,Deals!$A$2:$A$355,0))),""))</f>
        <v/>
      </c>
      <c r="AI709" s="35">
        <f>IF($AH709="",DATE(1900,1,1),$AF709)</f>
        <v/>
      </c>
      <c r="AJ709" s="35">
        <f>IF($AH709="",DATE(2100,12,31),$AH709)</f>
        <v/>
      </c>
      <c r="AK709" s="32">
        <f>IF($AH709="",$AC709,$AC709*$S709)</f>
        <v/>
      </c>
      <c r="AL709" s="35">
        <f>IF($AH709="",DATE(2100,12,31),$AH709+1)</f>
        <v/>
      </c>
      <c r="AM709" s="35">
        <f>IF($AH709="",DATE(1900,1,1),$AG709)</f>
        <v/>
      </c>
      <c r="AN709" s="32">
        <f>IF($AH709="",0,$AC709*$T709)</f>
        <v/>
      </c>
    </row>
    <row r="710">
      <c r="A710" s="31" t="n"/>
      <c r="B710" s="16">
        <f>IF($A710="","",IFERROR(INDEX(Roster!$B$2:$B$40,MATCH($A710,Roster!$A$2:$A$40,0)),"?"))</f>
        <v/>
      </c>
      <c r="C710" s="31" t="n"/>
      <c r="D710" s="16">
        <f>IF($C710="","",IFERROR(IF(INDEX(Deals!$C$2:$C$355,MATCH($C710,Deals!$A$2:$A$355,0))=0,"",INDEX(Deals!$C$2:$C$355,MATCH($C710,Deals!$A$2:$A$355,0))),"?"))</f>
        <v/>
      </c>
      <c r="E710" s="16">
        <f>IF($C710="","",IFERROR(INDEX(Deals!$F$2:$F$355,MATCH($C710,Deals!$A$2:$A$355,0)),"?"))</f>
        <v/>
      </c>
      <c r="F710" s="31" t="n"/>
      <c r="G710" s="31" t="n"/>
      <c r="H710" s="31" t="n"/>
      <c r="I710" s="32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1">
        <f>IF($C710="",0,IFERROR(INDEX(Deals!$H$2:$H$355,MATCH($C710,Deals!$A$2:$A$355,0)),0))</f>
        <v/>
      </c>
      <c r="K710" s="32">
        <f>IF(Settings!$B$4="Yes",$I710*$J710,$I710)</f>
        <v/>
      </c>
      <c r="L710" s="22">
        <f>IF($C710="","",IFERROR(IF(INDEX(Deals!$I$2:$I$355,MATCH($C710,Deals!$A$2:$A$355,0))=0,"",INDEX(Deals!$I$2:$I$355,MATCH($C710,Deals!$A$2:$A$355,0))),""))</f>
        <v/>
      </c>
      <c r="M710" s="22">
        <f>IF($C710="","",IFERROR(IF(INDEX(Deals!$J$2:$J$355,MATCH($C710,Deals!$A$2:$A$355,0))=0,"",INDEX(Deals!$J$2:$J$355,MATCH($C710,Deals!$A$2:$A$355,0))),""))</f>
        <v/>
      </c>
      <c r="N710" s="35">
        <f>IF($L710="",DATE(1900,1,1),$L710)</f>
        <v/>
      </c>
      <c r="O710" s="35">
        <f>IF($M710="",DATE(2100,12,31),$M710)</f>
        <v/>
      </c>
      <c r="P710" s="41" t="n"/>
      <c r="Q710" s="31" t="n"/>
      <c r="R710" s="16">
        <f>IF($C710="","",IFERROR(IF(INDEX(Deals!$U$2:$U$355,MATCH($C710,Deals!$A$2:$A$355,0))=0,"",INDEX(Deals!$U$2:$U$355,MATCH($C710,Deals!$A$2:$A$355,0))),""))</f>
        <v/>
      </c>
      <c r="S710" s="34">
        <f>IFERROR(IF($U710="",1,INDEX(Deals!$V$2:$V$355,MATCH($C710,Deals!$A$2:$A$355,0))),1)</f>
        <v/>
      </c>
      <c r="T710" s="34">
        <f>IFERROR(IF($U710="",1,INDEX(Deals!$W$2:$W$355,MATCH($C710,Deals!$A$2:$A$355,0))),1)</f>
        <v/>
      </c>
      <c r="U710" s="22">
        <f>IF($C710="","",IFERROR(IF(INDEX(Deals!$Y$2:$Y$355,MATCH($C710,Deals!$A$2:$A$355,0))=0,"",INDEX(Deals!$Y$2:$Y$355,MATCH($C710,Deals!$A$2:$A$355,0))),""))</f>
        <v/>
      </c>
      <c r="V710" s="35">
        <f>IF($U710="",DATE(1900,1,1),$N710)</f>
        <v/>
      </c>
      <c r="W710" s="35">
        <f>IF($U710="",DATE(2100,12,31),$U710)</f>
        <v/>
      </c>
      <c r="X710" s="32">
        <f>IF($U710="",$K710,$K710*$S710)</f>
        <v/>
      </c>
      <c r="Y710" s="35">
        <f>IF($U710="",DATE(2100,12,31),$U710+1)</f>
        <v/>
      </c>
      <c r="Z710" s="35">
        <f>IF($U710="",DATE(1900,1,1),$O710)</f>
        <v/>
      </c>
      <c r="AA710" s="32">
        <f>IF($U710="",0,$K710*$T710)</f>
        <v/>
      </c>
      <c r="AB710" s="21">
        <f>IF($C710="",0,IFERROR(INDEX(Deals!$AD$2:$AD$355,MATCH($C710,Deals!$A$2:$A$355,0)),0))</f>
        <v/>
      </c>
      <c r="AC710" s="32">
        <f>IF(Settings!$B$4="Yes",$I710*$AB710,$I710)</f>
        <v/>
      </c>
      <c r="AD710" s="22">
        <f>IF($C710="","",IFERROR(IF(INDEX(Deals!$AE$2:$AE$355,MATCH($C710,Deals!$A$2:$A$355,0))=0,"",INDEX(Deals!$AE$2:$AE$355,MATCH($C710,Deals!$A$2:$A$355,0))),""))</f>
        <v/>
      </c>
      <c r="AE710" s="22">
        <f>IF($C710="","",IFERROR(IF(INDEX(Deals!$AF$2:$AF$355,MATCH($C710,Deals!$A$2:$A$355,0))=0,"",INDEX(Deals!$AF$2:$AF$355,MATCH($C710,Deals!$A$2:$A$355,0))),""))</f>
        <v/>
      </c>
      <c r="AF710" s="35">
        <f>IF($AD710="",DATE(1900,1,1),$AD710)</f>
        <v/>
      </c>
      <c r="AG710" s="35">
        <f>IF($AE710="",DATE(2100,12,31),$AE710)</f>
        <v/>
      </c>
      <c r="AH710" s="22">
        <f>IF($C710="","",IFERROR(IF(INDEX(Deals!$AG$2:$AG$355,MATCH($C710,Deals!$A$2:$A$355,0))=0,"",INDEX(Deals!$AG$2:$AG$355,MATCH($C710,Deals!$A$2:$A$355,0))),""))</f>
        <v/>
      </c>
      <c r="AI710" s="35">
        <f>IF($AH710="",DATE(1900,1,1),$AF710)</f>
        <v/>
      </c>
      <c r="AJ710" s="35">
        <f>IF($AH710="",DATE(2100,12,31),$AH710)</f>
        <v/>
      </c>
      <c r="AK710" s="32">
        <f>IF($AH710="",$AC710,$AC710*$S710)</f>
        <v/>
      </c>
      <c r="AL710" s="35">
        <f>IF($AH710="",DATE(2100,12,31),$AH710+1)</f>
        <v/>
      </c>
      <c r="AM710" s="35">
        <f>IF($AH710="",DATE(1900,1,1),$AG710)</f>
        <v/>
      </c>
      <c r="AN710" s="32">
        <f>IF($AH710="",0,$AC710*$T710)</f>
        <v/>
      </c>
    </row>
    <row r="711">
      <c r="A711" s="31" t="n"/>
      <c r="B711" s="16">
        <f>IF($A711="","",IFERROR(INDEX(Roster!$B$2:$B$40,MATCH($A711,Roster!$A$2:$A$40,0)),"?"))</f>
        <v/>
      </c>
      <c r="C711" s="31" t="n"/>
      <c r="D711" s="16">
        <f>IF($C711="","",IFERROR(IF(INDEX(Deals!$C$2:$C$355,MATCH($C711,Deals!$A$2:$A$355,0))=0,"",INDEX(Deals!$C$2:$C$355,MATCH($C711,Deals!$A$2:$A$355,0))),"?"))</f>
        <v/>
      </c>
      <c r="E711" s="16">
        <f>IF($C711="","",IFERROR(INDEX(Deals!$F$2:$F$355,MATCH($C711,Deals!$A$2:$A$355,0)),"?"))</f>
        <v/>
      </c>
      <c r="F711" s="31" t="n"/>
      <c r="G711" s="31" t="n"/>
      <c r="H711" s="31" t="n"/>
      <c r="I711" s="32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1">
        <f>IF($C711="",0,IFERROR(INDEX(Deals!$H$2:$H$355,MATCH($C711,Deals!$A$2:$A$355,0)),0))</f>
        <v/>
      </c>
      <c r="K711" s="32">
        <f>IF(Settings!$B$4="Yes",$I711*$J711,$I711)</f>
        <v/>
      </c>
      <c r="L711" s="22">
        <f>IF($C711="","",IFERROR(IF(INDEX(Deals!$I$2:$I$355,MATCH($C711,Deals!$A$2:$A$355,0))=0,"",INDEX(Deals!$I$2:$I$355,MATCH($C711,Deals!$A$2:$A$355,0))),""))</f>
        <v/>
      </c>
      <c r="M711" s="22">
        <f>IF($C711="","",IFERROR(IF(INDEX(Deals!$J$2:$J$355,MATCH($C711,Deals!$A$2:$A$355,0))=0,"",INDEX(Deals!$J$2:$J$355,MATCH($C711,Deals!$A$2:$A$355,0))),""))</f>
        <v/>
      </c>
      <c r="N711" s="35">
        <f>IF($L711="",DATE(1900,1,1),$L711)</f>
        <v/>
      </c>
      <c r="O711" s="35">
        <f>IF($M711="",DATE(2100,12,31),$M711)</f>
        <v/>
      </c>
      <c r="P711" s="41" t="n"/>
      <c r="Q711" s="31" t="n"/>
      <c r="R711" s="16">
        <f>IF($C711="","",IFERROR(IF(INDEX(Deals!$U$2:$U$355,MATCH($C711,Deals!$A$2:$A$355,0))=0,"",INDEX(Deals!$U$2:$U$355,MATCH($C711,Deals!$A$2:$A$355,0))),""))</f>
        <v/>
      </c>
      <c r="S711" s="34">
        <f>IFERROR(IF($U711="",1,INDEX(Deals!$V$2:$V$355,MATCH($C711,Deals!$A$2:$A$355,0))),1)</f>
        <v/>
      </c>
      <c r="T711" s="34">
        <f>IFERROR(IF($U711="",1,INDEX(Deals!$W$2:$W$355,MATCH($C711,Deals!$A$2:$A$355,0))),1)</f>
        <v/>
      </c>
      <c r="U711" s="22">
        <f>IF($C711="","",IFERROR(IF(INDEX(Deals!$Y$2:$Y$355,MATCH($C711,Deals!$A$2:$A$355,0))=0,"",INDEX(Deals!$Y$2:$Y$355,MATCH($C711,Deals!$A$2:$A$355,0))),""))</f>
        <v/>
      </c>
      <c r="V711" s="35">
        <f>IF($U711="",DATE(1900,1,1),$N711)</f>
        <v/>
      </c>
      <c r="W711" s="35">
        <f>IF($U711="",DATE(2100,12,31),$U711)</f>
        <v/>
      </c>
      <c r="X711" s="32">
        <f>IF($U711="",$K711,$K711*$S711)</f>
        <v/>
      </c>
      <c r="Y711" s="35">
        <f>IF($U711="",DATE(2100,12,31),$U711+1)</f>
        <v/>
      </c>
      <c r="Z711" s="35">
        <f>IF($U711="",DATE(1900,1,1),$O711)</f>
        <v/>
      </c>
      <c r="AA711" s="32">
        <f>IF($U711="",0,$K711*$T711)</f>
        <v/>
      </c>
      <c r="AB711" s="21">
        <f>IF($C711="",0,IFERROR(INDEX(Deals!$AD$2:$AD$355,MATCH($C711,Deals!$A$2:$A$355,0)),0))</f>
        <v/>
      </c>
      <c r="AC711" s="32">
        <f>IF(Settings!$B$4="Yes",$I711*$AB711,$I711)</f>
        <v/>
      </c>
      <c r="AD711" s="22">
        <f>IF($C711="","",IFERROR(IF(INDEX(Deals!$AE$2:$AE$355,MATCH($C711,Deals!$A$2:$A$355,0))=0,"",INDEX(Deals!$AE$2:$AE$355,MATCH($C711,Deals!$A$2:$A$355,0))),""))</f>
        <v/>
      </c>
      <c r="AE711" s="22">
        <f>IF($C711="","",IFERROR(IF(INDEX(Deals!$AF$2:$AF$355,MATCH($C711,Deals!$A$2:$A$355,0))=0,"",INDEX(Deals!$AF$2:$AF$355,MATCH($C711,Deals!$A$2:$A$355,0))),""))</f>
        <v/>
      </c>
      <c r="AF711" s="35">
        <f>IF($AD711="",DATE(1900,1,1),$AD711)</f>
        <v/>
      </c>
      <c r="AG711" s="35">
        <f>IF($AE711="",DATE(2100,12,31),$AE711)</f>
        <v/>
      </c>
      <c r="AH711" s="22">
        <f>IF($C711="","",IFERROR(IF(INDEX(Deals!$AG$2:$AG$355,MATCH($C711,Deals!$A$2:$A$355,0))=0,"",INDEX(Deals!$AG$2:$AG$355,MATCH($C711,Deals!$A$2:$A$355,0))),""))</f>
        <v/>
      </c>
      <c r="AI711" s="35">
        <f>IF($AH711="",DATE(1900,1,1),$AF711)</f>
        <v/>
      </c>
      <c r="AJ711" s="35">
        <f>IF($AH711="",DATE(2100,12,31),$AH711)</f>
        <v/>
      </c>
      <c r="AK711" s="32">
        <f>IF($AH711="",$AC711,$AC711*$S711)</f>
        <v/>
      </c>
      <c r="AL711" s="35">
        <f>IF($AH711="",DATE(2100,12,31),$AH711+1)</f>
        <v/>
      </c>
      <c r="AM711" s="35">
        <f>IF($AH711="",DATE(1900,1,1),$AG711)</f>
        <v/>
      </c>
      <c r="AN711" s="32">
        <f>IF($AH711="",0,$AC711*$T711)</f>
        <v/>
      </c>
    </row>
    <row r="712">
      <c r="A712" s="31" t="n"/>
      <c r="B712" s="16">
        <f>IF($A712="","",IFERROR(INDEX(Roster!$B$2:$B$40,MATCH($A712,Roster!$A$2:$A$40,0)),"?"))</f>
        <v/>
      </c>
      <c r="C712" s="31" t="n"/>
      <c r="D712" s="16">
        <f>IF($C712="","",IFERROR(IF(INDEX(Deals!$C$2:$C$355,MATCH($C712,Deals!$A$2:$A$355,0))=0,"",INDEX(Deals!$C$2:$C$355,MATCH($C712,Deals!$A$2:$A$355,0))),"?"))</f>
        <v/>
      </c>
      <c r="E712" s="16">
        <f>IF($C712="","",IFERROR(INDEX(Deals!$F$2:$F$355,MATCH($C712,Deals!$A$2:$A$355,0)),"?"))</f>
        <v/>
      </c>
      <c r="F712" s="31" t="n"/>
      <c r="G712" s="31" t="n"/>
      <c r="H712" s="31" t="n"/>
      <c r="I712" s="32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1">
        <f>IF($C712="",0,IFERROR(INDEX(Deals!$H$2:$H$355,MATCH($C712,Deals!$A$2:$A$355,0)),0))</f>
        <v/>
      </c>
      <c r="K712" s="32">
        <f>IF(Settings!$B$4="Yes",$I712*$J712,$I712)</f>
        <v/>
      </c>
      <c r="L712" s="22">
        <f>IF($C712="","",IFERROR(IF(INDEX(Deals!$I$2:$I$355,MATCH($C712,Deals!$A$2:$A$355,0))=0,"",INDEX(Deals!$I$2:$I$355,MATCH($C712,Deals!$A$2:$A$355,0))),""))</f>
        <v/>
      </c>
      <c r="M712" s="22">
        <f>IF($C712="","",IFERROR(IF(INDEX(Deals!$J$2:$J$355,MATCH($C712,Deals!$A$2:$A$355,0))=0,"",INDEX(Deals!$J$2:$J$355,MATCH($C712,Deals!$A$2:$A$355,0))),""))</f>
        <v/>
      </c>
      <c r="N712" s="35">
        <f>IF($L712="",DATE(1900,1,1),$L712)</f>
        <v/>
      </c>
      <c r="O712" s="35">
        <f>IF($M712="",DATE(2100,12,31),$M712)</f>
        <v/>
      </c>
      <c r="P712" s="41" t="n"/>
      <c r="Q712" s="31" t="n"/>
      <c r="R712" s="16">
        <f>IF($C712="","",IFERROR(IF(INDEX(Deals!$U$2:$U$355,MATCH($C712,Deals!$A$2:$A$355,0))=0,"",INDEX(Deals!$U$2:$U$355,MATCH($C712,Deals!$A$2:$A$355,0))),""))</f>
        <v/>
      </c>
      <c r="S712" s="34">
        <f>IFERROR(IF($U712="",1,INDEX(Deals!$V$2:$V$355,MATCH($C712,Deals!$A$2:$A$355,0))),1)</f>
        <v/>
      </c>
      <c r="T712" s="34">
        <f>IFERROR(IF($U712="",1,INDEX(Deals!$W$2:$W$355,MATCH($C712,Deals!$A$2:$A$355,0))),1)</f>
        <v/>
      </c>
      <c r="U712" s="22">
        <f>IF($C712="","",IFERROR(IF(INDEX(Deals!$Y$2:$Y$355,MATCH($C712,Deals!$A$2:$A$355,0))=0,"",INDEX(Deals!$Y$2:$Y$355,MATCH($C712,Deals!$A$2:$A$355,0))),""))</f>
        <v/>
      </c>
      <c r="V712" s="35">
        <f>IF($U712="",DATE(1900,1,1),$N712)</f>
        <v/>
      </c>
      <c r="W712" s="35">
        <f>IF($U712="",DATE(2100,12,31),$U712)</f>
        <v/>
      </c>
      <c r="X712" s="32">
        <f>IF($U712="",$K712,$K712*$S712)</f>
        <v/>
      </c>
      <c r="Y712" s="35">
        <f>IF($U712="",DATE(2100,12,31),$U712+1)</f>
        <v/>
      </c>
      <c r="Z712" s="35">
        <f>IF($U712="",DATE(1900,1,1),$O712)</f>
        <v/>
      </c>
      <c r="AA712" s="32">
        <f>IF($U712="",0,$K712*$T712)</f>
        <v/>
      </c>
      <c r="AB712" s="21">
        <f>IF($C712="",0,IFERROR(INDEX(Deals!$AD$2:$AD$355,MATCH($C712,Deals!$A$2:$A$355,0)),0))</f>
        <v/>
      </c>
      <c r="AC712" s="32">
        <f>IF(Settings!$B$4="Yes",$I712*$AB712,$I712)</f>
        <v/>
      </c>
      <c r="AD712" s="22">
        <f>IF($C712="","",IFERROR(IF(INDEX(Deals!$AE$2:$AE$355,MATCH($C712,Deals!$A$2:$A$355,0))=0,"",INDEX(Deals!$AE$2:$AE$355,MATCH($C712,Deals!$A$2:$A$355,0))),""))</f>
        <v/>
      </c>
      <c r="AE712" s="22">
        <f>IF($C712="","",IFERROR(IF(INDEX(Deals!$AF$2:$AF$355,MATCH($C712,Deals!$A$2:$A$355,0))=0,"",INDEX(Deals!$AF$2:$AF$355,MATCH($C712,Deals!$A$2:$A$355,0))),""))</f>
        <v/>
      </c>
      <c r="AF712" s="35">
        <f>IF($AD712="",DATE(1900,1,1),$AD712)</f>
        <v/>
      </c>
      <c r="AG712" s="35">
        <f>IF($AE712="",DATE(2100,12,31),$AE712)</f>
        <v/>
      </c>
      <c r="AH712" s="22">
        <f>IF($C712="","",IFERROR(IF(INDEX(Deals!$AG$2:$AG$355,MATCH($C712,Deals!$A$2:$A$355,0))=0,"",INDEX(Deals!$AG$2:$AG$355,MATCH($C712,Deals!$A$2:$A$355,0))),""))</f>
        <v/>
      </c>
      <c r="AI712" s="35">
        <f>IF($AH712="",DATE(1900,1,1),$AF712)</f>
        <v/>
      </c>
      <c r="AJ712" s="35">
        <f>IF($AH712="",DATE(2100,12,31),$AH712)</f>
        <v/>
      </c>
      <c r="AK712" s="32">
        <f>IF($AH712="",$AC712,$AC712*$S712)</f>
        <v/>
      </c>
      <c r="AL712" s="35">
        <f>IF($AH712="",DATE(2100,12,31),$AH712+1)</f>
        <v/>
      </c>
      <c r="AM712" s="35">
        <f>IF($AH712="",DATE(1900,1,1),$AG712)</f>
        <v/>
      </c>
      <c r="AN712" s="32">
        <f>IF($AH712="",0,$AC712*$T712)</f>
        <v/>
      </c>
    </row>
    <row r="713">
      <c r="A713" s="31" t="n"/>
      <c r="B713" s="16">
        <f>IF($A713="","",IFERROR(INDEX(Roster!$B$2:$B$40,MATCH($A713,Roster!$A$2:$A$40,0)),"?"))</f>
        <v/>
      </c>
      <c r="C713" s="31" t="n"/>
      <c r="D713" s="16">
        <f>IF($C713="","",IFERROR(IF(INDEX(Deals!$C$2:$C$355,MATCH($C713,Deals!$A$2:$A$355,0))=0,"",INDEX(Deals!$C$2:$C$355,MATCH($C713,Deals!$A$2:$A$355,0))),"?"))</f>
        <v/>
      </c>
      <c r="E713" s="16">
        <f>IF($C713="","",IFERROR(INDEX(Deals!$F$2:$F$355,MATCH($C713,Deals!$A$2:$A$355,0)),"?"))</f>
        <v/>
      </c>
      <c r="F713" s="31" t="n"/>
      <c r="G713" s="31" t="n"/>
      <c r="H713" s="31" t="n"/>
      <c r="I713" s="32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1">
        <f>IF($C713="",0,IFERROR(INDEX(Deals!$H$2:$H$355,MATCH($C713,Deals!$A$2:$A$355,0)),0))</f>
        <v/>
      </c>
      <c r="K713" s="32">
        <f>IF(Settings!$B$4="Yes",$I713*$J713,$I713)</f>
        <v/>
      </c>
      <c r="L713" s="22">
        <f>IF($C713="","",IFERROR(IF(INDEX(Deals!$I$2:$I$355,MATCH($C713,Deals!$A$2:$A$355,0))=0,"",INDEX(Deals!$I$2:$I$355,MATCH($C713,Deals!$A$2:$A$355,0))),""))</f>
        <v/>
      </c>
      <c r="M713" s="22">
        <f>IF($C713="","",IFERROR(IF(INDEX(Deals!$J$2:$J$355,MATCH($C713,Deals!$A$2:$A$355,0))=0,"",INDEX(Deals!$J$2:$J$355,MATCH($C713,Deals!$A$2:$A$355,0))),""))</f>
        <v/>
      </c>
      <c r="N713" s="35">
        <f>IF($L713="",DATE(1900,1,1),$L713)</f>
        <v/>
      </c>
      <c r="O713" s="35">
        <f>IF($M713="",DATE(2100,12,31),$M713)</f>
        <v/>
      </c>
      <c r="P713" s="41" t="n"/>
      <c r="Q713" s="31" t="n"/>
      <c r="R713" s="16">
        <f>IF($C713="","",IFERROR(IF(INDEX(Deals!$U$2:$U$355,MATCH($C713,Deals!$A$2:$A$355,0))=0,"",INDEX(Deals!$U$2:$U$355,MATCH($C713,Deals!$A$2:$A$355,0))),""))</f>
        <v/>
      </c>
      <c r="S713" s="34">
        <f>IFERROR(IF($U713="",1,INDEX(Deals!$V$2:$V$355,MATCH($C713,Deals!$A$2:$A$355,0))),1)</f>
        <v/>
      </c>
      <c r="T713" s="34">
        <f>IFERROR(IF($U713="",1,INDEX(Deals!$W$2:$W$355,MATCH($C713,Deals!$A$2:$A$355,0))),1)</f>
        <v/>
      </c>
      <c r="U713" s="22">
        <f>IF($C713="","",IFERROR(IF(INDEX(Deals!$Y$2:$Y$355,MATCH($C713,Deals!$A$2:$A$355,0))=0,"",INDEX(Deals!$Y$2:$Y$355,MATCH($C713,Deals!$A$2:$A$355,0))),""))</f>
        <v/>
      </c>
      <c r="V713" s="35">
        <f>IF($U713="",DATE(1900,1,1),$N713)</f>
        <v/>
      </c>
      <c r="W713" s="35">
        <f>IF($U713="",DATE(2100,12,31),$U713)</f>
        <v/>
      </c>
      <c r="X713" s="32">
        <f>IF($U713="",$K713,$K713*$S713)</f>
        <v/>
      </c>
      <c r="Y713" s="35">
        <f>IF($U713="",DATE(2100,12,31),$U713+1)</f>
        <v/>
      </c>
      <c r="Z713" s="35">
        <f>IF($U713="",DATE(1900,1,1),$O713)</f>
        <v/>
      </c>
      <c r="AA713" s="32">
        <f>IF($U713="",0,$K713*$T713)</f>
        <v/>
      </c>
      <c r="AB713" s="21">
        <f>IF($C713="",0,IFERROR(INDEX(Deals!$AD$2:$AD$355,MATCH($C713,Deals!$A$2:$A$355,0)),0))</f>
        <v/>
      </c>
      <c r="AC713" s="32">
        <f>IF(Settings!$B$4="Yes",$I713*$AB713,$I713)</f>
        <v/>
      </c>
      <c r="AD713" s="22">
        <f>IF($C713="","",IFERROR(IF(INDEX(Deals!$AE$2:$AE$355,MATCH($C713,Deals!$A$2:$A$355,0))=0,"",INDEX(Deals!$AE$2:$AE$355,MATCH($C713,Deals!$A$2:$A$355,0))),""))</f>
        <v/>
      </c>
      <c r="AE713" s="22">
        <f>IF($C713="","",IFERROR(IF(INDEX(Deals!$AF$2:$AF$355,MATCH($C713,Deals!$A$2:$A$355,0))=0,"",INDEX(Deals!$AF$2:$AF$355,MATCH($C713,Deals!$A$2:$A$355,0))),""))</f>
        <v/>
      </c>
      <c r="AF713" s="35">
        <f>IF($AD713="",DATE(1900,1,1),$AD713)</f>
        <v/>
      </c>
      <c r="AG713" s="35">
        <f>IF($AE713="",DATE(2100,12,31),$AE713)</f>
        <v/>
      </c>
      <c r="AH713" s="22">
        <f>IF($C713="","",IFERROR(IF(INDEX(Deals!$AG$2:$AG$355,MATCH($C713,Deals!$A$2:$A$355,0))=0,"",INDEX(Deals!$AG$2:$AG$355,MATCH($C713,Deals!$A$2:$A$355,0))),""))</f>
        <v/>
      </c>
      <c r="AI713" s="35">
        <f>IF($AH713="",DATE(1900,1,1),$AF713)</f>
        <v/>
      </c>
      <c r="AJ713" s="35">
        <f>IF($AH713="",DATE(2100,12,31),$AH713)</f>
        <v/>
      </c>
      <c r="AK713" s="32">
        <f>IF($AH713="",$AC713,$AC713*$S713)</f>
        <v/>
      </c>
      <c r="AL713" s="35">
        <f>IF($AH713="",DATE(2100,12,31),$AH713+1)</f>
        <v/>
      </c>
      <c r="AM713" s="35">
        <f>IF($AH713="",DATE(1900,1,1),$AG713)</f>
        <v/>
      </c>
      <c r="AN713" s="32">
        <f>IF($AH713="",0,$AC713*$T713)</f>
        <v/>
      </c>
    </row>
    <row r="714">
      <c r="A714" s="31" t="n"/>
      <c r="B714" s="16">
        <f>IF($A714="","",IFERROR(INDEX(Roster!$B$2:$B$40,MATCH($A714,Roster!$A$2:$A$40,0)),"?"))</f>
        <v/>
      </c>
      <c r="C714" s="31" t="n"/>
      <c r="D714" s="16">
        <f>IF($C714="","",IFERROR(IF(INDEX(Deals!$C$2:$C$355,MATCH($C714,Deals!$A$2:$A$355,0))=0,"",INDEX(Deals!$C$2:$C$355,MATCH($C714,Deals!$A$2:$A$355,0))),"?"))</f>
        <v/>
      </c>
      <c r="E714" s="16">
        <f>IF($C714="","",IFERROR(INDEX(Deals!$F$2:$F$355,MATCH($C714,Deals!$A$2:$A$355,0)),"?"))</f>
        <v/>
      </c>
      <c r="F714" s="31" t="n"/>
      <c r="G714" s="31" t="n"/>
      <c r="H714" s="31" t="n"/>
      <c r="I714" s="32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1">
        <f>IF($C714="",0,IFERROR(INDEX(Deals!$H$2:$H$355,MATCH($C714,Deals!$A$2:$A$355,0)),0))</f>
        <v/>
      </c>
      <c r="K714" s="32">
        <f>IF(Settings!$B$4="Yes",$I714*$J714,$I714)</f>
        <v/>
      </c>
      <c r="L714" s="22">
        <f>IF($C714="","",IFERROR(IF(INDEX(Deals!$I$2:$I$355,MATCH($C714,Deals!$A$2:$A$355,0))=0,"",INDEX(Deals!$I$2:$I$355,MATCH($C714,Deals!$A$2:$A$355,0))),""))</f>
        <v/>
      </c>
      <c r="M714" s="22">
        <f>IF($C714="","",IFERROR(IF(INDEX(Deals!$J$2:$J$355,MATCH($C714,Deals!$A$2:$A$355,0))=0,"",INDEX(Deals!$J$2:$J$355,MATCH($C714,Deals!$A$2:$A$355,0))),""))</f>
        <v/>
      </c>
      <c r="N714" s="35">
        <f>IF($L714="",DATE(1900,1,1),$L714)</f>
        <v/>
      </c>
      <c r="O714" s="35">
        <f>IF($M714="",DATE(2100,12,31),$M714)</f>
        <v/>
      </c>
      <c r="P714" s="41" t="n"/>
      <c r="Q714" s="31" t="n"/>
      <c r="R714" s="16">
        <f>IF($C714="","",IFERROR(IF(INDEX(Deals!$U$2:$U$355,MATCH($C714,Deals!$A$2:$A$355,0))=0,"",INDEX(Deals!$U$2:$U$355,MATCH($C714,Deals!$A$2:$A$355,0))),""))</f>
        <v/>
      </c>
      <c r="S714" s="34">
        <f>IFERROR(IF($U714="",1,INDEX(Deals!$V$2:$V$355,MATCH($C714,Deals!$A$2:$A$355,0))),1)</f>
        <v/>
      </c>
      <c r="T714" s="34">
        <f>IFERROR(IF($U714="",1,INDEX(Deals!$W$2:$W$355,MATCH($C714,Deals!$A$2:$A$355,0))),1)</f>
        <v/>
      </c>
      <c r="U714" s="22">
        <f>IF($C714="","",IFERROR(IF(INDEX(Deals!$Y$2:$Y$355,MATCH($C714,Deals!$A$2:$A$355,0))=0,"",INDEX(Deals!$Y$2:$Y$355,MATCH($C714,Deals!$A$2:$A$355,0))),""))</f>
        <v/>
      </c>
      <c r="V714" s="35">
        <f>IF($U714="",DATE(1900,1,1),$N714)</f>
        <v/>
      </c>
      <c r="W714" s="35">
        <f>IF($U714="",DATE(2100,12,31),$U714)</f>
        <v/>
      </c>
      <c r="X714" s="32">
        <f>IF($U714="",$K714,$K714*$S714)</f>
        <v/>
      </c>
      <c r="Y714" s="35">
        <f>IF($U714="",DATE(2100,12,31),$U714+1)</f>
        <v/>
      </c>
      <c r="Z714" s="35">
        <f>IF($U714="",DATE(1900,1,1),$O714)</f>
        <v/>
      </c>
      <c r="AA714" s="32">
        <f>IF($U714="",0,$K714*$T714)</f>
        <v/>
      </c>
      <c r="AB714" s="21">
        <f>IF($C714="",0,IFERROR(INDEX(Deals!$AD$2:$AD$355,MATCH($C714,Deals!$A$2:$A$355,0)),0))</f>
        <v/>
      </c>
      <c r="AC714" s="32">
        <f>IF(Settings!$B$4="Yes",$I714*$AB714,$I714)</f>
        <v/>
      </c>
      <c r="AD714" s="22">
        <f>IF($C714="","",IFERROR(IF(INDEX(Deals!$AE$2:$AE$355,MATCH($C714,Deals!$A$2:$A$355,0))=0,"",INDEX(Deals!$AE$2:$AE$355,MATCH($C714,Deals!$A$2:$A$355,0))),""))</f>
        <v/>
      </c>
      <c r="AE714" s="22">
        <f>IF($C714="","",IFERROR(IF(INDEX(Deals!$AF$2:$AF$355,MATCH($C714,Deals!$A$2:$A$355,0))=0,"",INDEX(Deals!$AF$2:$AF$355,MATCH($C714,Deals!$A$2:$A$355,0))),""))</f>
        <v/>
      </c>
      <c r="AF714" s="35">
        <f>IF($AD714="",DATE(1900,1,1),$AD714)</f>
        <v/>
      </c>
      <c r="AG714" s="35">
        <f>IF($AE714="",DATE(2100,12,31),$AE714)</f>
        <v/>
      </c>
      <c r="AH714" s="22">
        <f>IF($C714="","",IFERROR(IF(INDEX(Deals!$AG$2:$AG$355,MATCH($C714,Deals!$A$2:$A$355,0))=0,"",INDEX(Deals!$AG$2:$AG$355,MATCH($C714,Deals!$A$2:$A$355,0))),""))</f>
        <v/>
      </c>
      <c r="AI714" s="35">
        <f>IF($AH714="",DATE(1900,1,1),$AF714)</f>
        <v/>
      </c>
      <c r="AJ714" s="35">
        <f>IF($AH714="",DATE(2100,12,31),$AH714)</f>
        <v/>
      </c>
      <c r="AK714" s="32">
        <f>IF($AH714="",$AC714,$AC714*$S714)</f>
        <v/>
      </c>
      <c r="AL714" s="35">
        <f>IF($AH714="",DATE(2100,12,31),$AH714+1)</f>
        <v/>
      </c>
      <c r="AM714" s="35">
        <f>IF($AH714="",DATE(1900,1,1),$AG714)</f>
        <v/>
      </c>
      <c r="AN714" s="32">
        <f>IF($AH714="",0,$AC714*$T714)</f>
        <v/>
      </c>
    </row>
    <row r="715">
      <c r="A715" s="31" t="n"/>
      <c r="B715" s="16">
        <f>IF($A715="","",IFERROR(INDEX(Roster!$B$2:$B$40,MATCH($A715,Roster!$A$2:$A$40,0)),"?"))</f>
        <v/>
      </c>
      <c r="C715" s="31" t="n"/>
      <c r="D715" s="16">
        <f>IF($C715="","",IFERROR(IF(INDEX(Deals!$C$2:$C$355,MATCH($C715,Deals!$A$2:$A$355,0))=0,"",INDEX(Deals!$C$2:$C$355,MATCH($C715,Deals!$A$2:$A$355,0))),"?"))</f>
        <v/>
      </c>
      <c r="E715" s="16">
        <f>IF($C715="","",IFERROR(INDEX(Deals!$F$2:$F$355,MATCH($C715,Deals!$A$2:$A$355,0)),"?"))</f>
        <v/>
      </c>
      <c r="F715" s="31" t="n"/>
      <c r="G715" s="31" t="n"/>
      <c r="H715" s="31" t="n"/>
      <c r="I715" s="32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1">
        <f>IF($C715="",0,IFERROR(INDEX(Deals!$H$2:$H$355,MATCH($C715,Deals!$A$2:$A$355,0)),0))</f>
        <v/>
      </c>
      <c r="K715" s="32">
        <f>IF(Settings!$B$4="Yes",$I715*$J715,$I715)</f>
        <v/>
      </c>
      <c r="L715" s="22">
        <f>IF($C715="","",IFERROR(IF(INDEX(Deals!$I$2:$I$355,MATCH($C715,Deals!$A$2:$A$355,0))=0,"",INDEX(Deals!$I$2:$I$355,MATCH($C715,Deals!$A$2:$A$355,0))),""))</f>
        <v/>
      </c>
      <c r="M715" s="22">
        <f>IF($C715="","",IFERROR(IF(INDEX(Deals!$J$2:$J$355,MATCH($C715,Deals!$A$2:$A$355,0))=0,"",INDEX(Deals!$J$2:$J$355,MATCH($C715,Deals!$A$2:$A$355,0))),""))</f>
        <v/>
      </c>
      <c r="N715" s="35">
        <f>IF($L715="",DATE(1900,1,1),$L715)</f>
        <v/>
      </c>
      <c r="O715" s="35">
        <f>IF($M715="",DATE(2100,12,31),$M715)</f>
        <v/>
      </c>
      <c r="P715" s="41" t="n"/>
      <c r="Q715" s="31" t="n"/>
      <c r="R715" s="16">
        <f>IF($C715="","",IFERROR(IF(INDEX(Deals!$U$2:$U$355,MATCH($C715,Deals!$A$2:$A$355,0))=0,"",INDEX(Deals!$U$2:$U$355,MATCH($C715,Deals!$A$2:$A$355,0))),""))</f>
        <v/>
      </c>
      <c r="S715" s="34">
        <f>IFERROR(IF($U715="",1,INDEX(Deals!$V$2:$V$355,MATCH($C715,Deals!$A$2:$A$355,0))),1)</f>
        <v/>
      </c>
      <c r="T715" s="34">
        <f>IFERROR(IF($U715="",1,INDEX(Deals!$W$2:$W$355,MATCH($C715,Deals!$A$2:$A$355,0))),1)</f>
        <v/>
      </c>
      <c r="U715" s="22">
        <f>IF($C715="","",IFERROR(IF(INDEX(Deals!$Y$2:$Y$355,MATCH($C715,Deals!$A$2:$A$355,0))=0,"",INDEX(Deals!$Y$2:$Y$355,MATCH($C715,Deals!$A$2:$A$355,0))),""))</f>
        <v/>
      </c>
      <c r="V715" s="35">
        <f>IF($U715="",DATE(1900,1,1),$N715)</f>
        <v/>
      </c>
      <c r="W715" s="35">
        <f>IF($U715="",DATE(2100,12,31),$U715)</f>
        <v/>
      </c>
      <c r="X715" s="32">
        <f>IF($U715="",$K715,$K715*$S715)</f>
        <v/>
      </c>
      <c r="Y715" s="35">
        <f>IF($U715="",DATE(2100,12,31),$U715+1)</f>
        <v/>
      </c>
      <c r="Z715" s="35">
        <f>IF($U715="",DATE(1900,1,1),$O715)</f>
        <v/>
      </c>
      <c r="AA715" s="32">
        <f>IF($U715="",0,$K715*$T715)</f>
        <v/>
      </c>
      <c r="AB715" s="21">
        <f>IF($C715="",0,IFERROR(INDEX(Deals!$AD$2:$AD$355,MATCH($C715,Deals!$A$2:$A$355,0)),0))</f>
        <v/>
      </c>
      <c r="AC715" s="32">
        <f>IF(Settings!$B$4="Yes",$I715*$AB715,$I715)</f>
        <v/>
      </c>
      <c r="AD715" s="22">
        <f>IF($C715="","",IFERROR(IF(INDEX(Deals!$AE$2:$AE$355,MATCH($C715,Deals!$A$2:$A$355,0))=0,"",INDEX(Deals!$AE$2:$AE$355,MATCH($C715,Deals!$A$2:$A$355,0))),""))</f>
        <v/>
      </c>
      <c r="AE715" s="22">
        <f>IF($C715="","",IFERROR(IF(INDEX(Deals!$AF$2:$AF$355,MATCH($C715,Deals!$A$2:$A$355,0))=0,"",INDEX(Deals!$AF$2:$AF$355,MATCH($C715,Deals!$A$2:$A$355,0))),""))</f>
        <v/>
      </c>
      <c r="AF715" s="35">
        <f>IF($AD715="",DATE(1900,1,1),$AD715)</f>
        <v/>
      </c>
      <c r="AG715" s="35">
        <f>IF($AE715="",DATE(2100,12,31),$AE715)</f>
        <v/>
      </c>
      <c r="AH715" s="22">
        <f>IF($C715="","",IFERROR(IF(INDEX(Deals!$AG$2:$AG$355,MATCH($C715,Deals!$A$2:$A$355,0))=0,"",INDEX(Deals!$AG$2:$AG$355,MATCH($C715,Deals!$A$2:$A$355,0))),""))</f>
        <v/>
      </c>
      <c r="AI715" s="35">
        <f>IF($AH715="",DATE(1900,1,1),$AF715)</f>
        <v/>
      </c>
      <c r="AJ715" s="35">
        <f>IF($AH715="",DATE(2100,12,31),$AH715)</f>
        <v/>
      </c>
      <c r="AK715" s="32">
        <f>IF($AH715="",$AC715,$AC715*$S715)</f>
        <v/>
      </c>
      <c r="AL715" s="35">
        <f>IF($AH715="",DATE(2100,12,31),$AH715+1)</f>
        <v/>
      </c>
      <c r="AM715" s="35">
        <f>IF($AH715="",DATE(1900,1,1),$AG715)</f>
        <v/>
      </c>
      <c r="AN715" s="32">
        <f>IF($AH715="",0,$AC715*$T715)</f>
        <v/>
      </c>
    </row>
    <row r="716">
      <c r="A716" s="31" t="n"/>
      <c r="B716" s="16">
        <f>IF($A716="","",IFERROR(INDEX(Roster!$B$2:$B$40,MATCH($A716,Roster!$A$2:$A$40,0)),"?"))</f>
        <v/>
      </c>
      <c r="C716" s="31" t="n"/>
      <c r="D716" s="16">
        <f>IF($C716="","",IFERROR(IF(INDEX(Deals!$C$2:$C$355,MATCH($C716,Deals!$A$2:$A$355,0))=0,"",INDEX(Deals!$C$2:$C$355,MATCH($C716,Deals!$A$2:$A$355,0))),"?"))</f>
        <v/>
      </c>
      <c r="E716" s="16">
        <f>IF($C716="","",IFERROR(INDEX(Deals!$F$2:$F$355,MATCH($C716,Deals!$A$2:$A$355,0)),"?"))</f>
        <v/>
      </c>
      <c r="F716" s="31" t="n"/>
      <c r="G716" s="31" t="n"/>
      <c r="H716" s="31" t="n"/>
      <c r="I716" s="32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1">
        <f>IF($C716="",0,IFERROR(INDEX(Deals!$H$2:$H$355,MATCH($C716,Deals!$A$2:$A$355,0)),0))</f>
        <v/>
      </c>
      <c r="K716" s="32">
        <f>IF(Settings!$B$4="Yes",$I716*$J716,$I716)</f>
        <v/>
      </c>
      <c r="L716" s="22">
        <f>IF($C716="","",IFERROR(IF(INDEX(Deals!$I$2:$I$355,MATCH($C716,Deals!$A$2:$A$355,0))=0,"",INDEX(Deals!$I$2:$I$355,MATCH($C716,Deals!$A$2:$A$355,0))),""))</f>
        <v/>
      </c>
      <c r="M716" s="22">
        <f>IF($C716="","",IFERROR(IF(INDEX(Deals!$J$2:$J$355,MATCH($C716,Deals!$A$2:$A$355,0))=0,"",INDEX(Deals!$J$2:$J$355,MATCH($C716,Deals!$A$2:$A$355,0))),""))</f>
        <v/>
      </c>
      <c r="N716" s="35">
        <f>IF($L716="",DATE(1900,1,1),$L716)</f>
        <v/>
      </c>
      <c r="O716" s="35">
        <f>IF($M716="",DATE(2100,12,31),$M716)</f>
        <v/>
      </c>
      <c r="P716" s="41" t="n"/>
      <c r="Q716" s="31" t="n"/>
      <c r="R716" s="16">
        <f>IF($C716="","",IFERROR(IF(INDEX(Deals!$U$2:$U$355,MATCH($C716,Deals!$A$2:$A$355,0))=0,"",INDEX(Deals!$U$2:$U$355,MATCH($C716,Deals!$A$2:$A$355,0))),""))</f>
        <v/>
      </c>
      <c r="S716" s="34">
        <f>IFERROR(IF($U716="",1,INDEX(Deals!$V$2:$V$355,MATCH($C716,Deals!$A$2:$A$355,0))),1)</f>
        <v/>
      </c>
      <c r="T716" s="34">
        <f>IFERROR(IF($U716="",1,INDEX(Deals!$W$2:$W$355,MATCH($C716,Deals!$A$2:$A$355,0))),1)</f>
        <v/>
      </c>
      <c r="U716" s="22">
        <f>IF($C716="","",IFERROR(IF(INDEX(Deals!$Y$2:$Y$355,MATCH($C716,Deals!$A$2:$A$355,0))=0,"",INDEX(Deals!$Y$2:$Y$355,MATCH($C716,Deals!$A$2:$A$355,0))),""))</f>
        <v/>
      </c>
      <c r="V716" s="35">
        <f>IF($U716="",DATE(1900,1,1),$N716)</f>
        <v/>
      </c>
      <c r="W716" s="35">
        <f>IF($U716="",DATE(2100,12,31),$U716)</f>
        <v/>
      </c>
      <c r="X716" s="32">
        <f>IF($U716="",$K716,$K716*$S716)</f>
        <v/>
      </c>
      <c r="Y716" s="35">
        <f>IF($U716="",DATE(2100,12,31),$U716+1)</f>
        <v/>
      </c>
      <c r="Z716" s="35">
        <f>IF($U716="",DATE(1900,1,1),$O716)</f>
        <v/>
      </c>
      <c r="AA716" s="32">
        <f>IF($U716="",0,$K716*$T716)</f>
        <v/>
      </c>
      <c r="AB716" s="21">
        <f>IF($C716="",0,IFERROR(INDEX(Deals!$AD$2:$AD$355,MATCH($C716,Deals!$A$2:$A$355,0)),0))</f>
        <v/>
      </c>
      <c r="AC716" s="32">
        <f>IF(Settings!$B$4="Yes",$I716*$AB716,$I716)</f>
        <v/>
      </c>
      <c r="AD716" s="22">
        <f>IF($C716="","",IFERROR(IF(INDEX(Deals!$AE$2:$AE$355,MATCH($C716,Deals!$A$2:$A$355,0))=0,"",INDEX(Deals!$AE$2:$AE$355,MATCH($C716,Deals!$A$2:$A$355,0))),""))</f>
        <v/>
      </c>
      <c r="AE716" s="22">
        <f>IF($C716="","",IFERROR(IF(INDEX(Deals!$AF$2:$AF$355,MATCH($C716,Deals!$A$2:$A$355,0))=0,"",INDEX(Deals!$AF$2:$AF$355,MATCH($C716,Deals!$A$2:$A$355,0))),""))</f>
        <v/>
      </c>
      <c r="AF716" s="35">
        <f>IF($AD716="",DATE(1900,1,1),$AD716)</f>
        <v/>
      </c>
      <c r="AG716" s="35">
        <f>IF($AE716="",DATE(2100,12,31),$AE716)</f>
        <v/>
      </c>
      <c r="AH716" s="22">
        <f>IF($C716="","",IFERROR(IF(INDEX(Deals!$AG$2:$AG$355,MATCH($C716,Deals!$A$2:$A$355,0))=0,"",INDEX(Deals!$AG$2:$AG$355,MATCH($C716,Deals!$A$2:$A$355,0))),""))</f>
        <v/>
      </c>
      <c r="AI716" s="35">
        <f>IF($AH716="",DATE(1900,1,1),$AF716)</f>
        <v/>
      </c>
      <c r="AJ716" s="35">
        <f>IF($AH716="",DATE(2100,12,31),$AH716)</f>
        <v/>
      </c>
      <c r="AK716" s="32">
        <f>IF($AH716="",$AC716,$AC716*$S716)</f>
        <v/>
      </c>
      <c r="AL716" s="35">
        <f>IF($AH716="",DATE(2100,12,31),$AH716+1)</f>
        <v/>
      </c>
      <c r="AM716" s="35">
        <f>IF($AH716="",DATE(1900,1,1),$AG716)</f>
        <v/>
      </c>
      <c r="AN716" s="32">
        <f>IF($AH716="",0,$AC716*$T716)</f>
        <v/>
      </c>
    </row>
    <row r="717">
      <c r="A717" s="31" t="n"/>
      <c r="B717" s="16">
        <f>IF($A717="","",IFERROR(INDEX(Roster!$B$2:$B$40,MATCH($A717,Roster!$A$2:$A$40,0)),"?"))</f>
        <v/>
      </c>
      <c r="C717" s="31" t="n"/>
      <c r="D717" s="16">
        <f>IF($C717="","",IFERROR(IF(INDEX(Deals!$C$2:$C$355,MATCH($C717,Deals!$A$2:$A$355,0))=0,"",INDEX(Deals!$C$2:$C$355,MATCH($C717,Deals!$A$2:$A$355,0))),"?"))</f>
        <v/>
      </c>
      <c r="E717" s="16">
        <f>IF($C717="","",IFERROR(INDEX(Deals!$F$2:$F$355,MATCH($C717,Deals!$A$2:$A$355,0)),"?"))</f>
        <v/>
      </c>
      <c r="F717" s="31" t="n"/>
      <c r="G717" s="31" t="n"/>
      <c r="H717" s="31" t="n"/>
      <c r="I717" s="32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1">
        <f>IF($C717="",0,IFERROR(INDEX(Deals!$H$2:$H$355,MATCH($C717,Deals!$A$2:$A$355,0)),0))</f>
        <v/>
      </c>
      <c r="K717" s="32">
        <f>IF(Settings!$B$4="Yes",$I717*$J717,$I717)</f>
        <v/>
      </c>
      <c r="L717" s="22">
        <f>IF($C717="","",IFERROR(IF(INDEX(Deals!$I$2:$I$355,MATCH($C717,Deals!$A$2:$A$355,0))=0,"",INDEX(Deals!$I$2:$I$355,MATCH($C717,Deals!$A$2:$A$355,0))),""))</f>
        <v/>
      </c>
      <c r="M717" s="22">
        <f>IF($C717="","",IFERROR(IF(INDEX(Deals!$J$2:$J$355,MATCH($C717,Deals!$A$2:$A$355,0))=0,"",INDEX(Deals!$J$2:$J$355,MATCH($C717,Deals!$A$2:$A$355,0))),""))</f>
        <v/>
      </c>
      <c r="N717" s="35">
        <f>IF($L717="",DATE(1900,1,1),$L717)</f>
        <v/>
      </c>
      <c r="O717" s="35">
        <f>IF($M717="",DATE(2100,12,31),$M717)</f>
        <v/>
      </c>
      <c r="P717" s="41" t="n"/>
      <c r="Q717" s="31" t="n"/>
      <c r="R717" s="16">
        <f>IF($C717="","",IFERROR(IF(INDEX(Deals!$U$2:$U$355,MATCH($C717,Deals!$A$2:$A$355,0))=0,"",INDEX(Deals!$U$2:$U$355,MATCH($C717,Deals!$A$2:$A$355,0))),""))</f>
        <v/>
      </c>
      <c r="S717" s="34">
        <f>IFERROR(IF($U717="",1,INDEX(Deals!$V$2:$V$355,MATCH($C717,Deals!$A$2:$A$355,0))),1)</f>
        <v/>
      </c>
      <c r="T717" s="34">
        <f>IFERROR(IF($U717="",1,INDEX(Deals!$W$2:$W$355,MATCH($C717,Deals!$A$2:$A$355,0))),1)</f>
        <v/>
      </c>
      <c r="U717" s="22">
        <f>IF($C717="","",IFERROR(IF(INDEX(Deals!$Y$2:$Y$355,MATCH($C717,Deals!$A$2:$A$355,0))=0,"",INDEX(Deals!$Y$2:$Y$355,MATCH($C717,Deals!$A$2:$A$355,0))),""))</f>
        <v/>
      </c>
      <c r="V717" s="35">
        <f>IF($U717="",DATE(1900,1,1),$N717)</f>
        <v/>
      </c>
      <c r="W717" s="35">
        <f>IF($U717="",DATE(2100,12,31),$U717)</f>
        <v/>
      </c>
      <c r="X717" s="32">
        <f>IF($U717="",$K717,$K717*$S717)</f>
        <v/>
      </c>
      <c r="Y717" s="35">
        <f>IF($U717="",DATE(2100,12,31),$U717+1)</f>
        <v/>
      </c>
      <c r="Z717" s="35">
        <f>IF($U717="",DATE(1900,1,1),$O717)</f>
        <v/>
      </c>
      <c r="AA717" s="32">
        <f>IF($U717="",0,$K717*$T717)</f>
        <v/>
      </c>
      <c r="AB717" s="21">
        <f>IF($C717="",0,IFERROR(INDEX(Deals!$AD$2:$AD$355,MATCH($C717,Deals!$A$2:$A$355,0)),0))</f>
        <v/>
      </c>
      <c r="AC717" s="32">
        <f>IF(Settings!$B$4="Yes",$I717*$AB717,$I717)</f>
        <v/>
      </c>
      <c r="AD717" s="22">
        <f>IF($C717="","",IFERROR(IF(INDEX(Deals!$AE$2:$AE$355,MATCH($C717,Deals!$A$2:$A$355,0))=0,"",INDEX(Deals!$AE$2:$AE$355,MATCH($C717,Deals!$A$2:$A$355,0))),""))</f>
        <v/>
      </c>
      <c r="AE717" s="22">
        <f>IF($C717="","",IFERROR(IF(INDEX(Deals!$AF$2:$AF$355,MATCH($C717,Deals!$A$2:$A$355,0))=0,"",INDEX(Deals!$AF$2:$AF$355,MATCH($C717,Deals!$A$2:$A$355,0))),""))</f>
        <v/>
      </c>
      <c r="AF717" s="35">
        <f>IF($AD717="",DATE(1900,1,1),$AD717)</f>
        <v/>
      </c>
      <c r="AG717" s="35">
        <f>IF($AE717="",DATE(2100,12,31),$AE717)</f>
        <v/>
      </c>
      <c r="AH717" s="22">
        <f>IF($C717="","",IFERROR(IF(INDEX(Deals!$AG$2:$AG$355,MATCH($C717,Deals!$A$2:$A$355,0))=0,"",INDEX(Deals!$AG$2:$AG$355,MATCH($C717,Deals!$A$2:$A$355,0))),""))</f>
        <v/>
      </c>
      <c r="AI717" s="35">
        <f>IF($AH717="",DATE(1900,1,1),$AF717)</f>
        <v/>
      </c>
      <c r="AJ717" s="35">
        <f>IF($AH717="",DATE(2100,12,31),$AH717)</f>
        <v/>
      </c>
      <c r="AK717" s="32">
        <f>IF($AH717="",$AC717,$AC717*$S717)</f>
        <v/>
      </c>
      <c r="AL717" s="35">
        <f>IF($AH717="",DATE(2100,12,31),$AH717+1)</f>
        <v/>
      </c>
      <c r="AM717" s="35">
        <f>IF($AH717="",DATE(1900,1,1),$AG717)</f>
        <v/>
      </c>
      <c r="AN717" s="32">
        <f>IF($AH717="",0,$AC717*$T717)</f>
        <v/>
      </c>
    </row>
    <row r="718">
      <c r="A718" s="31" t="n"/>
      <c r="B718" s="16">
        <f>IF($A718="","",IFERROR(INDEX(Roster!$B$2:$B$40,MATCH($A718,Roster!$A$2:$A$40,0)),"?"))</f>
        <v/>
      </c>
      <c r="C718" s="31" t="n"/>
      <c r="D718" s="16">
        <f>IF($C718="","",IFERROR(IF(INDEX(Deals!$C$2:$C$355,MATCH($C718,Deals!$A$2:$A$355,0))=0,"",INDEX(Deals!$C$2:$C$355,MATCH($C718,Deals!$A$2:$A$355,0))),"?"))</f>
        <v/>
      </c>
      <c r="E718" s="16">
        <f>IF($C718="","",IFERROR(INDEX(Deals!$F$2:$F$355,MATCH($C718,Deals!$A$2:$A$355,0)),"?"))</f>
        <v/>
      </c>
      <c r="F718" s="31" t="n"/>
      <c r="G718" s="31" t="n"/>
      <c r="H718" s="31" t="n"/>
      <c r="I718" s="32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1">
        <f>IF($C718="",0,IFERROR(INDEX(Deals!$H$2:$H$355,MATCH($C718,Deals!$A$2:$A$355,0)),0))</f>
        <v/>
      </c>
      <c r="K718" s="32">
        <f>IF(Settings!$B$4="Yes",$I718*$J718,$I718)</f>
        <v/>
      </c>
      <c r="L718" s="22">
        <f>IF($C718="","",IFERROR(IF(INDEX(Deals!$I$2:$I$355,MATCH($C718,Deals!$A$2:$A$355,0))=0,"",INDEX(Deals!$I$2:$I$355,MATCH($C718,Deals!$A$2:$A$355,0))),""))</f>
        <v/>
      </c>
      <c r="M718" s="22">
        <f>IF($C718="","",IFERROR(IF(INDEX(Deals!$J$2:$J$355,MATCH($C718,Deals!$A$2:$A$355,0))=0,"",INDEX(Deals!$J$2:$J$355,MATCH($C718,Deals!$A$2:$A$355,0))),""))</f>
        <v/>
      </c>
      <c r="N718" s="35">
        <f>IF($L718="",DATE(1900,1,1),$L718)</f>
        <v/>
      </c>
      <c r="O718" s="35">
        <f>IF($M718="",DATE(2100,12,31),$M718)</f>
        <v/>
      </c>
      <c r="P718" s="41" t="n"/>
      <c r="Q718" s="31" t="n"/>
      <c r="R718" s="16">
        <f>IF($C718="","",IFERROR(IF(INDEX(Deals!$U$2:$U$355,MATCH($C718,Deals!$A$2:$A$355,0))=0,"",INDEX(Deals!$U$2:$U$355,MATCH($C718,Deals!$A$2:$A$355,0))),""))</f>
        <v/>
      </c>
      <c r="S718" s="34">
        <f>IFERROR(IF($U718="",1,INDEX(Deals!$V$2:$V$355,MATCH($C718,Deals!$A$2:$A$355,0))),1)</f>
        <v/>
      </c>
      <c r="T718" s="34">
        <f>IFERROR(IF($U718="",1,INDEX(Deals!$W$2:$W$355,MATCH($C718,Deals!$A$2:$A$355,0))),1)</f>
        <v/>
      </c>
      <c r="U718" s="22">
        <f>IF($C718="","",IFERROR(IF(INDEX(Deals!$Y$2:$Y$355,MATCH($C718,Deals!$A$2:$A$355,0))=0,"",INDEX(Deals!$Y$2:$Y$355,MATCH($C718,Deals!$A$2:$A$355,0))),""))</f>
        <v/>
      </c>
      <c r="V718" s="35">
        <f>IF($U718="",DATE(1900,1,1),$N718)</f>
        <v/>
      </c>
      <c r="W718" s="35">
        <f>IF($U718="",DATE(2100,12,31),$U718)</f>
        <v/>
      </c>
      <c r="X718" s="32">
        <f>IF($U718="",$K718,$K718*$S718)</f>
        <v/>
      </c>
      <c r="Y718" s="35">
        <f>IF($U718="",DATE(2100,12,31),$U718+1)</f>
        <v/>
      </c>
      <c r="Z718" s="35">
        <f>IF($U718="",DATE(1900,1,1),$O718)</f>
        <v/>
      </c>
      <c r="AA718" s="32">
        <f>IF($U718="",0,$K718*$T718)</f>
        <v/>
      </c>
      <c r="AB718" s="21">
        <f>IF($C718="",0,IFERROR(INDEX(Deals!$AD$2:$AD$355,MATCH($C718,Deals!$A$2:$A$355,0)),0))</f>
        <v/>
      </c>
      <c r="AC718" s="32">
        <f>IF(Settings!$B$4="Yes",$I718*$AB718,$I718)</f>
        <v/>
      </c>
      <c r="AD718" s="22">
        <f>IF($C718="","",IFERROR(IF(INDEX(Deals!$AE$2:$AE$355,MATCH($C718,Deals!$A$2:$A$355,0))=0,"",INDEX(Deals!$AE$2:$AE$355,MATCH($C718,Deals!$A$2:$A$355,0))),""))</f>
        <v/>
      </c>
      <c r="AE718" s="22">
        <f>IF($C718="","",IFERROR(IF(INDEX(Deals!$AF$2:$AF$355,MATCH($C718,Deals!$A$2:$A$355,0))=0,"",INDEX(Deals!$AF$2:$AF$355,MATCH($C718,Deals!$A$2:$A$355,0))),""))</f>
        <v/>
      </c>
      <c r="AF718" s="35">
        <f>IF($AD718="",DATE(1900,1,1),$AD718)</f>
        <v/>
      </c>
      <c r="AG718" s="35">
        <f>IF($AE718="",DATE(2100,12,31),$AE718)</f>
        <v/>
      </c>
      <c r="AH718" s="22">
        <f>IF($C718="","",IFERROR(IF(INDEX(Deals!$AG$2:$AG$355,MATCH($C718,Deals!$A$2:$A$355,0))=0,"",INDEX(Deals!$AG$2:$AG$355,MATCH($C718,Deals!$A$2:$A$355,0))),""))</f>
        <v/>
      </c>
      <c r="AI718" s="35">
        <f>IF($AH718="",DATE(1900,1,1),$AF718)</f>
        <v/>
      </c>
      <c r="AJ718" s="35">
        <f>IF($AH718="",DATE(2100,12,31),$AH718)</f>
        <v/>
      </c>
      <c r="AK718" s="32">
        <f>IF($AH718="",$AC718,$AC718*$S718)</f>
        <v/>
      </c>
      <c r="AL718" s="35">
        <f>IF($AH718="",DATE(2100,12,31),$AH718+1)</f>
        <v/>
      </c>
      <c r="AM718" s="35">
        <f>IF($AH718="",DATE(1900,1,1),$AG718)</f>
        <v/>
      </c>
      <c r="AN718" s="32">
        <f>IF($AH718="",0,$AC718*$T718)</f>
        <v/>
      </c>
    </row>
    <row r="719">
      <c r="A719" s="31" t="n"/>
      <c r="B719" s="16">
        <f>IF($A719="","",IFERROR(INDEX(Roster!$B$2:$B$40,MATCH($A719,Roster!$A$2:$A$40,0)),"?"))</f>
        <v/>
      </c>
      <c r="C719" s="31" t="n"/>
      <c r="D719" s="16">
        <f>IF($C719="","",IFERROR(IF(INDEX(Deals!$C$2:$C$355,MATCH($C719,Deals!$A$2:$A$355,0))=0,"",INDEX(Deals!$C$2:$C$355,MATCH($C719,Deals!$A$2:$A$355,0))),"?"))</f>
        <v/>
      </c>
      <c r="E719" s="16">
        <f>IF($C719="","",IFERROR(INDEX(Deals!$F$2:$F$355,MATCH($C719,Deals!$A$2:$A$355,0)),"?"))</f>
        <v/>
      </c>
      <c r="F719" s="31" t="n"/>
      <c r="G719" s="31" t="n"/>
      <c r="H719" s="31" t="n"/>
      <c r="I719" s="32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1">
        <f>IF($C719="",0,IFERROR(INDEX(Deals!$H$2:$H$355,MATCH($C719,Deals!$A$2:$A$355,0)),0))</f>
        <v/>
      </c>
      <c r="K719" s="32">
        <f>IF(Settings!$B$4="Yes",$I719*$J719,$I719)</f>
        <v/>
      </c>
      <c r="L719" s="22">
        <f>IF($C719="","",IFERROR(IF(INDEX(Deals!$I$2:$I$355,MATCH($C719,Deals!$A$2:$A$355,0))=0,"",INDEX(Deals!$I$2:$I$355,MATCH($C719,Deals!$A$2:$A$355,0))),""))</f>
        <v/>
      </c>
      <c r="M719" s="22">
        <f>IF($C719="","",IFERROR(IF(INDEX(Deals!$J$2:$J$355,MATCH($C719,Deals!$A$2:$A$355,0))=0,"",INDEX(Deals!$J$2:$J$355,MATCH($C719,Deals!$A$2:$A$355,0))),""))</f>
        <v/>
      </c>
      <c r="N719" s="35">
        <f>IF($L719="",DATE(1900,1,1),$L719)</f>
        <v/>
      </c>
      <c r="O719" s="35">
        <f>IF($M719="",DATE(2100,12,31),$M719)</f>
        <v/>
      </c>
      <c r="P719" s="41" t="n"/>
      <c r="Q719" s="31" t="n"/>
      <c r="R719" s="16">
        <f>IF($C719="","",IFERROR(IF(INDEX(Deals!$U$2:$U$355,MATCH($C719,Deals!$A$2:$A$355,0))=0,"",INDEX(Deals!$U$2:$U$355,MATCH($C719,Deals!$A$2:$A$355,0))),""))</f>
        <v/>
      </c>
      <c r="S719" s="34">
        <f>IFERROR(IF($U719="",1,INDEX(Deals!$V$2:$V$355,MATCH($C719,Deals!$A$2:$A$355,0))),1)</f>
        <v/>
      </c>
      <c r="T719" s="34">
        <f>IFERROR(IF($U719="",1,INDEX(Deals!$W$2:$W$355,MATCH($C719,Deals!$A$2:$A$355,0))),1)</f>
        <v/>
      </c>
      <c r="U719" s="22">
        <f>IF($C719="","",IFERROR(IF(INDEX(Deals!$Y$2:$Y$355,MATCH($C719,Deals!$A$2:$A$355,0))=0,"",INDEX(Deals!$Y$2:$Y$355,MATCH($C719,Deals!$A$2:$A$355,0))),""))</f>
        <v/>
      </c>
      <c r="V719" s="35">
        <f>IF($U719="",DATE(1900,1,1),$N719)</f>
        <v/>
      </c>
      <c r="W719" s="35">
        <f>IF($U719="",DATE(2100,12,31),$U719)</f>
        <v/>
      </c>
      <c r="X719" s="32">
        <f>IF($U719="",$K719,$K719*$S719)</f>
        <v/>
      </c>
      <c r="Y719" s="35">
        <f>IF($U719="",DATE(2100,12,31),$U719+1)</f>
        <v/>
      </c>
      <c r="Z719" s="35">
        <f>IF($U719="",DATE(1900,1,1),$O719)</f>
        <v/>
      </c>
      <c r="AA719" s="32">
        <f>IF($U719="",0,$K719*$T719)</f>
        <v/>
      </c>
      <c r="AB719" s="21">
        <f>IF($C719="",0,IFERROR(INDEX(Deals!$AD$2:$AD$355,MATCH($C719,Deals!$A$2:$A$355,0)),0))</f>
        <v/>
      </c>
      <c r="AC719" s="32">
        <f>IF(Settings!$B$4="Yes",$I719*$AB719,$I719)</f>
        <v/>
      </c>
      <c r="AD719" s="22">
        <f>IF($C719="","",IFERROR(IF(INDEX(Deals!$AE$2:$AE$355,MATCH($C719,Deals!$A$2:$A$355,0))=0,"",INDEX(Deals!$AE$2:$AE$355,MATCH($C719,Deals!$A$2:$A$355,0))),""))</f>
        <v/>
      </c>
      <c r="AE719" s="22">
        <f>IF($C719="","",IFERROR(IF(INDEX(Deals!$AF$2:$AF$355,MATCH($C719,Deals!$A$2:$A$355,0))=0,"",INDEX(Deals!$AF$2:$AF$355,MATCH($C719,Deals!$A$2:$A$355,0))),""))</f>
        <v/>
      </c>
      <c r="AF719" s="35">
        <f>IF($AD719="",DATE(1900,1,1),$AD719)</f>
        <v/>
      </c>
      <c r="AG719" s="35">
        <f>IF($AE719="",DATE(2100,12,31),$AE719)</f>
        <v/>
      </c>
      <c r="AH719" s="22">
        <f>IF($C719="","",IFERROR(IF(INDEX(Deals!$AG$2:$AG$355,MATCH($C719,Deals!$A$2:$A$355,0))=0,"",INDEX(Deals!$AG$2:$AG$355,MATCH($C719,Deals!$A$2:$A$355,0))),""))</f>
        <v/>
      </c>
      <c r="AI719" s="35">
        <f>IF($AH719="",DATE(1900,1,1),$AF719)</f>
        <v/>
      </c>
      <c r="AJ719" s="35">
        <f>IF($AH719="",DATE(2100,12,31),$AH719)</f>
        <v/>
      </c>
      <c r="AK719" s="32">
        <f>IF($AH719="",$AC719,$AC719*$S719)</f>
        <v/>
      </c>
      <c r="AL719" s="35">
        <f>IF($AH719="",DATE(2100,12,31),$AH719+1)</f>
        <v/>
      </c>
      <c r="AM719" s="35">
        <f>IF($AH719="",DATE(1900,1,1),$AG719)</f>
        <v/>
      </c>
      <c r="AN719" s="32">
        <f>IF($AH719="",0,$AC719*$T719)</f>
        <v/>
      </c>
    </row>
    <row r="720">
      <c r="A720" s="31" t="n"/>
      <c r="B720" s="16">
        <f>IF($A720="","",IFERROR(INDEX(Roster!$B$2:$B$40,MATCH($A720,Roster!$A$2:$A$40,0)),"?"))</f>
        <v/>
      </c>
      <c r="C720" s="31" t="n"/>
      <c r="D720" s="16">
        <f>IF($C720="","",IFERROR(IF(INDEX(Deals!$C$2:$C$355,MATCH($C720,Deals!$A$2:$A$355,0))=0,"",INDEX(Deals!$C$2:$C$355,MATCH($C720,Deals!$A$2:$A$355,0))),"?"))</f>
        <v/>
      </c>
      <c r="E720" s="16">
        <f>IF($C720="","",IFERROR(INDEX(Deals!$F$2:$F$355,MATCH($C720,Deals!$A$2:$A$355,0)),"?"))</f>
        <v/>
      </c>
      <c r="F720" s="31" t="n"/>
      <c r="G720" s="31" t="n"/>
      <c r="H720" s="31" t="n"/>
      <c r="I720" s="32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1">
        <f>IF($C720="",0,IFERROR(INDEX(Deals!$H$2:$H$355,MATCH($C720,Deals!$A$2:$A$355,0)),0))</f>
        <v/>
      </c>
      <c r="K720" s="32">
        <f>IF(Settings!$B$4="Yes",$I720*$J720,$I720)</f>
        <v/>
      </c>
      <c r="L720" s="22">
        <f>IF($C720="","",IFERROR(IF(INDEX(Deals!$I$2:$I$355,MATCH($C720,Deals!$A$2:$A$355,0))=0,"",INDEX(Deals!$I$2:$I$355,MATCH($C720,Deals!$A$2:$A$355,0))),""))</f>
        <v/>
      </c>
      <c r="M720" s="22">
        <f>IF($C720="","",IFERROR(IF(INDEX(Deals!$J$2:$J$355,MATCH($C720,Deals!$A$2:$A$355,0))=0,"",INDEX(Deals!$J$2:$J$355,MATCH($C720,Deals!$A$2:$A$355,0))),""))</f>
        <v/>
      </c>
      <c r="N720" s="35">
        <f>IF($L720="",DATE(1900,1,1),$L720)</f>
        <v/>
      </c>
      <c r="O720" s="35">
        <f>IF($M720="",DATE(2100,12,31),$M720)</f>
        <v/>
      </c>
      <c r="P720" s="41" t="n"/>
      <c r="Q720" s="31" t="n"/>
      <c r="R720" s="16">
        <f>IF($C720="","",IFERROR(IF(INDEX(Deals!$U$2:$U$355,MATCH($C720,Deals!$A$2:$A$355,0))=0,"",INDEX(Deals!$U$2:$U$355,MATCH($C720,Deals!$A$2:$A$355,0))),""))</f>
        <v/>
      </c>
      <c r="S720" s="34">
        <f>IFERROR(IF($U720="",1,INDEX(Deals!$V$2:$V$355,MATCH($C720,Deals!$A$2:$A$355,0))),1)</f>
        <v/>
      </c>
      <c r="T720" s="34">
        <f>IFERROR(IF($U720="",1,INDEX(Deals!$W$2:$W$355,MATCH($C720,Deals!$A$2:$A$355,0))),1)</f>
        <v/>
      </c>
      <c r="U720" s="22">
        <f>IF($C720="","",IFERROR(IF(INDEX(Deals!$Y$2:$Y$355,MATCH($C720,Deals!$A$2:$A$355,0))=0,"",INDEX(Deals!$Y$2:$Y$355,MATCH($C720,Deals!$A$2:$A$355,0))),""))</f>
        <v/>
      </c>
      <c r="V720" s="35">
        <f>IF($U720="",DATE(1900,1,1),$N720)</f>
        <v/>
      </c>
      <c r="W720" s="35">
        <f>IF($U720="",DATE(2100,12,31),$U720)</f>
        <v/>
      </c>
      <c r="X720" s="32">
        <f>IF($U720="",$K720,$K720*$S720)</f>
        <v/>
      </c>
      <c r="Y720" s="35">
        <f>IF($U720="",DATE(2100,12,31),$U720+1)</f>
        <v/>
      </c>
      <c r="Z720" s="35">
        <f>IF($U720="",DATE(1900,1,1),$O720)</f>
        <v/>
      </c>
      <c r="AA720" s="32">
        <f>IF($U720="",0,$K720*$T720)</f>
        <v/>
      </c>
      <c r="AB720" s="21">
        <f>IF($C720="",0,IFERROR(INDEX(Deals!$AD$2:$AD$355,MATCH($C720,Deals!$A$2:$A$355,0)),0))</f>
        <v/>
      </c>
      <c r="AC720" s="32">
        <f>IF(Settings!$B$4="Yes",$I720*$AB720,$I720)</f>
        <v/>
      </c>
      <c r="AD720" s="22">
        <f>IF($C720="","",IFERROR(IF(INDEX(Deals!$AE$2:$AE$355,MATCH($C720,Deals!$A$2:$A$355,0))=0,"",INDEX(Deals!$AE$2:$AE$355,MATCH($C720,Deals!$A$2:$A$355,0))),""))</f>
        <v/>
      </c>
      <c r="AE720" s="22">
        <f>IF($C720="","",IFERROR(IF(INDEX(Deals!$AF$2:$AF$355,MATCH($C720,Deals!$A$2:$A$355,0))=0,"",INDEX(Deals!$AF$2:$AF$355,MATCH($C720,Deals!$A$2:$A$355,0))),""))</f>
        <v/>
      </c>
      <c r="AF720" s="35">
        <f>IF($AD720="",DATE(1900,1,1),$AD720)</f>
        <v/>
      </c>
      <c r="AG720" s="35">
        <f>IF($AE720="",DATE(2100,12,31),$AE720)</f>
        <v/>
      </c>
      <c r="AH720" s="22">
        <f>IF($C720="","",IFERROR(IF(INDEX(Deals!$AG$2:$AG$355,MATCH($C720,Deals!$A$2:$A$355,0))=0,"",INDEX(Deals!$AG$2:$AG$355,MATCH($C720,Deals!$A$2:$A$355,0))),""))</f>
        <v/>
      </c>
      <c r="AI720" s="35">
        <f>IF($AH720="",DATE(1900,1,1),$AF720)</f>
        <v/>
      </c>
      <c r="AJ720" s="35">
        <f>IF($AH720="",DATE(2100,12,31),$AH720)</f>
        <v/>
      </c>
      <c r="AK720" s="32">
        <f>IF($AH720="",$AC720,$AC720*$S720)</f>
        <v/>
      </c>
      <c r="AL720" s="35">
        <f>IF($AH720="",DATE(2100,12,31),$AH720+1)</f>
        <v/>
      </c>
      <c r="AM720" s="35">
        <f>IF($AH720="",DATE(1900,1,1),$AG720)</f>
        <v/>
      </c>
      <c r="AN720" s="32">
        <f>IF($AH720="",0,$AC720*$T720)</f>
        <v/>
      </c>
    </row>
    <row r="721">
      <c r="A721" s="31" t="n"/>
      <c r="B721" s="16">
        <f>IF($A721="","",IFERROR(INDEX(Roster!$B$2:$B$40,MATCH($A721,Roster!$A$2:$A$40,0)),"?"))</f>
        <v/>
      </c>
      <c r="C721" s="31" t="n"/>
      <c r="D721" s="16">
        <f>IF($C721="","",IFERROR(IF(INDEX(Deals!$C$2:$C$355,MATCH($C721,Deals!$A$2:$A$355,0))=0,"",INDEX(Deals!$C$2:$C$355,MATCH($C721,Deals!$A$2:$A$355,0))),"?"))</f>
        <v/>
      </c>
      <c r="E721" s="16">
        <f>IF($C721="","",IFERROR(INDEX(Deals!$F$2:$F$355,MATCH($C721,Deals!$A$2:$A$355,0)),"?"))</f>
        <v/>
      </c>
      <c r="F721" s="31" t="n"/>
      <c r="G721" s="31" t="n"/>
      <c r="H721" s="31" t="n"/>
      <c r="I721" s="32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1">
        <f>IF($C721="",0,IFERROR(INDEX(Deals!$H$2:$H$355,MATCH($C721,Deals!$A$2:$A$355,0)),0))</f>
        <v/>
      </c>
      <c r="K721" s="32">
        <f>IF(Settings!$B$4="Yes",$I721*$J721,$I721)</f>
        <v/>
      </c>
      <c r="L721" s="22">
        <f>IF($C721="","",IFERROR(IF(INDEX(Deals!$I$2:$I$355,MATCH($C721,Deals!$A$2:$A$355,0))=0,"",INDEX(Deals!$I$2:$I$355,MATCH($C721,Deals!$A$2:$A$355,0))),""))</f>
        <v/>
      </c>
      <c r="M721" s="22">
        <f>IF($C721="","",IFERROR(IF(INDEX(Deals!$J$2:$J$355,MATCH($C721,Deals!$A$2:$A$355,0))=0,"",INDEX(Deals!$J$2:$J$355,MATCH($C721,Deals!$A$2:$A$355,0))),""))</f>
        <v/>
      </c>
      <c r="N721" s="35">
        <f>IF($L721="",DATE(1900,1,1),$L721)</f>
        <v/>
      </c>
      <c r="O721" s="35">
        <f>IF($M721="",DATE(2100,12,31),$M721)</f>
        <v/>
      </c>
      <c r="P721" s="41" t="n"/>
      <c r="Q721" s="31" t="n"/>
      <c r="R721" s="16">
        <f>IF($C721="","",IFERROR(IF(INDEX(Deals!$U$2:$U$355,MATCH($C721,Deals!$A$2:$A$355,0))=0,"",INDEX(Deals!$U$2:$U$355,MATCH($C721,Deals!$A$2:$A$355,0))),""))</f>
        <v/>
      </c>
      <c r="S721" s="34">
        <f>IFERROR(IF($U721="",1,INDEX(Deals!$V$2:$V$355,MATCH($C721,Deals!$A$2:$A$355,0))),1)</f>
        <v/>
      </c>
      <c r="T721" s="34">
        <f>IFERROR(IF($U721="",1,INDEX(Deals!$W$2:$W$355,MATCH($C721,Deals!$A$2:$A$355,0))),1)</f>
        <v/>
      </c>
      <c r="U721" s="22">
        <f>IF($C721="","",IFERROR(IF(INDEX(Deals!$Y$2:$Y$355,MATCH($C721,Deals!$A$2:$A$355,0))=0,"",INDEX(Deals!$Y$2:$Y$355,MATCH($C721,Deals!$A$2:$A$355,0))),""))</f>
        <v/>
      </c>
      <c r="V721" s="35">
        <f>IF($U721="",DATE(1900,1,1),$N721)</f>
        <v/>
      </c>
      <c r="W721" s="35">
        <f>IF($U721="",DATE(2100,12,31),$U721)</f>
        <v/>
      </c>
      <c r="X721" s="32">
        <f>IF($U721="",$K721,$K721*$S721)</f>
        <v/>
      </c>
      <c r="Y721" s="35">
        <f>IF($U721="",DATE(2100,12,31),$U721+1)</f>
        <v/>
      </c>
      <c r="Z721" s="35">
        <f>IF($U721="",DATE(1900,1,1),$O721)</f>
        <v/>
      </c>
      <c r="AA721" s="32">
        <f>IF($U721="",0,$K721*$T721)</f>
        <v/>
      </c>
      <c r="AB721" s="21">
        <f>IF($C721="",0,IFERROR(INDEX(Deals!$AD$2:$AD$355,MATCH($C721,Deals!$A$2:$A$355,0)),0))</f>
        <v/>
      </c>
      <c r="AC721" s="32">
        <f>IF(Settings!$B$4="Yes",$I721*$AB721,$I721)</f>
        <v/>
      </c>
      <c r="AD721" s="22">
        <f>IF($C721="","",IFERROR(IF(INDEX(Deals!$AE$2:$AE$355,MATCH($C721,Deals!$A$2:$A$355,0))=0,"",INDEX(Deals!$AE$2:$AE$355,MATCH($C721,Deals!$A$2:$A$355,0))),""))</f>
        <v/>
      </c>
      <c r="AE721" s="22">
        <f>IF($C721="","",IFERROR(IF(INDEX(Deals!$AF$2:$AF$355,MATCH($C721,Deals!$A$2:$A$355,0))=0,"",INDEX(Deals!$AF$2:$AF$355,MATCH($C721,Deals!$A$2:$A$355,0))),""))</f>
        <v/>
      </c>
      <c r="AF721" s="35">
        <f>IF($AD721="",DATE(1900,1,1),$AD721)</f>
        <v/>
      </c>
      <c r="AG721" s="35">
        <f>IF($AE721="",DATE(2100,12,31),$AE721)</f>
        <v/>
      </c>
      <c r="AH721" s="22">
        <f>IF($C721="","",IFERROR(IF(INDEX(Deals!$AG$2:$AG$355,MATCH($C721,Deals!$A$2:$A$355,0))=0,"",INDEX(Deals!$AG$2:$AG$355,MATCH($C721,Deals!$A$2:$A$355,0))),""))</f>
        <v/>
      </c>
      <c r="AI721" s="35">
        <f>IF($AH721="",DATE(1900,1,1),$AF721)</f>
        <v/>
      </c>
      <c r="AJ721" s="35">
        <f>IF($AH721="",DATE(2100,12,31),$AH721)</f>
        <v/>
      </c>
      <c r="AK721" s="32">
        <f>IF($AH721="",$AC721,$AC721*$S721)</f>
        <v/>
      </c>
      <c r="AL721" s="35">
        <f>IF($AH721="",DATE(2100,12,31),$AH721+1)</f>
        <v/>
      </c>
      <c r="AM721" s="35">
        <f>IF($AH721="",DATE(1900,1,1),$AG721)</f>
        <v/>
      </c>
      <c r="AN721" s="32">
        <f>IF($AH721="",0,$AC721*$T721)</f>
        <v/>
      </c>
    </row>
    <row r="722">
      <c r="A722" s="31" t="n"/>
      <c r="B722" s="16">
        <f>IF($A722="","",IFERROR(INDEX(Roster!$B$2:$B$40,MATCH($A722,Roster!$A$2:$A$40,0)),"?"))</f>
        <v/>
      </c>
      <c r="C722" s="31" t="n"/>
      <c r="D722" s="16">
        <f>IF($C722="","",IFERROR(IF(INDEX(Deals!$C$2:$C$355,MATCH($C722,Deals!$A$2:$A$355,0))=0,"",INDEX(Deals!$C$2:$C$355,MATCH($C722,Deals!$A$2:$A$355,0))),"?"))</f>
        <v/>
      </c>
      <c r="E722" s="16">
        <f>IF($C722="","",IFERROR(INDEX(Deals!$F$2:$F$355,MATCH($C722,Deals!$A$2:$A$355,0)),"?"))</f>
        <v/>
      </c>
      <c r="F722" s="31" t="n"/>
      <c r="G722" s="31" t="n"/>
      <c r="H722" s="31" t="n"/>
      <c r="I722" s="32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1">
        <f>IF($C722="",0,IFERROR(INDEX(Deals!$H$2:$H$355,MATCH($C722,Deals!$A$2:$A$355,0)),0))</f>
        <v/>
      </c>
      <c r="K722" s="32">
        <f>IF(Settings!$B$4="Yes",$I722*$J722,$I722)</f>
        <v/>
      </c>
      <c r="L722" s="22">
        <f>IF($C722="","",IFERROR(IF(INDEX(Deals!$I$2:$I$355,MATCH($C722,Deals!$A$2:$A$355,0))=0,"",INDEX(Deals!$I$2:$I$355,MATCH($C722,Deals!$A$2:$A$355,0))),""))</f>
        <v/>
      </c>
      <c r="M722" s="22">
        <f>IF($C722="","",IFERROR(IF(INDEX(Deals!$J$2:$J$355,MATCH($C722,Deals!$A$2:$A$355,0))=0,"",INDEX(Deals!$J$2:$J$355,MATCH($C722,Deals!$A$2:$A$355,0))),""))</f>
        <v/>
      </c>
      <c r="N722" s="35">
        <f>IF($L722="",DATE(1900,1,1),$L722)</f>
        <v/>
      </c>
      <c r="O722" s="35">
        <f>IF($M722="",DATE(2100,12,31),$M722)</f>
        <v/>
      </c>
      <c r="P722" s="41" t="n"/>
      <c r="Q722" s="31" t="n"/>
      <c r="R722" s="16">
        <f>IF($C722="","",IFERROR(IF(INDEX(Deals!$U$2:$U$355,MATCH($C722,Deals!$A$2:$A$355,0))=0,"",INDEX(Deals!$U$2:$U$355,MATCH($C722,Deals!$A$2:$A$355,0))),""))</f>
        <v/>
      </c>
      <c r="S722" s="34">
        <f>IFERROR(IF($U722="",1,INDEX(Deals!$V$2:$V$355,MATCH($C722,Deals!$A$2:$A$355,0))),1)</f>
        <v/>
      </c>
      <c r="T722" s="34">
        <f>IFERROR(IF($U722="",1,INDEX(Deals!$W$2:$W$355,MATCH($C722,Deals!$A$2:$A$355,0))),1)</f>
        <v/>
      </c>
      <c r="U722" s="22">
        <f>IF($C722="","",IFERROR(IF(INDEX(Deals!$Y$2:$Y$355,MATCH($C722,Deals!$A$2:$A$355,0))=0,"",INDEX(Deals!$Y$2:$Y$355,MATCH($C722,Deals!$A$2:$A$355,0))),""))</f>
        <v/>
      </c>
      <c r="V722" s="35">
        <f>IF($U722="",DATE(1900,1,1),$N722)</f>
        <v/>
      </c>
      <c r="W722" s="35">
        <f>IF($U722="",DATE(2100,12,31),$U722)</f>
        <v/>
      </c>
      <c r="X722" s="32">
        <f>IF($U722="",$K722,$K722*$S722)</f>
        <v/>
      </c>
      <c r="Y722" s="35">
        <f>IF($U722="",DATE(2100,12,31),$U722+1)</f>
        <v/>
      </c>
      <c r="Z722" s="35">
        <f>IF($U722="",DATE(1900,1,1),$O722)</f>
        <v/>
      </c>
      <c r="AA722" s="32">
        <f>IF($U722="",0,$K722*$T722)</f>
        <v/>
      </c>
      <c r="AB722" s="21">
        <f>IF($C722="",0,IFERROR(INDEX(Deals!$AD$2:$AD$355,MATCH($C722,Deals!$A$2:$A$355,0)),0))</f>
        <v/>
      </c>
      <c r="AC722" s="32">
        <f>IF(Settings!$B$4="Yes",$I722*$AB722,$I722)</f>
        <v/>
      </c>
      <c r="AD722" s="22">
        <f>IF($C722="","",IFERROR(IF(INDEX(Deals!$AE$2:$AE$355,MATCH($C722,Deals!$A$2:$A$355,0))=0,"",INDEX(Deals!$AE$2:$AE$355,MATCH($C722,Deals!$A$2:$A$355,0))),""))</f>
        <v/>
      </c>
      <c r="AE722" s="22">
        <f>IF($C722="","",IFERROR(IF(INDEX(Deals!$AF$2:$AF$355,MATCH($C722,Deals!$A$2:$A$355,0))=0,"",INDEX(Deals!$AF$2:$AF$355,MATCH($C722,Deals!$A$2:$A$355,0))),""))</f>
        <v/>
      </c>
      <c r="AF722" s="35">
        <f>IF($AD722="",DATE(1900,1,1),$AD722)</f>
        <v/>
      </c>
      <c r="AG722" s="35">
        <f>IF($AE722="",DATE(2100,12,31),$AE722)</f>
        <v/>
      </c>
      <c r="AH722" s="22">
        <f>IF($C722="","",IFERROR(IF(INDEX(Deals!$AG$2:$AG$355,MATCH($C722,Deals!$A$2:$A$355,0))=0,"",INDEX(Deals!$AG$2:$AG$355,MATCH($C722,Deals!$A$2:$A$355,0))),""))</f>
        <v/>
      </c>
      <c r="AI722" s="35">
        <f>IF($AH722="",DATE(1900,1,1),$AF722)</f>
        <v/>
      </c>
      <c r="AJ722" s="35">
        <f>IF($AH722="",DATE(2100,12,31),$AH722)</f>
        <v/>
      </c>
      <c r="AK722" s="32">
        <f>IF($AH722="",$AC722,$AC722*$S722)</f>
        <v/>
      </c>
      <c r="AL722" s="35">
        <f>IF($AH722="",DATE(2100,12,31),$AH722+1)</f>
        <v/>
      </c>
      <c r="AM722" s="35">
        <f>IF($AH722="",DATE(1900,1,1),$AG722)</f>
        <v/>
      </c>
      <c r="AN722" s="32">
        <f>IF($AH722="",0,$AC722*$T722)</f>
        <v/>
      </c>
    </row>
    <row r="723">
      <c r="A723" s="31" t="n"/>
      <c r="B723" s="16">
        <f>IF($A723="","",IFERROR(INDEX(Roster!$B$2:$B$40,MATCH($A723,Roster!$A$2:$A$40,0)),"?"))</f>
        <v/>
      </c>
      <c r="C723" s="31" t="n"/>
      <c r="D723" s="16">
        <f>IF($C723="","",IFERROR(IF(INDEX(Deals!$C$2:$C$355,MATCH($C723,Deals!$A$2:$A$355,0))=0,"",INDEX(Deals!$C$2:$C$355,MATCH($C723,Deals!$A$2:$A$355,0))),"?"))</f>
        <v/>
      </c>
      <c r="E723" s="16">
        <f>IF($C723="","",IFERROR(INDEX(Deals!$F$2:$F$355,MATCH($C723,Deals!$A$2:$A$355,0)),"?"))</f>
        <v/>
      </c>
      <c r="F723" s="31" t="n"/>
      <c r="G723" s="31" t="n"/>
      <c r="H723" s="31" t="n"/>
      <c r="I723" s="32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1">
        <f>IF($C723="",0,IFERROR(INDEX(Deals!$H$2:$H$355,MATCH($C723,Deals!$A$2:$A$355,0)),0))</f>
        <v/>
      </c>
      <c r="K723" s="32">
        <f>IF(Settings!$B$4="Yes",$I723*$J723,$I723)</f>
        <v/>
      </c>
      <c r="L723" s="22">
        <f>IF($C723="","",IFERROR(IF(INDEX(Deals!$I$2:$I$355,MATCH($C723,Deals!$A$2:$A$355,0))=0,"",INDEX(Deals!$I$2:$I$355,MATCH($C723,Deals!$A$2:$A$355,0))),""))</f>
        <v/>
      </c>
      <c r="M723" s="22">
        <f>IF($C723="","",IFERROR(IF(INDEX(Deals!$J$2:$J$355,MATCH($C723,Deals!$A$2:$A$355,0))=0,"",INDEX(Deals!$J$2:$J$355,MATCH($C723,Deals!$A$2:$A$355,0))),""))</f>
        <v/>
      </c>
      <c r="N723" s="35">
        <f>IF($L723="",DATE(1900,1,1),$L723)</f>
        <v/>
      </c>
      <c r="O723" s="35">
        <f>IF($M723="",DATE(2100,12,31),$M723)</f>
        <v/>
      </c>
      <c r="P723" s="41" t="n"/>
      <c r="Q723" s="31" t="n"/>
      <c r="R723" s="16">
        <f>IF($C723="","",IFERROR(IF(INDEX(Deals!$U$2:$U$355,MATCH($C723,Deals!$A$2:$A$355,0))=0,"",INDEX(Deals!$U$2:$U$355,MATCH($C723,Deals!$A$2:$A$355,0))),""))</f>
        <v/>
      </c>
      <c r="S723" s="34">
        <f>IFERROR(IF($U723="",1,INDEX(Deals!$V$2:$V$355,MATCH($C723,Deals!$A$2:$A$355,0))),1)</f>
        <v/>
      </c>
      <c r="T723" s="34">
        <f>IFERROR(IF($U723="",1,INDEX(Deals!$W$2:$W$355,MATCH($C723,Deals!$A$2:$A$355,0))),1)</f>
        <v/>
      </c>
      <c r="U723" s="22">
        <f>IF($C723="","",IFERROR(IF(INDEX(Deals!$Y$2:$Y$355,MATCH($C723,Deals!$A$2:$A$355,0))=0,"",INDEX(Deals!$Y$2:$Y$355,MATCH($C723,Deals!$A$2:$A$355,0))),""))</f>
        <v/>
      </c>
      <c r="V723" s="35">
        <f>IF($U723="",DATE(1900,1,1),$N723)</f>
        <v/>
      </c>
      <c r="W723" s="35">
        <f>IF($U723="",DATE(2100,12,31),$U723)</f>
        <v/>
      </c>
      <c r="X723" s="32">
        <f>IF($U723="",$K723,$K723*$S723)</f>
        <v/>
      </c>
      <c r="Y723" s="35">
        <f>IF($U723="",DATE(2100,12,31),$U723+1)</f>
        <v/>
      </c>
      <c r="Z723" s="35">
        <f>IF($U723="",DATE(1900,1,1),$O723)</f>
        <v/>
      </c>
      <c r="AA723" s="32">
        <f>IF($U723="",0,$K723*$T723)</f>
        <v/>
      </c>
      <c r="AB723" s="21">
        <f>IF($C723="",0,IFERROR(INDEX(Deals!$AD$2:$AD$355,MATCH($C723,Deals!$A$2:$A$355,0)),0))</f>
        <v/>
      </c>
      <c r="AC723" s="32">
        <f>IF(Settings!$B$4="Yes",$I723*$AB723,$I723)</f>
        <v/>
      </c>
      <c r="AD723" s="22">
        <f>IF($C723="","",IFERROR(IF(INDEX(Deals!$AE$2:$AE$355,MATCH($C723,Deals!$A$2:$A$355,0))=0,"",INDEX(Deals!$AE$2:$AE$355,MATCH($C723,Deals!$A$2:$A$355,0))),""))</f>
        <v/>
      </c>
      <c r="AE723" s="22">
        <f>IF($C723="","",IFERROR(IF(INDEX(Deals!$AF$2:$AF$355,MATCH($C723,Deals!$A$2:$A$355,0))=0,"",INDEX(Deals!$AF$2:$AF$355,MATCH($C723,Deals!$A$2:$A$355,0))),""))</f>
        <v/>
      </c>
      <c r="AF723" s="35">
        <f>IF($AD723="",DATE(1900,1,1),$AD723)</f>
        <v/>
      </c>
      <c r="AG723" s="35">
        <f>IF($AE723="",DATE(2100,12,31),$AE723)</f>
        <v/>
      </c>
      <c r="AH723" s="22">
        <f>IF($C723="","",IFERROR(IF(INDEX(Deals!$AG$2:$AG$355,MATCH($C723,Deals!$A$2:$A$355,0))=0,"",INDEX(Deals!$AG$2:$AG$355,MATCH($C723,Deals!$A$2:$A$355,0))),""))</f>
        <v/>
      </c>
      <c r="AI723" s="35">
        <f>IF($AH723="",DATE(1900,1,1),$AF723)</f>
        <v/>
      </c>
      <c r="AJ723" s="35">
        <f>IF($AH723="",DATE(2100,12,31),$AH723)</f>
        <v/>
      </c>
      <c r="AK723" s="32">
        <f>IF($AH723="",$AC723,$AC723*$S723)</f>
        <v/>
      </c>
      <c r="AL723" s="35">
        <f>IF($AH723="",DATE(2100,12,31),$AH723+1)</f>
        <v/>
      </c>
      <c r="AM723" s="35">
        <f>IF($AH723="",DATE(1900,1,1),$AG723)</f>
        <v/>
      </c>
      <c r="AN723" s="32">
        <f>IF($AH723="",0,$AC723*$T723)</f>
        <v/>
      </c>
    </row>
    <row r="724">
      <c r="A724" s="31" t="n"/>
      <c r="B724" s="16">
        <f>IF($A724="","",IFERROR(INDEX(Roster!$B$2:$B$40,MATCH($A724,Roster!$A$2:$A$40,0)),"?"))</f>
        <v/>
      </c>
      <c r="C724" s="31" t="n"/>
      <c r="D724" s="16">
        <f>IF($C724="","",IFERROR(IF(INDEX(Deals!$C$2:$C$355,MATCH($C724,Deals!$A$2:$A$355,0))=0,"",INDEX(Deals!$C$2:$C$355,MATCH($C724,Deals!$A$2:$A$355,0))),"?"))</f>
        <v/>
      </c>
      <c r="E724" s="16">
        <f>IF($C724="","",IFERROR(INDEX(Deals!$F$2:$F$355,MATCH($C724,Deals!$A$2:$A$355,0)),"?"))</f>
        <v/>
      </c>
      <c r="F724" s="31" t="n"/>
      <c r="G724" s="31" t="n"/>
      <c r="H724" s="31" t="n"/>
      <c r="I724" s="32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1">
        <f>IF($C724="",0,IFERROR(INDEX(Deals!$H$2:$H$355,MATCH($C724,Deals!$A$2:$A$355,0)),0))</f>
        <v/>
      </c>
      <c r="K724" s="32">
        <f>IF(Settings!$B$4="Yes",$I724*$J724,$I724)</f>
        <v/>
      </c>
      <c r="L724" s="22">
        <f>IF($C724="","",IFERROR(IF(INDEX(Deals!$I$2:$I$355,MATCH($C724,Deals!$A$2:$A$355,0))=0,"",INDEX(Deals!$I$2:$I$355,MATCH($C724,Deals!$A$2:$A$355,0))),""))</f>
        <v/>
      </c>
      <c r="M724" s="22">
        <f>IF($C724="","",IFERROR(IF(INDEX(Deals!$J$2:$J$355,MATCH($C724,Deals!$A$2:$A$355,0))=0,"",INDEX(Deals!$J$2:$J$355,MATCH($C724,Deals!$A$2:$A$355,0))),""))</f>
        <v/>
      </c>
      <c r="N724" s="35">
        <f>IF($L724="",DATE(1900,1,1),$L724)</f>
        <v/>
      </c>
      <c r="O724" s="35">
        <f>IF($M724="",DATE(2100,12,31),$M724)</f>
        <v/>
      </c>
      <c r="P724" s="41" t="n"/>
      <c r="Q724" s="31" t="n"/>
      <c r="R724" s="16">
        <f>IF($C724="","",IFERROR(IF(INDEX(Deals!$U$2:$U$355,MATCH($C724,Deals!$A$2:$A$355,0))=0,"",INDEX(Deals!$U$2:$U$355,MATCH($C724,Deals!$A$2:$A$355,0))),""))</f>
        <v/>
      </c>
      <c r="S724" s="34">
        <f>IFERROR(IF($U724="",1,INDEX(Deals!$V$2:$V$355,MATCH($C724,Deals!$A$2:$A$355,0))),1)</f>
        <v/>
      </c>
      <c r="T724" s="34">
        <f>IFERROR(IF($U724="",1,INDEX(Deals!$W$2:$W$355,MATCH($C724,Deals!$A$2:$A$355,0))),1)</f>
        <v/>
      </c>
      <c r="U724" s="22">
        <f>IF($C724="","",IFERROR(IF(INDEX(Deals!$Y$2:$Y$355,MATCH($C724,Deals!$A$2:$A$355,0))=0,"",INDEX(Deals!$Y$2:$Y$355,MATCH($C724,Deals!$A$2:$A$355,0))),""))</f>
        <v/>
      </c>
      <c r="V724" s="35">
        <f>IF($U724="",DATE(1900,1,1),$N724)</f>
        <v/>
      </c>
      <c r="W724" s="35">
        <f>IF($U724="",DATE(2100,12,31),$U724)</f>
        <v/>
      </c>
      <c r="X724" s="32">
        <f>IF($U724="",$K724,$K724*$S724)</f>
        <v/>
      </c>
      <c r="Y724" s="35">
        <f>IF($U724="",DATE(2100,12,31),$U724+1)</f>
        <v/>
      </c>
      <c r="Z724" s="35">
        <f>IF($U724="",DATE(1900,1,1),$O724)</f>
        <v/>
      </c>
      <c r="AA724" s="32">
        <f>IF($U724="",0,$K724*$T724)</f>
        <v/>
      </c>
      <c r="AB724" s="21">
        <f>IF($C724="",0,IFERROR(INDEX(Deals!$AD$2:$AD$355,MATCH($C724,Deals!$A$2:$A$355,0)),0))</f>
        <v/>
      </c>
      <c r="AC724" s="32">
        <f>IF(Settings!$B$4="Yes",$I724*$AB724,$I724)</f>
        <v/>
      </c>
      <c r="AD724" s="22">
        <f>IF($C724="","",IFERROR(IF(INDEX(Deals!$AE$2:$AE$355,MATCH($C724,Deals!$A$2:$A$355,0))=0,"",INDEX(Deals!$AE$2:$AE$355,MATCH($C724,Deals!$A$2:$A$355,0))),""))</f>
        <v/>
      </c>
      <c r="AE724" s="22">
        <f>IF($C724="","",IFERROR(IF(INDEX(Deals!$AF$2:$AF$355,MATCH($C724,Deals!$A$2:$A$355,0))=0,"",INDEX(Deals!$AF$2:$AF$355,MATCH($C724,Deals!$A$2:$A$355,0))),""))</f>
        <v/>
      </c>
      <c r="AF724" s="35">
        <f>IF($AD724="",DATE(1900,1,1),$AD724)</f>
        <v/>
      </c>
      <c r="AG724" s="35">
        <f>IF($AE724="",DATE(2100,12,31),$AE724)</f>
        <v/>
      </c>
      <c r="AH724" s="22">
        <f>IF($C724="","",IFERROR(IF(INDEX(Deals!$AG$2:$AG$355,MATCH($C724,Deals!$A$2:$A$355,0))=0,"",INDEX(Deals!$AG$2:$AG$355,MATCH($C724,Deals!$A$2:$A$355,0))),""))</f>
        <v/>
      </c>
      <c r="AI724" s="35">
        <f>IF($AH724="",DATE(1900,1,1),$AF724)</f>
        <v/>
      </c>
      <c r="AJ724" s="35">
        <f>IF($AH724="",DATE(2100,12,31),$AH724)</f>
        <v/>
      </c>
      <c r="AK724" s="32">
        <f>IF($AH724="",$AC724,$AC724*$S724)</f>
        <v/>
      </c>
      <c r="AL724" s="35">
        <f>IF($AH724="",DATE(2100,12,31),$AH724+1)</f>
        <v/>
      </c>
      <c r="AM724" s="35">
        <f>IF($AH724="",DATE(1900,1,1),$AG724)</f>
        <v/>
      </c>
      <c r="AN724" s="32">
        <f>IF($AH724="",0,$AC724*$T724)</f>
        <v/>
      </c>
    </row>
    <row r="725">
      <c r="A725" s="31" t="n"/>
      <c r="B725" s="16">
        <f>IF($A725="","",IFERROR(INDEX(Roster!$B$2:$B$40,MATCH($A725,Roster!$A$2:$A$40,0)),"?"))</f>
        <v/>
      </c>
      <c r="C725" s="31" t="n"/>
      <c r="D725" s="16">
        <f>IF($C725="","",IFERROR(IF(INDEX(Deals!$C$2:$C$355,MATCH($C725,Deals!$A$2:$A$355,0))=0,"",INDEX(Deals!$C$2:$C$355,MATCH($C725,Deals!$A$2:$A$355,0))),"?"))</f>
        <v/>
      </c>
      <c r="E725" s="16">
        <f>IF($C725="","",IFERROR(INDEX(Deals!$F$2:$F$355,MATCH($C725,Deals!$A$2:$A$355,0)),"?"))</f>
        <v/>
      </c>
      <c r="F725" s="31" t="n"/>
      <c r="G725" s="31" t="n"/>
      <c r="H725" s="31" t="n"/>
      <c r="I725" s="32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1">
        <f>IF($C725="",0,IFERROR(INDEX(Deals!$H$2:$H$355,MATCH($C725,Deals!$A$2:$A$355,0)),0))</f>
        <v/>
      </c>
      <c r="K725" s="32">
        <f>IF(Settings!$B$4="Yes",$I725*$J725,$I725)</f>
        <v/>
      </c>
      <c r="L725" s="22">
        <f>IF($C725="","",IFERROR(IF(INDEX(Deals!$I$2:$I$355,MATCH($C725,Deals!$A$2:$A$355,0))=0,"",INDEX(Deals!$I$2:$I$355,MATCH($C725,Deals!$A$2:$A$355,0))),""))</f>
        <v/>
      </c>
      <c r="M725" s="22">
        <f>IF($C725="","",IFERROR(IF(INDEX(Deals!$J$2:$J$355,MATCH($C725,Deals!$A$2:$A$355,0))=0,"",INDEX(Deals!$J$2:$J$355,MATCH($C725,Deals!$A$2:$A$355,0))),""))</f>
        <v/>
      </c>
      <c r="N725" s="35">
        <f>IF($L725="",DATE(1900,1,1),$L725)</f>
        <v/>
      </c>
      <c r="O725" s="35">
        <f>IF($M725="",DATE(2100,12,31),$M725)</f>
        <v/>
      </c>
      <c r="P725" s="41" t="n"/>
      <c r="Q725" s="31" t="n"/>
      <c r="R725" s="16">
        <f>IF($C725="","",IFERROR(IF(INDEX(Deals!$U$2:$U$355,MATCH($C725,Deals!$A$2:$A$355,0))=0,"",INDEX(Deals!$U$2:$U$355,MATCH($C725,Deals!$A$2:$A$355,0))),""))</f>
        <v/>
      </c>
      <c r="S725" s="34">
        <f>IFERROR(IF($U725="",1,INDEX(Deals!$V$2:$V$355,MATCH($C725,Deals!$A$2:$A$355,0))),1)</f>
        <v/>
      </c>
      <c r="T725" s="34">
        <f>IFERROR(IF($U725="",1,INDEX(Deals!$W$2:$W$355,MATCH($C725,Deals!$A$2:$A$355,0))),1)</f>
        <v/>
      </c>
      <c r="U725" s="22">
        <f>IF($C725="","",IFERROR(IF(INDEX(Deals!$Y$2:$Y$355,MATCH($C725,Deals!$A$2:$A$355,0))=0,"",INDEX(Deals!$Y$2:$Y$355,MATCH($C725,Deals!$A$2:$A$355,0))),""))</f>
        <v/>
      </c>
      <c r="V725" s="35">
        <f>IF($U725="",DATE(1900,1,1),$N725)</f>
        <v/>
      </c>
      <c r="W725" s="35">
        <f>IF($U725="",DATE(2100,12,31),$U725)</f>
        <v/>
      </c>
      <c r="X725" s="32">
        <f>IF($U725="",$K725,$K725*$S725)</f>
        <v/>
      </c>
      <c r="Y725" s="35">
        <f>IF($U725="",DATE(2100,12,31),$U725+1)</f>
        <v/>
      </c>
      <c r="Z725" s="35">
        <f>IF($U725="",DATE(1900,1,1),$O725)</f>
        <v/>
      </c>
      <c r="AA725" s="32">
        <f>IF($U725="",0,$K725*$T725)</f>
        <v/>
      </c>
      <c r="AB725" s="21">
        <f>IF($C725="",0,IFERROR(INDEX(Deals!$AD$2:$AD$355,MATCH($C725,Deals!$A$2:$A$355,0)),0))</f>
        <v/>
      </c>
      <c r="AC725" s="32">
        <f>IF(Settings!$B$4="Yes",$I725*$AB725,$I725)</f>
        <v/>
      </c>
      <c r="AD725" s="22">
        <f>IF($C725="","",IFERROR(IF(INDEX(Deals!$AE$2:$AE$355,MATCH($C725,Deals!$A$2:$A$355,0))=0,"",INDEX(Deals!$AE$2:$AE$355,MATCH($C725,Deals!$A$2:$A$355,0))),""))</f>
        <v/>
      </c>
      <c r="AE725" s="22">
        <f>IF($C725="","",IFERROR(IF(INDEX(Deals!$AF$2:$AF$355,MATCH($C725,Deals!$A$2:$A$355,0))=0,"",INDEX(Deals!$AF$2:$AF$355,MATCH($C725,Deals!$A$2:$A$355,0))),""))</f>
        <v/>
      </c>
      <c r="AF725" s="35">
        <f>IF($AD725="",DATE(1900,1,1),$AD725)</f>
        <v/>
      </c>
      <c r="AG725" s="35">
        <f>IF($AE725="",DATE(2100,12,31),$AE725)</f>
        <v/>
      </c>
      <c r="AH725" s="22">
        <f>IF($C725="","",IFERROR(IF(INDEX(Deals!$AG$2:$AG$355,MATCH($C725,Deals!$A$2:$A$355,0))=0,"",INDEX(Deals!$AG$2:$AG$355,MATCH($C725,Deals!$A$2:$A$355,0))),""))</f>
        <v/>
      </c>
      <c r="AI725" s="35">
        <f>IF($AH725="",DATE(1900,1,1),$AF725)</f>
        <v/>
      </c>
      <c r="AJ725" s="35">
        <f>IF($AH725="",DATE(2100,12,31),$AH725)</f>
        <v/>
      </c>
      <c r="AK725" s="32">
        <f>IF($AH725="",$AC725,$AC725*$S725)</f>
        <v/>
      </c>
      <c r="AL725" s="35">
        <f>IF($AH725="",DATE(2100,12,31),$AH725+1)</f>
        <v/>
      </c>
      <c r="AM725" s="35">
        <f>IF($AH725="",DATE(1900,1,1),$AG725)</f>
        <v/>
      </c>
      <c r="AN725" s="32">
        <f>IF($AH725="",0,$AC725*$T725)</f>
        <v/>
      </c>
    </row>
    <row r="726">
      <c r="A726" s="31" t="n"/>
      <c r="B726" s="16">
        <f>IF($A726="","",IFERROR(INDEX(Roster!$B$2:$B$40,MATCH($A726,Roster!$A$2:$A$40,0)),"?"))</f>
        <v/>
      </c>
      <c r="C726" s="31" t="n"/>
      <c r="D726" s="16">
        <f>IF($C726="","",IFERROR(IF(INDEX(Deals!$C$2:$C$355,MATCH($C726,Deals!$A$2:$A$355,0))=0,"",INDEX(Deals!$C$2:$C$355,MATCH($C726,Deals!$A$2:$A$355,0))),"?"))</f>
        <v/>
      </c>
      <c r="E726" s="16">
        <f>IF($C726="","",IFERROR(INDEX(Deals!$F$2:$F$355,MATCH($C726,Deals!$A$2:$A$355,0)),"?"))</f>
        <v/>
      </c>
      <c r="F726" s="31" t="n"/>
      <c r="G726" s="31" t="n"/>
      <c r="H726" s="31" t="n"/>
      <c r="I726" s="32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1">
        <f>IF($C726="",0,IFERROR(INDEX(Deals!$H$2:$H$355,MATCH($C726,Deals!$A$2:$A$355,0)),0))</f>
        <v/>
      </c>
      <c r="K726" s="32">
        <f>IF(Settings!$B$4="Yes",$I726*$J726,$I726)</f>
        <v/>
      </c>
      <c r="L726" s="22">
        <f>IF($C726="","",IFERROR(IF(INDEX(Deals!$I$2:$I$355,MATCH($C726,Deals!$A$2:$A$355,0))=0,"",INDEX(Deals!$I$2:$I$355,MATCH($C726,Deals!$A$2:$A$355,0))),""))</f>
        <v/>
      </c>
      <c r="M726" s="22">
        <f>IF($C726="","",IFERROR(IF(INDEX(Deals!$J$2:$J$355,MATCH($C726,Deals!$A$2:$A$355,0))=0,"",INDEX(Deals!$J$2:$J$355,MATCH($C726,Deals!$A$2:$A$355,0))),""))</f>
        <v/>
      </c>
      <c r="N726" s="35">
        <f>IF($L726="",DATE(1900,1,1),$L726)</f>
        <v/>
      </c>
      <c r="O726" s="35">
        <f>IF($M726="",DATE(2100,12,31),$M726)</f>
        <v/>
      </c>
      <c r="P726" s="41" t="n"/>
      <c r="Q726" s="31" t="n"/>
      <c r="R726" s="16">
        <f>IF($C726="","",IFERROR(IF(INDEX(Deals!$U$2:$U$355,MATCH($C726,Deals!$A$2:$A$355,0))=0,"",INDEX(Deals!$U$2:$U$355,MATCH($C726,Deals!$A$2:$A$355,0))),""))</f>
        <v/>
      </c>
      <c r="S726" s="34">
        <f>IFERROR(IF($U726="",1,INDEX(Deals!$V$2:$V$355,MATCH($C726,Deals!$A$2:$A$355,0))),1)</f>
        <v/>
      </c>
      <c r="T726" s="34">
        <f>IFERROR(IF($U726="",1,INDEX(Deals!$W$2:$W$355,MATCH($C726,Deals!$A$2:$A$355,0))),1)</f>
        <v/>
      </c>
      <c r="U726" s="22">
        <f>IF($C726="","",IFERROR(IF(INDEX(Deals!$Y$2:$Y$355,MATCH($C726,Deals!$A$2:$A$355,0))=0,"",INDEX(Deals!$Y$2:$Y$355,MATCH($C726,Deals!$A$2:$A$355,0))),""))</f>
        <v/>
      </c>
      <c r="V726" s="35">
        <f>IF($U726="",DATE(1900,1,1),$N726)</f>
        <v/>
      </c>
      <c r="W726" s="35">
        <f>IF($U726="",DATE(2100,12,31),$U726)</f>
        <v/>
      </c>
      <c r="X726" s="32">
        <f>IF($U726="",$K726,$K726*$S726)</f>
        <v/>
      </c>
      <c r="Y726" s="35">
        <f>IF($U726="",DATE(2100,12,31),$U726+1)</f>
        <v/>
      </c>
      <c r="Z726" s="35">
        <f>IF($U726="",DATE(1900,1,1),$O726)</f>
        <v/>
      </c>
      <c r="AA726" s="32">
        <f>IF($U726="",0,$K726*$T726)</f>
        <v/>
      </c>
      <c r="AB726" s="21">
        <f>IF($C726="",0,IFERROR(INDEX(Deals!$AD$2:$AD$355,MATCH($C726,Deals!$A$2:$A$355,0)),0))</f>
        <v/>
      </c>
      <c r="AC726" s="32">
        <f>IF(Settings!$B$4="Yes",$I726*$AB726,$I726)</f>
        <v/>
      </c>
      <c r="AD726" s="22">
        <f>IF($C726="","",IFERROR(IF(INDEX(Deals!$AE$2:$AE$355,MATCH($C726,Deals!$A$2:$A$355,0))=0,"",INDEX(Deals!$AE$2:$AE$355,MATCH($C726,Deals!$A$2:$A$355,0))),""))</f>
        <v/>
      </c>
      <c r="AE726" s="22">
        <f>IF($C726="","",IFERROR(IF(INDEX(Deals!$AF$2:$AF$355,MATCH($C726,Deals!$A$2:$A$355,0))=0,"",INDEX(Deals!$AF$2:$AF$355,MATCH($C726,Deals!$A$2:$A$355,0))),""))</f>
        <v/>
      </c>
      <c r="AF726" s="35">
        <f>IF($AD726="",DATE(1900,1,1),$AD726)</f>
        <v/>
      </c>
      <c r="AG726" s="35">
        <f>IF($AE726="",DATE(2100,12,31),$AE726)</f>
        <v/>
      </c>
      <c r="AH726" s="22">
        <f>IF($C726="","",IFERROR(IF(INDEX(Deals!$AG$2:$AG$355,MATCH($C726,Deals!$A$2:$A$355,0))=0,"",INDEX(Deals!$AG$2:$AG$355,MATCH($C726,Deals!$A$2:$A$355,0))),""))</f>
        <v/>
      </c>
      <c r="AI726" s="35">
        <f>IF($AH726="",DATE(1900,1,1),$AF726)</f>
        <v/>
      </c>
      <c r="AJ726" s="35">
        <f>IF($AH726="",DATE(2100,12,31),$AH726)</f>
        <v/>
      </c>
      <c r="AK726" s="32">
        <f>IF($AH726="",$AC726,$AC726*$S726)</f>
        <v/>
      </c>
      <c r="AL726" s="35">
        <f>IF($AH726="",DATE(2100,12,31),$AH726+1)</f>
        <v/>
      </c>
      <c r="AM726" s="35">
        <f>IF($AH726="",DATE(1900,1,1),$AG726)</f>
        <v/>
      </c>
      <c r="AN726" s="32">
        <f>IF($AH726="",0,$AC726*$T726)</f>
        <v/>
      </c>
    </row>
    <row r="727">
      <c r="A727" s="31" t="n"/>
      <c r="B727" s="16">
        <f>IF($A727="","",IFERROR(INDEX(Roster!$B$2:$B$40,MATCH($A727,Roster!$A$2:$A$40,0)),"?"))</f>
        <v/>
      </c>
      <c r="C727" s="31" t="n"/>
      <c r="D727" s="16">
        <f>IF($C727="","",IFERROR(IF(INDEX(Deals!$C$2:$C$355,MATCH($C727,Deals!$A$2:$A$355,0))=0,"",INDEX(Deals!$C$2:$C$355,MATCH($C727,Deals!$A$2:$A$355,0))),"?"))</f>
        <v/>
      </c>
      <c r="E727" s="16">
        <f>IF($C727="","",IFERROR(INDEX(Deals!$F$2:$F$355,MATCH($C727,Deals!$A$2:$A$355,0)),"?"))</f>
        <v/>
      </c>
      <c r="F727" s="31" t="n"/>
      <c r="G727" s="31" t="n"/>
      <c r="H727" s="31" t="n"/>
      <c r="I727" s="32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1">
        <f>IF($C727="",0,IFERROR(INDEX(Deals!$H$2:$H$355,MATCH($C727,Deals!$A$2:$A$355,0)),0))</f>
        <v/>
      </c>
      <c r="K727" s="32">
        <f>IF(Settings!$B$4="Yes",$I727*$J727,$I727)</f>
        <v/>
      </c>
      <c r="L727" s="22">
        <f>IF($C727="","",IFERROR(IF(INDEX(Deals!$I$2:$I$355,MATCH($C727,Deals!$A$2:$A$355,0))=0,"",INDEX(Deals!$I$2:$I$355,MATCH($C727,Deals!$A$2:$A$355,0))),""))</f>
        <v/>
      </c>
      <c r="M727" s="22">
        <f>IF($C727="","",IFERROR(IF(INDEX(Deals!$J$2:$J$355,MATCH($C727,Deals!$A$2:$A$355,0))=0,"",INDEX(Deals!$J$2:$J$355,MATCH($C727,Deals!$A$2:$A$355,0))),""))</f>
        <v/>
      </c>
      <c r="N727" s="35">
        <f>IF($L727="",DATE(1900,1,1),$L727)</f>
        <v/>
      </c>
      <c r="O727" s="35">
        <f>IF($M727="",DATE(2100,12,31),$M727)</f>
        <v/>
      </c>
      <c r="P727" s="41" t="n"/>
      <c r="Q727" s="31" t="n"/>
      <c r="R727" s="16">
        <f>IF($C727="","",IFERROR(IF(INDEX(Deals!$U$2:$U$355,MATCH($C727,Deals!$A$2:$A$355,0))=0,"",INDEX(Deals!$U$2:$U$355,MATCH($C727,Deals!$A$2:$A$355,0))),""))</f>
        <v/>
      </c>
      <c r="S727" s="34">
        <f>IFERROR(IF($U727="",1,INDEX(Deals!$V$2:$V$355,MATCH($C727,Deals!$A$2:$A$355,0))),1)</f>
        <v/>
      </c>
      <c r="T727" s="34">
        <f>IFERROR(IF($U727="",1,INDEX(Deals!$W$2:$W$355,MATCH($C727,Deals!$A$2:$A$355,0))),1)</f>
        <v/>
      </c>
      <c r="U727" s="22">
        <f>IF($C727="","",IFERROR(IF(INDEX(Deals!$Y$2:$Y$355,MATCH($C727,Deals!$A$2:$A$355,0))=0,"",INDEX(Deals!$Y$2:$Y$355,MATCH($C727,Deals!$A$2:$A$355,0))),""))</f>
        <v/>
      </c>
      <c r="V727" s="35">
        <f>IF($U727="",DATE(1900,1,1),$N727)</f>
        <v/>
      </c>
      <c r="W727" s="35">
        <f>IF($U727="",DATE(2100,12,31),$U727)</f>
        <v/>
      </c>
      <c r="X727" s="32">
        <f>IF($U727="",$K727,$K727*$S727)</f>
        <v/>
      </c>
      <c r="Y727" s="35">
        <f>IF($U727="",DATE(2100,12,31),$U727+1)</f>
        <v/>
      </c>
      <c r="Z727" s="35">
        <f>IF($U727="",DATE(1900,1,1),$O727)</f>
        <v/>
      </c>
      <c r="AA727" s="32">
        <f>IF($U727="",0,$K727*$T727)</f>
        <v/>
      </c>
      <c r="AB727" s="21">
        <f>IF($C727="",0,IFERROR(INDEX(Deals!$AD$2:$AD$355,MATCH($C727,Deals!$A$2:$A$355,0)),0))</f>
        <v/>
      </c>
      <c r="AC727" s="32">
        <f>IF(Settings!$B$4="Yes",$I727*$AB727,$I727)</f>
        <v/>
      </c>
      <c r="AD727" s="22">
        <f>IF($C727="","",IFERROR(IF(INDEX(Deals!$AE$2:$AE$355,MATCH($C727,Deals!$A$2:$A$355,0))=0,"",INDEX(Deals!$AE$2:$AE$355,MATCH($C727,Deals!$A$2:$A$355,0))),""))</f>
        <v/>
      </c>
      <c r="AE727" s="22">
        <f>IF($C727="","",IFERROR(IF(INDEX(Deals!$AF$2:$AF$355,MATCH($C727,Deals!$A$2:$A$355,0))=0,"",INDEX(Deals!$AF$2:$AF$355,MATCH($C727,Deals!$A$2:$A$355,0))),""))</f>
        <v/>
      </c>
      <c r="AF727" s="35">
        <f>IF($AD727="",DATE(1900,1,1),$AD727)</f>
        <v/>
      </c>
      <c r="AG727" s="35">
        <f>IF($AE727="",DATE(2100,12,31),$AE727)</f>
        <v/>
      </c>
      <c r="AH727" s="22">
        <f>IF($C727="","",IFERROR(IF(INDEX(Deals!$AG$2:$AG$355,MATCH($C727,Deals!$A$2:$A$355,0))=0,"",INDEX(Deals!$AG$2:$AG$355,MATCH($C727,Deals!$A$2:$A$355,0))),""))</f>
        <v/>
      </c>
      <c r="AI727" s="35">
        <f>IF($AH727="",DATE(1900,1,1),$AF727)</f>
        <v/>
      </c>
      <c r="AJ727" s="35">
        <f>IF($AH727="",DATE(2100,12,31),$AH727)</f>
        <v/>
      </c>
      <c r="AK727" s="32">
        <f>IF($AH727="",$AC727,$AC727*$S727)</f>
        <v/>
      </c>
      <c r="AL727" s="35">
        <f>IF($AH727="",DATE(2100,12,31),$AH727+1)</f>
        <v/>
      </c>
      <c r="AM727" s="35">
        <f>IF($AH727="",DATE(1900,1,1),$AG727)</f>
        <v/>
      </c>
      <c r="AN727" s="32">
        <f>IF($AH727="",0,$AC727*$T727)</f>
        <v/>
      </c>
    </row>
    <row r="728">
      <c r="A728" s="31" t="n"/>
      <c r="B728" s="16">
        <f>IF($A728="","",IFERROR(INDEX(Roster!$B$2:$B$40,MATCH($A728,Roster!$A$2:$A$40,0)),"?"))</f>
        <v/>
      </c>
      <c r="C728" s="31" t="n"/>
      <c r="D728" s="16">
        <f>IF($C728="","",IFERROR(IF(INDEX(Deals!$C$2:$C$355,MATCH($C728,Deals!$A$2:$A$355,0))=0,"",INDEX(Deals!$C$2:$C$355,MATCH($C728,Deals!$A$2:$A$355,0))),"?"))</f>
        <v/>
      </c>
      <c r="E728" s="16">
        <f>IF($C728="","",IFERROR(INDEX(Deals!$F$2:$F$355,MATCH($C728,Deals!$A$2:$A$355,0)),"?"))</f>
        <v/>
      </c>
      <c r="F728" s="31" t="n"/>
      <c r="G728" s="31" t="n"/>
      <c r="H728" s="31" t="n"/>
      <c r="I728" s="32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1">
        <f>IF($C728="",0,IFERROR(INDEX(Deals!$H$2:$H$355,MATCH($C728,Deals!$A$2:$A$355,0)),0))</f>
        <v/>
      </c>
      <c r="K728" s="32">
        <f>IF(Settings!$B$4="Yes",$I728*$J728,$I728)</f>
        <v/>
      </c>
      <c r="L728" s="22">
        <f>IF($C728="","",IFERROR(IF(INDEX(Deals!$I$2:$I$355,MATCH($C728,Deals!$A$2:$A$355,0))=0,"",INDEX(Deals!$I$2:$I$355,MATCH($C728,Deals!$A$2:$A$355,0))),""))</f>
        <v/>
      </c>
      <c r="M728" s="22">
        <f>IF($C728="","",IFERROR(IF(INDEX(Deals!$J$2:$J$355,MATCH($C728,Deals!$A$2:$A$355,0))=0,"",INDEX(Deals!$J$2:$J$355,MATCH($C728,Deals!$A$2:$A$355,0))),""))</f>
        <v/>
      </c>
      <c r="N728" s="35">
        <f>IF($L728="",DATE(1900,1,1),$L728)</f>
        <v/>
      </c>
      <c r="O728" s="35">
        <f>IF($M728="",DATE(2100,12,31),$M728)</f>
        <v/>
      </c>
      <c r="P728" s="41" t="n"/>
      <c r="Q728" s="31" t="n"/>
      <c r="R728" s="16">
        <f>IF($C728="","",IFERROR(IF(INDEX(Deals!$U$2:$U$355,MATCH($C728,Deals!$A$2:$A$355,0))=0,"",INDEX(Deals!$U$2:$U$355,MATCH($C728,Deals!$A$2:$A$355,0))),""))</f>
        <v/>
      </c>
      <c r="S728" s="34">
        <f>IFERROR(IF($U728="",1,INDEX(Deals!$V$2:$V$355,MATCH($C728,Deals!$A$2:$A$355,0))),1)</f>
        <v/>
      </c>
      <c r="T728" s="34">
        <f>IFERROR(IF($U728="",1,INDEX(Deals!$W$2:$W$355,MATCH($C728,Deals!$A$2:$A$355,0))),1)</f>
        <v/>
      </c>
      <c r="U728" s="22">
        <f>IF($C728="","",IFERROR(IF(INDEX(Deals!$Y$2:$Y$355,MATCH($C728,Deals!$A$2:$A$355,0))=0,"",INDEX(Deals!$Y$2:$Y$355,MATCH($C728,Deals!$A$2:$A$355,0))),""))</f>
        <v/>
      </c>
      <c r="V728" s="35">
        <f>IF($U728="",DATE(1900,1,1),$N728)</f>
        <v/>
      </c>
      <c r="W728" s="35">
        <f>IF($U728="",DATE(2100,12,31),$U728)</f>
        <v/>
      </c>
      <c r="X728" s="32">
        <f>IF($U728="",$K728,$K728*$S728)</f>
        <v/>
      </c>
      <c r="Y728" s="35">
        <f>IF($U728="",DATE(2100,12,31),$U728+1)</f>
        <v/>
      </c>
      <c r="Z728" s="35">
        <f>IF($U728="",DATE(1900,1,1),$O728)</f>
        <v/>
      </c>
      <c r="AA728" s="32">
        <f>IF($U728="",0,$K728*$T728)</f>
        <v/>
      </c>
      <c r="AB728" s="21">
        <f>IF($C728="",0,IFERROR(INDEX(Deals!$AD$2:$AD$355,MATCH($C728,Deals!$A$2:$A$355,0)),0))</f>
        <v/>
      </c>
      <c r="AC728" s="32">
        <f>IF(Settings!$B$4="Yes",$I728*$AB728,$I728)</f>
        <v/>
      </c>
      <c r="AD728" s="22">
        <f>IF($C728="","",IFERROR(IF(INDEX(Deals!$AE$2:$AE$355,MATCH($C728,Deals!$A$2:$A$355,0))=0,"",INDEX(Deals!$AE$2:$AE$355,MATCH($C728,Deals!$A$2:$A$355,0))),""))</f>
        <v/>
      </c>
      <c r="AE728" s="22">
        <f>IF($C728="","",IFERROR(IF(INDEX(Deals!$AF$2:$AF$355,MATCH($C728,Deals!$A$2:$A$355,0))=0,"",INDEX(Deals!$AF$2:$AF$355,MATCH($C728,Deals!$A$2:$A$355,0))),""))</f>
        <v/>
      </c>
      <c r="AF728" s="35">
        <f>IF($AD728="",DATE(1900,1,1),$AD728)</f>
        <v/>
      </c>
      <c r="AG728" s="35">
        <f>IF($AE728="",DATE(2100,12,31),$AE728)</f>
        <v/>
      </c>
      <c r="AH728" s="22">
        <f>IF($C728="","",IFERROR(IF(INDEX(Deals!$AG$2:$AG$355,MATCH($C728,Deals!$A$2:$A$355,0))=0,"",INDEX(Deals!$AG$2:$AG$355,MATCH($C728,Deals!$A$2:$A$355,0))),""))</f>
        <v/>
      </c>
      <c r="AI728" s="35">
        <f>IF($AH728="",DATE(1900,1,1),$AF728)</f>
        <v/>
      </c>
      <c r="AJ728" s="35">
        <f>IF($AH728="",DATE(2100,12,31),$AH728)</f>
        <v/>
      </c>
      <c r="AK728" s="32">
        <f>IF($AH728="",$AC728,$AC728*$S728)</f>
        <v/>
      </c>
      <c r="AL728" s="35">
        <f>IF($AH728="",DATE(2100,12,31),$AH728+1)</f>
        <v/>
      </c>
      <c r="AM728" s="35">
        <f>IF($AH728="",DATE(1900,1,1),$AG728)</f>
        <v/>
      </c>
      <c r="AN728" s="32">
        <f>IF($AH728="",0,$AC728*$T728)</f>
        <v/>
      </c>
    </row>
    <row r="729">
      <c r="A729" s="31" t="n"/>
      <c r="B729" s="16">
        <f>IF($A729="","",IFERROR(INDEX(Roster!$B$2:$B$40,MATCH($A729,Roster!$A$2:$A$40,0)),"?"))</f>
        <v/>
      </c>
      <c r="C729" s="31" t="n"/>
      <c r="D729" s="16">
        <f>IF($C729="","",IFERROR(IF(INDEX(Deals!$C$2:$C$355,MATCH($C729,Deals!$A$2:$A$355,0))=0,"",INDEX(Deals!$C$2:$C$355,MATCH($C729,Deals!$A$2:$A$355,0))),"?"))</f>
        <v/>
      </c>
      <c r="E729" s="16">
        <f>IF($C729="","",IFERROR(INDEX(Deals!$F$2:$F$355,MATCH($C729,Deals!$A$2:$A$355,0)),"?"))</f>
        <v/>
      </c>
      <c r="F729" s="31" t="n"/>
      <c r="G729" s="31" t="n"/>
      <c r="H729" s="31" t="n"/>
      <c r="I729" s="32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1">
        <f>IF($C729="",0,IFERROR(INDEX(Deals!$H$2:$H$355,MATCH($C729,Deals!$A$2:$A$355,0)),0))</f>
        <v/>
      </c>
      <c r="K729" s="32">
        <f>IF(Settings!$B$4="Yes",$I729*$J729,$I729)</f>
        <v/>
      </c>
      <c r="L729" s="22">
        <f>IF($C729="","",IFERROR(IF(INDEX(Deals!$I$2:$I$355,MATCH($C729,Deals!$A$2:$A$355,0))=0,"",INDEX(Deals!$I$2:$I$355,MATCH($C729,Deals!$A$2:$A$355,0))),""))</f>
        <v/>
      </c>
      <c r="M729" s="22">
        <f>IF($C729="","",IFERROR(IF(INDEX(Deals!$J$2:$J$355,MATCH($C729,Deals!$A$2:$A$355,0))=0,"",INDEX(Deals!$J$2:$J$355,MATCH($C729,Deals!$A$2:$A$355,0))),""))</f>
        <v/>
      </c>
      <c r="N729" s="35">
        <f>IF($L729="",DATE(1900,1,1),$L729)</f>
        <v/>
      </c>
      <c r="O729" s="35">
        <f>IF($M729="",DATE(2100,12,31),$M729)</f>
        <v/>
      </c>
      <c r="P729" s="41" t="n"/>
      <c r="Q729" s="31" t="n"/>
      <c r="R729" s="16">
        <f>IF($C729="","",IFERROR(IF(INDEX(Deals!$U$2:$U$355,MATCH($C729,Deals!$A$2:$A$355,0))=0,"",INDEX(Deals!$U$2:$U$355,MATCH($C729,Deals!$A$2:$A$355,0))),""))</f>
        <v/>
      </c>
      <c r="S729" s="34">
        <f>IFERROR(IF($U729="",1,INDEX(Deals!$V$2:$V$355,MATCH($C729,Deals!$A$2:$A$355,0))),1)</f>
        <v/>
      </c>
      <c r="T729" s="34">
        <f>IFERROR(IF($U729="",1,INDEX(Deals!$W$2:$W$355,MATCH($C729,Deals!$A$2:$A$355,0))),1)</f>
        <v/>
      </c>
      <c r="U729" s="22">
        <f>IF($C729="","",IFERROR(IF(INDEX(Deals!$Y$2:$Y$355,MATCH($C729,Deals!$A$2:$A$355,0))=0,"",INDEX(Deals!$Y$2:$Y$355,MATCH($C729,Deals!$A$2:$A$355,0))),""))</f>
        <v/>
      </c>
      <c r="V729" s="35">
        <f>IF($U729="",DATE(1900,1,1),$N729)</f>
        <v/>
      </c>
      <c r="W729" s="35">
        <f>IF($U729="",DATE(2100,12,31),$U729)</f>
        <v/>
      </c>
      <c r="X729" s="32">
        <f>IF($U729="",$K729,$K729*$S729)</f>
        <v/>
      </c>
      <c r="Y729" s="35">
        <f>IF($U729="",DATE(2100,12,31),$U729+1)</f>
        <v/>
      </c>
      <c r="Z729" s="35">
        <f>IF($U729="",DATE(1900,1,1),$O729)</f>
        <v/>
      </c>
      <c r="AA729" s="32">
        <f>IF($U729="",0,$K729*$T729)</f>
        <v/>
      </c>
      <c r="AB729" s="21">
        <f>IF($C729="",0,IFERROR(INDEX(Deals!$AD$2:$AD$355,MATCH($C729,Deals!$A$2:$A$355,0)),0))</f>
        <v/>
      </c>
      <c r="AC729" s="32">
        <f>IF(Settings!$B$4="Yes",$I729*$AB729,$I729)</f>
        <v/>
      </c>
      <c r="AD729" s="22">
        <f>IF($C729="","",IFERROR(IF(INDEX(Deals!$AE$2:$AE$355,MATCH($C729,Deals!$A$2:$A$355,0))=0,"",INDEX(Deals!$AE$2:$AE$355,MATCH($C729,Deals!$A$2:$A$355,0))),""))</f>
        <v/>
      </c>
      <c r="AE729" s="22">
        <f>IF($C729="","",IFERROR(IF(INDEX(Deals!$AF$2:$AF$355,MATCH($C729,Deals!$A$2:$A$355,0))=0,"",INDEX(Deals!$AF$2:$AF$355,MATCH($C729,Deals!$A$2:$A$355,0))),""))</f>
        <v/>
      </c>
      <c r="AF729" s="35">
        <f>IF($AD729="",DATE(1900,1,1),$AD729)</f>
        <v/>
      </c>
      <c r="AG729" s="35">
        <f>IF($AE729="",DATE(2100,12,31),$AE729)</f>
        <v/>
      </c>
      <c r="AH729" s="22">
        <f>IF($C729="","",IFERROR(IF(INDEX(Deals!$AG$2:$AG$355,MATCH($C729,Deals!$A$2:$A$355,0))=0,"",INDEX(Deals!$AG$2:$AG$355,MATCH($C729,Deals!$A$2:$A$355,0))),""))</f>
        <v/>
      </c>
      <c r="AI729" s="35">
        <f>IF($AH729="",DATE(1900,1,1),$AF729)</f>
        <v/>
      </c>
      <c r="AJ729" s="35">
        <f>IF($AH729="",DATE(2100,12,31),$AH729)</f>
        <v/>
      </c>
      <c r="AK729" s="32">
        <f>IF($AH729="",$AC729,$AC729*$S729)</f>
        <v/>
      </c>
      <c r="AL729" s="35">
        <f>IF($AH729="",DATE(2100,12,31),$AH729+1)</f>
        <v/>
      </c>
      <c r="AM729" s="35">
        <f>IF($AH729="",DATE(1900,1,1),$AG729)</f>
        <v/>
      </c>
      <c r="AN729" s="32">
        <f>IF($AH729="",0,$AC729*$T729)</f>
        <v/>
      </c>
    </row>
    <row r="730">
      <c r="A730" s="31" t="n"/>
      <c r="B730" s="16">
        <f>IF($A730="","",IFERROR(INDEX(Roster!$B$2:$B$40,MATCH($A730,Roster!$A$2:$A$40,0)),"?"))</f>
        <v/>
      </c>
      <c r="C730" s="31" t="n"/>
      <c r="D730" s="16">
        <f>IF($C730="","",IFERROR(IF(INDEX(Deals!$C$2:$C$355,MATCH($C730,Deals!$A$2:$A$355,0))=0,"",INDEX(Deals!$C$2:$C$355,MATCH($C730,Deals!$A$2:$A$355,0))),"?"))</f>
        <v/>
      </c>
      <c r="E730" s="16">
        <f>IF($C730="","",IFERROR(INDEX(Deals!$F$2:$F$355,MATCH($C730,Deals!$A$2:$A$355,0)),"?"))</f>
        <v/>
      </c>
      <c r="F730" s="31" t="n"/>
      <c r="G730" s="31" t="n"/>
      <c r="H730" s="31" t="n"/>
      <c r="I730" s="32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1">
        <f>IF($C730="",0,IFERROR(INDEX(Deals!$H$2:$H$355,MATCH($C730,Deals!$A$2:$A$355,0)),0))</f>
        <v/>
      </c>
      <c r="K730" s="32">
        <f>IF(Settings!$B$4="Yes",$I730*$J730,$I730)</f>
        <v/>
      </c>
      <c r="L730" s="22">
        <f>IF($C730="","",IFERROR(IF(INDEX(Deals!$I$2:$I$355,MATCH($C730,Deals!$A$2:$A$355,0))=0,"",INDEX(Deals!$I$2:$I$355,MATCH($C730,Deals!$A$2:$A$355,0))),""))</f>
        <v/>
      </c>
      <c r="M730" s="22">
        <f>IF($C730="","",IFERROR(IF(INDEX(Deals!$J$2:$J$355,MATCH($C730,Deals!$A$2:$A$355,0))=0,"",INDEX(Deals!$J$2:$J$355,MATCH($C730,Deals!$A$2:$A$355,0))),""))</f>
        <v/>
      </c>
      <c r="N730" s="35">
        <f>IF($L730="",DATE(1900,1,1),$L730)</f>
        <v/>
      </c>
      <c r="O730" s="35">
        <f>IF($M730="",DATE(2100,12,31),$M730)</f>
        <v/>
      </c>
      <c r="P730" s="41" t="n"/>
      <c r="Q730" s="31" t="n"/>
      <c r="R730" s="16">
        <f>IF($C730="","",IFERROR(IF(INDEX(Deals!$U$2:$U$355,MATCH($C730,Deals!$A$2:$A$355,0))=0,"",INDEX(Deals!$U$2:$U$355,MATCH($C730,Deals!$A$2:$A$355,0))),""))</f>
        <v/>
      </c>
      <c r="S730" s="34">
        <f>IFERROR(IF($U730="",1,INDEX(Deals!$V$2:$V$355,MATCH($C730,Deals!$A$2:$A$355,0))),1)</f>
        <v/>
      </c>
      <c r="T730" s="34">
        <f>IFERROR(IF($U730="",1,INDEX(Deals!$W$2:$W$355,MATCH($C730,Deals!$A$2:$A$355,0))),1)</f>
        <v/>
      </c>
      <c r="U730" s="22">
        <f>IF($C730="","",IFERROR(IF(INDEX(Deals!$Y$2:$Y$355,MATCH($C730,Deals!$A$2:$A$355,0))=0,"",INDEX(Deals!$Y$2:$Y$355,MATCH($C730,Deals!$A$2:$A$355,0))),""))</f>
        <v/>
      </c>
      <c r="V730" s="35">
        <f>IF($U730="",DATE(1900,1,1),$N730)</f>
        <v/>
      </c>
      <c r="W730" s="35">
        <f>IF($U730="",DATE(2100,12,31),$U730)</f>
        <v/>
      </c>
      <c r="X730" s="32">
        <f>IF($U730="",$K730,$K730*$S730)</f>
        <v/>
      </c>
      <c r="Y730" s="35">
        <f>IF($U730="",DATE(2100,12,31),$U730+1)</f>
        <v/>
      </c>
      <c r="Z730" s="35">
        <f>IF($U730="",DATE(1900,1,1),$O730)</f>
        <v/>
      </c>
      <c r="AA730" s="32">
        <f>IF($U730="",0,$K730*$T730)</f>
        <v/>
      </c>
      <c r="AB730" s="21">
        <f>IF($C730="",0,IFERROR(INDEX(Deals!$AD$2:$AD$355,MATCH($C730,Deals!$A$2:$A$355,0)),0))</f>
        <v/>
      </c>
      <c r="AC730" s="32">
        <f>IF(Settings!$B$4="Yes",$I730*$AB730,$I730)</f>
        <v/>
      </c>
      <c r="AD730" s="22">
        <f>IF($C730="","",IFERROR(IF(INDEX(Deals!$AE$2:$AE$355,MATCH($C730,Deals!$A$2:$A$355,0))=0,"",INDEX(Deals!$AE$2:$AE$355,MATCH($C730,Deals!$A$2:$A$355,0))),""))</f>
        <v/>
      </c>
      <c r="AE730" s="22">
        <f>IF($C730="","",IFERROR(IF(INDEX(Deals!$AF$2:$AF$355,MATCH($C730,Deals!$A$2:$A$355,0))=0,"",INDEX(Deals!$AF$2:$AF$355,MATCH($C730,Deals!$A$2:$A$355,0))),""))</f>
        <v/>
      </c>
      <c r="AF730" s="35">
        <f>IF($AD730="",DATE(1900,1,1),$AD730)</f>
        <v/>
      </c>
      <c r="AG730" s="35">
        <f>IF($AE730="",DATE(2100,12,31),$AE730)</f>
        <v/>
      </c>
      <c r="AH730" s="22">
        <f>IF($C730="","",IFERROR(IF(INDEX(Deals!$AG$2:$AG$355,MATCH($C730,Deals!$A$2:$A$355,0))=0,"",INDEX(Deals!$AG$2:$AG$355,MATCH($C730,Deals!$A$2:$A$355,0))),""))</f>
        <v/>
      </c>
      <c r="AI730" s="35">
        <f>IF($AH730="",DATE(1900,1,1),$AF730)</f>
        <v/>
      </c>
      <c r="AJ730" s="35">
        <f>IF($AH730="",DATE(2100,12,31),$AH730)</f>
        <v/>
      </c>
      <c r="AK730" s="32">
        <f>IF($AH730="",$AC730,$AC730*$S730)</f>
        <v/>
      </c>
      <c r="AL730" s="35">
        <f>IF($AH730="",DATE(2100,12,31),$AH730+1)</f>
        <v/>
      </c>
      <c r="AM730" s="35">
        <f>IF($AH730="",DATE(1900,1,1),$AG730)</f>
        <v/>
      </c>
      <c r="AN730" s="32">
        <f>IF($AH730="",0,$AC730*$T730)</f>
        <v/>
      </c>
    </row>
    <row r="731">
      <c r="A731" s="31" t="n"/>
      <c r="B731" s="16">
        <f>IF($A731="","",IFERROR(INDEX(Roster!$B$2:$B$40,MATCH($A731,Roster!$A$2:$A$40,0)),"?"))</f>
        <v/>
      </c>
      <c r="C731" s="31" t="n"/>
      <c r="D731" s="16">
        <f>IF($C731="","",IFERROR(IF(INDEX(Deals!$C$2:$C$355,MATCH($C731,Deals!$A$2:$A$355,0))=0,"",INDEX(Deals!$C$2:$C$355,MATCH($C731,Deals!$A$2:$A$355,0))),"?"))</f>
        <v/>
      </c>
      <c r="E731" s="16">
        <f>IF($C731="","",IFERROR(INDEX(Deals!$F$2:$F$355,MATCH($C731,Deals!$A$2:$A$355,0)),"?"))</f>
        <v/>
      </c>
      <c r="F731" s="31" t="n"/>
      <c r="G731" s="31" t="n"/>
      <c r="H731" s="31" t="n"/>
      <c r="I731" s="32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1">
        <f>IF($C731="",0,IFERROR(INDEX(Deals!$H$2:$H$355,MATCH($C731,Deals!$A$2:$A$355,0)),0))</f>
        <v/>
      </c>
      <c r="K731" s="32">
        <f>IF(Settings!$B$4="Yes",$I731*$J731,$I731)</f>
        <v/>
      </c>
      <c r="L731" s="22">
        <f>IF($C731="","",IFERROR(IF(INDEX(Deals!$I$2:$I$355,MATCH($C731,Deals!$A$2:$A$355,0))=0,"",INDEX(Deals!$I$2:$I$355,MATCH($C731,Deals!$A$2:$A$355,0))),""))</f>
        <v/>
      </c>
      <c r="M731" s="22">
        <f>IF($C731="","",IFERROR(IF(INDEX(Deals!$J$2:$J$355,MATCH($C731,Deals!$A$2:$A$355,0))=0,"",INDEX(Deals!$J$2:$J$355,MATCH($C731,Deals!$A$2:$A$355,0))),""))</f>
        <v/>
      </c>
      <c r="N731" s="35">
        <f>IF($L731="",DATE(1900,1,1),$L731)</f>
        <v/>
      </c>
      <c r="O731" s="35">
        <f>IF($M731="",DATE(2100,12,31),$M731)</f>
        <v/>
      </c>
      <c r="P731" s="41" t="n"/>
      <c r="Q731" s="31" t="n"/>
      <c r="R731" s="16">
        <f>IF($C731="","",IFERROR(IF(INDEX(Deals!$U$2:$U$355,MATCH($C731,Deals!$A$2:$A$355,0))=0,"",INDEX(Deals!$U$2:$U$355,MATCH($C731,Deals!$A$2:$A$355,0))),""))</f>
        <v/>
      </c>
      <c r="S731" s="34">
        <f>IFERROR(IF($U731="",1,INDEX(Deals!$V$2:$V$355,MATCH($C731,Deals!$A$2:$A$355,0))),1)</f>
        <v/>
      </c>
      <c r="T731" s="34">
        <f>IFERROR(IF($U731="",1,INDEX(Deals!$W$2:$W$355,MATCH($C731,Deals!$A$2:$A$355,0))),1)</f>
        <v/>
      </c>
      <c r="U731" s="22">
        <f>IF($C731="","",IFERROR(IF(INDEX(Deals!$Y$2:$Y$355,MATCH($C731,Deals!$A$2:$A$355,0))=0,"",INDEX(Deals!$Y$2:$Y$355,MATCH($C731,Deals!$A$2:$A$355,0))),""))</f>
        <v/>
      </c>
      <c r="V731" s="35">
        <f>IF($U731="",DATE(1900,1,1),$N731)</f>
        <v/>
      </c>
      <c r="W731" s="35">
        <f>IF($U731="",DATE(2100,12,31),$U731)</f>
        <v/>
      </c>
      <c r="X731" s="32">
        <f>IF($U731="",$K731,$K731*$S731)</f>
        <v/>
      </c>
      <c r="Y731" s="35">
        <f>IF($U731="",DATE(2100,12,31),$U731+1)</f>
        <v/>
      </c>
      <c r="Z731" s="35">
        <f>IF($U731="",DATE(1900,1,1),$O731)</f>
        <v/>
      </c>
      <c r="AA731" s="32">
        <f>IF($U731="",0,$K731*$T731)</f>
        <v/>
      </c>
      <c r="AB731" s="21">
        <f>IF($C731="",0,IFERROR(INDEX(Deals!$AD$2:$AD$355,MATCH($C731,Deals!$A$2:$A$355,0)),0))</f>
        <v/>
      </c>
      <c r="AC731" s="32">
        <f>IF(Settings!$B$4="Yes",$I731*$AB731,$I731)</f>
        <v/>
      </c>
      <c r="AD731" s="22">
        <f>IF($C731="","",IFERROR(IF(INDEX(Deals!$AE$2:$AE$355,MATCH($C731,Deals!$A$2:$A$355,0))=0,"",INDEX(Deals!$AE$2:$AE$355,MATCH($C731,Deals!$A$2:$A$355,0))),""))</f>
        <v/>
      </c>
      <c r="AE731" s="22">
        <f>IF($C731="","",IFERROR(IF(INDEX(Deals!$AF$2:$AF$355,MATCH($C731,Deals!$A$2:$A$355,0))=0,"",INDEX(Deals!$AF$2:$AF$355,MATCH($C731,Deals!$A$2:$A$355,0))),""))</f>
        <v/>
      </c>
      <c r="AF731" s="35">
        <f>IF($AD731="",DATE(1900,1,1),$AD731)</f>
        <v/>
      </c>
      <c r="AG731" s="35">
        <f>IF($AE731="",DATE(2100,12,31),$AE731)</f>
        <v/>
      </c>
      <c r="AH731" s="22">
        <f>IF($C731="","",IFERROR(IF(INDEX(Deals!$AG$2:$AG$355,MATCH($C731,Deals!$A$2:$A$355,0))=0,"",INDEX(Deals!$AG$2:$AG$355,MATCH($C731,Deals!$A$2:$A$355,0))),""))</f>
        <v/>
      </c>
      <c r="AI731" s="35">
        <f>IF($AH731="",DATE(1900,1,1),$AF731)</f>
        <v/>
      </c>
      <c r="AJ731" s="35">
        <f>IF($AH731="",DATE(2100,12,31),$AH731)</f>
        <v/>
      </c>
      <c r="AK731" s="32">
        <f>IF($AH731="",$AC731,$AC731*$S731)</f>
        <v/>
      </c>
      <c r="AL731" s="35">
        <f>IF($AH731="",DATE(2100,12,31),$AH731+1)</f>
        <v/>
      </c>
      <c r="AM731" s="35">
        <f>IF($AH731="",DATE(1900,1,1),$AG731)</f>
        <v/>
      </c>
      <c r="AN731" s="32">
        <f>IF($AH731="",0,$AC731*$T731)</f>
        <v/>
      </c>
    </row>
    <row r="732">
      <c r="A732" s="31" t="n"/>
      <c r="B732" s="16">
        <f>IF($A732="","",IFERROR(INDEX(Roster!$B$2:$B$40,MATCH($A732,Roster!$A$2:$A$40,0)),"?"))</f>
        <v/>
      </c>
      <c r="C732" s="31" t="n"/>
      <c r="D732" s="16">
        <f>IF($C732="","",IFERROR(IF(INDEX(Deals!$C$2:$C$355,MATCH($C732,Deals!$A$2:$A$355,0))=0,"",INDEX(Deals!$C$2:$C$355,MATCH($C732,Deals!$A$2:$A$355,0))),"?"))</f>
        <v/>
      </c>
      <c r="E732" s="16">
        <f>IF($C732="","",IFERROR(INDEX(Deals!$F$2:$F$355,MATCH($C732,Deals!$A$2:$A$355,0)),"?"))</f>
        <v/>
      </c>
      <c r="F732" s="31" t="n"/>
      <c r="G732" s="31" t="n"/>
      <c r="H732" s="31" t="n"/>
      <c r="I732" s="32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1">
        <f>IF($C732="",0,IFERROR(INDEX(Deals!$H$2:$H$355,MATCH($C732,Deals!$A$2:$A$355,0)),0))</f>
        <v/>
      </c>
      <c r="K732" s="32">
        <f>IF(Settings!$B$4="Yes",$I732*$J732,$I732)</f>
        <v/>
      </c>
      <c r="L732" s="22">
        <f>IF($C732="","",IFERROR(IF(INDEX(Deals!$I$2:$I$355,MATCH($C732,Deals!$A$2:$A$355,0))=0,"",INDEX(Deals!$I$2:$I$355,MATCH($C732,Deals!$A$2:$A$355,0))),""))</f>
        <v/>
      </c>
      <c r="M732" s="22">
        <f>IF($C732="","",IFERROR(IF(INDEX(Deals!$J$2:$J$355,MATCH($C732,Deals!$A$2:$A$355,0))=0,"",INDEX(Deals!$J$2:$J$355,MATCH($C732,Deals!$A$2:$A$355,0))),""))</f>
        <v/>
      </c>
      <c r="N732" s="35">
        <f>IF($L732="",DATE(1900,1,1),$L732)</f>
        <v/>
      </c>
      <c r="O732" s="35">
        <f>IF($M732="",DATE(2100,12,31),$M732)</f>
        <v/>
      </c>
      <c r="P732" s="41" t="n"/>
      <c r="Q732" s="31" t="n"/>
      <c r="R732" s="16">
        <f>IF($C732="","",IFERROR(IF(INDEX(Deals!$U$2:$U$355,MATCH($C732,Deals!$A$2:$A$355,0))=0,"",INDEX(Deals!$U$2:$U$355,MATCH($C732,Deals!$A$2:$A$355,0))),""))</f>
        <v/>
      </c>
      <c r="S732" s="34">
        <f>IFERROR(IF($U732="",1,INDEX(Deals!$V$2:$V$355,MATCH($C732,Deals!$A$2:$A$355,0))),1)</f>
        <v/>
      </c>
      <c r="T732" s="34">
        <f>IFERROR(IF($U732="",1,INDEX(Deals!$W$2:$W$355,MATCH($C732,Deals!$A$2:$A$355,0))),1)</f>
        <v/>
      </c>
      <c r="U732" s="22">
        <f>IF($C732="","",IFERROR(IF(INDEX(Deals!$Y$2:$Y$355,MATCH($C732,Deals!$A$2:$A$355,0))=0,"",INDEX(Deals!$Y$2:$Y$355,MATCH($C732,Deals!$A$2:$A$355,0))),""))</f>
        <v/>
      </c>
      <c r="V732" s="35">
        <f>IF($U732="",DATE(1900,1,1),$N732)</f>
        <v/>
      </c>
      <c r="W732" s="35">
        <f>IF($U732="",DATE(2100,12,31),$U732)</f>
        <v/>
      </c>
      <c r="X732" s="32">
        <f>IF($U732="",$K732,$K732*$S732)</f>
        <v/>
      </c>
      <c r="Y732" s="35">
        <f>IF($U732="",DATE(2100,12,31),$U732+1)</f>
        <v/>
      </c>
      <c r="Z732" s="35">
        <f>IF($U732="",DATE(1900,1,1),$O732)</f>
        <v/>
      </c>
      <c r="AA732" s="32">
        <f>IF($U732="",0,$K732*$T732)</f>
        <v/>
      </c>
      <c r="AB732" s="21">
        <f>IF($C732="",0,IFERROR(INDEX(Deals!$AD$2:$AD$355,MATCH($C732,Deals!$A$2:$A$355,0)),0))</f>
        <v/>
      </c>
      <c r="AC732" s="32">
        <f>IF(Settings!$B$4="Yes",$I732*$AB732,$I732)</f>
        <v/>
      </c>
      <c r="AD732" s="22">
        <f>IF($C732="","",IFERROR(IF(INDEX(Deals!$AE$2:$AE$355,MATCH($C732,Deals!$A$2:$A$355,0))=0,"",INDEX(Deals!$AE$2:$AE$355,MATCH($C732,Deals!$A$2:$A$355,0))),""))</f>
        <v/>
      </c>
      <c r="AE732" s="22">
        <f>IF($C732="","",IFERROR(IF(INDEX(Deals!$AF$2:$AF$355,MATCH($C732,Deals!$A$2:$A$355,0))=0,"",INDEX(Deals!$AF$2:$AF$355,MATCH($C732,Deals!$A$2:$A$355,0))),""))</f>
        <v/>
      </c>
      <c r="AF732" s="35">
        <f>IF($AD732="",DATE(1900,1,1),$AD732)</f>
        <v/>
      </c>
      <c r="AG732" s="35">
        <f>IF($AE732="",DATE(2100,12,31),$AE732)</f>
        <v/>
      </c>
      <c r="AH732" s="22">
        <f>IF($C732="","",IFERROR(IF(INDEX(Deals!$AG$2:$AG$355,MATCH($C732,Deals!$A$2:$A$355,0))=0,"",INDEX(Deals!$AG$2:$AG$355,MATCH($C732,Deals!$A$2:$A$355,0))),""))</f>
        <v/>
      </c>
      <c r="AI732" s="35">
        <f>IF($AH732="",DATE(1900,1,1),$AF732)</f>
        <v/>
      </c>
      <c r="AJ732" s="35">
        <f>IF($AH732="",DATE(2100,12,31),$AH732)</f>
        <v/>
      </c>
      <c r="AK732" s="32">
        <f>IF($AH732="",$AC732,$AC732*$S732)</f>
        <v/>
      </c>
      <c r="AL732" s="35">
        <f>IF($AH732="",DATE(2100,12,31),$AH732+1)</f>
        <v/>
      </c>
      <c r="AM732" s="35">
        <f>IF($AH732="",DATE(1900,1,1),$AG732)</f>
        <v/>
      </c>
      <c r="AN732" s="32">
        <f>IF($AH732="",0,$AC732*$T732)</f>
        <v/>
      </c>
    </row>
    <row r="733">
      <c r="A733" s="31" t="n"/>
      <c r="B733" s="16">
        <f>IF($A733="","",IFERROR(INDEX(Roster!$B$2:$B$40,MATCH($A733,Roster!$A$2:$A$40,0)),"?"))</f>
        <v/>
      </c>
      <c r="C733" s="31" t="n"/>
      <c r="D733" s="16">
        <f>IF($C733="","",IFERROR(IF(INDEX(Deals!$C$2:$C$355,MATCH($C733,Deals!$A$2:$A$355,0))=0,"",INDEX(Deals!$C$2:$C$355,MATCH($C733,Deals!$A$2:$A$355,0))),"?"))</f>
        <v/>
      </c>
      <c r="E733" s="16">
        <f>IF($C733="","",IFERROR(INDEX(Deals!$F$2:$F$355,MATCH($C733,Deals!$A$2:$A$355,0)),"?"))</f>
        <v/>
      </c>
      <c r="F733" s="31" t="n"/>
      <c r="G733" s="31" t="n"/>
      <c r="H733" s="31" t="n"/>
      <c r="I733" s="32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1">
        <f>IF($C733="",0,IFERROR(INDEX(Deals!$H$2:$H$355,MATCH($C733,Deals!$A$2:$A$355,0)),0))</f>
        <v/>
      </c>
      <c r="K733" s="32">
        <f>IF(Settings!$B$4="Yes",$I733*$J733,$I733)</f>
        <v/>
      </c>
      <c r="L733" s="22">
        <f>IF($C733="","",IFERROR(IF(INDEX(Deals!$I$2:$I$355,MATCH($C733,Deals!$A$2:$A$355,0))=0,"",INDEX(Deals!$I$2:$I$355,MATCH($C733,Deals!$A$2:$A$355,0))),""))</f>
        <v/>
      </c>
      <c r="M733" s="22">
        <f>IF($C733="","",IFERROR(IF(INDEX(Deals!$J$2:$J$355,MATCH($C733,Deals!$A$2:$A$355,0))=0,"",INDEX(Deals!$J$2:$J$355,MATCH($C733,Deals!$A$2:$A$355,0))),""))</f>
        <v/>
      </c>
      <c r="N733" s="35">
        <f>IF($L733="",DATE(1900,1,1),$L733)</f>
        <v/>
      </c>
      <c r="O733" s="35">
        <f>IF($M733="",DATE(2100,12,31),$M733)</f>
        <v/>
      </c>
      <c r="P733" s="41" t="n"/>
      <c r="Q733" s="31" t="n"/>
      <c r="R733" s="16">
        <f>IF($C733="","",IFERROR(IF(INDEX(Deals!$U$2:$U$355,MATCH($C733,Deals!$A$2:$A$355,0))=0,"",INDEX(Deals!$U$2:$U$355,MATCH($C733,Deals!$A$2:$A$355,0))),""))</f>
        <v/>
      </c>
      <c r="S733" s="34">
        <f>IFERROR(IF($U733="",1,INDEX(Deals!$V$2:$V$355,MATCH($C733,Deals!$A$2:$A$355,0))),1)</f>
        <v/>
      </c>
      <c r="T733" s="34">
        <f>IFERROR(IF($U733="",1,INDEX(Deals!$W$2:$W$355,MATCH($C733,Deals!$A$2:$A$355,0))),1)</f>
        <v/>
      </c>
      <c r="U733" s="22">
        <f>IF($C733="","",IFERROR(IF(INDEX(Deals!$Y$2:$Y$355,MATCH($C733,Deals!$A$2:$A$355,0))=0,"",INDEX(Deals!$Y$2:$Y$355,MATCH($C733,Deals!$A$2:$A$355,0))),""))</f>
        <v/>
      </c>
      <c r="V733" s="35">
        <f>IF($U733="",DATE(1900,1,1),$N733)</f>
        <v/>
      </c>
      <c r="W733" s="35">
        <f>IF($U733="",DATE(2100,12,31),$U733)</f>
        <v/>
      </c>
      <c r="X733" s="32">
        <f>IF($U733="",$K733,$K733*$S733)</f>
        <v/>
      </c>
      <c r="Y733" s="35">
        <f>IF($U733="",DATE(2100,12,31),$U733+1)</f>
        <v/>
      </c>
      <c r="Z733" s="35">
        <f>IF($U733="",DATE(1900,1,1),$O733)</f>
        <v/>
      </c>
      <c r="AA733" s="32">
        <f>IF($U733="",0,$K733*$T733)</f>
        <v/>
      </c>
      <c r="AB733" s="21">
        <f>IF($C733="",0,IFERROR(INDEX(Deals!$AD$2:$AD$355,MATCH($C733,Deals!$A$2:$A$355,0)),0))</f>
        <v/>
      </c>
      <c r="AC733" s="32">
        <f>IF(Settings!$B$4="Yes",$I733*$AB733,$I733)</f>
        <v/>
      </c>
      <c r="AD733" s="22">
        <f>IF($C733="","",IFERROR(IF(INDEX(Deals!$AE$2:$AE$355,MATCH($C733,Deals!$A$2:$A$355,0))=0,"",INDEX(Deals!$AE$2:$AE$355,MATCH($C733,Deals!$A$2:$A$355,0))),""))</f>
        <v/>
      </c>
      <c r="AE733" s="22">
        <f>IF($C733="","",IFERROR(IF(INDEX(Deals!$AF$2:$AF$355,MATCH($C733,Deals!$A$2:$A$355,0))=0,"",INDEX(Deals!$AF$2:$AF$355,MATCH($C733,Deals!$A$2:$A$355,0))),""))</f>
        <v/>
      </c>
      <c r="AF733" s="35">
        <f>IF($AD733="",DATE(1900,1,1),$AD733)</f>
        <v/>
      </c>
      <c r="AG733" s="35">
        <f>IF($AE733="",DATE(2100,12,31),$AE733)</f>
        <v/>
      </c>
      <c r="AH733" s="22">
        <f>IF($C733="","",IFERROR(IF(INDEX(Deals!$AG$2:$AG$355,MATCH($C733,Deals!$A$2:$A$355,0))=0,"",INDEX(Deals!$AG$2:$AG$355,MATCH($C733,Deals!$A$2:$A$355,0))),""))</f>
        <v/>
      </c>
      <c r="AI733" s="35">
        <f>IF($AH733="",DATE(1900,1,1),$AF733)</f>
        <v/>
      </c>
      <c r="AJ733" s="35">
        <f>IF($AH733="",DATE(2100,12,31),$AH733)</f>
        <v/>
      </c>
      <c r="AK733" s="32">
        <f>IF($AH733="",$AC733,$AC733*$S733)</f>
        <v/>
      </c>
      <c r="AL733" s="35">
        <f>IF($AH733="",DATE(2100,12,31),$AH733+1)</f>
        <v/>
      </c>
      <c r="AM733" s="35">
        <f>IF($AH733="",DATE(1900,1,1),$AG733)</f>
        <v/>
      </c>
      <c r="AN733" s="32">
        <f>IF($AH733="",0,$AC733*$T733)</f>
        <v/>
      </c>
    </row>
    <row r="734">
      <c r="A734" s="31" t="n"/>
      <c r="B734" s="16">
        <f>IF($A734="","",IFERROR(INDEX(Roster!$B$2:$B$40,MATCH($A734,Roster!$A$2:$A$40,0)),"?"))</f>
        <v/>
      </c>
      <c r="C734" s="31" t="n"/>
      <c r="D734" s="16">
        <f>IF($C734="","",IFERROR(IF(INDEX(Deals!$C$2:$C$355,MATCH($C734,Deals!$A$2:$A$355,0))=0,"",INDEX(Deals!$C$2:$C$355,MATCH($C734,Deals!$A$2:$A$355,0))),"?"))</f>
        <v/>
      </c>
      <c r="E734" s="16">
        <f>IF($C734="","",IFERROR(INDEX(Deals!$F$2:$F$355,MATCH($C734,Deals!$A$2:$A$355,0)),"?"))</f>
        <v/>
      </c>
      <c r="F734" s="31" t="n"/>
      <c r="G734" s="31" t="n"/>
      <c r="H734" s="31" t="n"/>
      <c r="I734" s="32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1">
        <f>IF($C734="",0,IFERROR(INDEX(Deals!$H$2:$H$355,MATCH($C734,Deals!$A$2:$A$355,0)),0))</f>
        <v/>
      </c>
      <c r="K734" s="32">
        <f>IF(Settings!$B$4="Yes",$I734*$J734,$I734)</f>
        <v/>
      </c>
      <c r="L734" s="22">
        <f>IF($C734="","",IFERROR(IF(INDEX(Deals!$I$2:$I$355,MATCH($C734,Deals!$A$2:$A$355,0))=0,"",INDEX(Deals!$I$2:$I$355,MATCH($C734,Deals!$A$2:$A$355,0))),""))</f>
        <v/>
      </c>
      <c r="M734" s="22">
        <f>IF($C734="","",IFERROR(IF(INDEX(Deals!$J$2:$J$355,MATCH($C734,Deals!$A$2:$A$355,0))=0,"",INDEX(Deals!$J$2:$J$355,MATCH($C734,Deals!$A$2:$A$355,0))),""))</f>
        <v/>
      </c>
      <c r="N734" s="35">
        <f>IF($L734="",DATE(1900,1,1),$L734)</f>
        <v/>
      </c>
      <c r="O734" s="35">
        <f>IF($M734="",DATE(2100,12,31),$M734)</f>
        <v/>
      </c>
      <c r="P734" s="41" t="n"/>
      <c r="Q734" s="31" t="n"/>
      <c r="R734" s="16">
        <f>IF($C734="","",IFERROR(IF(INDEX(Deals!$U$2:$U$355,MATCH($C734,Deals!$A$2:$A$355,0))=0,"",INDEX(Deals!$U$2:$U$355,MATCH($C734,Deals!$A$2:$A$355,0))),""))</f>
        <v/>
      </c>
      <c r="S734" s="34">
        <f>IFERROR(IF($U734="",1,INDEX(Deals!$V$2:$V$355,MATCH($C734,Deals!$A$2:$A$355,0))),1)</f>
        <v/>
      </c>
      <c r="T734" s="34">
        <f>IFERROR(IF($U734="",1,INDEX(Deals!$W$2:$W$355,MATCH($C734,Deals!$A$2:$A$355,0))),1)</f>
        <v/>
      </c>
      <c r="U734" s="22">
        <f>IF($C734="","",IFERROR(IF(INDEX(Deals!$Y$2:$Y$355,MATCH($C734,Deals!$A$2:$A$355,0))=0,"",INDEX(Deals!$Y$2:$Y$355,MATCH($C734,Deals!$A$2:$A$355,0))),""))</f>
        <v/>
      </c>
      <c r="V734" s="35">
        <f>IF($U734="",DATE(1900,1,1),$N734)</f>
        <v/>
      </c>
      <c r="W734" s="35">
        <f>IF($U734="",DATE(2100,12,31),$U734)</f>
        <v/>
      </c>
      <c r="X734" s="32">
        <f>IF($U734="",$K734,$K734*$S734)</f>
        <v/>
      </c>
      <c r="Y734" s="35">
        <f>IF($U734="",DATE(2100,12,31),$U734+1)</f>
        <v/>
      </c>
      <c r="Z734" s="35">
        <f>IF($U734="",DATE(1900,1,1),$O734)</f>
        <v/>
      </c>
      <c r="AA734" s="32">
        <f>IF($U734="",0,$K734*$T734)</f>
        <v/>
      </c>
      <c r="AB734" s="21">
        <f>IF($C734="",0,IFERROR(INDEX(Deals!$AD$2:$AD$355,MATCH($C734,Deals!$A$2:$A$355,0)),0))</f>
        <v/>
      </c>
      <c r="AC734" s="32">
        <f>IF(Settings!$B$4="Yes",$I734*$AB734,$I734)</f>
        <v/>
      </c>
      <c r="AD734" s="22">
        <f>IF($C734="","",IFERROR(IF(INDEX(Deals!$AE$2:$AE$355,MATCH($C734,Deals!$A$2:$A$355,0))=0,"",INDEX(Deals!$AE$2:$AE$355,MATCH($C734,Deals!$A$2:$A$355,0))),""))</f>
        <v/>
      </c>
      <c r="AE734" s="22">
        <f>IF($C734="","",IFERROR(IF(INDEX(Deals!$AF$2:$AF$355,MATCH($C734,Deals!$A$2:$A$355,0))=0,"",INDEX(Deals!$AF$2:$AF$355,MATCH($C734,Deals!$A$2:$A$355,0))),""))</f>
        <v/>
      </c>
      <c r="AF734" s="35">
        <f>IF($AD734="",DATE(1900,1,1),$AD734)</f>
        <v/>
      </c>
      <c r="AG734" s="35">
        <f>IF($AE734="",DATE(2100,12,31),$AE734)</f>
        <v/>
      </c>
      <c r="AH734" s="22">
        <f>IF($C734="","",IFERROR(IF(INDEX(Deals!$AG$2:$AG$355,MATCH($C734,Deals!$A$2:$A$355,0))=0,"",INDEX(Deals!$AG$2:$AG$355,MATCH($C734,Deals!$A$2:$A$355,0))),""))</f>
        <v/>
      </c>
      <c r="AI734" s="35">
        <f>IF($AH734="",DATE(1900,1,1),$AF734)</f>
        <v/>
      </c>
      <c r="AJ734" s="35">
        <f>IF($AH734="",DATE(2100,12,31),$AH734)</f>
        <v/>
      </c>
      <c r="AK734" s="32">
        <f>IF($AH734="",$AC734,$AC734*$S734)</f>
        <v/>
      </c>
      <c r="AL734" s="35">
        <f>IF($AH734="",DATE(2100,12,31),$AH734+1)</f>
        <v/>
      </c>
      <c r="AM734" s="35">
        <f>IF($AH734="",DATE(1900,1,1),$AG734)</f>
        <v/>
      </c>
      <c r="AN734" s="32">
        <f>IF($AH734="",0,$AC734*$T734)</f>
        <v/>
      </c>
    </row>
    <row r="735">
      <c r="A735" s="31" t="n"/>
      <c r="B735" s="16">
        <f>IF($A735="","",IFERROR(INDEX(Roster!$B$2:$B$40,MATCH($A735,Roster!$A$2:$A$40,0)),"?"))</f>
        <v/>
      </c>
      <c r="C735" s="31" t="n"/>
      <c r="D735" s="16">
        <f>IF($C735="","",IFERROR(IF(INDEX(Deals!$C$2:$C$355,MATCH($C735,Deals!$A$2:$A$355,0))=0,"",INDEX(Deals!$C$2:$C$355,MATCH($C735,Deals!$A$2:$A$355,0))),"?"))</f>
        <v/>
      </c>
      <c r="E735" s="16">
        <f>IF($C735="","",IFERROR(INDEX(Deals!$F$2:$F$355,MATCH($C735,Deals!$A$2:$A$355,0)),"?"))</f>
        <v/>
      </c>
      <c r="F735" s="31" t="n"/>
      <c r="G735" s="31" t="n"/>
      <c r="H735" s="31" t="n"/>
      <c r="I735" s="32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1">
        <f>IF($C735="",0,IFERROR(INDEX(Deals!$H$2:$H$355,MATCH($C735,Deals!$A$2:$A$355,0)),0))</f>
        <v/>
      </c>
      <c r="K735" s="32">
        <f>IF(Settings!$B$4="Yes",$I735*$J735,$I735)</f>
        <v/>
      </c>
      <c r="L735" s="22">
        <f>IF($C735="","",IFERROR(IF(INDEX(Deals!$I$2:$I$355,MATCH($C735,Deals!$A$2:$A$355,0))=0,"",INDEX(Deals!$I$2:$I$355,MATCH($C735,Deals!$A$2:$A$355,0))),""))</f>
        <v/>
      </c>
      <c r="M735" s="22">
        <f>IF($C735="","",IFERROR(IF(INDEX(Deals!$J$2:$J$355,MATCH($C735,Deals!$A$2:$A$355,0))=0,"",INDEX(Deals!$J$2:$J$355,MATCH($C735,Deals!$A$2:$A$355,0))),""))</f>
        <v/>
      </c>
      <c r="N735" s="35">
        <f>IF($L735="",DATE(1900,1,1),$L735)</f>
        <v/>
      </c>
      <c r="O735" s="35">
        <f>IF($M735="",DATE(2100,12,31),$M735)</f>
        <v/>
      </c>
      <c r="P735" s="41" t="n"/>
      <c r="Q735" s="31" t="n"/>
      <c r="R735" s="16">
        <f>IF($C735="","",IFERROR(IF(INDEX(Deals!$U$2:$U$355,MATCH($C735,Deals!$A$2:$A$355,0))=0,"",INDEX(Deals!$U$2:$U$355,MATCH($C735,Deals!$A$2:$A$355,0))),""))</f>
        <v/>
      </c>
      <c r="S735" s="34">
        <f>IFERROR(IF($U735="",1,INDEX(Deals!$V$2:$V$355,MATCH($C735,Deals!$A$2:$A$355,0))),1)</f>
        <v/>
      </c>
      <c r="T735" s="34">
        <f>IFERROR(IF($U735="",1,INDEX(Deals!$W$2:$W$355,MATCH($C735,Deals!$A$2:$A$355,0))),1)</f>
        <v/>
      </c>
      <c r="U735" s="22">
        <f>IF($C735="","",IFERROR(IF(INDEX(Deals!$Y$2:$Y$355,MATCH($C735,Deals!$A$2:$A$355,0))=0,"",INDEX(Deals!$Y$2:$Y$355,MATCH($C735,Deals!$A$2:$A$355,0))),""))</f>
        <v/>
      </c>
      <c r="V735" s="35">
        <f>IF($U735="",DATE(1900,1,1),$N735)</f>
        <v/>
      </c>
      <c r="W735" s="35">
        <f>IF($U735="",DATE(2100,12,31),$U735)</f>
        <v/>
      </c>
      <c r="X735" s="32">
        <f>IF($U735="",$K735,$K735*$S735)</f>
        <v/>
      </c>
      <c r="Y735" s="35">
        <f>IF($U735="",DATE(2100,12,31),$U735+1)</f>
        <v/>
      </c>
      <c r="Z735" s="35">
        <f>IF($U735="",DATE(1900,1,1),$O735)</f>
        <v/>
      </c>
      <c r="AA735" s="32">
        <f>IF($U735="",0,$K735*$T735)</f>
        <v/>
      </c>
      <c r="AB735" s="21">
        <f>IF($C735="",0,IFERROR(INDEX(Deals!$AD$2:$AD$355,MATCH($C735,Deals!$A$2:$A$355,0)),0))</f>
        <v/>
      </c>
      <c r="AC735" s="32">
        <f>IF(Settings!$B$4="Yes",$I735*$AB735,$I735)</f>
        <v/>
      </c>
      <c r="AD735" s="22">
        <f>IF($C735="","",IFERROR(IF(INDEX(Deals!$AE$2:$AE$355,MATCH($C735,Deals!$A$2:$A$355,0))=0,"",INDEX(Deals!$AE$2:$AE$355,MATCH($C735,Deals!$A$2:$A$355,0))),""))</f>
        <v/>
      </c>
      <c r="AE735" s="22">
        <f>IF($C735="","",IFERROR(IF(INDEX(Deals!$AF$2:$AF$355,MATCH($C735,Deals!$A$2:$A$355,0))=0,"",INDEX(Deals!$AF$2:$AF$355,MATCH($C735,Deals!$A$2:$A$355,0))),""))</f>
        <v/>
      </c>
      <c r="AF735" s="35">
        <f>IF($AD735="",DATE(1900,1,1),$AD735)</f>
        <v/>
      </c>
      <c r="AG735" s="35">
        <f>IF($AE735="",DATE(2100,12,31),$AE735)</f>
        <v/>
      </c>
      <c r="AH735" s="22">
        <f>IF($C735="","",IFERROR(IF(INDEX(Deals!$AG$2:$AG$355,MATCH($C735,Deals!$A$2:$A$355,0))=0,"",INDEX(Deals!$AG$2:$AG$355,MATCH($C735,Deals!$A$2:$A$355,0))),""))</f>
        <v/>
      </c>
      <c r="AI735" s="35">
        <f>IF($AH735="",DATE(1900,1,1),$AF735)</f>
        <v/>
      </c>
      <c r="AJ735" s="35">
        <f>IF($AH735="",DATE(2100,12,31),$AH735)</f>
        <v/>
      </c>
      <c r="AK735" s="32">
        <f>IF($AH735="",$AC735,$AC735*$S735)</f>
        <v/>
      </c>
      <c r="AL735" s="35">
        <f>IF($AH735="",DATE(2100,12,31),$AH735+1)</f>
        <v/>
      </c>
      <c r="AM735" s="35">
        <f>IF($AH735="",DATE(1900,1,1),$AG735)</f>
        <v/>
      </c>
      <c r="AN735" s="32">
        <f>IF($AH735="",0,$AC735*$T735)</f>
        <v/>
      </c>
    </row>
    <row r="736">
      <c r="A736" s="31" t="n"/>
      <c r="B736" s="16">
        <f>IF($A736="","",IFERROR(INDEX(Roster!$B$2:$B$40,MATCH($A736,Roster!$A$2:$A$40,0)),"?"))</f>
        <v/>
      </c>
      <c r="C736" s="31" t="n"/>
      <c r="D736" s="16">
        <f>IF($C736="","",IFERROR(IF(INDEX(Deals!$C$2:$C$355,MATCH($C736,Deals!$A$2:$A$355,0))=0,"",INDEX(Deals!$C$2:$C$355,MATCH($C736,Deals!$A$2:$A$355,0))),"?"))</f>
        <v/>
      </c>
      <c r="E736" s="16">
        <f>IF($C736="","",IFERROR(INDEX(Deals!$F$2:$F$355,MATCH($C736,Deals!$A$2:$A$355,0)),"?"))</f>
        <v/>
      </c>
      <c r="F736" s="31" t="n"/>
      <c r="G736" s="31" t="n"/>
      <c r="H736" s="31" t="n"/>
      <c r="I736" s="32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1">
        <f>IF($C736="",0,IFERROR(INDEX(Deals!$H$2:$H$355,MATCH($C736,Deals!$A$2:$A$355,0)),0))</f>
        <v/>
      </c>
      <c r="K736" s="32">
        <f>IF(Settings!$B$4="Yes",$I736*$J736,$I736)</f>
        <v/>
      </c>
      <c r="L736" s="22">
        <f>IF($C736="","",IFERROR(IF(INDEX(Deals!$I$2:$I$355,MATCH($C736,Deals!$A$2:$A$355,0))=0,"",INDEX(Deals!$I$2:$I$355,MATCH($C736,Deals!$A$2:$A$355,0))),""))</f>
        <v/>
      </c>
      <c r="M736" s="22">
        <f>IF($C736="","",IFERROR(IF(INDEX(Deals!$J$2:$J$355,MATCH($C736,Deals!$A$2:$A$355,0))=0,"",INDEX(Deals!$J$2:$J$355,MATCH($C736,Deals!$A$2:$A$355,0))),""))</f>
        <v/>
      </c>
      <c r="N736" s="35">
        <f>IF($L736="",DATE(1900,1,1),$L736)</f>
        <v/>
      </c>
      <c r="O736" s="35">
        <f>IF($M736="",DATE(2100,12,31),$M736)</f>
        <v/>
      </c>
      <c r="P736" s="41" t="n"/>
      <c r="Q736" s="31" t="n"/>
      <c r="R736" s="16">
        <f>IF($C736="","",IFERROR(IF(INDEX(Deals!$U$2:$U$355,MATCH($C736,Deals!$A$2:$A$355,0))=0,"",INDEX(Deals!$U$2:$U$355,MATCH($C736,Deals!$A$2:$A$355,0))),""))</f>
        <v/>
      </c>
      <c r="S736" s="34">
        <f>IFERROR(IF($U736="",1,INDEX(Deals!$V$2:$V$355,MATCH($C736,Deals!$A$2:$A$355,0))),1)</f>
        <v/>
      </c>
      <c r="T736" s="34">
        <f>IFERROR(IF($U736="",1,INDEX(Deals!$W$2:$W$355,MATCH($C736,Deals!$A$2:$A$355,0))),1)</f>
        <v/>
      </c>
      <c r="U736" s="22">
        <f>IF($C736="","",IFERROR(IF(INDEX(Deals!$Y$2:$Y$355,MATCH($C736,Deals!$A$2:$A$355,0))=0,"",INDEX(Deals!$Y$2:$Y$355,MATCH($C736,Deals!$A$2:$A$355,0))),""))</f>
        <v/>
      </c>
      <c r="V736" s="35">
        <f>IF($U736="",DATE(1900,1,1),$N736)</f>
        <v/>
      </c>
      <c r="W736" s="35">
        <f>IF($U736="",DATE(2100,12,31),$U736)</f>
        <v/>
      </c>
      <c r="X736" s="32">
        <f>IF($U736="",$K736,$K736*$S736)</f>
        <v/>
      </c>
      <c r="Y736" s="35">
        <f>IF($U736="",DATE(2100,12,31),$U736+1)</f>
        <v/>
      </c>
      <c r="Z736" s="35">
        <f>IF($U736="",DATE(1900,1,1),$O736)</f>
        <v/>
      </c>
      <c r="AA736" s="32">
        <f>IF($U736="",0,$K736*$T736)</f>
        <v/>
      </c>
      <c r="AB736" s="21">
        <f>IF($C736="",0,IFERROR(INDEX(Deals!$AD$2:$AD$355,MATCH($C736,Deals!$A$2:$A$355,0)),0))</f>
        <v/>
      </c>
      <c r="AC736" s="32">
        <f>IF(Settings!$B$4="Yes",$I736*$AB736,$I736)</f>
        <v/>
      </c>
      <c r="AD736" s="22">
        <f>IF($C736="","",IFERROR(IF(INDEX(Deals!$AE$2:$AE$355,MATCH($C736,Deals!$A$2:$A$355,0))=0,"",INDEX(Deals!$AE$2:$AE$355,MATCH($C736,Deals!$A$2:$A$355,0))),""))</f>
        <v/>
      </c>
      <c r="AE736" s="22">
        <f>IF($C736="","",IFERROR(IF(INDEX(Deals!$AF$2:$AF$355,MATCH($C736,Deals!$A$2:$A$355,0))=0,"",INDEX(Deals!$AF$2:$AF$355,MATCH($C736,Deals!$A$2:$A$355,0))),""))</f>
        <v/>
      </c>
      <c r="AF736" s="35">
        <f>IF($AD736="",DATE(1900,1,1),$AD736)</f>
        <v/>
      </c>
      <c r="AG736" s="35">
        <f>IF($AE736="",DATE(2100,12,31),$AE736)</f>
        <v/>
      </c>
      <c r="AH736" s="22">
        <f>IF($C736="","",IFERROR(IF(INDEX(Deals!$AG$2:$AG$355,MATCH($C736,Deals!$A$2:$A$355,0))=0,"",INDEX(Deals!$AG$2:$AG$355,MATCH($C736,Deals!$A$2:$A$355,0))),""))</f>
        <v/>
      </c>
      <c r="AI736" s="35">
        <f>IF($AH736="",DATE(1900,1,1),$AF736)</f>
        <v/>
      </c>
      <c r="AJ736" s="35">
        <f>IF($AH736="",DATE(2100,12,31),$AH736)</f>
        <v/>
      </c>
      <c r="AK736" s="32">
        <f>IF($AH736="",$AC736,$AC736*$S736)</f>
        <v/>
      </c>
      <c r="AL736" s="35">
        <f>IF($AH736="",DATE(2100,12,31),$AH736+1)</f>
        <v/>
      </c>
      <c r="AM736" s="35">
        <f>IF($AH736="",DATE(1900,1,1),$AG736)</f>
        <v/>
      </c>
      <c r="AN736" s="32">
        <f>IF($AH736="",0,$AC736*$T736)</f>
        <v/>
      </c>
    </row>
    <row r="737">
      <c r="A737" s="31" t="n"/>
      <c r="B737" s="16">
        <f>IF($A737="","",IFERROR(INDEX(Roster!$B$2:$B$40,MATCH($A737,Roster!$A$2:$A$40,0)),"?"))</f>
        <v/>
      </c>
      <c r="C737" s="31" t="n"/>
      <c r="D737" s="16">
        <f>IF($C737="","",IFERROR(IF(INDEX(Deals!$C$2:$C$355,MATCH($C737,Deals!$A$2:$A$355,0))=0,"",INDEX(Deals!$C$2:$C$355,MATCH($C737,Deals!$A$2:$A$355,0))),"?"))</f>
        <v/>
      </c>
      <c r="E737" s="16">
        <f>IF($C737="","",IFERROR(INDEX(Deals!$F$2:$F$355,MATCH($C737,Deals!$A$2:$A$355,0)),"?"))</f>
        <v/>
      </c>
      <c r="F737" s="31" t="n"/>
      <c r="G737" s="31" t="n"/>
      <c r="H737" s="31" t="n"/>
      <c r="I737" s="32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1">
        <f>IF($C737="",0,IFERROR(INDEX(Deals!$H$2:$H$355,MATCH($C737,Deals!$A$2:$A$355,0)),0))</f>
        <v/>
      </c>
      <c r="K737" s="32">
        <f>IF(Settings!$B$4="Yes",$I737*$J737,$I737)</f>
        <v/>
      </c>
      <c r="L737" s="22">
        <f>IF($C737="","",IFERROR(IF(INDEX(Deals!$I$2:$I$355,MATCH($C737,Deals!$A$2:$A$355,0))=0,"",INDEX(Deals!$I$2:$I$355,MATCH($C737,Deals!$A$2:$A$355,0))),""))</f>
        <v/>
      </c>
      <c r="M737" s="22">
        <f>IF($C737="","",IFERROR(IF(INDEX(Deals!$J$2:$J$355,MATCH($C737,Deals!$A$2:$A$355,0))=0,"",INDEX(Deals!$J$2:$J$355,MATCH($C737,Deals!$A$2:$A$355,0))),""))</f>
        <v/>
      </c>
      <c r="N737" s="35">
        <f>IF($L737="",DATE(1900,1,1),$L737)</f>
        <v/>
      </c>
      <c r="O737" s="35">
        <f>IF($M737="",DATE(2100,12,31),$M737)</f>
        <v/>
      </c>
      <c r="P737" s="41" t="n"/>
      <c r="Q737" s="31" t="n"/>
      <c r="R737" s="16">
        <f>IF($C737="","",IFERROR(IF(INDEX(Deals!$U$2:$U$355,MATCH($C737,Deals!$A$2:$A$355,0))=0,"",INDEX(Deals!$U$2:$U$355,MATCH($C737,Deals!$A$2:$A$355,0))),""))</f>
        <v/>
      </c>
      <c r="S737" s="34">
        <f>IFERROR(IF($U737="",1,INDEX(Deals!$V$2:$V$355,MATCH($C737,Deals!$A$2:$A$355,0))),1)</f>
        <v/>
      </c>
      <c r="T737" s="34">
        <f>IFERROR(IF($U737="",1,INDEX(Deals!$W$2:$W$355,MATCH($C737,Deals!$A$2:$A$355,0))),1)</f>
        <v/>
      </c>
      <c r="U737" s="22">
        <f>IF($C737="","",IFERROR(IF(INDEX(Deals!$Y$2:$Y$355,MATCH($C737,Deals!$A$2:$A$355,0))=0,"",INDEX(Deals!$Y$2:$Y$355,MATCH($C737,Deals!$A$2:$A$355,0))),""))</f>
        <v/>
      </c>
      <c r="V737" s="35">
        <f>IF($U737="",DATE(1900,1,1),$N737)</f>
        <v/>
      </c>
      <c r="W737" s="35">
        <f>IF($U737="",DATE(2100,12,31),$U737)</f>
        <v/>
      </c>
      <c r="X737" s="32">
        <f>IF($U737="",$K737,$K737*$S737)</f>
        <v/>
      </c>
      <c r="Y737" s="35">
        <f>IF($U737="",DATE(2100,12,31),$U737+1)</f>
        <v/>
      </c>
      <c r="Z737" s="35">
        <f>IF($U737="",DATE(1900,1,1),$O737)</f>
        <v/>
      </c>
      <c r="AA737" s="32">
        <f>IF($U737="",0,$K737*$T737)</f>
        <v/>
      </c>
      <c r="AB737" s="21">
        <f>IF($C737="",0,IFERROR(INDEX(Deals!$AD$2:$AD$355,MATCH($C737,Deals!$A$2:$A$355,0)),0))</f>
        <v/>
      </c>
      <c r="AC737" s="32">
        <f>IF(Settings!$B$4="Yes",$I737*$AB737,$I737)</f>
        <v/>
      </c>
      <c r="AD737" s="22">
        <f>IF($C737="","",IFERROR(IF(INDEX(Deals!$AE$2:$AE$355,MATCH($C737,Deals!$A$2:$A$355,0))=0,"",INDEX(Deals!$AE$2:$AE$355,MATCH($C737,Deals!$A$2:$A$355,0))),""))</f>
        <v/>
      </c>
      <c r="AE737" s="22">
        <f>IF($C737="","",IFERROR(IF(INDEX(Deals!$AF$2:$AF$355,MATCH($C737,Deals!$A$2:$A$355,0))=0,"",INDEX(Deals!$AF$2:$AF$355,MATCH($C737,Deals!$A$2:$A$355,0))),""))</f>
        <v/>
      </c>
      <c r="AF737" s="35">
        <f>IF($AD737="",DATE(1900,1,1),$AD737)</f>
        <v/>
      </c>
      <c r="AG737" s="35">
        <f>IF($AE737="",DATE(2100,12,31),$AE737)</f>
        <v/>
      </c>
      <c r="AH737" s="22">
        <f>IF($C737="","",IFERROR(IF(INDEX(Deals!$AG$2:$AG$355,MATCH($C737,Deals!$A$2:$A$355,0))=0,"",INDEX(Deals!$AG$2:$AG$355,MATCH($C737,Deals!$A$2:$A$355,0))),""))</f>
        <v/>
      </c>
      <c r="AI737" s="35">
        <f>IF($AH737="",DATE(1900,1,1),$AF737)</f>
        <v/>
      </c>
      <c r="AJ737" s="35">
        <f>IF($AH737="",DATE(2100,12,31),$AH737)</f>
        <v/>
      </c>
      <c r="AK737" s="32">
        <f>IF($AH737="",$AC737,$AC737*$S737)</f>
        <v/>
      </c>
      <c r="AL737" s="35">
        <f>IF($AH737="",DATE(2100,12,31),$AH737+1)</f>
        <v/>
      </c>
      <c r="AM737" s="35">
        <f>IF($AH737="",DATE(1900,1,1),$AG737)</f>
        <v/>
      </c>
      <c r="AN737" s="32">
        <f>IF($AH737="",0,$AC737*$T737)</f>
        <v/>
      </c>
    </row>
    <row r="738">
      <c r="A738" s="31" t="n"/>
      <c r="B738" s="16">
        <f>IF($A738="","",IFERROR(INDEX(Roster!$B$2:$B$40,MATCH($A738,Roster!$A$2:$A$40,0)),"?"))</f>
        <v/>
      </c>
      <c r="C738" s="31" t="n"/>
      <c r="D738" s="16">
        <f>IF($C738="","",IFERROR(IF(INDEX(Deals!$C$2:$C$355,MATCH($C738,Deals!$A$2:$A$355,0))=0,"",INDEX(Deals!$C$2:$C$355,MATCH($C738,Deals!$A$2:$A$355,0))),"?"))</f>
        <v/>
      </c>
      <c r="E738" s="16">
        <f>IF($C738="","",IFERROR(INDEX(Deals!$F$2:$F$355,MATCH($C738,Deals!$A$2:$A$355,0)),"?"))</f>
        <v/>
      </c>
      <c r="F738" s="31" t="n"/>
      <c r="G738" s="31" t="n"/>
      <c r="H738" s="31" t="n"/>
      <c r="I738" s="32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1">
        <f>IF($C738="",0,IFERROR(INDEX(Deals!$H$2:$H$355,MATCH($C738,Deals!$A$2:$A$355,0)),0))</f>
        <v/>
      </c>
      <c r="K738" s="32">
        <f>IF(Settings!$B$4="Yes",$I738*$J738,$I738)</f>
        <v/>
      </c>
      <c r="L738" s="22">
        <f>IF($C738="","",IFERROR(IF(INDEX(Deals!$I$2:$I$355,MATCH($C738,Deals!$A$2:$A$355,0))=0,"",INDEX(Deals!$I$2:$I$355,MATCH($C738,Deals!$A$2:$A$355,0))),""))</f>
        <v/>
      </c>
      <c r="M738" s="22">
        <f>IF($C738="","",IFERROR(IF(INDEX(Deals!$J$2:$J$355,MATCH($C738,Deals!$A$2:$A$355,0))=0,"",INDEX(Deals!$J$2:$J$355,MATCH($C738,Deals!$A$2:$A$355,0))),""))</f>
        <v/>
      </c>
      <c r="N738" s="35">
        <f>IF($L738="",DATE(1900,1,1),$L738)</f>
        <v/>
      </c>
      <c r="O738" s="35">
        <f>IF($M738="",DATE(2100,12,31),$M738)</f>
        <v/>
      </c>
      <c r="P738" s="41" t="n"/>
      <c r="Q738" s="31" t="n"/>
      <c r="R738" s="16">
        <f>IF($C738="","",IFERROR(IF(INDEX(Deals!$U$2:$U$355,MATCH($C738,Deals!$A$2:$A$355,0))=0,"",INDEX(Deals!$U$2:$U$355,MATCH($C738,Deals!$A$2:$A$355,0))),""))</f>
        <v/>
      </c>
      <c r="S738" s="34">
        <f>IFERROR(IF($U738="",1,INDEX(Deals!$V$2:$V$355,MATCH($C738,Deals!$A$2:$A$355,0))),1)</f>
        <v/>
      </c>
      <c r="T738" s="34">
        <f>IFERROR(IF($U738="",1,INDEX(Deals!$W$2:$W$355,MATCH($C738,Deals!$A$2:$A$355,0))),1)</f>
        <v/>
      </c>
      <c r="U738" s="22">
        <f>IF($C738="","",IFERROR(IF(INDEX(Deals!$Y$2:$Y$355,MATCH($C738,Deals!$A$2:$A$355,0))=0,"",INDEX(Deals!$Y$2:$Y$355,MATCH($C738,Deals!$A$2:$A$355,0))),""))</f>
        <v/>
      </c>
      <c r="V738" s="35">
        <f>IF($U738="",DATE(1900,1,1),$N738)</f>
        <v/>
      </c>
      <c r="W738" s="35">
        <f>IF($U738="",DATE(2100,12,31),$U738)</f>
        <v/>
      </c>
      <c r="X738" s="32">
        <f>IF($U738="",$K738,$K738*$S738)</f>
        <v/>
      </c>
      <c r="Y738" s="35">
        <f>IF($U738="",DATE(2100,12,31),$U738+1)</f>
        <v/>
      </c>
      <c r="Z738" s="35">
        <f>IF($U738="",DATE(1900,1,1),$O738)</f>
        <v/>
      </c>
      <c r="AA738" s="32">
        <f>IF($U738="",0,$K738*$T738)</f>
        <v/>
      </c>
      <c r="AB738" s="21">
        <f>IF($C738="",0,IFERROR(INDEX(Deals!$AD$2:$AD$355,MATCH($C738,Deals!$A$2:$A$355,0)),0))</f>
        <v/>
      </c>
      <c r="AC738" s="32">
        <f>IF(Settings!$B$4="Yes",$I738*$AB738,$I738)</f>
        <v/>
      </c>
      <c r="AD738" s="22">
        <f>IF($C738="","",IFERROR(IF(INDEX(Deals!$AE$2:$AE$355,MATCH($C738,Deals!$A$2:$A$355,0))=0,"",INDEX(Deals!$AE$2:$AE$355,MATCH($C738,Deals!$A$2:$A$355,0))),""))</f>
        <v/>
      </c>
      <c r="AE738" s="22">
        <f>IF($C738="","",IFERROR(IF(INDEX(Deals!$AF$2:$AF$355,MATCH($C738,Deals!$A$2:$A$355,0))=0,"",INDEX(Deals!$AF$2:$AF$355,MATCH($C738,Deals!$A$2:$A$355,0))),""))</f>
        <v/>
      </c>
      <c r="AF738" s="35">
        <f>IF($AD738="",DATE(1900,1,1),$AD738)</f>
        <v/>
      </c>
      <c r="AG738" s="35">
        <f>IF($AE738="",DATE(2100,12,31),$AE738)</f>
        <v/>
      </c>
      <c r="AH738" s="22">
        <f>IF($C738="","",IFERROR(IF(INDEX(Deals!$AG$2:$AG$355,MATCH($C738,Deals!$A$2:$A$355,0))=0,"",INDEX(Deals!$AG$2:$AG$355,MATCH($C738,Deals!$A$2:$A$355,0))),""))</f>
        <v/>
      </c>
      <c r="AI738" s="35">
        <f>IF($AH738="",DATE(1900,1,1),$AF738)</f>
        <v/>
      </c>
      <c r="AJ738" s="35">
        <f>IF($AH738="",DATE(2100,12,31),$AH738)</f>
        <v/>
      </c>
      <c r="AK738" s="32">
        <f>IF($AH738="",$AC738,$AC738*$S738)</f>
        <v/>
      </c>
      <c r="AL738" s="35">
        <f>IF($AH738="",DATE(2100,12,31),$AH738+1)</f>
        <v/>
      </c>
      <c r="AM738" s="35">
        <f>IF($AH738="",DATE(1900,1,1),$AG738)</f>
        <v/>
      </c>
      <c r="AN738" s="32">
        <f>IF($AH738="",0,$AC738*$T738)</f>
        <v/>
      </c>
    </row>
    <row r="739">
      <c r="A739" s="31" t="n"/>
      <c r="B739" s="16">
        <f>IF($A739="","",IFERROR(INDEX(Roster!$B$2:$B$40,MATCH($A739,Roster!$A$2:$A$40,0)),"?"))</f>
        <v/>
      </c>
      <c r="C739" s="31" t="n"/>
      <c r="D739" s="16">
        <f>IF($C739="","",IFERROR(IF(INDEX(Deals!$C$2:$C$355,MATCH($C739,Deals!$A$2:$A$355,0))=0,"",INDEX(Deals!$C$2:$C$355,MATCH($C739,Deals!$A$2:$A$355,0))),"?"))</f>
        <v/>
      </c>
      <c r="E739" s="16">
        <f>IF($C739="","",IFERROR(INDEX(Deals!$F$2:$F$355,MATCH($C739,Deals!$A$2:$A$355,0)),"?"))</f>
        <v/>
      </c>
      <c r="F739" s="31" t="n"/>
      <c r="G739" s="31" t="n"/>
      <c r="H739" s="31" t="n"/>
      <c r="I739" s="32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1">
        <f>IF($C739="",0,IFERROR(INDEX(Deals!$H$2:$H$355,MATCH($C739,Deals!$A$2:$A$355,0)),0))</f>
        <v/>
      </c>
      <c r="K739" s="32">
        <f>IF(Settings!$B$4="Yes",$I739*$J739,$I739)</f>
        <v/>
      </c>
      <c r="L739" s="22">
        <f>IF($C739="","",IFERROR(IF(INDEX(Deals!$I$2:$I$355,MATCH($C739,Deals!$A$2:$A$355,0))=0,"",INDEX(Deals!$I$2:$I$355,MATCH($C739,Deals!$A$2:$A$355,0))),""))</f>
        <v/>
      </c>
      <c r="M739" s="22">
        <f>IF($C739="","",IFERROR(IF(INDEX(Deals!$J$2:$J$355,MATCH($C739,Deals!$A$2:$A$355,0))=0,"",INDEX(Deals!$J$2:$J$355,MATCH($C739,Deals!$A$2:$A$355,0))),""))</f>
        <v/>
      </c>
      <c r="N739" s="35">
        <f>IF($L739="",DATE(1900,1,1),$L739)</f>
        <v/>
      </c>
      <c r="O739" s="35">
        <f>IF($M739="",DATE(2100,12,31),$M739)</f>
        <v/>
      </c>
      <c r="P739" s="41" t="n"/>
      <c r="Q739" s="31" t="n"/>
      <c r="R739" s="16">
        <f>IF($C739="","",IFERROR(IF(INDEX(Deals!$U$2:$U$355,MATCH($C739,Deals!$A$2:$A$355,0))=0,"",INDEX(Deals!$U$2:$U$355,MATCH($C739,Deals!$A$2:$A$355,0))),""))</f>
        <v/>
      </c>
      <c r="S739" s="34">
        <f>IFERROR(IF($U739="",1,INDEX(Deals!$V$2:$V$355,MATCH($C739,Deals!$A$2:$A$355,0))),1)</f>
        <v/>
      </c>
      <c r="T739" s="34">
        <f>IFERROR(IF($U739="",1,INDEX(Deals!$W$2:$W$355,MATCH($C739,Deals!$A$2:$A$355,0))),1)</f>
        <v/>
      </c>
      <c r="U739" s="22">
        <f>IF($C739="","",IFERROR(IF(INDEX(Deals!$Y$2:$Y$355,MATCH($C739,Deals!$A$2:$A$355,0))=0,"",INDEX(Deals!$Y$2:$Y$355,MATCH($C739,Deals!$A$2:$A$355,0))),""))</f>
        <v/>
      </c>
      <c r="V739" s="35">
        <f>IF($U739="",DATE(1900,1,1),$N739)</f>
        <v/>
      </c>
      <c r="W739" s="35">
        <f>IF($U739="",DATE(2100,12,31),$U739)</f>
        <v/>
      </c>
      <c r="X739" s="32">
        <f>IF($U739="",$K739,$K739*$S739)</f>
        <v/>
      </c>
      <c r="Y739" s="35">
        <f>IF($U739="",DATE(2100,12,31),$U739+1)</f>
        <v/>
      </c>
      <c r="Z739" s="35">
        <f>IF($U739="",DATE(1900,1,1),$O739)</f>
        <v/>
      </c>
      <c r="AA739" s="32">
        <f>IF($U739="",0,$K739*$T739)</f>
        <v/>
      </c>
      <c r="AB739" s="21">
        <f>IF($C739="",0,IFERROR(INDEX(Deals!$AD$2:$AD$355,MATCH($C739,Deals!$A$2:$A$355,0)),0))</f>
        <v/>
      </c>
      <c r="AC739" s="32">
        <f>IF(Settings!$B$4="Yes",$I739*$AB739,$I739)</f>
        <v/>
      </c>
      <c r="AD739" s="22">
        <f>IF($C739="","",IFERROR(IF(INDEX(Deals!$AE$2:$AE$355,MATCH($C739,Deals!$A$2:$A$355,0))=0,"",INDEX(Deals!$AE$2:$AE$355,MATCH($C739,Deals!$A$2:$A$355,0))),""))</f>
        <v/>
      </c>
      <c r="AE739" s="22">
        <f>IF($C739="","",IFERROR(IF(INDEX(Deals!$AF$2:$AF$355,MATCH($C739,Deals!$A$2:$A$355,0))=0,"",INDEX(Deals!$AF$2:$AF$355,MATCH($C739,Deals!$A$2:$A$355,0))),""))</f>
        <v/>
      </c>
      <c r="AF739" s="35">
        <f>IF($AD739="",DATE(1900,1,1),$AD739)</f>
        <v/>
      </c>
      <c r="AG739" s="35">
        <f>IF($AE739="",DATE(2100,12,31),$AE739)</f>
        <v/>
      </c>
      <c r="AH739" s="22">
        <f>IF($C739="","",IFERROR(IF(INDEX(Deals!$AG$2:$AG$355,MATCH($C739,Deals!$A$2:$A$355,0))=0,"",INDEX(Deals!$AG$2:$AG$355,MATCH($C739,Deals!$A$2:$A$355,0))),""))</f>
        <v/>
      </c>
      <c r="AI739" s="35">
        <f>IF($AH739="",DATE(1900,1,1),$AF739)</f>
        <v/>
      </c>
      <c r="AJ739" s="35">
        <f>IF($AH739="",DATE(2100,12,31),$AH739)</f>
        <v/>
      </c>
      <c r="AK739" s="32">
        <f>IF($AH739="",$AC739,$AC739*$S739)</f>
        <v/>
      </c>
      <c r="AL739" s="35">
        <f>IF($AH739="",DATE(2100,12,31),$AH739+1)</f>
        <v/>
      </c>
      <c r="AM739" s="35">
        <f>IF($AH739="",DATE(1900,1,1),$AG739)</f>
        <v/>
      </c>
      <c r="AN739" s="32">
        <f>IF($AH739="",0,$AC739*$T739)</f>
        <v/>
      </c>
    </row>
    <row r="740">
      <c r="A740" s="31" t="n"/>
      <c r="B740" s="16">
        <f>IF($A740="","",IFERROR(INDEX(Roster!$B$2:$B$40,MATCH($A740,Roster!$A$2:$A$40,0)),"?"))</f>
        <v/>
      </c>
      <c r="C740" s="31" t="n"/>
      <c r="D740" s="16">
        <f>IF($C740="","",IFERROR(IF(INDEX(Deals!$C$2:$C$355,MATCH($C740,Deals!$A$2:$A$355,0))=0,"",INDEX(Deals!$C$2:$C$355,MATCH($C740,Deals!$A$2:$A$355,0))),"?"))</f>
        <v/>
      </c>
      <c r="E740" s="16">
        <f>IF($C740="","",IFERROR(INDEX(Deals!$F$2:$F$355,MATCH($C740,Deals!$A$2:$A$355,0)),"?"))</f>
        <v/>
      </c>
      <c r="F740" s="31" t="n"/>
      <c r="G740" s="31" t="n"/>
      <c r="H740" s="31" t="n"/>
      <c r="I740" s="32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1">
        <f>IF($C740="",0,IFERROR(INDEX(Deals!$H$2:$H$355,MATCH($C740,Deals!$A$2:$A$355,0)),0))</f>
        <v/>
      </c>
      <c r="K740" s="32">
        <f>IF(Settings!$B$4="Yes",$I740*$J740,$I740)</f>
        <v/>
      </c>
      <c r="L740" s="22">
        <f>IF($C740="","",IFERROR(IF(INDEX(Deals!$I$2:$I$355,MATCH($C740,Deals!$A$2:$A$355,0))=0,"",INDEX(Deals!$I$2:$I$355,MATCH($C740,Deals!$A$2:$A$355,0))),""))</f>
        <v/>
      </c>
      <c r="M740" s="22">
        <f>IF($C740="","",IFERROR(IF(INDEX(Deals!$J$2:$J$355,MATCH($C740,Deals!$A$2:$A$355,0))=0,"",INDEX(Deals!$J$2:$J$355,MATCH($C740,Deals!$A$2:$A$355,0))),""))</f>
        <v/>
      </c>
      <c r="N740" s="35">
        <f>IF($L740="",DATE(1900,1,1),$L740)</f>
        <v/>
      </c>
      <c r="O740" s="35">
        <f>IF($M740="",DATE(2100,12,31),$M740)</f>
        <v/>
      </c>
      <c r="P740" s="41" t="n"/>
      <c r="Q740" s="31" t="n"/>
      <c r="R740" s="16">
        <f>IF($C740="","",IFERROR(IF(INDEX(Deals!$U$2:$U$355,MATCH($C740,Deals!$A$2:$A$355,0))=0,"",INDEX(Deals!$U$2:$U$355,MATCH($C740,Deals!$A$2:$A$355,0))),""))</f>
        <v/>
      </c>
      <c r="S740" s="34">
        <f>IFERROR(IF($U740="",1,INDEX(Deals!$V$2:$V$355,MATCH($C740,Deals!$A$2:$A$355,0))),1)</f>
        <v/>
      </c>
      <c r="T740" s="34">
        <f>IFERROR(IF($U740="",1,INDEX(Deals!$W$2:$W$355,MATCH($C740,Deals!$A$2:$A$355,0))),1)</f>
        <v/>
      </c>
      <c r="U740" s="22">
        <f>IF($C740="","",IFERROR(IF(INDEX(Deals!$Y$2:$Y$355,MATCH($C740,Deals!$A$2:$A$355,0))=0,"",INDEX(Deals!$Y$2:$Y$355,MATCH($C740,Deals!$A$2:$A$355,0))),""))</f>
        <v/>
      </c>
      <c r="V740" s="35">
        <f>IF($U740="",DATE(1900,1,1),$N740)</f>
        <v/>
      </c>
      <c r="W740" s="35">
        <f>IF($U740="",DATE(2100,12,31),$U740)</f>
        <v/>
      </c>
      <c r="X740" s="32">
        <f>IF($U740="",$K740,$K740*$S740)</f>
        <v/>
      </c>
      <c r="Y740" s="35">
        <f>IF($U740="",DATE(2100,12,31),$U740+1)</f>
        <v/>
      </c>
      <c r="Z740" s="35">
        <f>IF($U740="",DATE(1900,1,1),$O740)</f>
        <v/>
      </c>
      <c r="AA740" s="32">
        <f>IF($U740="",0,$K740*$T740)</f>
        <v/>
      </c>
      <c r="AB740" s="21">
        <f>IF($C740="",0,IFERROR(INDEX(Deals!$AD$2:$AD$355,MATCH($C740,Deals!$A$2:$A$355,0)),0))</f>
        <v/>
      </c>
      <c r="AC740" s="32">
        <f>IF(Settings!$B$4="Yes",$I740*$AB740,$I740)</f>
        <v/>
      </c>
      <c r="AD740" s="22">
        <f>IF($C740="","",IFERROR(IF(INDEX(Deals!$AE$2:$AE$355,MATCH($C740,Deals!$A$2:$A$355,0))=0,"",INDEX(Deals!$AE$2:$AE$355,MATCH($C740,Deals!$A$2:$A$355,0))),""))</f>
        <v/>
      </c>
      <c r="AE740" s="22">
        <f>IF($C740="","",IFERROR(IF(INDEX(Deals!$AF$2:$AF$355,MATCH($C740,Deals!$A$2:$A$355,0))=0,"",INDEX(Deals!$AF$2:$AF$355,MATCH($C740,Deals!$A$2:$A$355,0))),""))</f>
        <v/>
      </c>
      <c r="AF740" s="35">
        <f>IF($AD740="",DATE(1900,1,1),$AD740)</f>
        <v/>
      </c>
      <c r="AG740" s="35">
        <f>IF($AE740="",DATE(2100,12,31),$AE740)</f>
        <v/>
      </c>
      <c r="AH740" s="22">
        <f>IF($C740="","",IFERROR(IF(INDEX(Deals!$AG$2:$AG$355,MATCH($C740,Deals!$A$2:$A$355,0))=0,"",INDEX(Deals!$AG$2:$AG$355,MATCH($C740,Deals!$A$2:$A$355,0))),""))</f>
        <v/>
      </c>
      <c r="AI740" s="35">
        <f>IF($AH740="",DATE(1900,1,1),$AF740)</f>
        <v/>
      </c>
      <c r="AJ740" s="35">
        <f>IF($AH740="",DATE(2100,12,31),$AH740)</f>
        <v/>
      </c>
      <c r="AK740" s="32">
        <f>IF($AH740="",$AC740,$AC740*$S740)</f>
        <v/>
      </c>
      <c r="AL740" s="35">
        <f>IF($AH740="",DATE(2100,12,31),$AH740+1)</f>
        <v/>
      </c>
      <c r="AM740" s="35">
        <f>IF($AH740="",DATE(1900,1,1),$AG740)</f>
        <v/>
      </c>
      <c r="AN740" s="32">
        <f>IF($AH740="",0,$AC740*$T740)</f>
        <v/>
      </c>
    </row>
    <row r="741">
      <c r="A741" s="31" t="n"/>
      <c r="B741" s="16">
        <f>IF($A741="","",IFERROR(INDEX(Roster!$B$2:$B$40,MATCH($A741,Roster!$A$2:$A$40,0)),"?"))</f>
        <v/>
      </c>
      <c r="C741" s="31" t="n"/>
      <c r="D741" s="16">
        <f>IF($C741="","",IFERROR(IF(INDEX(Deals!$C$2:$C$355,MATCH($C741,Deals!$A$2:$A$355,0))=0,"",INDEX(Deals!$C$2:$C$355,MATCH($C741,Deals!$A$2:$A$355,0))),"?"))</f>
        <v/>
      </c>
      <c r="E741" s="16">
        <f>IF($C741="","",IFERROR(INDEX(Deals!$F$2:$F$355,MATCH($C741,Deals!$A$2:$A$355,0)),"?"))</f>
        <v/>
      </c>
      <c r="F741" s="31" t="n"/>
      <c r="G741" s="31" t="n"/>
      <c r="H741" s="31" t="n"/>
      <c r="I741" s="32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1">
        <f>IF($C741="",0,IFERROR(INDEX(Deals!$H$2:$H$355,MATCH($C741,Deals!$A$2:$A$355,0)),0))</f>
        <v/>
      </c>
      <c r="K741" s="32">
        <f>IF(Settings!$B$4="Yes",$I741*$J741,$I741)</f>
        <v/>
      </c>
      <c r="L741" s="22">
        <f>IF($C741="","",IFERROR(IF(INDEX(Deals!$I$2:$I$355,MATCH($C741,Deals!$A$2:$A$355,0))=0,"",INDEX(Deals!$I$2:$I$355,MATCH($C741,Deals!$A$2:$A$355,0))),""))</f>
        <v/>
      </c>
      <c r="M741" s="22">
        <f>IF($C741="","",IFERROR(IF(INDEX(Deals!$J$2:$J$355,MATCH($C741,Deals!$A$2:$A$355,0))=0,"",INDEX(Deals!$J$2:$J$355,MATCH($C741,Deals!$A$2:$A$355,0))),""))</f>
        <v/>
      </c>
      <c r="N741" s="35">
        <f>IF($L741="",DATE(1900,1,1),$L741)</f>
        <v/>
      </c>
      <c r="O741" s="35">
        <f>IF($M741="",DATE(2100,12,31),$M741)</f>
        <v/>
      </c>
      <c r="P741" s="41" t="n"/>
      <c r="Q741" s="31" t="n"/>
      <c r="R741" s="16">
        <f>IF($C741="","",IFERROR(IF(INDEX(Deals!$U$2:$U$355,MATCH($C741,Deals!$A$2:$A$355,0))=0,"",INDEX(Deals!$U$2:$U$355,MATCH($C741,Deals!$A$2:$A$355,0))),""))</f>
        <v/>
      </c>
      <c r="S741" s="34">
        <f>IFERROR(IF($U741="",1,INDEX(Deals!$V$2:$V$355,MATCH($C741,Deals!$A$2:$A$355,0))),1)</f>
        <v/>
      </c>
      <c r="T741" s="34">
        <f>IFERROR(IF($U741="",1,INDEX(Deals!$W$2:$W$355,MATCH($C741,Deals!$A$2:$A$355,0))),1)</f>
        <v/>
      </c>
      <c r="U741" s="22">
        <f>IF($C741="","",IFERROR(IF(INDEX(Deals!$Y$2:$Y$355,MATCH($C741,Deals!$A$2:$A$355,0))=0,"",INDEX(Deals!$Y$2:$Y$355,MATCH($C741,Deals!$A$2:$A$355,0))),""))</f>
        <v/>
      </c>
      <c r="V741" s="35">
        <f>IF($U741="",DATE(1900,1,1),$N741)</f>
        <v/>
      </c>
      <c r="W741" s="35">
        <f>IF($U741="",DATE(2100,12,31),$U741)</f>
        <v/>
      </c>
      <c r="X741" s="32">
        <f>IF($U741="",$K741,$K741*$S741)</f>
        <v/>
      </c>
      <c r="Y741" s="35">
        <f>IF($U741="",DATE(2100,12,31),$U741+1)</f>
        <v/>
      </c>
      <c r="Z741" s="35">
        <f>IF($U741="",DATE(1900,1,1),$O741)</f>
        <v/>
      </c>
      <c r="AA741" s="32">
        <f>IF($U741="",0,$K741*$T741)</f>
        <v/>
      </c>
      <c r="AB741" s="21">
        <f>IF($C741="",0,IFERROR(INDEX(Deals!$AD$2:$AD$355,MATCH($C741,Deals!$A$2:$A$355,0)),0))</f>
        <v/>
      </c>
      <c r="AC741" s="32">
        <f>IF(Settings!$B$4="Yes",$I741*$AB741,$I741)</f>
        <v/>
      </c>
      <c r="AD741" s="22">
        <f>IF($C741="","",IFERROR(IF(INDEX(Deals!$AE$2:$AE$355,MATCH($C741,Deals!$A$2:$A$355,0))=0,"",INDEX(Deals!$AE$2:$AE$355,MATCH($C741,Deals!$A$2:$A$355,0))),""))</f>
        <v/>
      </c>
      <c r="AE741" s="22">
        <f>IF($C741="","",IFERROR(IF(INDEX(Deals!$AF$2:$AF$355,MATCH($C741,Deals!$A$2:$A$355,0))=0,"",INDEX(Deals!$AF$2:$AF$355,MATCH($C741,Deals!$A$2:$A$355,0))),""))</f>
        <v/>
      </c>
      <c r="AF741" s="35">
        <f>IF($AD741="",DATE(1900,1,1),$AD741)</f>
        <v/>
      </c>
      <c r="AG741" s="35">
        <f>IF($AE741="",DATE(2100,12,31),$AE741)</f>
        <v/>
      </c>
      <c r="AH741" s="22">
        <f>IF($C741="","",IFERROR(IF(INDEX(Deals!$AG$2:$AG$355,MATCH($C741,Deals!$A$2:$A$355,0))=0,"",INDEX(Deals!$AG$2:$AG$355,MATCH($C741,Deals!$A$2:$A$355,0))),""))</f>
        <v/>
      </c>
      <c r="AI741" s="35">
        <f>IF($AH741="",DATE(1900,1,1),$AF741)</f>
        <v/>
      </c>
      <c r="AJ741" s="35">
        <f>IF($AH741="",DATE(2100,12,31),$AH741)</f>
        <v/>
      </c>
      <c r="AK741" s="32">
        <f>IF($AH741="",$AC741,$AC741*$S741)</f>
        <v/>
      </c>
      <c r="AL741" s="35">
        <f>IF($AH741="",DATE(2100,12,31),$AH741+1)</f>
        <v/>
      </c>
      <c r="AM741" s="35">
        <f>IF($AH741="",DATE(1900,1,1),$AG741)</f>
        <v/>
      </c>
      <c r="AN741" s="32">
        <f>IF($AH741="",0,$AC741*$T741)</f>
        <v/>
      </c>
    </row>
    <row r="742">
      <c r="A742" s="31" t="n"/>
      <c r="B742" s="16">
        <f>IF($A742="","",IFERROR(INDEX(Roster!$B$2:$B$40,MATCH($A742,Roster!$A$2:$A$40,0)),"?"))</f>
        <v/>
      </c>
      <c r="C742" s="31" t="n"/>
      <c r="D742" s="16">
        <f>IF($C742="","",IFERROR(IF(INDEX(Deals!$C$2:$C$355,MATCH($C742,Deals!$A$2:$A$355,0))=0,"",INDEX(Deals!$C$2:$C$355,MATCH($C742,Deals!$A$2:$A$355,0))),"?"))</f>
        <v/>
      </c>
      <c r="E742" s="16">
        <f>IF($C742="","",IFERROR(INDEX(Deals!$F$2:$F$355,MATCH($C742,Deals!$A$2:$A$355,0)),"?"))</f>
        <v/>
      </c>
      <c r="F742" s="31" t="n"/>
      <c r="G742" s="31" t="n"/>
      <c r="H742" s="31" t="n"/>
      <c r="I742" s="32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1">
        <f>IF($C742="",0,IFERROR(INDEX(Deals!$H$2:$H$355,MATCH($C742,Deals!$A$2:$A$355,0)),0))</f>
        <v/>
      </c>
      <c r="K742" s="32">
        <f>IF(Settings!$B$4="Yes",$I742*$J742,$I742)</f>
        <v/>
      </c>
      <c r="L742" s="22">
        <f>IF($C742="","",IFERROR(IF(INDEX(Deals!$I$2:$I$355,MATCH($C742,Deals!$A$2:$A$355,0))=0,"",INDEX(Deals!$I$2:$I$355,MATCH($C742,Deals!$A$2:$A$355,0))),""))</f>
        <v/>
      </c>
      <c r="M742" s="22">
        <f>IF($C742="","",IFERROR(IF(INDEX(Deals!$J$2:$J$355,MATCH($C742,Deals!$A$2:$A$355,0))=0,"",INDEX(Deals!$J$2:$J$355,MATCH($C742,Deals!$A$2:$A$355,0))),""))</f>
        <v/>
      </c>
      <c r="N742" s="35">
        <f>IF($L742="",DATE(1900,1,1),$L742)</f>
        <v/>
      </c>
      <c r="O742" s="35">
        <f>IF($M742="",DATE(2100,12,31),$M742)</f>
        <v/>
      </c>
      <c r="P742" s="41" t="n"/>
      <c r="Q742" s="31" t="n"/>
      <c r="R742" s="16">
        <f>IF($C742="","",IFERROR(IF(INDEX(Deals!$U$2:$U$355,MATCH($C742,Deals!$A$2:$A$355,0))=0,"",INDEX(Deals!$U$2:$U$355,MATCH($C742,Deals!$A$2:$A$355,0))),""))</f>
        <v/>
      </c>
      <c r="S742" s="34">
        <f>IFERROR(IF($U742="",1,INDEX(Deals!$V$2:$V$355,MATCH($C742,Deals!$A$2:$A$355,0))),1)</f>
        <v/>
      </c>
      <c r="T742" s="34">
        <f>IFERROR(IF($U742="",1,INDEX(Deals!$W$2:$W$355,MATCH($C742,Deals!$A$2:$A$355,0))),1)</f>
        <v/>
      </c>
      <c r="U742" s="22">
        <f>IF($C742="","",IFERROR(IF(INDEX(Deals!$Y$2:$Y$355,MATCH($C742,Deals!$A$2:$A$355,0))=0,"",INDEX(Deals!$Y$2:$Y$355,MATCH($C742,Deals!$A$2:$A$355,0))),""))</f>
        <v/>
      </c>
      <c r="V742" s="35">
        <f>IF($U742="",DATE(1900,1,1),$N742)</f>
        <v/>
      </c>
      <c r="W742" s="35">
        <f>IF($U742="",DATE(2100,12,31),$U742)</f>
        <v/>
      </c>
      <c r="X742" s="32">
        <f>IF($U742="",$K742,$K742*$S742)</f>
        <v/>
      </c>
      <c r="Y742" s="35">
        <f>IF($U742="",DATE(2100,12,31),$U742+1)</f>
        <v/>
      </c>
      <c r="Z742" s="35">
        <f>IF($U742="",DATE(1900,1,1),$O742)</f>
        <v/>
      </c>
      <c r="AA742" s="32">
        <f>IF($U742="",0,$K742*$T742)</f>
        <v/>
      </c>
      <c r="AB742" s="21">
        <f>IF($C742="",0,IFERROR(INDEX(Deals!$AD$2:$AD$355,MATCH($C742,Deals!$A$2:$A$355,0)),0))</f>
        <v/>
      </c>
      <c r="AC742" s="32">
        <f>IF(Settings!$B$4="Yes",$I742*$AB742,$I742)</f>
        <v/>
      </c>
      <c r="AD742" s="22">
        <f>IF($C742="","",IFERROR(IF(INDEX(Deals!$AE$2:$AE$355,MATCH($C742,Deals!$A$2:$A$355,0))=0,"",INDEX(Deals!$AE$2:$AE$355,MATCH($C742,Deals!$A$2:$A$355,0))),""))</f>
        <v/>
      </c>
      <c r="AE742" s="22">
        <f>IF($C742="","",IFERROR(IF(INDEX(Deals!$AF$2:$AF$355,MATCH($C742,Deals!$A$2:$A$355,0))=0,"",INDEX(Deals!$AF$2:$AF$355,MATCH($C742,Deals!$A$2:$A$355,0))),""))</f>
        <v/>
      </c>
      <c r="AF742" s="35">
        <f>IF($AD742="",DATE(1900,1,1),$AD742)</f>
        <v/>
      </c>
      <c r="AG742" s="35">
        <f>IF($AE742="",DATE(2100,12,31),$AE742)</f>
        <v/>
      </c>
      <c r="AH742" s="22">
        <f>IF($C742="","",IFERROR(IF(INDEX(Deals!$AG$2:$AG$355,MATCH($C742,Deals!$A$2:$A$355,0))=0,"",INDEX(Deals!$AG$2:$AG$355,MATCH($C742,Deals!$A$2:$A$355,0))),""))</f>
        <v/>
      </c>
      <c r="AI742" s="35">
        <f>IF($AH742="",DATE(1900,1,1),$AF742)</f>
        <v/>
      </c>
      <c r="AJ742" s="35">
        <f>IF($AH742="",DATE(2100,12,31),$AH742)</f>
        <v/>
      </c>
      <c r="AK742" s="32">
        <f>IF($AH742="",$AC742,$AC742*$S742)</f>
        <v/>
      </c>
      <c r="AL742" s="35">
        <f>IF($AH742="",DATE(2100,12,31),$AH742+1)</f>
        <v/>
      </c>
      <c r="AM742" s="35">
        <f>IF($AH742="",DATE(1900,1,1),$AG742)</f>
        <v/>
      </c>
      <c r="AN742" s="32">
        <f>IF($AH742="",0,$AC742*$T742)</f>
        <v/>
      </c>
    </row>
    <row r="743">
      <c r="A743" s="31" t="n"/>
      <c r="B743" s="16">
        <f>IF($A743="","",IFERROR(INDEX(Roster!$B$2:$B$40,MATCH($A743,Roster!$A$2:$A$40,0)),"?"))</f>
        <v/>
      </c>
      <c r="C743" s="31" t="n"/>
      <c r="D743" s="16">
        <f>IF($C743="","",IFERROR(IF(INDEX(Deals!$C$2:$C$355,MATCH($C743,Deals!$A$2:$A$355,0))=0,"",INDEX(Deals!$C$2:$C$355,MATCH($C743,Deals!$A$2:$A$355,0))),"?"))</f>
        <v/>
      </c>
      <c r="E743" s="16">
        <f>IF($C743="","",IFERROR(INDEX(Deals!$F$2:$F$355,MATCH($C743,Deals!$A$2:$A$355,0)),"?"))</f>
        <v/>
      </c>
      <c r="F743" s="31" t="n"/>
      <c r="G743" s="31" t="n"/>
      <c r="H743" s="31" t="n"/>
      <c r="I743" s="32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1">
        <f>IF($C743="",0,IFERROR(INDEX(Deals!$H$2:$H$355,MATCH($C743,Deals!$A$2:$A$355,0)),0))</f>
        <v/>
      </c>
      <c r="K743" s="32">
        <f>IF(Settings!$B$4="Yes",$I743*$J743,$I743)</f>
        <v/>
      </c>
      <c r="L743" s="22">
        <f>IF($C743="","",IFERROR(IF(INDEX(Deals!$I$2:$I$355,MATCH($C743,Deals!$A$2:$A$355,0))=0,"",INDEX(Deals!$I$2:$I$355,MATCH($C743,Deals!$A$2:$A$355,0))),""))</f>
        <v/>
      </c>
      <c r="M743" s="22">
        <f>IF($C743="","",IFERROR(IF(INDEX(Deals!$J$2:$J$355,MATCH($C743,Deals!$A$2:$A$355,0))=0,"",INDEX(Deals!$J$2:$J$355,MATCH($C743,Deals!$A$2:$A$355,0))),""))</f>
        <v/>
      </c>
      <c r="N743" s="35">
        <f>IF($L743="",DATE(1900,1,1),$L743)</f>
        <v/>
      </c>
      <c r="O743" s="35">
        <f>IF($M743="",DATE(2100,12,31),$M743)</f>
        <v/>
      </c>
      <c r="P743" s="41" t="n"/>
      <c r="Q743" s="31" t="n"/>
      <c r="R743" s="16">
        <f>IF($C743="","",IFERROR(IF(INDEX(Deals!$U$2:$U$355,MATCH($C743,Deals!$A$2:$A$355,0))=0,"",INDEX(Deals!$U$2:$U$355,MATCH($C743,Deals!$A$2:$A$355,0))),""))</f>
        <v/>
      </c>
      <c r="S743" s="34">
        <f>IFERROR(IF($U743="",1,INDEX(Deals!$V$2:$V$355,MATCH($C743,Deals!$A$2:$A$355,0))),1)</f>
        <v/>
      </c>
      <c r="T743" s="34">
        <f>IFERROR(IF($U743="",1,INDEX(Deals!$W$2:$W$355,MATCH($C743,Deals!$A$2:$A$355,0))),1)</f>
        <v/>
      </c>
      <c r="U743" s="22">
        <f>IF($C743="","",IFERROR(IF(INDEX(Deals!$Y$2:$Y$355,MATCH($C743,Deals!$A$2:$A$355,0))=0,"",INDEX(Deals!$Y$2:$Y$355,MATCH($C743,Deals!$A$2:$A$355,0))),""))</f>
        <v/>
      </c>
      <c r="V743" s="35">
        <f>IF($U743="",DATE(1900,1,1),$N743)</f>
        <v/>
      </c>
      <c r="W743" s="35">
        <f>IF($U743="",DATE(2100,12,31),$U743)</f>
        <v/>
      </c>
      <c r="X743" s="32">
        <f>IF($U743="",$K743,$K743*$S743)</f>
        <v/>
      </c>
      <c r="Y743" s="35">
        <f>IF($U743="",DATE(2100,12,31),$U743+1)</f>
        <v/>
      </c>
      <c r="Z743" s="35">
        <f>IF($U743="",DATE(1900,1,1),$O743)</f>
        <v/>
      </c>
      <c r="AA743" s="32">
        <f>IF($U743="",0,$K743*$T743)</f>
        <v/>
      </c>
      <c r="AB743" s="21">
        <f>IF($C743="",0,IFERROR(INDEX(Deals!$AD$2:$AD$355,MATCH($C743,Deals!$A$2:$A$355,0)),0))</f>
        <v/>
      </c>
      <c r="AC743" s="32">
        <f>IF(Settings!$B$4="Yes",$I743*$AB743,$I743)</f>
        <v/>
      </c>
      <c r="AD743" s="22">
        <f>IF($C743="","",IFERROR(IF(INDEX(Deals!$AE$2:$AE$355,MATCH($C743,Deals!$A$2:$A$355,0))=0,"",INDEX(Deals!$AE$2:$AE$355,MATCH($C743,Deals!$A$2:$A$355,0))),""))</f>
        <v/>
      </c>
      <c r="AE743" s="22">
        <f>IF($C743="","",IFERROR(IF(INDEX(Deals!$AF$2:$AF$355,MATCH($C743,Deals!$A$2:$A$355,0))=0,"",INDEX(Deals!$AF$2:$AF$355,MATCH($C743,Deals!$A$2:$A$355,0))),""))</f>
        <v/>
      </c>
      <c r="AF743" s="35">
        <f>IF($AD743="",DATE(1900,1,1),$AD743)</f>
        <v/>
      </c>
      <c r="AG743" s="35">
        <f>IF($AE743="",DATE(2100,12,31),$AE743)</f>
        <v/>
      </c>
      <c r="AH743" s="22">
        <f>IF($C743="","",IFERROR(IF(INDEX(Deals!$AG$2:$AG$355,MATCH($C743,Deals!$A$2:$A$355,0))=0,"",INDEX(Deals!$AG$2:$AG$355,MATCH($C743,Deals!$A$2:$A$355,0))),""))</f>
        <v/>
      </c>
      <c r="AI743" s="35">
        <f>IF($AH743="",DATE(1900,1,1),$AF743)</f>
        <v/>
      </c>
      <c r="AJ743" s="35">
        <f>IF($AH743="",DATE(2100,12,31),$AH743)</f>
        <v/>
      </c>
      <c r="AK743" s="32">
        <f>IF($AH743="",$AC743,$AC743*$S743)</f>
        <v/>
      </c>
      <c r="AL743" s="35">
        <f>IF($AH743="",DATE(2100,12,31),$AH743+1)</f>
        <v/>
      </c>
      <c r="AM743" s="35">
        <f>IF($AH743="",DATE(1900,1,1),$AG743)</f>
        <v/>
      </c>
      <c r="AN743" s="32">
        <f>IF($AH743="",0,$AC743*$T743)</f>
        <v/>
      </c>
    </row>
    <row r="744">
      <c r="A744" s="31" t="n"/>
      <c r="B744" s="16">
        <f>IF($A744="","",IFERROR(INDEX(Roster!$B$2:$B$40,MATCH($A744,Roster!$A$2:$A$40,0)),"?"))</f>
        <v/>
      </c>
      <c r="C744" s="31" t="n"/>
      <c r="D744" s="16">
        <f>IF($C744="","",IFERROR(IF(INDEX(Deals!$C$2:$C$355,MATCH($C744,Deals!$A$2:$A$355,0))=0,"",INDEX(Deals!$C$2:$C$355,MATCH($C744,Deals!$A$2:$A$355,0))),"?"))</f>
        <v/>
      </c>
      <c r="E744" s="16">
        <f>IF($C744="","",IFERROR(INDEX(Deals!$F$2:$F$355,MATCH($C744,Deals!$A$2:$A$355,0)),"?"))</f>
        <v/>
      </c>
      <c r="F744" s="31" t="n"/>
      <c r="G744" s="31" t="n"/>
      <c r="H744" s="31" t="n"/>
      <c r="I744" s="32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1">
        <f>IF($C744="",0,IFERROR(INDEX(Deals!$H$2:$H$355,MATCH($C744,Deals!$A$2:$A$355,0)),0))</f>
        <v/>
      </c>
      <c r="K744" s="32">
        <f>IF(Settings!$B$4="Yes",$I744*$J744,$I744)</f>
        <v/>
      </c>
      <c r="L744" s="22">
        <f>IF($C744="","",IFERROR(IF(INDEX(Deals!$I$2:$I$355,MATCH($C744,Deals!$A$2:$A$355,0))=0,"",INDEX(Deals!$I$2:$I$355,MATCH($C744,Deals!$A$2:$A$355,0))),""))</f>
        <v/>
      </c>
      <c r="M744" s="22">
        <f>IF($C744="","",IFERROR(IF(INDEX(Deals!$J$2:$J$355,MATCH($C744,Deals!$A$2:$A$355,0))=0,"",INDEX(Deals!$J$2:$J$355,MATCH($C744,Deals!$A$2:$A$355,0))),""))</f>
        <v/>
      </c>
      <c r="N744" s="35">
        <f>IF($L744="",DATE(1900,1,1),$L744)</f>
        <v/>
      </c>
      <c r="O744" s="35">
        <f>IF($M744="",DATE(2100,12,31),$M744)</f>
        <v/>
      </c>
      <c r="P744" s="41" t="n"/>
      <c r="Q744" s="31" t="n"/>
      <c r="R744" s="16">
        <f>IF($C744="","",IFERROR(IF(INDEX(Deals!$U$2:$U$355,MATCH($C744,Deals!$A$2:$A$355,0))=0,"",INDEX(Deals!$U$2:$U$355,MATCH($C744,Deals!$A$2:$A$355,0))),""))</f>
        <v/>
      </c>
      <c r="S744" s="34">
        <f>IFERROR(IF($U744="",1,INDEX(Deals!$V$2:$V$355,MATCH($C744,Deals!$A$2:$A$355,0))),1)</f>
        <v/>
      </c>
      <c r="T744" s="34">
        <f>IFERROR(IF($U744="",1,INDEX(Deals!$W$2:$W$355,MATCH($C744,Deals!$A$2:$A$355,0))),1)</f>
        <v/>
      </c>
      <c r="U744" s="22">
        <f>IF($C744="","",IFERROR(IF(INDEX(Deals!$Y$2:$Y$355,MATCH($C744,Deals!$A$2:$A$355,0))=0,"",INDEX(Deals!$Y$2:$Y$355,MATCH($C744,Deals!$A$2:$A$355,0))),""))</f>
        <v/>
      </c>
      <c r="V744" s="35">
        <f>IF($U744="",DATE(1900,1,1),$N744)</f>
        <v/>
      </c>
      <c r="W744" s="35">
        <f>IF($U744="",DATE(2100,12,31),$U744)</f>
        <v/>
      </c>
      <c r="X744" s="32">
        <f>IF($U744="",$K744,$K744*$S744)</f>
        <v/>
      </c>
      <c r="Y744" s="35">
        <f>IF($U744="",DATE(2100,12,31),$U744+1)</f>
        <v/>
      </c>
      <c r="Z744" s="35">
        <f>IF($U744="",DATE(1900,1,1),$O744)</f>
        <v/>
      </c>
      <c r="AA744" s="32">
        <f>IF($U744="",0,$K744*$T744)</f>
        <v/>
      </c>
      <c r="AB744" s="21">
        <f>IF($C744="",0,IFERROR(INDEX(Deals!$AD$2:$AD$355,MATCH($C744,Deals!$A$2:$A$355,0)),0))</f>
        <v/>
      </c>
      <c r="AC744" s="32">
        <f>IF(Settings!$B$4="Yes",$I744*$AB744,$I744)</f>
        <v/>
      </c>
      <c r="AD744" s="22">
        <f>IF($C744="","",IFERROR(IF(INDEX(Deals!$AE$2:$AE$355,MATCH($C744,Deals!$A$2:$A$355,0))=0,"",INDEX(Deals!$AE$2:$AE$355,MATCH($C744,Deals!$A$2:$A$355,0))),""))</f>
        <v/>
      </c>
      <c r="AE744" s="22">
        <f>IF($C744="","",IFERROR(IF(INDEX(Deals!$AF$2:$AF$355,MATCH($C744,Deals!$A$2:$A$355,0))=0,"",INDEX(Deals!$AF$2:$AF$355,MATCH($C744,Deals!$A$2:$A$355,0))),""))</f>
        <v/>
      </c>
      <c r="AF744" s="35">
        <f>IF($AD744="",DATE(1900,1,1),$AD744)</f>
        <v/>
      </c>
      <c r="AG744" s="35">
        <f>IF($AE744="",DATE(2100,12,31),$AE744)</f>
        <v/>
      </c>
      <c r="AH744" s="22">
        <f>IF($C744="","",IFERROR(IF(INDEX(Deals!$AG$2:$AG$355,MATCH($C744,Deals!$A$2:$A$355,0))=0,"",INDEX(Deals!$AG$2:$AG$355,MATCH($C744,Deals!$A$2:$A$355,0))),""))</f>
        <v/>
      </c>
      <c r="AI744" s="35">
        <f>IF($AH744="",DATE(1900,1,1),$AF744)</f>
        <v/>
      </c>
      <c r="AJ744" s="35">
        <f>IF($AH744="",DATE(2100,12,31),$AH744)</f>
        <v/>
      </c>
      <c r="AK744" s="32">
        <f>IF($AH744="",$AC744,$AC744*$S744)</f>
        <v/>
      </c>
      <c r="AL744" s="35">
        <f>IF($AH744="",DATE(2100,12,31),$AH744+1)</f>
        <v/>
      </c>
      <c r="AM744" s="35">
        <f>IF($AH744="",DATE(1900,1,1),$AG744)</f>
        <v/>
      </c>
      <c r="AN744" s="32">
        <f>IF($AH744="",0,$AC744*$T744)</f>
        <v/>
      </c>
    </row>
    <row r="745">
      <c r="A745" s="31" t="n"/>
      <c r="B745" s="16">
        <f>IF($A745="","",IFERROR(INDEX(Roster!$B$2:$B$40,MATCH($A745,Roster!$A$2:$A$40,0)),"?"))</f>
        <v/>
      </c>
      <c r="C745" s="31" t="n"/>
      <c r="D745" s="16">
        <f>IF($C745="","",IFERROR(IF(INDEX(Deals!$C$2:$C$355,MATCH($C745,Deals!$A$2:$A$355,0))=0,"",INDEX(Deals!$C$2:$C$355,MATCH($C745,Deals!$A$2:$A$355,0))),"?"))</f>
        <v/>
      </c>
      <c r="E745" s="16">
        <f>IF($C745="","",IFERROR(INDEX(Deals!$F$2:$F$355,MATCH($C745,Deals!$A$2:$A$355,0)),"?"))</f>
        <v/>
      </c>
      <c r="F745" s="31" t="n"/>
      <c r="G745" s="31" t="n"/>
      <c r="H745" s="31" t="n"/>
      <c r="I745" s="32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1">
        <f>IF($C745="",0,IFERROR(INDEX(Deals!$H$2:$H$355,MATCH($C745,Deals!$A$2:$A$355,0)),0))</f>
        <v/>
      </c>
      <c r="K745" s="32">
        <f>IF(Settings!$B$4="Yes",$I745*$J745,$I745)</f>
        <v/>
      </c>
      <c r="L745" s="22">
        <f>IF($C745="","",IFERROR(IF(INDEX(Deals!$I$2:$I$355,MATCH($C745,Deals!$A$2:$A$355,0))=0,"",INDEX(Deals!$I$2:$I$355,MATCH($C745,Deals!$A$2:$A$355,0))),""))</f>
        <v/>
      </c>
      <c r="M745" s="22">
        <f>IF($C745="","",IFERROR(IF(INDEX(Deals!$J$2:$J$355,MATCH($C745,Deals!$A$2:$A$355,0))=0,"",INDEX(Deals!$J$2:$J$355,MATCH($C745,Deals!$A$2:$A$355,0))),""))</f>
        <v/>
      </c>
      <c r="N745" s="35">
        <f>IF($L745="",DATE(1900,1,1),$L745)</f>
        <v/>
      </c>
      <c r="O745" s="35">
        <f>IF($M745="",DATE(2100,12,31),$M745)</f>
        <v/>
      </c>
      <c r="P745" s="41" t="n"/>
      <c r="Q745" s="31" t="n"/>
      <c r="R745" s="16">
        <f>IF($C745="","",IFERROR(IF(INDEX(Deals!$U$2:$U$355,MATCH($C745,Deals!$A$2:$A$355,0))=0,"",INDEX(Deals!$U$2:$U$355,MATCH($C745,Deals!$A$2:$A$355,0))),""))</f>
        <v/>
      </c>
      <c r="S745" s="34">
        <f>IFERROR(IF($U745="",1,INDEX(Deals!$V$2:$V$355,MATCH($C745,Deals!$A$2:$A$355,0))),1)</f>
        <v/>
      </c>
      <c r="T745" s="34">
        <f>IFERROR(IF($U745="",1,INDEX(Deals!$W$2:$W$355,MATCH($C745,Deals!$A$2:$A$355,0))),1)</f>
        <v/>
      </c>
      <c r="U745" s="22">
        <f>IF($C745="","",IFERROR(IF(INDEX(Deals!$Y$2:$Y$355,MATCH($C745,Deals!$A$2:$A$355,0))=0,"",INDEX(Deals!$Y$2:$Y$355,MATCH($C745,Deals!$A$2:$A$355,0))),""))</f>
        <v/>
      </c>
      <c r="V745" s="35">
        <f>IF($U745="",DATE(1900,1,1),$N745)</f>
        <v/>
      </c>
      <c r="W745" s="35">
        <f>IF($U745="",DATE(2100,12,31),$U745)</f>
        <v/>
      </c>
      <c r="X745" s="32">
        <f>IF($U745="",$K745,$K745*$S745)</f>
        <v/>
      </c>
      <c r="Y745" s="35">
        <f>IF($U745="",DATE(2100,12,31),$U745+1)</f>
        <v/>
      </c>
      <c r="Z745" s="35">
        <f>IF($U745="",DATE(1900,1,1),$O745)</f>
        <v/>
      </c>
      <c r="AA745" s="32">
        <f>IF($U745="",0,$K745*$T745)</f>
        <v/>
      </c>
      <c r="AB745" s="21">
        <f>IF($C745="",0,IFERROR(INDEX(Deals!$AD$2:$AD$355,MATCH($C745,Deals!$A$2:$A$355,0)),0))</f>
        <v/>
      </c>
      <c r="AC745" s="32">
        <f>IF(Settings!$B$4="Yes",$I745*$AB745,$I745)</f>
        <v/>
      </c>
      <c r="AD745" s="22">
        <f>IF($C745="","",IFERROR(IF(INDEX(Deals!$AE$2:$AE$355,MATCH($C745,Deals!$A$2:$A$355,0))=0,"",INDEX(Deals!$AE$2:$AE$355,MATCH($C745,Deals!$A$2:$A$355,0))),""))</f>
        <v/>
      </c>
      <c r="AE745" s="22">
        <f>IF($C745="","",IFERROR(IF(INDEX(Deals!$AF$2:$AF$355,MATCH($C745,Deals!$A$2:$A$355,0))=0,"",INDEX(Deals!$AF$2:$AF$355,MATCH($C745,Deals!$A$2:$A$355,0))),""))</f>
        <v/>
      </c>
      <c r="AF745" s="35">
        <f>IF($AD745="",DATE(1900,1,1),$AD745)</f>
        <v/>
      </c>
      <c r="AG745" s="35">
        <f>IF($AE745="",DATE(2100,12,31),$AE745)</f>
        <v/>
      </c>
      <c r="AH745" s="22">
        <f>IF($C745="","",IFERROR(IF(INDEX(Deals!$AG$2:$AG$355,MATCH($C745,Deals!$A$2:$A$355,0))=0,"",INDEX(Deals!$AG$2:$AG$355,MATCH($C745,Deals!$A$2:$A$355,0))),""))</f>
        <v/>
      </c>
      <c r="AI745" s="35">
        <f>IF($AH745="",DATE(1900,1,1),$AF745)</f>
        <v/>
      </c>
      <c r="AJ745" s="35">
        <f>IF($AH745="",DATE(2100,12,31),$AH745)</f>
        <v/>
      </c>
      <c r="AK745" s="32">
        <f>IF($AH745="",$AC745,$AC745*$S745)</f>
        <v/>
      </c>
      <c r="AL745" s="35">
        <f>IF($AH745="",DATE(2100,12,31),$AH745+1)</f>
        <v/>
      </c>
      <c r="AM745" s="35">
        <f>IF($AH745="",DATE(1900,1,1),$AG745)</f>
        <v/>
      </c>
      <c r="AN745" s="32">
        <f>IF($AH745="",0,$AC745*$T745)</f>
        <v/>
      </c>
    </row>
    <row r="746">
      <c r="A746" s="31" t="n"/>
      <c r="B746" s="16">
        <f>IF($A746="","",IFERROR(INDEX(Roster!$B$2:$B$40,MATCH($A746,Roster!$A$2:$A$40,0)),"?"))</f>
        <v/>
      </c>
      <c r="C746" s="31" t="n"/>
      <c r="D746" s="16">
        <f>IF($C746="","",IFERROR(IF(INDEX(Deals!$C$2:$C$355,MATCH($C746,Deals!$A$2:$A$355,0))=0,"",INDEX(Deals!$C$2:$C$355,MATCH($C746,Deals!$A$2:$A$355,0))),"?"))</f>
        <v/>
      </c>
      <c r="E746" s="16">
        <f>IF($C746="","",IFERROR(INDEX(Deals!$F$2:$F$355,MATCH($C746,Deals!$A$2:$A$355,0)),"?"))</f>
        <v/>
      </c>
      <c r="F746" s="31" t="n"/>
      <c r="G746" s="31" t="n"/>
      <c r="H746" s="31" t="n"/>
      <c r="I746" s="32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1">
        <f>IF($C746="",0,IFERROR(INDEX(Deals!$H$2:$H$355,MATCH($C746,Deals!$A$2:$A$355,0)),0))</f>
        <v/>
      </c>
      <c r="K746" s="32">
        <f>IF(Settings!$B$4="Yes",$I746*$J746,$I746)</f>
        <v/>
      </c>
      <c r="L746" s="22">
        <f>IF($C746="","",IFERROR(IF(INDEX(Deals!$I$2:$I$355,MATCH($C746,Deals!$A$2:$A$355,0))=0,"",INDEX(Deals!$I$2:$I$355,MATCH($C746,Deals!$A$2:$A$355,0))),""))</f>
        <v/>
      </c>
      <c r="M746" s="22">
        <f>IF($C746="","",IFERROR(IF(INDEX(Deals!$J$2:$J$355,MATCH($C746,Deals!$A$2:$A$355,0))=0,"",INDEX(Deals!$J$2:$J$355,MATCH($C746,Deals!$A$2:$A$355,0))),""))</f>
        <v/>
      </c>
      <c r="N746" s="35">
        <f>IF($L746="",DATE(1900,1,1),$L746)</f>
        <v/>
      </c>
      <c r="O746" s="35">
        <f>IF($M746="",DATE(2100,12,31),$M746)</f>
        <v/>
      </c>
      <c r="P746" s="41" t="n"/>
      <c r="Q746" s="31" t="n"/>
      <c r="R746" s="16">
        <f>IF($C746="","",IFERROR(IF(INDEX(Deals!$U$2:$U$355,MATCH($C746,Deals!$A$2:$A$355,0))=0,"",INDEX(Deals!$U$2:$U$355,MATCH($C746,Deals!$A$2:$A$355,0))),""))</f>
        <v/>
      </c>
      <c r="S746" s="34">
        <f>IFERROR(IF($U746="",1,INDEX(Deals!$V$2:$V$355,MATCH($C746,Deals!$A$2:$A$355,0))),1)</f>
        <v/>
      </c>
      <c r="T746" s="34">
        <f>IFERROR(IF($U746="",1,INDEX(Deals!$W$2:$W$355,MATCH($C746,Deals!$A$2:$A$355,0))),1)</f>
        <v/>
      </c>
      <c r="U746" s="22">
        <f>IF($C746="","",IFERROR(IF(INDEX(Deals!$Y$2:$Y$355,MATCH($C746,Deals!$A$2:$A$355,0))=0,"",INDEX(Deals!$Y$2:$Y$355,MATCH($C746,Deals!$A$2:$A$355,0))),""))</f>
        <v/>
      </c>
      <c r="V746" s="35">
        <f>IF($U746="",DATE(1900,1,1),$N746)</f>
        <v/>
      </c>
      <c r="W746" s="35">
        <f>IF($U746="",DATE(2100,12,31),$U746)</f>
        <v/>
      </c>
      <c r="X746" s="32">
        <f>IF($U746="",$K746,$K746*$S746)</f>
        <v/>
      </c>
      <c r="Y746" s="35">
        <f>IF($U746="",DATE(2100,12,31),$U746+1)</f>
        <v/>
      </c>
      <c r="Z746" s="35">
        <f>IF($U746="",DATE(1900,1,1),$O746)</f>
        <v/>
      </c>
      <c r="AA746" s="32">
        <f>IF($U746="",0,$K746*$T746)</f>
        <v/>
      </c>
      <c r="AB746" s="21">
        <f>IF($C746="",0,IFERROR(INDEX(Deals!$AD$2:$AD$355,MATCH($C746,Deals!$A$2:$A$355,0)),0))</f>
        <v/>
      </c>
      <c r="AC746" s="32">
        <f>IF(Settings!$B$4="Yes",$I746*$AB746,$I746)</f>
        <v/>
      </c>
      <c r="AD746" s="22">
        <f>IF($C746="","",IFERROR(IF(INDEX(Deals!$AE$2:$AE$355,MATCH($C746,Deals!$A$2:$A$355,0))=0,"",INDEX(Deals!$AE$2:$AE$355,MATCH($C746,Deals!$A$2:$A$355,0))),""))</f>
        <v/>
      </c>
      <c r="AE746" s="22">
        <f>IF($C746="","",IFERROR(IF(INDEX(Deals!$AF$2:$AF$355,MATCH($C746,Deals!$A$2:$A$355,0))=0,"",INDEX(Deals!$AF$2:$AF$355,MATCH($C746,Deals!$A$2:$A$355,0))),""))</f>
        <v/>
      </c>
      <c r="AF746" s="35">
        <f>IF($AD746="",DATE(1900,1,1),$AD746)</f>
        <v/>
      </c>
      <c r="AG746" s="35">
        <f>IF($AE746="",DATE(2100,12,31),$AE746)</f>
        <v/>
      </c>
      <c r="AH746" s="22">
        <f>IF($C746="","",IFERROR(IF(INDEX(Deals!$AG$2:$AG$355,MATCH($C746,Deals!$A$2:$A$355,0))=0,"",INDEX(Deals!$AG$2:$AG$355,MATCH($C746,Deals!$A$2:$A$355,0))),""))</f>
        <v/>
      </c>
      <c r="AI746" s="35">
        <f>IF($AH746="",DATE(1900,1,1),$AF746)</f>
        <v/>
      </c>
      <c r="AJ746" s="35">
        <f>IF($AH746="",DATE(2100,12,31),$AH746)</f>
        <v/>
      </c>
      <c r="AK746" s="32">
        <f>IF($AH746="",$AC746,$AC746*$S746)</f>
        <v/>
      </c>
      <c r="AL746" s="35">
        <f>IF($AH746="",DATE(2100,12,31),$AH746+1)</f>
        <v/>
      </c>
      <c r="AM746" s="35">
        <f>IF($AH746="",DATE(1900,1,1),$AG746)</f>
        <v/>
      </c>
      <c r="AN746" s="32">
        <f>IF($AH746="",0,$AC746*$T746)</f>
        <v/>
      </c>
    </row>
    <row r="747">
      <c r="A747" s="31" t="n"/>
      <c r="B747" s="16">
        <f>IF($A747="","",IFERROR(INDEX(Roster!$B$2:$B$40,MATCH($A747,Roster!$A$2:$A$40,0)),"?"))</f>
        <v/>
      </c>
      <c r="C747" s="31" t="n"/>
      <c r="D747" s="16">
        <f>IF($C747="","",IFERROR(IF(INDEX(Deals!$C$2:$C$355,MATCH($C747,Deals!$A$2:$A$355,0))=0,"",INDEX(Deals!$C$2:$C$355,MATCH($C747,Deals!$A$2:$A$355,0))),"?"))</f>
        <v/>
      </c>
      <c r="E747" s="16">
        <f>IF($C747="","",IFERROR(INDEX(Deals!$F$2:$F$355,MATCH($C747,Deals!$A$2:$A$355,0)),"?"))</f>
        <v/>
      </c>
      <c r="F747" s="31" t="n"/>
      <c r="G747" s="31" t="n"/>
      <c r="H747" s="31" t="n"/>
      <c r="I747" s="32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1">
        <f>IF($C747="",0,IFERROR(INDEX(Deals!$H$2:$H$355,MATCH($C747,Deals!$A$2:$A$355,0)),0))</f>
        <v/>
      </c>
      <c r="K747" s="32">
        <f>IF(Settings!$B$4="Yes",$I747*$J747,$I747)</f>
        <v/>
      </c>
      <c r="L747" s="22">
        <f>IF($C747="","",IFERROR(IF(INDEX(Deals!$I$2:$I$355,MATCH($C747,Deals!$A$2:$A$355,0))=0,"",INDEX(Deals!$I$2:$I$355,MATCH($C747,Deals!$A$2:$A$355,0))),""))</f>
        <v/>
      </c>
      <c r="M747" s="22">
        <f>IF($C747="","",IFERROR(IF(INDEX(Deals!$J$2:$J$355,MATCH($C747,Deals!$A$2:$A$355,0))=0,"",INDEX(Deals!$J$2:$J$355,MATCH($C747,Deals!$A$2:$A$355,0))),""))</f>
        <v/>
      </c>
      <c r="N747" s="35">
        <f>IF($L747="",DATE(1900,1,1),$L747)</f>
        <v/>
      </c>
      <c r="O747" s="35">
        <f>IF($M747="",DATE(2100,12,31),$M747)</f>
        <v/>
      </c>
      <c r="P747" s="41" t="n"/>
      <c r="Q747" s="31" t="n"/>
      <c r="R747" s="16">
        <f>IF($C747="","",IFERROR(IF(INDEX(Deals!$U$2:$U$355,MATCH($C747,Deals!$A$2:$A$355,0))=0,"",INDEX(Deals!$U$2:$U$355,MATCH($C747,Deals!$A$2:$A$355,0))),""))</f>
        <v/>
      </c>
      <c r="S747" s="34">
        <f>IFERROR(IF($U747="",1,INDEX(Deals!$V$2:$V$355,MATCH($C747,Deals!$A$2:$A$355,0))),1)</f>
        <v/>
      </c>
      <c r="T747" s="34">
        <f>IFERROR(IF($U747="",1,INDEX(Deals!$W$2:$W$355,MATCH($C747,Deals!$A$2:$A$355,0))),1)</f>
        <v/>
      </c>
      <c r="U747" s="22">
        <f>IF($C747="","",IFERROR(IF(INDEX(Deals!$Y$2:$Y$355,MATCH($C747,Deals!$A$2:$A$355,0))=0,"",INDEX(Deals!$Y$2:$Y$355,MATCH($C747,Deals!$A$2:$A$355,0))),""))</f>
        <v/>
      </c>
      <c r="V747" s="35">
        <f>IF($U747="",DATE(1900,1,1),$N747)</f>
        <v/>
      </c>
      <c r="W747" s="35">
        <f>IF($U747="",DATE(2100,12,31),$U747)</f>
        <v/>
      </c>
      <c r="X747" s="32">
        <f>IF($U747="",$K747,$K747*$S747)</f>
        <v/>
      </c>
      <c r="Y747" s="35">
        <f>IF($U747="",DATE(2100,12,31),$U747+1)</f>
        <v/>
      </c>
      <c r="Z747" s="35">
        <f>IF($U747="",DATE(1900,1,1),$O747)</f>
        <v/>
      </c>
      <c r="AA747" s="32">
        <f>IF($U747="",0,$K747*$T747)</f>
        <v/>
      </c>
      <c r="AB747" s="21">
        <f>IF($C747="",0,IFERROR(INDEX(Deals!$AD$2:$AD$355,MATCH($C747,Deals!$A$2:$A$355,0)),0))</f>
        <v/>
      </c>
      <c r="AC747" s="32">
        <f>IF(Settings!$B$4="Yes",$I747*$AB747,$I747)</f>
        <v/>
      </c>
      <c r="AD747" s="22">
        <f>IF($C747="","",IFERROR(IF(INDEX(Deals!$AE$2:$AE$355,MATCH($C747,Deals!$A$2:$A$355,0))=0,"",INDEX(Deals!$AE$2:$AE$355,MATCH($C747,Deals!$A$2:$A$355,0))),""))</f>
        <v/>
      </c>
      <c r="AE747" s="22">
        <f>IF($C747="","",IFERROR(IF(INDEX(Deals!$AF$2:$AF$355,MATCH($C747,Deals!$A$2:$A$355,0))=0,"",INDEX(Deals!$AF$2:$AF$355,MATCH($C747,Deals!$A$2:$A$355,0))),""))</f>
        <v/>
      </c>
      <c r="AF747" s="35">
        <f>IF($AD747="",DATE(1900,1,1),$AD747)</f>
        <v/>
      </c>
      <c r="AG747" s="35">
        <f>IF($AE747="",DATE(2100,12,31),$AE747)</f>
        <v/>
      </c>
      <c r="AH747" s="22">
        <f>IF($C747="","",IFERROR(IF(INDEX(Deals!$AG$2:$AG$355,MATCH($C747,Deals!$A$2:$A$355,0))=0,"",INDEX(Deals!$AG$2:$AG$355,MATCH($C747,Deals!$A$2:$A$355,0))),""))</f>
        <v/>
      </c>
      <c r="AI747" s="35">
        <f>IF($AH747="",DATE(1900,1,1),$AF747)</f>
        <v/>
      </c>
      <c r="AJ747" s="35">
        <f>IF($AH747="",DATE(2100,12,31),$AH747)</f>
        <v/>
      </c>
      <c r="AK747" s="32">
        <f>IF($AH747="",$AC747,$AC747*$S747)</f>
        <v/>
      </c>
      <c r="AL747" s="35">
        <f>IF($AH747="",DATE(2100,12,31),$AH747+1)</f>
        <v/>
      </c>
      <c r="AM747" s="35">
        <f>IF($AH747="",DATE(1900,1,1),$AG747)</f>
        <v/>
      </c>
      <c r="AN747" s="32">
        <f>IF($AH747="",0,$AC747*$T747)</f>
        <v/>
      </c>
    </row>
    <row r="748">
      <c r="A748" s="31" t="n"/>
      <c r="B748" s="16">
        <f>IF($A748="","",IFERROR(INDEX(Roster!$B$2:$B$40,MATCH($A748,Roster!$A$2:$A$40,0)),"?"))</f>
        <v/>
      </c>
      <c r="C748" s="31" t="n"/>
      <c r="D748" s="16">
        <f>IF($C748="","",IFERROR(IF(INDEX(Deals!$C$2:$C$355,MATCH($C748,Deals!$A$2:$A$355,0))=0,"",INDEX(Deals!$C$2:$C$355,MATCH($C748,Deals!$A$2:$A$355,0))),"?"))</f>
        <v/>
      </c>
      <c r="E748" s="16">
        <f>IF($C748="","",IFERROR(INDEX(Deals!$F$2:$F$355,MATCH($C748,Deals!$A$2:$A$355,0)),"?"))</f>
        <v/>
      </c>
      <c r="F748" s="31" t="n"/>
      <c r="G748" s="31" t="n"/>
      <c r="H748" s="31" t="n"/>
      <c r="I748" s="32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1">
        <f>IF($C748="",0,IFERROR(INDEX(Deals!$H$2:$H$355,MATCH($C748,Deals!$A$2:$A$355,0)),0))</f>
        <v/>
      </c>
      <c r="K748" s="32">
        <f>IF(Settings!$B$4="Yes",$I748*$J748,$I748)</f>
        <v/>
      </c>
      <c r="L748" s="22">
        <f>IF($C748="","",IFERROR(IF(INDEX(Deals!$I$2:$I$355,MATCH($C748,Deals!$A$2:$A$355,0))=0,"",INDEX(Deals!$I$2:$I$355,MATCH($C748,Deals!$A$2:$A$355,0))),""))</f>
        <v/>
      </c>
      <c r="M748" s="22">
        <f>IF($C748="","",IFERROR(IF(INDEX(Deals!$J$2:$J$355,MATCH($C748,Deals!$A$2:$A$355,0))=0,"",INDEX(Deals!$J$2:$J$355,MATCH($C748,Deals!$A$2:$A$355,0))),""))</f>
        <v/>
      </c>
      <c r="N748" s="35">
        <f>IF($L748="",DATE(1900,1,1),$L748)</f>
        <v/>
      </c>
      <c r="O748" s="35">
        <f>IF($M748="",DATE(2100,12,31),$M748)</f>
        <v/>
      </c>
      <c r="P748" s="41" t="n"/>
      <c r="Q748" s="31" t="n"/>
      <c r="R748" s="16">
        <f>IF($C748="","",IFERROR(IF(INDEX(Deals!$U$2:$U$355,MATCH($C748,Deals!$A$2:$A$355,0))=0,"",INDEX(Deals!$U$2:$U$355,MATCH($C748,Deals!$A$2:$A$355,0))),""))</f>
        <v/>
      </c>
      <c r="S748" s="34">
        <f>IFERROR(IF($U748="",1,INDEX(Deals!$V$2:$V$355,MATCH($C748,Deals!$A$2:$A$355,0))),1)</f>
        <v/>
      </c>
      <c r="T748" s="34">
        <f>IFERROR(IF($U748="",1,INDEX(Deals!$W$2:$W$355,MATCH($C748,Deals!$A$2:$A$355,0))),1)</f>
        <v/>
      </c>
      <c r="U748" s="22">
        <f>IF($C748="","",IFERROR(IF(INDEX(Deals!$Y$2:$Y$355,MATCH($C748,Deals!$A$2:$A$355,0))=0,"",INDEX(Deals!$Y$2:$Y$355,MATCH($C748,Deals!$A$2:$A$355,0))),""))</f>
        <v/>
      </c>
      <c r="V748" s="35">
        <f>IF($U748="",DATE(1900,1,1),$N748)</f>
        <v/>
      </c>
      <c r="W748" s="35">
        <f>IF($U748="",DATE(2100,12,31),$U748)</f>
        <v/>
      </c>
      <c r="X748" s="32">
        <f>IF($U748="",$K748,$K748*$S748)</f>
        <v/>
      </c>
      <c r="Y748" s="35">
        <f>IF($U748="",DATE(2100,12,31),$U748+1)</f>
        <v/>
      </c>
      <c r="Z748" s="35">
        <f>IF($U748="",DATE(1900,1,1),$O748)</f>
        <v/>
      </c>
      <c r="AA748" s="32">
        <f>IF($U748="",0,$K748*$T748)</f>
        <v/>
      </c>
      <c r="AB748" s="21">
        <f>IF($C748="",0,IFERROR(INDEX(Deals!$AD$2:$AD$355,MATCH($C748,Deals!$A$2:$A$355,0)),0))</f>
        <v/>
      </c>
      <c r="AC748" s="32">
        <f>IF(Settings!$B$4="Yes",$I748*$AB748,$I748)</f>
        <v/>
      </c>
      <c r="AD748" s="22">
        <f>IF($C748="","",IFERROR(IF(INDEX(Deals!$AE$2:$AE$355,MATCH($C748,Deals!$A$2:$A$355,0))=0,"",INDEX(Deals!$AE$2:$AE$355,MATCH($C748,Deals!$A$2:$A$355,0))),""))</f>
        <v/>
      </c>
      <c r="AE748" s="22">
        <f>IF($C748="","",IFERROR(IF(INDEX(Deals!$AF$2:$AF$355,MATCH($C748,Deals!$A$2:$A$355,0))=0,"",INDEX(Deals!$AF$2:$AF$355,MATCH($C748,Deals!$A$2:$A$355,0))),""))</f>
        <v/>
      </c>
      <c r="AF748" s="35">
        <f>IF($AD748="",DATE(1900,1,1),$AD748)</f>
        <v/>
      </c>
      <c r="AG748" s="35">
        <f>IF($AE748="",DATE(2100,12,31),$AE748)</f>
        <v/>
      </c>
      <c r="AH748" s="22">
        <f>IF($C748="","",IFERROR(IF(INDEX(Deals!$AG$2:$AG$355,MATCH($C748,Deals!$A$2:$A$355,0))=0,"",INDEX(Deals!$AG$2:$AG$355,MATCH($C748,Deals!$A$2:$A$355,0))),""))</f>
        <v/>
      </c>
      <c r="AI748" s="35">
        <f>IF($AH748="",DATE(1900,1,1),$AF748)</f>
        <v/>
      </c>
      <c r="AJ748" s="35">
        <f>IF($AH748="",DATE(2100,12,31),$AH748)</f>
        <v/>
      </c>
      <c r="AK748" s="32">
        <f>IF($AH748="",$AC748,$AC748*$S748)</f>
        <v/>
      </c>
      <c r="AL748" s="35">
        <f>IF($AH748="",DATE(2100,12,31),$AH748+1)</f>
        <v/>
      </c>
      <c r="AM748" s="35">
        <f>IF($AH748="",DATE(1900,1,1),$AG748)</f>
        <v/>
      </c>
      <c r="AN748" s="32">
        <f>IF($AH748="",0,$AC748*$T748)</f>
        <v/>
      </c>
    </row>
    <row r="749">
      <c r="A749" s="31" t="n"/>
      <c r="B749" s="16">
        <f>IF($A749="","",IFERROR(INDEX(Roster!$B$2:$B$40,MATCH($A749,Roster!$A$2:$A$40,0)),"?"))</f>
        <v/>
      </c>
      <c r="C749" s="31" t="n"/>
      <c r="D749" s="16">
        <f>IF($C749="","",IFERROR(IF(INDEX(Deals!$C$2:$C$355,MATCH($C749,Deals!$A$2:$A$355,0))=0,"",INDEX(Deals!$C$2:$C$355,MATCH($C749,Deals!$A$2:$A$355,0))),"?"))</f>
        <v/>
      </c>
      <c r="E749" s="16">
        <f>IF($C749="","",IFERROR(INDEX(Deals!$F$2:$F$355,MATCH($C749,Deals!$A$2:$A$355,0)),"?"))</f>
        <v/>
      </c>
      <c r="F749" s="31" t="n"/>
      <c r="G749" s="31" t="n"/>
      <c r="H749" s="31" t="n"/>
      <c r="I749" s="32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1">
        <f>IF($C749="",0,IFERROR(INDEX(Deals!$H$2:$H$355,MATCH($C749,Deals!$A$2:$A$355,0)),0))</f>
        <v/>
      </c>
      <c r="K749" s="32">
        <f>IF(Settings!$B$4="Yes",$I749*$J749,$I749)</f>
        <v/>
      </c>
      <c r="L749" s="22">
        <f>IF($C749="","",IFERROR(IF(INDEX(Deals!$I$2:$I$355,MATCH($C749,Deals!$A$2:$A$355,0))=0,"",INDEX(Deals!$I$2:$I$355,MATCH($C749,Deals!$A$2:$A$355,0))),""))</f>
        <v/>
      </c>
      <c r="M749" s="22">
        <f>IF($C749="","",IFERROR(IF(INDEX(Deals!$J$2:$J$355,MATCH($C749,Deals!$A$2:$A$355,0))=0,"",INDEX(Deals!$J$2:$J$355,MATCH($C749,Deals!$A$2:$A$355,0))),""))</f>
        <v/>
      </c>
      <c r="N749" s="35">
        <f>IF($L749="",DATE(1900,1,1),$L749)</f>
        <v/>
      </c>
      <c r="O749" s="35">
        <f>IF($M749="",DATE(2100,12,31),$M749)</f>
        <v/>
      </c>
      <c r="P749" s="41" t="n"/>
      <c r="Q749" s="31" t="n"/>
      <c r="R749" s="16">
        <f>IF($C749="","",IFERROR(IF(INDEX(Deals!$U$2:$U$355,MATCH($C749,Deals!$A$2:$A$355,0))=0,"",INDEX(Deals!$U$2:$U$355,MATCH($C749,Deals!$A$2:$A$355,0))),""))</f>
        <v/>
      </c>
      <c r="S749" s="34">
        <f>IFERROR(IF($U749="",1,INDEX(Deals!$V$2:$V$355,MATCH($C749,Deals!$A$2:$A$355,0))),1)</f>
        <v/>
      </c>
      <c r="T749" s="34">
        <f>IFERROR(IF($U749="",1,INDEX(Deals!$W$2:$W$355,MATCH($C749,Deals!$A$2:$A$355,0))),1)</f>
        <v/>
      </c>
      <c r="U749" s="22">
        <f>IF($C749="","",IFERROR(IF(INDEX(Deals!$Y$2:$Y$355,MATCH($C749,Deals!$A$2:$A$355,0))=0,"",INDEX(Deals!$Y$2:$Y$355,MATCH($C749,Deals!$A$2:$A$355,0))),""))</f>
        <v/>
      </c>
      <c r="V749" s="35">
        <f>IF($U749="",DATE(1900,1,1),$N749)</f>
        <v/>
      </c>
      <c r="W749" s="35">
        <f>IF($U749="",DATE(2100,12,31),$U749)</f>
        <v/>
      </c>
      <c r="X749" s="32">
        <f>IF($U749="",$K749,$K749*$S749)</f>
        <v/>
      </c>
      <c r="Y749" s="35">
        <f>IF($U749="",DATE(2100,12,31),$U749+1)</f>
        <v/>
      </c>
      <c r="Z749" s="35">
        <f>IF($U749="",DATE(1900,1,1),$O749)</f>
        <v/>
      </c>
      <c r="AA749" s="32">
        <f>IF($U749="",0,$K749*$T749)</f>
        <v/>
      </c>
      <c r="AB749" s="21">
        <f>IF($C749="",0,IFERROR(INDEX(Deals!$AD$2:$AD$355,MATCH($C749,Deals!$A$2:$A$355,0)),0))</f>
        <v/>
      </c>
      <c r="AC749" s="32">
        <f>IF(Settings!$B$4="Yes",$I749*$AB749,$I749)</f>
        <v/>
      </c>
      <c r="AD749" s="22">
        <f>IF($C749="","",IFERROR(IF(INDEX(Deals!$AE$2:$AE$355,MATCH($C749,Deals!$A$2:$A$355,0))=0,"",INDEX(Deals!$AE$2:$AE$355,MATCH($C749,Deals!$A$2:$A$355,0))),""))</f>
        <v/>
      </c>
      <c r="AE749" s="22">
        <f>IF($C749="","",IFERROR(IF(INDEX(Deals!$AF$2:$AF$355,MATCH($C749,Deals!$A$2:$A$355,0))=0,"",INDEX(Deals!$AF$2:$AF$355,MATCH($C749,Deals!$A$2:$A$355,0))),""))</f>
        <v/>
      </c>
      <c r="AF749" s="35">
        <f>IF($AD749="",DATE(1900,1,1),$AD749)</f>
        <v/>
      </c>
      <c r="AG749" s="35">
        <f>IF($AE749="",DATE(2100,12,31),$AE749)</f>
        <v/>
      </c>
      <c r="AH749" s="22">
        <f>IF($C749="","",IFERROR(IF(INDEX(Deals!$AG$2:$AG$355,MATCH($C749,Deals!$A$2:$A$355,0))=0,"",INDEX(Deals!$AG$2:$AG$355,MATCH($C749,Deals!$A$2:$A$355,0))),""))</f>
        <v/>
      </c>
      <c r="AI749" s="35">
        <f>IF($AH749="",DATE(1900,1,1),$AF749)</f>
        <v/>
      </c>
      <c r="AJ749" s="35">
        <f>IF($AH749="",DATE(2100,12,31),$AH749)</f>
        <v/>
      </c>
      <c r="AK749" s="32">
        <f>IF($AH749="",$AC749,$AC749*$S749)</f>
        <v/>
      </c>
      <c r="AL749" s="35">
        <f>IF($AH749="",DATE(2100,12,31),$AH749+1)</f>
        <v/>
      </c>
      <c r="AM749" s="35">
        <f>IF($AH749="",DATE(1900,1,1),$AG749)</f>
        <v/>
      </c>
      <c r="AN749" s="32">
        <f>IF($AH749="",0,$AC749*$T749)</f>
        <v/>
      </c>
    </row>
    <row r="750">
      <c r="A750" s="31" t="n"/>
      <c r="B750" s="16">
        <f>IF($A750="","",IFERROR(INDEX(Roster!$B$2:$B$40,MATCH($A750,Roster!$A$2:$A$40,0)),"?"))</f>
        <v/>
      </c>
      <c r="C750" s="31" t="n"/>
      <c r="D750" s="16">
        <f>IF($C750="","",IFERROR(IF(INDEX(Deals!$C$2:$C$355,MATCH($C750,Deals!$A$2:$A$355,0))=0,"",INDEX(Deals!$C$2:$C$355,MATCH($C750,Deals!$A$2:$A$355,0))),"?"))</f>
        <v/>
      </c>
      <c r="E750" s="16">
        <f>IF($C750="","",IFERROR(INDEX(Deals!$F$2:$F$355,MATCH($C750,Deals!$A$2:$A$355,0)),"?"))</f>
        <v/>
      </c>
      <c r="F750" s="31" t="n"/>
      <c r="G750" s="31" t="n"/>
      <c r="H750" s="31" t="n"/>
      <c r="I750" s="32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1">
        <f>IF($C750="",0,IFERROR(INDEX(Deals!$H$2:$H$355,MATCH($C750,Deals!$A$2:$A$355,0)),0))</f>
        <v/>
      </c>
      <c r="K750" s="32">
        <f>IF(Settings!$B$4="Yes",$I750*$J750,$I750)</f>
        <v/>
      </c>
      <c r="L750" s="22">
        <f>IF($C750="","",IFERROR(IF(INDEX(Deals!$I$2:$I$355,MATCH($C750,Deals!$A$2:$A$355,0))=0,"",INDEX(Deals!$I$2:$I$355,MATCH($C750,Deals!$A$2:$A$355,0))),""))</f>
        <v/>
      </c>
      <c r="M750" s="22">
        <f>IF($C750="","",IFERROR(IF(INDEX(Deals!$J$2:$J$355,MATCH($C750,Deals!$A$2:$A$355,0))=0,"",INDEX(Deals!$J$2:$J$355,MATCH($C750,Deals!$A$2:$A$355,0))),""))</f>
        <v/>
      </c>
      <c r="N750" s="35">
        <f>IF($L750="",DATE(1900,1,1),$L750)</f>
        <v/>
      </c>
      <c r="O750" s="35">
        <f>IF($M750="",DATE(2100,12,31),$M750)</f>
        <v/>
      </c>
      <c r="P750" s="41" t="n"/>
      <c r="Q750" s="31" t="n"/>
      <c r="R750" s="16">
        <f>IF($C750="","",IFERROR(IF(INDEX(Deals!$U$2:$U$355,MATCH($C750,Deals!$A$2:$A$355,0))=0,"",INDEX(Deals!$U$2:$U$355,MATCH($C750,Deals!$A$2:$A$355,0))),""))</f>
        <v/>
      </c>
      <c r="S750" s="34">
        <f>IFERROR(IF($U750="",1,INDEX(Deals!$V$2:$V$355,MATCH($C750,Deals!$A$2:$A$355,0))),1)</f>
        <v/>
      </c>
      <c r="T750" s="34">
        <f>IFERROR(IF($U750="",1,INDEX(Deals!$W$2:$W$355,MATCH($C750,Deals!$A$2:$A$355,0))),1)</f>
        <v/>
      </c>
      <c r="U750" s="22">
        <f>IF($C750="","",IFERROR(IF(INDEX(Deals!$Y$2:$Y$355,MATCH($C750,Deals!$A$2:$A$355,0))=0,"",INDEX(Deals!$Y$2:$Y$355,MATCH($C750,Deals!$A$2:$A$355,0))),""))</f>
        <v/>
      </c>
      <c r="V750" s="35">
        <f>IF($U750="",DATE(1900,1,1),$N750)</f>
        <v/>
      </c>
      <c r="W750" s="35">
        <f>IF($U750="",DATE(2100,12,31),$U750)</f>
        <v/>
      </c>
      <c r="X750" s="32">
        <f>IF($U750="",$K750,$K750*$S750)</f>
        <v/>
      </c>
      <c r="Y750" s="35">
        <f>IF($U750="",DATE(2100,12,31),$U750+1)</f>
        <v/>
      </c>
      <c r="Z750" s="35">
        <f>IF($U750="",DATE(1900,1,1),$O750)</f>
        <v/>
      </c>
      <c r="AA750" s="32">
        <f>IF($U750="",0,$K750*$T750)</f>
        <v/>
      </c>
      <c r="AB750" s="21">
        <f>IF($C750="",0,IFERROR(INDEX(Deals!$AD$2:$AD$355,MATCH($C750,Deals!$A$2:$A$355,0)),0))</f>
        <v/>
      </c>
      <c r="AC750" s="32">
        <f>IF(Settings!$B$4="Yes",$I750*$AB750,$I750)</f>
        <v/>
      </c>
      <c r="AD750" s="22">
        <f>IF($C750="","",IFERROR(IF(INDEX(Deals!$AE$2:$AE$355,MATCH($C750,Deals!$A$2:$A$355,0))=0,"",INDEX(Deals!$AE$2:$AE$355,MATCH($C750,Deals!$A$2:$A$355,0))),""))</f>
        <v/>
      </c>
      <c r="AE750" s="22">
        <f>IF($C750="","",IFERROR(IF(INDEX(Deals!$AF$2:$AF$355,MATCH($C750,Deals!$A$2:$A$355,0))=0,"",INDEX(Deals!$AF$2:$AF$355,MATCH($C750,Deals!$A$2:$A$355,0))),""))</f>
        <v/>
      </c>
      <c r="AF750" s="35">
        <f>IF($AD750="",DATE(1900,1,1),$AD750)</f>
        <v/>
      </c>
      <c r="AG750" s="35">
        <f>IF($AE750="",DATE(2100,12,31),$AE750)</f>
        <v/>
      </c>
      <c r="AH750" s="22">
        <f>IF($C750="","",IFERROR(IF(INDEX(Deals!$AG$2:$AG$355,MATCH($C750,Deals!$A$2:$A$355,0))=0,"",INDEX(Deals!$AG$2:$AG$355,MATCH($C750,Deals!$A$2:$A$355,0))),""))</f>
        <v/>
      </c>
      <c r="AI750" s="35">
        <f>IF($AH750="",DATE(1900,1,1),$AF750)</f>
        <v/>
      </c>
      <c r="AJ750" s="35">
        <f>IF($AH750="",DATE(2100,12,31),$AH750)</f>
        <v/>
      </c>
      <c r="AK750" s="32">
        <f>IF($AH750="",$AC750,$AC750*$S750)</f>
        <v/>
      </c>
      <c r="AL750" s="35">
        <f>IF($AH750="",DATE(2100,12,31),$AH750+1)</f>
        <v/>
      </c>
      <c r="AM750" s="35">
        <f>IF($AH750="",DATE(1900,1,1),$AG750)</f>
        <v/>
      </c>
      <c r="AN750" s="32">
        <f>IF($AH750="",0,$AC750*$T750)</f>
        <v/>
      </c>
    </row>
    <row r="751">
      <c r="A751" s="31" t="n"/>
      <c r="B751" s="16">
        <f>IF($A751="","",IFERROR(INDEX(Roster!$B$2:$B$40,MATCH($A751,Roster!$A$2:$A$40,0)),"?"))</f>
        <v/>
      </c>
      <c r="C751" s="31" t="n"/>
      <c r="D751" s="16">
        <f>IF($C751="","",IFERROR(IF(INDEX(Deals!$C$2:$C$355,MATCH($C751,Deals!$A$2:$A$355,0))=0,"",INDEX(Deals!$C$2:$C$355,MATCH($C751,Deals!$A$2:$A$355,0))),"?"))</f>
        <v/>
      </c>
      <c r="E751" s="16">
        <f>IF($C751="","",IFERROR(INDEX(Deals!$F$2:$F$355,MATCH($C751,Deals!$A$2:$A$355,0)),"?"))</f>
        <v/>
      </c>
      <c r="F751" s="31" t="n"/>
      <c r="G751" s="31" t="n"/>
      <c r="H751" s="31" t="n"/>
      <c r="I751" s="32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1">
        <f>IF($C751="",0,IFERROR(INDEX(Deals!$H$2:$H$355,MATCH($C751,Deals!$A$2:$A$355,0)),0))</f>
        <v/>
      </c>
      <c r="K751" s="32">
        <f>IF(Settings!$B$4="Yes",$I751*$J751,$I751)</f>
        <v/>
      </c>
      <c r="L751" s="22">
        <f>IF($C751="","",IFERROR(IF(INDEX(Deals!$I$2:$I$355,MATCH($C751,Deals!$A$2:$A$355,0))=0,"",INDEX(Deals!$I$2:$I$355,MATCH($C751,Deals!$A$2:$A$355,0))),""))</f>
        <v/>
      </c>
      <c r="M751" s="22">
        <f>IF($C751="","",IFERROR(IF(INDEX(Deals!$J$2:$J$355,MATCH($C751,Deals!$A$2:$A$355,0))=0,"",INDEX(Deals!$J$2:$J$355,MATCH($C751,Deals!$A$2:$A$355,0))),""))</f>
        <v/>
      </c>
      <c r="N751" s="35">
        <f>IF($L751="",DATE(1900,1,1),$L751)</f>
        <v/>
      </c>
      <c r="O751" s="35">
        <f>IF($M751="",DATE(2100,12,31),$M751)</f>
        <v/>
      </c>
      <c r="P751" s="41" t="n"/>
      <c r="Q751" s="31" t="n"/>
      <c r="R751" s="16">
        <f>IF($C751="","",IFERROR(IF(INDEX(Deals!$U$2:$U$355,MATCH($C751,Deals!$A$2:$A$355,0))=0,"",INDEX(Deals!$U$2:$U$355,MATCH($C751,Deals!$A$2:$A$355,0))),""))</f>
        <v/>
      </c>
      <c r="S751" s="34">
        <f>IFERROR(IF($U751="",1,INDEX(Deals!$V$2:$V$355,MATCH($C751,Deals!$A$2:$A$355,0))),1)</f>
        <v/>
      </c>
      <c r="T751" s="34">
        <f>IFERROR(IF($U751="",1,INDEX(Deals!$W$2:$W$355,MATCH($C751,Deals!$A$2:$A$355,0))),1)</f>
        <v/>
      </c>
      <c r="U751" s="22">
        <f>IF($C751="","",IFERROR(IF(INDEX(Deals!$Y$2:$Y$355,MATCH($C751,Deals!$A$2:$A$355,0))=0,"",INDEX(Deals!$Y$2:$Y$355,MATCH($C751,Deals!$A$2:$A$355,0))),""))</f>
        <v/>
      </c>
      <c r="V751" s="35">
        <f>IF($U751="",DATE(1900,1,1),$N751)</f>
        <v/>
      </c>
      <c r="W751" s="35">
        <f>IF($U751="",DATE(2100,12,31),$U751)</f>
        <v/>
      </c>
      <c r="X751" s="32">
        <f>IF($U751="",$K751,$K751*$S751)</f>
        <v/>
      </c>
      <c r="Y751" s="35">
        <f>IF($U751="",DATE(2100,12,31),$U751+1)</f>
        <v/>
      </c>
      <c r="Z751" s="35">
        <f>IF($U751="",DATE(1900,1,1),$O751)</f>
        <v/>
      </c>
      <c r="AA751" s="32">
        <f>IF($U751="",0,$K751*$T751)</f>
        <v/>
      </c>
      <c r="AB751" s="21">
        <f>IF($C751="",0,IFERROR(INDEX(Deals!$AD$2:$AD$355,MATCH($C751,Deals!$A$2:$A$355,0)),0))</f>
        <v/>
      </c>
      <c r="AC751" s="32">
        <f>IF(Settings!$B$4="Yes",$I751*$AB751,$I751)</f>
        <v/>
      </c>
      <c r="AD751" s="22">
        <f>IF($C751="","",IFERROR(IF(INDEX(Deals!$AE$2:$AE$355,MATCH($C751,Deals!$A$2:$A$355,0))=0,"",INDEX(Deals!$AE$2:$AE$355,MATCH($C751,Deals!$A$2:$A$355,0))),""))</f>
        <v/>
      </c>
      <c r="AE751" s="22">
        <f>IF($C751="","",IFERROR(IF(INDEX(Deals!$AF$2:$AF$355,MATCH($C751,Deals!$A$2:$A$355,0))=0,"",INDEX(Deals!$AF$2:$AF$355,MATCH($C751,Deals!$A$2:$A$355,0))),""))</f>
        <v/>
      </c>
      <c r="AF751" s="35">
        <f>IF($AD751="",DATE(1900,1,1),$AD751)</f>
        <v/>
      </c>
      <c r="AG751" s="35">
        <f>IF($AE751="",DATE(2100,12,31),$AE751)</f>
        <v/>
      </c>
      <c r="AH751" s="22">
        <f>IF($C751="","",IFERROR(IF(INDEX(Deals!$AG$2:$AG$355,MATCH($C751,Deals!$A$2:$A$355,0))=0,"",INDEX(Deals!$AG$2:$AG$355,MATCH($C751,Deals!$A$2:$A$355,0))),""))</f>
        <v/>
      </c>
      <c r="AI751" s="35">
        <f>IF($AH751="",DATE(1900,1,1),$AF751)</f>
        <v/>
      </c>
      <c r="AJ751" s="35">
        <f>IF($AH751="",DATE(2100,12,31),$AH751)</f>
        <v/>
      </c>
      <c r="AK751" s="32">
        <f>IF($AH751="",$AC751,$AC751*$S751)</f>
        <v/>
      </c>
      <c r="AL751" s="35">
        <f>IF($AH751="",DATE(2100,12,31),$AH751+1)</f>
        <v/>
      </c>
      <c r="AM751" s="35">
        <f>IF($AH751="",DATE(1900,1,1),$AG751)</f>
        <v/>
      </c>
      <c r="AN751" s="32">
        <f>IF($AH751="",0,$AC751*$T751)</f>
        <v/>
      </c>
    </row>
    <row r="752">
      <c r="A752" s="31" t="n"/>
      <c r="B752" s="16">
        <f>IF($A752="","",IFERROR(INDEX(Roster!$B$2:$B$40,MATCH($A752,Roster!$A$2:$A$40,0)),"?"))</f>
        <v/>
      </c>
      <c r="C752" s="31" t="n"/>
      <c r="D752" s="16">
        <f>IF($C752="","",IFERROR(IF(INDEX(Deals!$C$2:$C$355,MATCH($C752,Deals!$A$2:$A$355,0))=0,"",INDEX(Deals!$C$2:$C$355,MATCH($C752,Deals!$A$2:$A$355,0))),"?"))</f>
        <v/>
      </c>
      <c r="E752" s="16">
        <f>IF($C752="","",IFERROR(INDEX(Deals!$F$2:$F$355,MATCH($C752,Deals!$A$2:$A$355,0)),"?"))</f>
        <v/>
      </c>
      <c r="F752" s="31" t="n"/>
      <c r="G752" s="31" t="n"/>
      <c r="H752" s="31" t="n"/>
      <c r="I752" s="32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1">
        <f>IF($C752="",0,IFERROR(INDEX(Deals!$H$2:$H$355,MATCH($C752,Deals!$A$2:$A$355,0)),0))</f>
        <v/>
      </c>
      <c r="K752" s="32">
        <f>IF(Settings!$B$4="Yes",$I752*$J752,$I752)</f>
        <v/>
      </c>
      <c r="L752" s="22">
        <f>IF($C752="","",IFERROR(IF(INDEX(Deals!$I$2:$I$355,MATCH($C752,Deals!$A$2:$A$355,0))=0,"",INDEX(Deals!$I$2:$I$355,MATCH($C752,Deals!$A$2:$A$355,0))),""))</f>
        <v/>
      </c>
      <c r="M752" s="22">
        <f>IF($C752="","",IFERROR(IF(INDEX(Deals!$J$2:$J$355,MATCH($C752,Deals!$A$2:$A$355,0))=0,"",INDEX(Deals!$J$2:$J$355,MATCH($C752,Deals!$A$2:$A$355,0))),""))</f>
        <v/>
      </c>
      <c r="N752" s="35">
        <f>IF($L752="",DATE(1900,1,1),$L752)</f>
        <v/>
      </c>
      <c r="O752" s="35">
        <f>IF($M752="",DATE(2100,12,31),$M752)</f>
        <v/>
      </c>
      <c r="P752" s="41" t="n"/>
      <c r="Q752" s="31" t="n"/>
      <c r="R752" s="16">
        <f>IF($C752="","",IFERROR(IF(INDEX(Deals!$U$2:$U$355,MATCH($C752,Deals!$A$2:$A$355,0))=0,"",INDEX(Deals!$U$2:$U$355,MATCH($C752,Deals!$A$2:$A$355,0))),""))</f>
        <v/>
      </c>
      <c r="S752" s="34">
        <f>IFERROR(IF($U752="",1,INDEX(Deals!$V$2:$V$355,MATCH($C752,Deals!$A$2:$A$355,0))),1)</f>
        <v/>
      </c>
      <c r="T752" s="34">
        <f>IFERROR(IF($U752="",1,INDEX(Deals!$W$2:$W$355,MATCH($C752,Deals!$A$2:$A$355,0))),1)</f>
        <v/>
      </c>
      <c r="U752" s="22">
        <f>IF($C752="","",IFERROR(IF(INDEX(Deals!$Y$2:$Y$355,MATCH($C752,Deals!$A$2:$A$355,0))=0,"",INDEX(Deals!$Y$2:$Y$355,MATCH($C752,Deals!$A$2:$A$355,0))),""))</f>
        <v/>
      </c>
      <c r="V752" s="35">
        <f>IF($U752="",DATE(1900,1,1),$N752)</f>
        <v/>
      </c>
      <c r="W752" s="35">
        <f>IF($U752="",DATE(2100,12,31),$U752)</f>
        <v/>
      </c>
      <c r="X752" s="32">
        <f>IF($U752="",$K752,$K752*$S752)</f>
        <v/>
      </c>
      <c r="Y752" s="35">
        <f>IF($U752="",DATE(2100,12,31),$U752+1)</f>
        <v/>
      </c>
      <c r="Z752" s="35">
        <f>IF($U752="",DATE(1900,1,1),$O752)</f>
        <v/>
      </c>
      <c r="AA752" s="32">
        <f>IF($U752="",0,$K752*$T752)</f>
        <v/>
      </c>
      <c r="AB752" s="21">
        <f>IF($C752="",0,IFERROR(INDEX(Deals!$AD$2:$AD$355,MATCH($C752,Deals!$A$2:$A$355,0)),0))</f>
        <v/>
      </c>
      <c r="AC752" s="32">
        <f>IF(Settings!$B$4="Yes",$I752*$AB752,$I752)</f>
        <v/>
      </c>
      <c r="AD752" s="22">
        <f>IF($C752="","",IFERROR(IF(INDEX(Deals!$AE$2:$AE$355,MATCH($C752,Deals!$A$2:$A$355,0))=0,"",INDEX(Deals!$AE$2:$AE$355,MATCH($C752,Deals!$A$2:$A$355,0))),""))</f>
        <v/>
      </c>
      <c r="AE752" s="22">
        <f>IF($C752="","",IFERROR(IF(INDEX(Deals!$AF$2:$AF$355,MATCH($C752,Deals!$A$2:$A$355,0))=0,"",INDEX(Deals!$AF$2:$AF$355,MATCH($C752,Deals!$A$2:$A$355,0))),""))</f>
        <v/>
      </c>
      <c r="AF752" s="35">
        <f>IF($AD752="",DATE(1900,1,1),$AD752)</f>
        <v/>
      </c>
      <c r="AG752" s="35">
        <f>IF($AE752="",DATE(2100,12,31),$AE752)</f>
        <v/>
      </c>
      <c r="AH752" s="22">
        <f>IF($C752="","",IFERROR(IF(INDEX(Deals!$AG$2:$AG$355,MATCH($C752,Deals!$A$2:$A$355,0))=0,"",INDEX(Deals!$AG$2:$AG$355,MATCH($C752,Deals!$A$2:$A$355,0))),""))</f>
        <v/>
      </c>
      <c r="AI752" s="35">
        <f>IF($AH752="",DATE(1900,1,1),$AF752)</f>
        <v/>
      </c>
      <c r="AJ752" s="35">
        <f>IF($AH752="",DATE(2100,12,31),$AH752)</f>
        <v/>
      </c>
      <c r="AK752" s="32">
        <f>IF($AH752="",$AC752,$AC752*$S752)</f>
        <v/>
      </c>
      <c r="AL752" s="35">
        <f>IF($AH752="",DATE(2100,12,31),$AH752+1)</f>
        <v/>
      </c>
      <c r="AM752" s="35">
        <f>IF($AH752="",DATE(1900,1,1),$AG752)</f>
        <v/>
      </c>
      <c r="AN752" s="32">
        <f>IF($AH752="",0,$AC752*$T752)</f>
        <v/>
      </c>
    </row>
    <row r="753">
      <c r="A753" s="31" t="n"/>
      <c r="B753" s="16">
        <f>IF($A753="","",IFERROR(INDEX(Roster!$B$2:$B$40,MATCH($A753,Roster!$A$2:$A$40,0)),"?"))</f>
        <v/>
      </c>
      <c r="C753" s="31" t="n"/>
      <c r="D753" s="16">
        <f>IF($C753="","",IFERROR(IF(INDEX(Deals!$C$2:$C$355,MATCH($C753,Deals!$A$2:$A$355,0))=0,"",INDEX(Deals!$C$2:$C$355,MATCH($C753,Deals!$A$2:$A$355,0))),"?"))</f>
        <v/>
      </c>
      <c r="E753" s="16">
        <f>IF($C753="","",IFERROR(INDEX(Deals!$F$2:$F$355,MATCH($C753,Deals!$A$2:$A$355,0)),"?"))</f>
        <v/>
      </c>
      <c r="F753" s="31" t="n"/>
      <c r="G753" s="31" t="n"/>
      <c r="H753" s="31" t="n"/>
      <c r="I753" s="32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1">
        <f>IF($C753="",0,IFERROR(INDEX(Deals!$H$2:$H$355,MATCH($C753,Deals!$A$2:$A$355,0)),0))</f>
        <v/>
      </c>
      <c r="K753" s="32">
        <f>IF(Settings!$B$4="Yes",$I753*$J753,$I753)</f>
        <v/>
      </c>
      <c r="L753" s="22">
        <f>IF($C753="","",IFERROR(IF(INDEX(Deals!$I$2:$I$355,MATCH($C753,Deals!$A$2:$A$355,0))=0,"",INDEX(Deals!$I$2:$I$355,MATCH($C753,Deals!$A$2:$A$355,0))),""))</f>
        <v/>
      </c>
      <c r="M753" s="22">
        <f>IF($C753="","",IFERROR(IF(INDEX(Deals!$J$2:$J$355,MATCH($C753,Deals!$A$2:$A$355,0))=0,"",INDEX(Deals!$J$2:$J$355,MATCH($C753,Deals!$A$2:$A$355,0))),""))</f>
        <v/>
      </c>
      <c r="N753" s="35">
        <f>IF($L753="",DATE(1900,1,1),$L753)</f>
        <v/>
      </c>
      <c r="O753" s="35">
        <f>IF($M753="",DATE(2100,12,31),$M753)</f>
        <v/>
      </c>
      <c r="P753" s="41" t="n"/>
      <c r="Q753" s="31" t="n"/>
      <c r="R753" s="16">
        <f>IF($C753="","",IFERROR(IF(INDEX(Deals!$U$2:$U$355,MATCH($C753,Deals!$A$2:$A$355,0))=0,"",INDEX(Deals!$U$2:$U$355,MATCH($C753,Deals!$A$2:$A$355,0))),""))</f>
        <v/>
      </c>
      <c r="S753" s="34">
        <f>IFERROR(IF($U753="",1,INDEX(Deals!$V$2:$V$355,MATCH($C753,Deals!$A$2:$A$355,0))),1)</f>
        <v/>
      </c>
      <c r="T753" s="34">
        <f>IFERROR(IF($U753="",1,INDEX(Deals!$W$2:$W$355,MATCH($C753,Deals!$A$2:$A$355,0))),1)</f>
        <v/>
      </c>
      <c r="U753" s="22">
        <f>IF($C753="","",IFERROR(IF(INDEX(Deals!$Y$2:$Y$355,MATCH($C753,Deals!$A$2:$A$355,0))=0,"",INDEX(Deals!$Y$2:$Y$355,MATCH($C753,Deals!$A$2:$A$355,0))),""))</f>
        <v/>
      </c>
      <c r="V753" s="35">
        <f>IF($U753="",DATE(1900,1,1),$N753)</f>
        <v/>
      </c>
      <c r="W753" s="35">
        <f>IF($U753="",DATE(2100,12,31),$U753)</f>
        <v/>
      </c>
      <c r="X753" s="32">
        <f>IF($U753="",$K753,$K753*$S753)</f>
        <v/>
      </c>
      <c r="Y753" s="35">
        <f>IF($U753="",DATE(2100,12,31),$U753+1)</f>
        <v/>
      </c>
      <c r="Z753" s="35">
        <f>IF($U753="",DATE(1900,1,1),$O753)</f>
        <v/>
      </c>
      <c r="AA753" s="32">
        <f>IF($U753="",0,$K753*$T753)</f>
        <v/>
      </c>
      <c r="AB753" s="21">
        <f>IF($C753="",0,IFERROR(INDEX(Deals!$AD$2:$AD$355,MATCH($C753,Deals!$A$2:$A$355,0)),0))</f>
        <v/>
      </c>
      <c r="AC753" s="32">
        <f>IF(Settings!$B$4="Yes",$I753*$AB753,$I753)</f>
        <v/>
      </c>
      <c r="AD753" s="22">
        <f>IF($C753="","",IFERROR(IF(INDEX(Deals!$AE$2:$AE$355,MATCH($C753,Deals!$A$2:$A$355,0))=0,"",INDEX(Deals!$AE$2:$AE$355,MATCH($C753,Deals!$A$2:$A$355,0))),""))</f>
        <v/>
      </c>
      <c r="AE753" s="22">
        <f>IF($C753="","",IFERROR(IF(INDEX(Deals!$AF$2:$AF$355,MATCH($C753,Deals!$A$2:$A$355,0))=0,"",INDEX(Deals!$AF$2:$AF$355,MATCH($C753,Deals!$A$2:$A$355,0))),""))</f>
        <v/>
      </c>
      <c r="AF753" s="35">
        <f>IF($AD753="",DATE(1900,1,1),$AD753)</f>
        <v/>
      </c>
      <c r="AG753" s="35">
        <f>IF($AE753="",DATE(2100,12,31),$AE753)</f>
        <v/>
      </c>
      <c r="AH753" s="22">
        <f>IF($C753="","",IFERROR(IF(INDEX(Deals!$AG$2:$AG$355,MATCH($C753,Deals!$A$2:$A$355,0))=0,"",INDEX(Deals!$AG$2:$AG$355,MATCH($C753,Deals!$A$2:$A$355,0))),""))</f>
        <v/>
      </c>
      <c r="AI753" s="35">
        <f>IF($AH753="",DATE(1900,1,1),$AF753)</f>
        <v/>
      </c>
      <c r="AJ753" s="35">
        <f>IF($AH753="",DATE(2100,12,31),$AH753)</f>
        <v/>
      </c>
      <c r="AK753" s="32">
        <f>IF($AH753="",$AC753,$AC753*$S753)</f>
        <v/>
      </c>
      <c r="AL753" s="35">
        <f>IF($AH753="",DATE(2100,12,31),$AH753+1)</f>
        <v/>
      </c>
      <c r="AM753" s="35">
        <f>IF($AH753="",DATE(1900,1,1),$AG753)</f>
        <v/>
      </c>
      <c r="AN753" s="32">
        <f>IF($AH753="",0,$AC753*$T753)</f>
        <v/>
      </c>
    </row>
    <row r="754">
      <c r="A754" s="31" t="n"/>
      <c r="B754" s="16">
        <f>IF($A754="","",IFERROR(INDEX(Roster!$B$2:$B$40,MATCH($A754,Roster!$A$2:$A$40,0)),"?"))</f>
        <v/>
      </c>
      <c r="C754" s="31" t="n"/>
      <c r="D754" s="16">
        <f>IF($C754="","",IFERROR(IF(INDEX(Deals!$C$2:$C$355,MATCH($C754,Deals!$A$2:$A$355,0))=0,"",INDEX(Deals!$C$2:$C$355,MATCH($C754,Deals!$A$2:$A$355,0))),"?"))</f>
        <v/>
      </c>
      <c r="E754" s="16">
        <f>IF($C754="","",IFERROR(INDEX(Deals!$F$2:$F$355,MATCH($C754,Deals!$A$2:$A$355,0)),"?"))</f>
        <v/>
      </c>
      <c r="F754" s="31" t="n"/>
      <c r="G754" s="31" t="n"/>
      <c r="H754" s="31" t="n"/>
      <c r="I754" s="32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1">
        <f>IF($C754="",0,IFERROR(INDEX(Deals!$H$2:$H$355,MATCH($C754,Deals!$A$2:$A$355,0)),0))</f>
        <v/>
      </c>
      <c r="K754" s="32">
        <f>IF(Settings!$B$4="Yes",$I754*$J754,$I754)</f>
        <v/>
      </c>
      <c r="L754" s="22">
        <f>IF($C754="","",IFERROR(IF(INDEX(Deals!$I$2:$I$355,MATCH($C754,Deals!$A$2:$A$355,0))=0,"",INDEX(Deals!$I$2:$I$355,MATCH($C754,Deals!$A$2:$A$355,0))),""))</f>
        <v/>
      </c>
      <c r="M754" s="22">
        <f>IF($C754="","",IFERROR(IF(INDEX(Deals!$J$2:$J$355,MATCH($C754,Deals!$A$2:$A$355,0))=0,"",INDEX(Deals!$J$2:$J$355,MATCH($C754,Deals!$A$2:$A$355,0))),""))</f>
        <v/>
      </c>
      <c r="N754" s="35">
        <f>IF($L754="",DATE(1900,1,1),$L754)</f>
        <v/>
      </c>
      <c r="O754" s="35">
        <f>IF($M754="",DATE(2100,12,31),$M754)</f>
        <v/>
      </c>
      <c r="P754" s="41" t="n"/>
      <c r="Q754" s="31" t="n"/>
      <c r="R754" s="16">
        <f>IF($C754="","",IFERROR(IF(INDEX(Deals!$U$2:$U$355,MATCH($C754,Deals!$A$2:$A$355,0))=0,"",INDEX(Deals!$U$2:$U$355,MATCH($C754,Deals!$A$2:$A$355,0))),""))</f>
        <v/>
      </c>
      <c r="S754" s="34">
        <f>IFERROR(IF($U754="",1,INDEX(Deals!$V$2:$V$355,MATCH($C754,Deals!$A$2:$A$355,0))),1)</f>
        <v/>
      </c>
      <c r="T754" s="34">
        <f>IFERROR(IF($U754="",1,INDEX(Deals!$W$2:$W$355,MATCH($C754,Deals!$A$2:$A$355,0))),1)</f>
        <v/>
      </c>
      <c r="U754" s="22">
        <f>IF($C754="","",IFERROR(IF(INDEX(Deals!$Y$2:$Y$355,MATCH($C754,Deals!$A$2:$A$355,0))=0,"",INDEX(Deals!$Y$2:$Y$355,MATCH($C754,Deals!$A$2:$A$355,0))),""))</f>
        <v/>
      </c>
      <c r="V754" s="35">
        <f>IF($U754="",DATE(1900,1,1),$N754)</f>
        <v/>
      </c>
      <c r="W754" s="35">
        <f>IF($U754="",DATE(2100,12,31),$U754)</f>
        <v/>
      </c>
      <c r="X754" s="32">
        <f>IF($U754="",$K754,$K754*$S754)</f>
        <v/>
      </c>
      <c r="Y754" s="35">
        <f>IF($U754="",DATE(2100,12,31),$U754+1)</f>
        <v/>
      </c>
      <c r="Z754" s="35">
        <f>IF($U754="",DATE(1900,1,1),$O754)</f>
        <v/>
      </c>
      <c r="AA754" s="32">
        <f>IF($U754="",0,$K754*$T754)</f>
        <v/>
      </c>
      <c r="AB754" s="21">
        <f>IF($C754="",0,IFERROR(INDEX(Deals!$AD$2:$AD$355,MATCH($C754,Deals!$A$2:$A$355,0)),0))</f>
        <v/>
      </c>
      <c r="AC754" s="32">
        <f>IF(Settings!$B$4="Yes",$I754*$AB754,$I754)</f>
        <v/>
      </c>
      <c r="AD754" s="22">
        <f>IF($C754="","",IFERROR(IF(INDEX(Deals!$AE$2:$AE$355,MATCH($C754,Deals!$A$2:$A$355,0))=0,"",INDEX(Deals!$AE$2:$AE$355,MATCH($C754,Deals!$A$2:$A$355,0))),""))</f>
        <v/>
      </c>
      <c r="AE754" s="22">
        <f>IF($C754="","",IFERROR(IF(INDEX(Deals!$AF$2:$AF$355,MATCH($C754,Deals!$A$2:$A$355,0))=0,"",INDEX(Deals!$AF$2:$AF$355,MATCH($C754,Deals!$A$2:$A$355,0))),""))</f>
        <v/>
      </c>
      <c r="AF754" s="35">
        <f>IF($AD754="",DATE(1900,1,1),$AD754)</f>
        <v/>
      </c>
      <c r="AG754" s="35">
        <f>IF($AE754="",DATE(2100,12,31),$AE754)</f>
        <v/>
      </c>
      <c r="AH754" s="22">
        <f>IF($C754="","",IFERROR(IF(INDEX(Deals!$AG$2:$AG$355,MATCH($C754,Deals!$A$2:$A$355,0))=0,"",INDEX(Deals!$AG$2:$AG$355,MATCH($C754,Deals!$A$2:$A$355,0))),""))</f>
        <v/>
      </c>
      <c r="AI754" s="35">
        <f>IF($AH754="",DATE(1900,1,1),$AF754)</f>
        <v/>
      </c>
      <c r="AJ754" s="35">
        <f>IF($AH754="",DATE(2100,12,31),$AH754)</f>
        <v/>
      </c>
      <c r="AK754" s="32">
        <f>IF($AH754="",$AC754,$AC754*$S754)</f>
        <v/>
      </c>
      <c r="AL754" s="35">
        <f>IF($AH754="",DATE(2100,12,31),$AH754+1)</f>
        <v/>
      </c>
      <c r="AM754" s="35">
        <f>IF($AH754="",DATE(1900,1,1),$AG754)</f>
        <v/>
      </c>
      <c r="AN754" s="32">
        <f>IF($AH754="",0,$AC754*$T754)</f>
        <v/>
      </c>
    </row>
    <row r="755">
      <c r="A755" s="31" t="n"/>
      <c r="B755" s="16">
        <f>IF($A755="","",IFERROR(INDEX(Roster!$B$2:$B$40,MATCH($A755,Roster!$A$2:$A$40,0)),"?"))</f>
        <v/>
      </c>
      <c r="C755" s="31" t="n"/>
      <c r="D755" s="16">
        <f>IF($C755="","",IFERROR(IF(INDEX(Deals!$C$2:$C$355,MATCH($C755,Deals!$A$2:$A$355,0))=0,"",INDEX(Deals!$C$2:$C$355,MATCH($C755,Deals!$A$2:$A$355,0))),"?"))</f>
        <v/>
      </c>
      <c r="E755" s="16">
        <f>IF($C755="","",IFERROR(INDEX(Deals!$F$2:$F$355,MATCH($C755,Deals!$A$2:$A$355,0)),"?"))</f>
        <v/>
      </c>
      <c r="F755" s="31" t="n"/>
      <c r="G755" s="31" t="n"/>
      <c r="H755" s="31" t="n"/>
      <c r="I755" s="32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1">
        <f>IF($C755="",0,IFERROR(INDEX(Deals!$H$2:$H$355,MATCH($C755,Deals!$A$2:$A$355,0)),0))</f>
        <v/>
      </c>
      <c r="K755" s="32">
        <f>IF(Settings!$B$4="Yes",$I755*$J755,$I755)</f>
        <v/>
      </c>
      <c r="L755" s="22">
        <f>IF($C755="","",IFERROR(IF(INDEX(Deals!$I$2:$I$355,MATCH($C755,Deals!$A$2:$A$355,0))=0,"",INDEX(Deals!$I$2:$I$355,MATCH($C755,Deals!$A$2:$A$355,0))),""))</f>
        <v/>
      </c>
      <c r="M755" s="22">
        <f>IF($C755="","",IFERROR(IF(INDEX(Deals!$J$2:$J$355,MATCH($C755,Deals!$A$2:$A$355,0))=0,"",INDEX(Deals!$J$2:$J$355,MATCH($C755,Deals!$A$2:$A$355,0))),""))</f>
        <v/>
      </c>
      <c r="N755" s="35">
        <f>IF($L755="",DATE(1900,1,1),$L755)</f>
        <v/>
      </c>
      <c r="O755" s="35">
        <f>IF($M755="",DATE(2100,12,31),$M755)</f>
        <v/>
      </c>
      <c r="P755" s="41" t="n"/>
      <c r="Q755" s="31" t="n"/>
      <c r="R755" s="16">
        <f>IF($C755="","",IFERROR(IF(INDEX(Deals!$U$2:$U$355,MATCH($C755,Deals!$A$2:$A$355,0))=0,"",INDEX(Deals!$U$2:$U$355,MATCH($C755,Deals!$A$2:$A$355,0))),""))</f>
        <v/>
      </c>
      <c r="S755" s="34">
        <f>IFERROR(IF($U755="",1,INDEX(Deals!$V$2:$V$355,MATCH($C755,Deals!$A$2:$A$355,0))),1)</f>
        <v/>
      </c>
      <c r="T755" s="34">
        <f>IFERROR(IF($U755="",1,INDEX(Deals!$W$2:$W$355,MATCH($C755,Deals!$A$2:$A$355,0))),1)</f>
        <v/>
      </c>
      <c r="U755" s="22">
        <f>IF($C755="","",IFERROR(IF(INDEX(Deals!$Y$2:$Y$355,MATCH($C755,Deals!$A$2:$A$355,0))=0,"",INDEX(Deals!$Y$2:$Y$355,MATCH($C755,Deals!$A$2:$A$355,0))),""))</f>
        <v/>
      </c>
      <c r="V755" s="35">
        <f>IF($U755="",DATE(1900,1,1),$N755)</f>
        <v/>
      </c>
      <c r="W755" s="35">
        <f>IF($U755="",DATE(2100,12,31),$U755)</f>
        <v/>
      </c>
      <c r="X755" s="32">
        <f>IF($U755="",$K755,$K755*$S755)</f>
        <v/>
      </c>
      <c r="Y755" s="35">
        <f>IF($U755="",DATE(2100,12,31),$U755+1)</f>
        <v/>
      </c>
      <c r="Z755" s="35">
        <f>IF($U755="",DATE(1900,1,1),$O755)</f>
        <v/>
      </c>
      <c r="AA755" s="32">
        <f>IF($U755="",0,$K755*$T755)</f>
        <v/>
      </c>
      <c r="AB755" s="21">
        <f>IF($C755="",0,IFERROR(INDEX(Deals!$AD$2:$AD$355,MATCH($C755,Deals!$A$2:$A$355,0)),0))</f>
        <v/>
      </c>
      <c r="AC755" s="32">
        <f>IF(Settings!$B$4="Yes",$I755*$AB755,$I755)</f>
        <v/>
      </c>
      <c r="AD755" s="22">
        <f>IF($C755="","",IFERROR(IF(INDEX(Deals!$AE$2:$AE$355,MATCH($C755,Deals!$A$2:$A$355,0))=0,"",INDEX(Deals!$AE$2:$AE$355,MATCH($C755,Deals!$A$2:$A$355,0))),""))</f>
        <v/>
      </c>
      <c r="AE755" s="22">
        <f>IF($C755="","",IFERROR(IF(INDEX(Deals!$AF$2:$AF$355,MATCH($C755,Deals!$A$2:$A$355,0))=0,"",INDEX(Deals!$AF$2:$AF$355,MATCH($C755,Deals!$A$2:$A$355,0))),""))</f>
        <v/>
      </c>
      <c r="AF755" s="35">
        <f>IF($AD755="",DATE(1900,1,1),$AD755)</f>
        <v/>
      </c>
      <c r="AG755" s="35">
        <f>IF($AE755="",DATE(2100,12,31),$AE755)</f>
        <v/>
      </c>
      <c r="AH755" s="22">
        <f>IF($C755="","",IFERROR(IF(INDEX(Deals!$AG$2:$AG$355,MATCH($C755,Deals!$A$2:$A$355,0))=0,"",INDEX(Deals!$AG$2:$AG$355,MATCH($C755,Deals!$A$2:$A$355,0))),""))</f>
        <v/>
      </c>
      <c r="AI755" s="35">
        <f>IF($AH755="",DATE(1900,1,1),$AF755)</f>
        <v/>
      </c>
      <c r="AJ755" s="35">
        <f>IF($AH755="",DATE(2100,12,31),$AH755)</f>
        <v/>
      </c>
      <c r="AK755" s="32">
        <f>IF($AH755="",$AC755,$AC755*$S755)</f>
        <v/>
      </c>
      <c r="AL755" s="35">
        <f>IF($AH755="",DATE(2100,12,31),$AH755+1)</f>
        <v/>
      </c>
      <c r="AM755" s="35">
        <f>IF($AH755="",DATE(1900,1,1),$AG755)</f>
        <v/>
      </c>
      <c r="AN755" s="32">
        <f>IF($AH755="",0,$AC755*$T755)</f>
        <v/>
      </c>
    </row>
    <row r="756">
      <c r="A756" s="31" t="n"/>
      <c r="B756" s="16">
        <f>IF($A756="","",IFERROR(INDEX(Roster!$B$2:$B$40,MATCH($A756,Roster!$A$2:$A$40,0)),"?"))</f>
        <v/>
      </c>
      <c r="C756" s="31" t="n"/>
      <c r="D756" s="16">
        <f>IF($C756="","",IFERROR(IF(INDEX(Deals!$C$2:$C$355,MATCH($C756,Deals!$A$2:$A$355,0))=0,"",INDEX(Deals!$C$2:$C$355,MATCH($C756,Deals!$A$2:$A$355,0))),"?"))</f>
        <v/>
      </c>
      <c r="E756" s="16">
        <f>IF($C756="","",IFERROR(INDEX(Deals!$F$2:$F$355,MATCH($C756,Deals!$A$2:$A$355,0)),"?"))</f>
        <v/>
      </c>
      <c r="F756" s="31" t="n"/>
      <c r="G756" s="31" t="n"/>
      <c r="H756" s="31" t="n"/>
      <c r="I756" s="32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1">
        <f>IF($C756="",0,IFERROR(INDEX(Deals!$H$2:$H$355,MATCH($C756,Deals!$A$2:$A$355,0)),0))</f>
        <v/>
      </c>
      <c r="K756" s="32">
        <f>IF(Settings!$B$4="Yes",$I756*$J756,$I756)</f>
        <v/>
      </c>
      <c r="L756" s="22">
        <f>IF($C756="","",IFERROR(IF(INDEX(Deals!$I$2:$I$355,MATCH($C756,Deals!$A$2:$A$355,0))=0,"",INDEX(Deals!$I$2:$I$355,MATCH($C756,Deals!$A$2:$A$355,0))),""))</f>
        <v/>
      </c>
      <c r="M756" s="22">
        <f>IF($C756="","",IFERROR(IF(INDEX(Deals!$J$2:$J$355,MATCH($C756,Deals!$A$2:$A$355,0))=0,"",INDEX(Deals!$J$2:$J$355,MATCH($C756,Deals!$A$2:$A$355,0))),""))</f>
        <v/>
      </c>
      <c r="N756" s="35">
        <f>IF($L756="",DATE(1900,1,1),$L756)</f>
        <v/>
      </c>
      <c r="O756" s="35">
        <f>IF($M756="",DATE(2100,12,31),$M756)</f>
        <v/>
      </c>
      <c r="P756" s="41" t="n"/>
      <c r="Q756" s="31" t="n"/>
      <c r="R756" s="16">
        <f>IF($C756="","",IFERROR(IF(INDEX(Deals!$U$2:$U$355,MATCH($C756,Deals!$A$2:$A$355,0))=0,"",INDEX(Deals!$U$2:$U$355,MATCH($C756,Deals!$A$2:$A$355,0))),""))</f>
        <v/>
      </c>
      <c r="S756" s="34">
        <f>IFERROR(IF($U756="",1,INDEX(Deals!$V$2:$V$355,MATCH($C756,Deals!$A$2:$A$355,0))),1)</f>
        <v/>
      </c>
      <c r="T756" s="34">
        <f>IFERROR(IF($U756="",1,INDEX(Deals!$W$2:$W$355,MATCH($C756,Deals!$A$2:$A$355,0))),1)</f>
        <v/>
      </c>
      <c r="U756" s="22">
        <f>IF($C756="","",IFERROR(IF(INDEX(Deals!$Y$2:$Y$355,MATCH($C756,Deals!$A$2:$A$355,0))=0,"",INDEX(Deals!$Y$2:$Y$355,MATCH($C756,Deals!$A$2:$A$355,0))),""))</f>
        <v/>
      </c>
      <c r="V756" s="35">
        <f>IF($U756="",DATE(1900,1,1),$N756)</f>
        <v/>
      </c>
      <c r="W756" s="35">
        <f>IF($U756="",DATE(2100,12,31),$U756)</f>
        <v/>
      </c>
      <c r="X756" s="32">
        <f>IF($U756="",$K756,$K756*$S756)</f>
        <v/>
      </c>
      <c r="Y756" s="35">
        <f>IF($U756="",DATE(2100,12,31),$U756+1)</f>
        <v/>
      </c>
      <c r="Z756" s="35">
        <f>IF($U756="",DATE(1900,1,1),$O756)</f>
        <v/>
      </c>
      <c r="AA756" s="32">
        <f>IF($U756="",0,$K756*$T756)</f>
        <v/>
      </c>
      <c r="AB756" s="21">
        <f>IF($C756="",0,IFERROR(INDEX(Deals!$AD$2:$AD$355,MATCH($C756,Deals!$A$2:$A$355,0)),0))</f>
        <v/>
      </c>
      <c r="AC756" s="32">
        <f>IF(Settings!$B$4="Yes",$I756*$AB756,$I756)</f>
        <v/>
      </c>
      <c r="AD756" s="22">
        <f>IF($C756="","",IFERROR(IF(INDEX(Deals!$AE$2:$AE$355,MATCH($C756,Deals!$A$2:$A$355,0))=0,"",INDEX(Deals!$AE$2:$AE$355,MATCH($C756,Deals!$A$2:$A$355,0))),""))</f>
        <v/>
      </c>
      <c r="AE756" s="22">
        <f>IF($C756="","",IFERROR(IF(INDEX(Deals!$AF$2:$AF$355,MATCH($C756,Deals!$A$2:$A$355,0))=0,"",INDEX(Deals!$AF$2:$AF$355,MATCH($C756,Deals!$A$2:$A$355,0))),""))</f>
        <v/>
      </c>
      <c r="AF756" s="35">
        <f>IF($AD756="",DATE(1900,1,1),$AD756)</f>
        <v/>
      </c>
      <c r="AG756" s="35">
        <f>IF($AE756="",DATE(2100,12,31),$AE756)</f>
        <v/>
      </c>
      <c r="AH756" s="22">
        <f>IF($C756="","",IFERROR(IF(INDEX(Deals!$AG$2:$AG$355,MATCH($C756,Deals!$A$2:$A$355,0))=0,"",INDEX(Deals!$AG$2:$AG$355,MATCH($C756,Deals!$A$2:$A$355,0))),""))</f>
        <v/>
      </c>
      <c r="AI756" s="35">
        <f>IF($AH756="",DATE(1900,1,1),$AF756)</f>
        <v/>
      </c>
      <c r="AJ756" s="35">
        <f>IF($AH756="",DATE(2100,12,31),$AH756)</f>
        <v/>
      </c>
      <c r="AK756" s="32">
        <f>IF($AH756="",$AC756,$AC756*$S756)</f>
        <v/>
      </c>
      <c r="AL756" s="35">
        <f>IF($AH756="",DATE(2100,12,31),$AH756+1)</f>
        <v/>
      </c>
      <c r="AM756" s="35">
        <f>IF($AH756="",DATE(1900,1,1),$AG756)</f>
        <v/>
      </c>
      <c r="AN756" s="32">
        <f>IF($AH756="",0,$AC756*$T756)</f>
        <v/>
      </c>
    </row>
    <row r="757">
      <c r="A757" s="31" t="n"/>
      <c r="B757" s="16">
        <f>IF($A757="","",IFERROR(INDEX(Roster!$B$2:$B$40,MATCH($A757,Roster!$A$2:$A$40,0)),"?"))</f>
        <v/>
      </c>
      <c r="C757" s="31" t="n"/>
      <c r="D757" s="16">
        <f>IF($C757="","",IFERROR(IF(INDEX(Deals!$C$2:$C$355,MATCH($C757,Deals!$A$2:$A$355,0))=0,"",INDEX(Deals!$C$2:$C$355,MATCH($C757,Deals!$A$2:$A$355,0))),"?"))</f>
        <v/>
      </c>
      <c r="E757" s="16">
        <f>IF($C757="","",IFERROR(INDEX(Deals!$F$2:$F$355,MATCH($C757,Deals!$A$2:$A$355,0)),"?"))</f>
        <v/>
      </c>
      <c r="F757" s="31" t="n"/>
      <c r="G757" s="31" t="n"/>
      <c r="H757" s="31" t="n"/>
      <c r="I757" s="32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1">
        <f>IF($C757="",0,IFERROR(INDEX(Deals!$H$2:$H$355,MATCH($C757,Deals!$A$2:$A$355,0)),0))</f>
        <v/>
      </c>
      <c r="K757" s="32">
        <f>IF(Settings!$B$4="Yes",$I757*$J757,$I757)</f>
        <v/>
      </c>
      <c r="L757" s="22">
        <f>IF($C757="","",IFERROR(IF(INDEX(Deals!$I$2:$I$355,MATCH($C757,Deals!$A$2:$A$355,0))=0,"",INDEX(Deals!$I$2:$I$355,MATCH($C757,Deals!$A$2:$A$355,0))),""))</f>
        <v/>
      </c>
      <c r="M757" s="22">
        <f>IF($C757="","",IFERROR(IF(INDEX(Deals!$J$2:$J$355,MATCH($C757,Deals!$A$2:$A$355,0))=0,"",INDEX(Deals!$J$2:$J$355,MATCH($C757,Deals!$A$2:$A$355,0))),""))</f>
        <v/>
      </c>
      <c r="N757" s="35">
        <f>IF($L757="",DATE(1900,1,1),$L757)</f>
        <v/>
      </c>
      <c r="O757" s="35">
        <f>IF($M757="",DATE(2100,12,31),$M757)</f>
        <v/>
      </c>
      <c r="P757" s="41" t="n"/>
      <c r="Q757" s="31" t="n"/>
      <c r="R757" s="16">
        <f>IF($C757="","",IFERROR(IF(INDEX(Deals!$U$2:$U$355,MATCH($C757,Deals!$A$2:$A$355,0))=0,"",INDEX(Deals!$U$2:$U$355,MATCH($C757,Deals!$A$2:$A$355,0))),""))</f>
        <v/>
      </c>
      <c r="S757" s="34">
        <f>IFERROR(IF($U757="",1,INDEX(Deals!$V$2:$V$355,MATCH($C757,Deals!$A$2:$A$355,0))),1)</f>
        <v/>
      </c>
      <c r="T757" s="34">
        <f>IFERROR(IF($U757="",1,INDEX(Deals!$W$2:$W$355,MATCH($C757,Deals!$A$2:$A$355,0))),1)</f>
        <v/>
      </c>
      <c r="U757" s="22">
        <f>IF($C757="","",IFERROR(IF(INDEX(Deals!$Y$2:$Y$355,MATCH($C757,Deals!$A$2:$A$355,0))=0,"",INDEX(Deals!$Y$2:$Y$355,MATCH($C757,Deals!$A$2:$A$355,0))),""))</f>
        <v/>
      </c>
      <c r="V757" s="35">
        <f>IF($U757="",DATE(1900,1,1),$N757)</f>
        <v/>
      </c>
      <c r="W757" s="35">
        <f>IF($U757="",DATE(2100,12,31),$U757)</f>
        <v/>
      </c>
      <c r="X757" s="32">
        <f>IF($U757="",$K757,$K757*$S757)</f>
        <v/>
      </c>
      <c r="Y757" s="35">
        <f>IF($U757="",DATE(2100,12,31),$U757+1)</f>
        <v/>
      </c>
      <c r="Z757" s="35">
        <f>IF($U757="",DATE(1900,1,1),$O757)</f>
        <v/>
      </c>
      <c r="AA757" s="32">
        <f>IF($U757="",0,$K757*$T757)</f>
        <v/>
      </c>
      <c r="AB757" s="21">
        <f>IF($C757="",0,IFERROR(INDEX(Deals!$AD$2:$AD$355,MATCH($C757,Deals!$A$2:$A$355,0)),0))</f>
        <v/>
      </c>
      <c r="AC757" s="32">
        <f>IF(Settings!$B$4="Yes",$I757*$AB757,$I757)</f>
        <v/>
      </c>
      <c r="AD757" s="22">
        <f>IF($C757="","",IFERROR(IF(INDEX(Deals!$AE$2:$AE$355,MATCH($C757,Deals!$A$2:$A$355,0))=0,"",INDEX(Deals!$AE$2:$AE$355,MATCH($C757,Deals!$A$2:$A$355,0))),""))</f>
        <v/>
      </c>
      <c r="AE757" s="22">
        <f>IF($C757="","",IFERROR(IF(INDEX(Deals!$AF$2:$AF$355,MATCH($C757,Deals!$A$2:$A$355,0))=0,"",INDEX(Deals!$AF$2:$AF$355,MATCH($C757,Deals!$A$2:$A$355,0))),""))</f>
        <v/>
      </c>
      <c r="AF757" s="35">
        <f>IF($AD757="",DATE(1900,1,1),$AD757)</f>
        <v/>
      </c>
      <c r="AG757" s="35">
        <f>IF($AE757="",DATE(2100,12,31),$AE757)</f>
        <v/>
      </c>
      <c r="AH757" s="22">
        <f>IF($C757="","",IFERROR(IF(INDEX(Deals!$AG$2:$AG$355,MATCH($C757,Deals!$A$2:$A$355,0))=0,"",INDEX(Deals!$AG$2:$AG$355,MATCH($C757,Deals!$A$2:$A$355,0))),""))</f>
        <v/>
      </c>
      <c r="AI757" s="35">
        <f>IF($AH757="",DATE(1900,1,1),$AF757)</f>
        <v/>
      </c>
      <c r="AJ757" s="35">
        <f>IF($AH757="",DATE(2100,12,31),$AH757)</f>
        <v/>
      </c>
      <c r="AK757" s="32">
        <f>IF($AH757="",$AC757,$AC757*$S757)</f>
        <v/>
      </c>
      <c r="AL757" s="35">
        <f>IF($AH757="",DATE(2100,12,31),$AH757+1)</f>
        <v/>
      </c>
      <c r="AM757" s="35">
        <f>IF($AH757="",DATE(1900,1,1),$AG757)</f>
        <v/>
      </c>
      <c r="AN757" s="32">
        <f>IF($AH757="",0,$AC757*$T757)</f>
        <v/>
      </c>
    </row>
    <row r="758">
      <c r="A758" s="31" t="n"/>
      <c r="B758" s="16">
        <f>IF($A758="","",IFERROR(INDEX(Roster!$B$2:$B$40,MATCH($A758,Roster!$A$2:$A$40,0)),"?"))</f>
        <v/>
      </c>
      <c r="C758" s="31" t="n"/>
      <c r="D758" s="16">
        <f>IF($C758="","",IFERROR(IF(INDEX(Deals!$C$2:$C$355,MATCH($C758,Deals!$A$2:$A$355,0))=0,"",INDEX(Deals!$C$2:$C$355,MATCH($C758,Deals!$A$2:$A$355,0))),"?"))</f>
        <v/>
      </c>
      <c r="E758" s="16">
        <f>IF($C758="","",IFERROR(INDEX(Deals!$F$2:$F$355,MATCH($C758,Deals!$A$2:$A$355,0)),"?"))</f>
        <v/>
      </c>
      <c r="F758" s="31" t="n"/>
      <c r="G758" s="31" t="n"/>
      <c r="H758" s="31" t="n"/>
      <c r="I758" s="32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1">
        <f>IF($C758="",0,IFERROR(INDEX(Deals!$H$2:$H$355,MATCH($C758,Deals!$A$2:$A$355,0)),0))</f>
        <v/>
      </c>
      <c r="K758" s="32">
        <f>IF(Settings!$B$4="Yes",$I758*$J758,$I758)</f>
        <v/>
      </c>
      <c r="L758" s="22">
        <f>IF($C758="","",IFERROR(IF(INDEX(Deals!$I$2:$I$355,MATCH($C758,Deals!$A$2:$A$355,0))=0,"",INDEX(Deals!$I$2:$I$355,MATCH($C758,Deals!$A$2:$A$355,0))),""))</f>
        <v/>
      </c>
      <c r="M758" s="22">
        <f>IF($C758="","",IFERROR(IF(INDEX(Deals!$J$2:$J$355,MATCH($C758,Deals!$A$2:$A$355,0))=0,"",INDEX(Deals!$J$2:$J$355,MATCH($C758,Deals!$A$2:$A$355,0))),""))</f>
        <v/>
      </c>
      <c r="N758" s="35">
        <f>IF($L758="",DATE(1900,1,1),$L758)</f>
        <v/>
      </c>
      <c r="O758" s="35">
        <f>IF($M758="",DATE(2100,12,31),$M758)</f>
        <v/>
      </c>
      <c r="P758" s="41" t="n"/>
      <c r="Q758" s="31" t="n"/>
      <c r="R758" s="16">
        <f>IF($C758="","",IFERROR(IF(INDEX(Deals!$U$2:$U$355,MATCH($C758,Deals!$A$2:$A$355,0))=0,"",INDEX(Deals!$U$2:$U$355,MATCH($C758,Deals!$A$2:$A$355,0))),""))</f>
        <v/>
      </c>
      <c r="S758" s="34">
        <f>IFERROR(IF($U758="",1,INDEX(Deals!$V$2:$V$355,MATCH($C758,Deals!$A$2:$A$355,0))),1)</f>
        <v/>
      </c>
      <c r="T758" s="34">
        <f>IFERROR(IF($U758="",1,INDEX(Deals!$W$2:$W$355,MATCH($C758,Deals!$A$2:$A$355,0))),1)</f>
        <v/>
      </c>
      <c r="U758" s="22">
        <f>IF($C758="","",IFERROR(IF(INDEX(Deals!$Y$2:$Y$355,MATCH($C758,Deals!$A$2:$A$355,0))=0,"",INDEX(Deals!$Y$2:$Y$355,MATCH($C758,Deals!$A$2:$A$355,0))),""))</f>
        <v/>
      </c>
      <c r="V758" s="35">
        <f>IF($U758="",DATE(1900,1,1),$N758)</f>
        <v/>
      </c>
      <c r="W758" s="35">
        <f>IF($U758="",DATE(2100,12,31),$U758)</f>
        <v/>
      </c>
      <c r="X758" s="32">
        <f>IF($U758="",$K758,$K758*$S758)</f>
        <v/>
      </c>
      <c r="Y758" s="35">
        <f>IF($U758="",DATE(2100,12,31),$U758+1)</f>
        <v/>
      </c>
      <c r="Z758" s="35">
        <f>IF($U758="",DATE(1900,1,1),$O758)</f>
        <v/>
      </c>
      <c r="AA758" s="32">
        <f>IF($U758="",0,$K758*$T758)</f>
        <v/>
      </c>
      <c r="AB758" s="21">
        <f>IF($C758="",0,IFERROR(INDEX(Deals!$AD$2:$AD$355,MATCH($C758,Deals!$A$2:$A$355,0)),0))</f>
        <v/>
      </c>
      <c r="AC758" s="32">
        <f>IF(Settings!$B$4="Yes",$I758*$AB758,$I758)</f>
        <v/>
      </c>
      <c r="AD758" s="22">
        <f>IF($C758="","",IFERROR(IF(INDEX(Deals!$AE$2:$AE$355,MATCH($C758,Deals!$A$2:$A$355,0))=0,"",INDEX(Deals!$AE$2:$AE$355,MATCH($C758,Deals!$A$2:$A$355,0))),""))</f>
        <v/>
      </c>
      <c r="AE758" s="22">
        <f>IF($C758="","",IFERROR(IF(INDEX(Deals!$AF$2:$AF$355,MATCH($C758,Deals!$A$2:$A$355,0))=0,"",INDEX(Deals!$AF$2:$AF$355,MATCH($C758,Deals!$A$2:$A$355,0))),""))</f>
        <v/>
      </c>
      <c r="AF758" s="35">
        <f>IF($AD758="",DATE(1900,1,1),$AD758)</f>
        <v/>
      </c>
      <c r="AG758" s="35">
        <f>IF($AE758="",DATE(2100,12,31),$AE758)</f>
        <v/>
      </c>
      <c r="AH758" s="22">
        <f>IF($C758="","",IFERROR(IF(INDEX(Deals!$AG$2:$AG$355,MATCH($C758,Deals!$A$2:$A$355,0))=0,"",INDEX(Deals!$AG$2:$AG$355,MATCH($C758,Deals!$A$2:$A$355,0))),""))</f>
        <v/>
      </c>
      <c r="AI758" s="35">
        <f>IF($AH758="",DATE(1900,1,1),$AF758)</f>
        <v/>
      </c>
      <c r="AJ758" s="35">
        <f>IF($AH758="",DATE(2100,12,31),$AH758)</f>
        <v/>
      </c>
      <c r="AK758" s="32">
        <f>IF($AH758="",$AC758,$AC758*$S758)</f>
        <v/>
      </c>
      <c r="AL758" s="35">
        <f>IF($AH758="",DATE(2100,12,31),$AH758+1)</f>
        <v/>
      </c>
      <c r="AM758" s="35">
        <f>IF($AH758="",DATE(1900,1,1),$AG758)</f>
        <v/>
      </c>
      <c r="AN758" s="32">
        <f>IF($AH758="",0,$AC758*$T758)</f>
        <v/>
      </c>
    </row>
    <row r="759">
      <c r="A759" s="31" t="n"/>
      <c r="B759" s="16">
        <f>IF($A759="","",IFERROR(INDEX(Roster!$B$2:$B$40,MATCH($A759,Roster!$A$2:$A$40,0)),"?"))</f>
        <v/>
      </c>
      <c r="C759" s="31" t="n"/>
      <c r="D759" s="16">
        <f>IF($C759="","",IFERROR(IF(INDEX(Deals!$C$2:$C$355,MATCH($C759,Deals!$A$2:$A$355,0))=0,"",INDEX(Deals!$C$2:$C$355,MATCH($C759,Deals!$A$2:$A$355,0))),"?"))</f>
        <v/>
      </c>
      <c r="E759" s="16">
        <f>IF($C759="","",IFERROR(INDEX(Deals!$F$2:$F$355,MATCH($C759,Deals!$A$2:$A$355,0)),"?"))</f>
        <v/>
      </c>
      <c r="F759" s="31" t="n"/>
      <c r="G759" s="31" t="n"/>
      <c r="H759" s="31" t="n"/>
      <c r="I759" s="32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1">
        <f>IF($C759="",0,IFERROR(INDEX(Deals!$H$2:$H$355,MATCH($C759,Deals!$A$2:$A$355,0)),0))</f>
        <v/>
      </c>
      <c r="K759" s="32">
        <f>IF(Settings!$B$4="Yes",$I759*$J759,$I759)</f>
        <v/>
      </c>
      <c r="L759" s="22">
        <f>IF($C759="","",IFERROR(IF(INDEX(Deals!$I$2:$I$355,MATCH($C759,Deals!$A$2:$A$355,0))=0,"",INDEX(Deals!$I$2:$I$355,MATCH($C759,Deals!$A$2:$A$355,0))),""))</f>
        <v/>
      </c>
      <c r="M759" s="22">
        <f>IF($C759="","",IFERROR(IF(INDEX(Deals!$J$2:$J$355,MATCH($C759,Deals!$A$2:$A$355,0))=0,"",INDEX(Deals!$J$2:$J$355,MATCH($C759,Deals!$A$2:$A$355,0))),""))</f>
        <v/>
      </c>
      <c r="N759" s="35">
        <f>IF($L759="",DATE(1900,1,1),$L759)</f>
        <v/>
      </c>
      <c r="O759" s="35">
        <f>IF($M759="",DATE(2100,12,31),$M759)</f>
        <v/>
      </c>
      <c r="P759" s="41" t="n"/>
      <c r="Q759" s="31" t="n"/>
      <c r="R759" s="16">
        <f>IF($C759="","",IFERROR(IF(INDEX(Deals!$U$2:$U$355,MATCH($C759,Deals!$A$2:$A$355,0))=0,"",INDEX(Deals!$U$2:$U$355,MATCH($C759,Deals!$A$2:$A$355,0))),""))</f>
        <v/>
      </c>
      <c r="S759" s="34">
        <f>IFERROR(IF($U759="",1,INDEX(Deals!$V$2:$V$355,MATCH($C759,Deals!$A$2:$A$355,0))),1)</f>
        <v/>
      </c>
      <c r="T759" s="34">
        <f>IFERROR(IF($U759="",1,INDEX(Deals!$W$2:$W$355,MATCH($C759,Deals!$A$2:$A$355,0))),1)</f>
        <v/>
      </c>
      <c r="U759" s="22">
        <f>IF($C759="","",IFERROR(IF(INDEX(Deals!$Y$2:$Y$355,MATCH($C759,Deals!$A$2:$A$355,0))=0,"",INDEX(Deals!$Y$2:$Y$355,MATCH($C759,Deals!$A$2:$A$355,0))),""))</f>
        <v/>
      </c>
      <c r="V759" s="35">
        <f>IF($U759="",DATE(1900,1,1),$N759)</f>
        <v/>
      </c>
      <c r="W759" s="35">
        <f>IF($U759="",DATE(2100,12,31),$U759)</f>
        <v/>
      </c>
      <c r="X759" s="32">
        <f>IF($U759="",$K759,$K759*$S759)</f>
        <v/>
      </c>
      <c r="Y759" s="35">
        <f>IF($U759="",DATE(2100,12,31),$U759+1)</f>
        <v/>
      </c>
      <c r="Z759" s="35">
        <f>IF($U759="",DATE(1900,1,1),$O759)</f>
        <v/>
      </c>
      <c r="AA759" s="32">
        <f>IF($U759="",0,$K759*$T759)</f>
        <v/>
      </c>
      <c r="AB759" s="21">
        <f>IF($C759="",0,IFERROR(INDEX(Deals!$AD$2:$AD$355,MATCH($C759,Deals!$A$2:$A$355,0)),0))</f>
        <v/>
      </c>
      <c r="AC759" s="32">
        <f>IF(Settings!$B$4="Yes",$I759*$AB759,$I759)</f>
        <v/>
      </c>
      <c r="AD759" s="22">
        <f>IF($C759="","",IFERROR(IF(INDEX(Deals!$AE$2:$AE$355,MATCH($C759,Deals!$A$2:$A$355,0))=0,"",INDEX(Deals!$AE$2:$AE$355,MATCH($C759,Deals!$A$2:$A$355,0))),""))</f>
        <v/>
      </c>
      <c r="AE759" s="22">
        <f>IF($C759="","",IFERROR(IF(INDEX(Deals!$AF$2:$AF$355,MATCH($C759,Deals!$A$2:$A$355,0))=0,"",INDEX(Deals!$AF$2:$AF$355,MATCH($C759,Deals!$A$2:$A$355,0))),""))</f>
        <v/>
      </c>
      <c r="AF759" s="35">
        <f>IF($AD759="",DATE(1900,1,1),$AD759)</f>
        <v/>
      </c>
      <c r="AG759" s="35">
        <f>IF($AE759="",DATE(2100,12,31),$AE759)</f>
        <v/>
      </c>
      <c r="AH759" s="22">
        <f>IF($C759="","",IFERROR(IF(INDEX(Deals!$AG$2:$AG$355,MATCH($C759,Deals!$A$2:$A$355,0))=0,"",INDEX(Deals!$AG$2:$AG$355,MATCH($C759,Deals!$A$2:$A$355,0))),""))</f>
        <v/>
      </c>
      <c r="AI759" s="35">
        <f>IF($AH759="",DATE(1900,1,1),$AF759)</f>
        <v/>
      </c>
      <c r="AJ759" s="35">
        <f>IF($AH759="",DATE(2100,12,31),$AH759)</f>
        <v/>
      </c>
      <c r="AK759" s="32">
        <f>IF($AH759="",$AC759,$AC759*$S759)</f>
        <v/>
      </c>
      <c r="AL759" s="35">
        <f>IF($AH759="",DATE(2100,12,31),$AH759+1)</f>
        <v/>
      </c>
      <c r="AM759" s="35">
        <f>IF($AH759="",DATE(1900,1,1),$AG759)</f>
        <v/>
      </c>
      <c r="AN759" s="32">
        <f>IF($AH759="",0,$AC759*$T759)</f>
        <v/>
      </c>
    </row>
    <row r="760">
      <c r="A760" s="31" t="n"/>
      <c r="B760" s="16">
        <f>IF($A760="","",IFERROR(INDEX(Roster!$B$2:$B$40,MATCH($A760,Roster!$A$2:$A$40,0)),"?"))</f>
        <v/>
      </c>
      <c r="C760" s="31" t="n"/>
      <c r="D760" s="16">
        <f>IF($C760="","",IFERROR(IF(INDEX(Deals!$C$2:$C$355,MATCH($C760,Deals!$A$2:$A$355,0))=0,"",INDEX(Deals!$C$2:$C$355,MATCH($C760,Deals!$A$2:$A$355,0))),"?"))</f>
        <v/>
      </c>
      <c r="E760" s="16">
        <f>IF($C760="","",IFERROR(INDEX(Deals!$F$2:$F$355,MATCH($C760,Deals!$A$2:$A$355,0)),"?"))</f>
        <v/>
      </c>
      <c r="F760" s="31" t="n"/>
      <c r="G760" s="31" t="n"/>
      <c r="H760" s="31" t="n"/>
      <c r="I760" s="32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1">
        <f>IF($C760="",0,IFERROR(INDEX(Deals!$H$2:$H$355,MATCH($C760,Deals!$A$2:$A$355,0)),0))</f>
        <v/>
      </c>
      <c r="K760" s="32">
        <f>IF(Settings!$B$4="Yes",$I760*$J760,$I760)</f>
        <v/>
      </c>
      <c r="L760" s="22">
        <f>IF($C760="","",IFERROR(IF(INDEX(Deals!$I$2:$I$355,MATCH($C760,Deals!$A$2:$A$355,0))=0,"",INDEX(Deals!$I$2:$I$355,MATCH($C760,Deals!$A$2:$A$355,0))),""))</f>
        <v/>
      </c>
      <c r="M760" s="22">
        <f>IF($C760="","",IFERROR(IF(INDEX(Deals!$J$2:$J$355,MATCH($C760,Deals!$A$2:$A$355,0))=0,"",INDEX(Deals!$J$2:$J$355,MATCH($C760,Deals!$A$2:$A$355,0))),""))</f>
        <v/>
      </c>
      <c r="N760" s="35">
        <f>IF($L760="",DATE(1900,1,1),$L760)</f>
        <v/>
      </c>
      <c r="O760" s="35">
        <f>IF($M760="",DATE(2100,12,31),$M760)</f>
        <v/>
      </c>
      <c r="P760" s="41" t="n"/>
      <c r="Q760" s="31" t="n"/>
      <c r="R760" s="16">
        <f>IF($C760="","",IFERROR(IF(INDEX(Deals!$U$2:$U$355,MATCH($C760,Deals!$A$2:$A$355,0))=0,"",INDEX(Deals!$U$2:$U$355,MATCH($C760,Deals!$A$2:$A$355,0))),""))</f>
        <v/>
      </c>
      <c r="S760" s="34">
        <f>IFERROR(IF($U760="",1,INDEX(Deals!$V$2:$V$355,MATCH($C760,Deals!$A$2:$A$355,0))),1)</f>
        <v/>
      </c>
      <c r="T760" s="34">
        <f>IFERROR(IF($U760="",1,INDEX(Deals!$W$2:$W$355,MATCH($C760,Deals!$A$2:$A$355,0))),1)</f>
        <v/>
      </c>
      <c r="U760" s="22">
        <f>IF($C760="","",IFERROR(IF(INDEX(Deals!$Y$2:$Y$355,MATCH($C760,Deals!$A$2:$A$355,0))=0,"",INDEX(Deals!$Y$2:$Y$355,MATCH($C760,Deals!$A$2:$A$355,0))),""))</f>
        <v/>
      </c>
      <c r="V760" s="35">
        <f>IF($U760="",DATE(1900,1,1),$N760)</f>
        <v/>
      </c>
      <c r="W760" s="35">
        <f>IF($U760="",DATE(2100,12,31),$U760)</f>
        <v/>
      </c>
      <c r="X760" s="32">
        <f>IF($U760="",$K760,$K760*$S760)</f>
        <v/>
      </c>
      <c r="Y760" s="35">
        <f>IF($U760="",DATE(2100,12,31),$U760+1)</f>
        <v/>
      </c>
      <c r="Z760" s="35">
        <f>IF($U760="",DATE(1900,1,1),$O760)</f>
        <v/>
      </c>
      <c r="AA760" s="32">
        <f>IF($U760="",0,$K760*$T760)</f>
        <v/>
      </c>
      <c r="AB760" s="21">
        <f>IF($C760="",0,IFERROR(INDEX(Deals!$AD$2:$AD$355,MATCH($C760,Deals!$A$2:$A$355,0)),0))</f>
        <v/>
      </c>
      <c r="AC760" s="32">
        <f>IF(Settings!$B$4="Yes",$I760*$AB760,$I760)</f>
        <v/>
      </c>
      <c r="AD760" s="22">
        <f>IF($C760="","",IFERROR(IF(INDEX(Deals!$AE$2:$AE$355,MATCH($C760,Deals!$A$2:$A$355,0))=0,"",INDEX(Deals!$AE$2:$AE$355,MATCH($C760,Deals!$A$2:$A$355,0))),""))</f>
        <v/>
      </c>
      <c r="AE760" s="22">
        <f>IF($C760="","",IFERROR(IF(INDEX(Deals!$AF$2:$AF$355,MATCH($C760,Deals!$A$2:$A$355,0))=0,"",INDEX(Deals!$AF$2:$AF$355,MATCH($C760,Deals!$A$2:$A$355,0))),""))</f>
        <v/>
      </c>
      <c r="AF760" s="35">
        <f>IF($AD760="",DATE(1900,1,1),$AD760)</f>
        <v/>
      </c>
      <c r="AG760" s="35">
        <f>IF($AE760="",DATE(2100,12,31),$AE760)</f>
        <v/>
      </c>
      <c r="AH760" s="22">
        <f>IF($C760="","",IFERROR(IF(INDEX(Deals!$AG$2:$AG$355,MATCH($C760,Deals!$A$2:$A$355,0))=0,"",INDEX(Deals!$AG$2:$AG$355,MATCH($C760,Deals!$A$2:$A$355,0))),""))</f>
        <v/>
      </c>
      <c r="AI760" s="35">
        <f>IF($AH760="",DATE(1900,1,1),$AF760)</f>
        <v/>
      </c>
      <c r="AJ760" s="35">
        <f>IF($AH760="",DATE(2100,12,31),$AH760)</f>
        <v/>
      </c>
      <c r="AK760" s="32">
        <f>IF($AH760="",$AC760,$AC760*$S760)</f>
        <v/>
      </c>
      <c r="AL760" s="35">
        <f>IF($AH760="",DATE(2100,12,31),$AH760+1)</f>
        <v/>
      </c>
      <c r="AM760" s="35">
        <f>IF($AH760="",DATE(1900,1,1),$AG760)</f>
        <v/>
      </c>
      <c r="AN760" s="32">
        <f>IF($AH760="",0,$AC760*$T760)</f>
        <v/>
      </c>
    </row>
    <row r="761">
      <c r="A761" s="31" t="n"/>
      <c r="B761" s="16">
        <f>IF($A761="","",IFERROR(INDEX(Roster!$B$2:$B$40,MATCH($A761,Roster!$A$2:$A$40,0)),"?"))</f>
        <v/>
      </c>
      <c r="C761" s="31" t="n"/>
      <c r="D761" s="16">
        <f>IF($C761="","",IFERROR(IF(INDEX(Deals!$C$2:$C$355,MATCH($C761,Deals!$A$2:$A$355,0))=0,"",INDEX(Deals!$C$2:$C$355,MATCH($C761,Deals!$A$2:$A$355,0))),"?"))</f>
        <v/>
      </c>
      <c r="E761" s="16">
        <f>IF($C761="","",IFERROR(INDEX(Deals!$F$2:$F$355,MATCH($C761,Deals!$A$2:$A$355,0)),"?"))</f>
        <v/>
      </c>
      <c r="F761" s="31" t="n"/>
      <c r="G761" s="31" t="n"/>
      <c r="H761" s="31" t="n"/>
      <c r="I761" s="32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1">
        <f>IF($C761="",0,IFERROR(INDEX(Deals!$H$2:$H$355,MATCH($C761,Deals!$A$2:$A$355,0)),0))</f>
        <v/>
      </c>
      <c r="K761" s="32">
        <f>IF(Settings!$B$4="Yes",$I761*$J761,$I761)</f>
        <v/>
      </c>
      <c r="L761" s="22">
        <f>IF($C761="","",IFERROR(IF(INDEX(Deals!$I$2:$I$355,MATCH($C761,Deals!$A$2:$A$355,0))=0,"",INDEX(Deals!$I$2:$I$355,MATCH($C761,Deals!$A$2:$A$355,0))),""))</f>
        <v/>
      </c>
      <c r="M761" s="22">
        <f>IF($C761="","",IFERROR(IF(INDEX(Deals!$J$2:$J$355,MATCH($C761,Deals!$A$2:$A$355,0))=0,"",INDEX(Deals!$J$2:$J$355,MATCH($C761,Deals!$A$2:$A$355,0))),""))</f>
        <v/>
      </c>
      <c r="N761" s="35">
        <f>IF($L761="",DATE(1900,1,1),$L761)</f>
        <v/>
      </c>
      <c r="O761" s="35">
        <f>IF($M761="",DATE(2100,12,31),$M761)</f>
        <v/>
      </c>
      <c r="P761" s="41" t="n"/>
      <c r="Q761" s="31" t="n"/>
      <c r="R761" s="16">
        <f>IF($C761="","",IFERROR(IF(INDEX(Deals!$U$2:$U$355,MATCH($C761,Deals!$A$2:$A$355,0))=0,"",INDEX(Deals!$U$2:$U$355,MATCH($C761,Deals!$A$2:$A$355,0))),""))</f>
        <v/>
      </c>
      <c r="S761" s="34">
        <f>IFERROR(IF($U761="",1,INDEX(Deals!$V$2:$V$355,MATCH($C761,Deals!$A$2:$A$355,0))),1)</f>
        <v/>
      </c>
      <c r="T761" s="34">
        <f>IFERROR(IF($U761="",1,INDEX(Deals!$W$2:$W$355,MATCH($C761,Deals!$A$2:$A$355,0))),1)</f>
        <v/>
      </c>
      <c r="U761" s="22">
        <f>IF($C761="","",IFERROR(IF(INDEX(Deals!$Y$2:$Y$355,MATCH($C761,Deals!$A$2:$A$355,0))=0,"",INDEX(Deals!$Y$2:$Y$355,MATCH($C761,Deals!$A$2:$A$355,0))),""))</f>
        <v/>
      </c>
      <c r="V761" s="35">
        <f>IF($U761="",DATE(1900,1,1),$N761)</f>
        <v/>
      </c>
      <c r="W761" s="35">
        <f>IF($U761="",DATE(2100,12,31),$U761)</f>
        <v/>
      </c>
      <c r="X761" s="32">
        <f>IF($U761="",$K761,$K761*$S761)</f>
        <v/>
      </c>
      <c r="Y761" s="35">
        <f>IF($U761="",DATE(2100,12,31),$U761+1)</f>
        <v/>
      </c>
      <c r="Z761" s="35">
        <f>IF($U761="",DATE(1900,1,1),$O761)</f>
        <v/>
      </c>
      <c r="AA761" s="32">
        <f>IF($U761="",0,$K761*$T761)</f>
        <v/>
      </c>
      <c r="AB761" s="21">
        <f>IF($C761="",0,IFERROR(INDEX(Deals!$AD$2:$AD$355,MATCH($C761,Deals!$A$2:$A$355,0)),0))</f>
        <v/>
      </c>
      <c r="AC761" s="32">
        <f>IF(Settings!$B$4="Yes",$I761*$AB761,$I761)</f>
        <v/>
      </c>
      <c r="AD761" s="22">
        <f>IF($C761="","",IFERROR(IF(INDEX(Deals!$AE$2:$AE$355,MATCH($C761,Deals!$A$2:$A$355,0))=0,"",INDEX(Deals!$AE$2:$AE$355,MATCH($C761,Deals!$A$2:$A$355,0))),""))</f>
        <v/>
      </c>
      <c r="AE761" s="22">
        <f>IF($C761="","",IFERROR(IF(INDEX(Deals!$AF$2:$AF$355,MATCH($C761,Deals!$A$2:$A$355,0))=0,"",INDEX(Deals!$AF$2:$AF$355,MATCH($C761,Deals!$A$2:$A$355,0))),""))</f>
        <v/>
      </c>
      <c r="AF761" s="35">
        <f>IF($AD761="",DATE(1900,1,1),$AD761)</f>
        <v/>
      </c>
      <c r="AG761" s="35">
        <f>IF($AE761="",DATE(2100,12,31),$AE761)</f>
        <v/>
      </c>
      <c r="AH761" s="22">
        <f>IF($C761="","",IFERROR(IF(INDEX(Deals!$AG$2:$AG$355,MATCH($C761,Deals!$A$2:$A$355,0))=0,"",INDEX(Deals!$AG$2:$AG$355,MATCH($C761,Deals!$A$2:$A$355,0))),""))</f>
        <v/>
      </c>
      <c r="AI761" s="35">
        <f>IF($AH761="",DATE(1900,1,1),$AF761)</f>
        <v/>
      </c>
      <c r="AJ761" s="35">
        <f>IF($AH761="",DATE(2100,12,31),$AH761)</f>
        <v/>
      </c>
      <c r="AK761" s="32">
        <f>IF($AH761="",$AC761,$AC761*$S761)</f>
        <v/>
      </c>
      <c r="AL761" s="35">
        <f>IF($AH761="",DATE(2100,12,31),$AH761+1)</f>
        <v/>
      </c>
      <c r="AM761" s="35">
        <f>IF($AH761="",DATE(1900,1,1),$AG761)</f>
        <v/>
      </c>
      <c r="AN761" s="32">
        <f>IF($AH761="",0,$AC761*$T761)</f>
        <v/>
      </c>
    </row>
    <row r="762">
      <c r="A762" s="31" t="n"/>
      <c r="B762" s="16">
        <f>IF($A762="","",IFERROR(INDEX(Roster!$B$2:$B$40,MATCH($A762,Roster!$A$2:$A$40,0)),"?"))</f>
        <v/>
      </c>
      <c r="C762" s="31" t="n"/>
      <c r="D762" s="16">
        <f>IF($C762="","",IFERROR(IF(INDEX(Deals!$C$2:$C$355,MATCH($C762,Deals!$A$2:$A$355,0))=0,"",INDEX(Deals!$C$2:$C$355,MATCH($C762,Deals!$A$2:$A$355,0))),"?"))</f>
        <v/>
      </c>
      <c r="E762" s="16">
        <f>IF($C762="","",IFERROR(INDEX(Deals!$F$2:$F$355,MATCH($C762,Deals!$A$2:$A$355,0)),"?"))</f>
        <v/>
      </c>
      <c r="F762" s="31" t="n"/>
      <c r="G762" s="31" t="n"/>
      <c r="H762" s="31" t="n"/>
      <c r="I762" s="32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1">
        <f>IF($C762="",0,IFERROR(INDEX(Deals!$H$2:$H$355,MATCH($C762,Deals!$A$2:$A$355,0)),0))</f>
        <v/>
      </c>
      <c r="K762" s="32">
        <f>IF(Settings!$B$4="Yes",$I762*$J762,$I762)</f>
        <v/>
      </c>
      <c r="L762" s="22">
        <f>IF($C762="","",IFERROR(IF(INDEX(Deals!$I$2:$I$355,MATCH($C762,Deals!$A$2:$A$355,0))=0,"",INDEX(Deals!$I$2:$I$355,MATCH($C762,Deals!$A$2:$A$355,0))),""))</f>
        <v/>
      </c>
      <c r="M762" s="22">
        <f>IF($C762="","",IFERROR(IF(INDEX(Deals!$J$2:$J$355,MATCH($C762,Deals!$A$2:$A$355,0))=0,"",INDEX(Deals!$J$2:$J$355,MATCH($C762,Deals!$A$2:$A$355,0))),""))</f>
        <v/>
      </c>
      <c r="N762" s="35">
        <f>IF($L762="",DATE(1900,1,1),$L762)</f>
        <v/>
      </c>
      <c r="O762" s="35">
        <f>IF($M762="",DATE(2100,12,31),$M762)</f>
        <v/>
      </c>
      <c r="P762" s="41" t="n"/>
      <c r="Q762" s="31" t="n"/>
      <c r="R762" s="16">
        <f>IF($C762="","",IFERROR(IF(INDEX(Deals!$U$2:$U$355,MATCH($C762,Deals!$A$2:$A$355,0))=0,"",INDEX(Deals!$U$2:$U$355,MATCH($C762,Deals!$A$2:$A$355,0))),""))</f>
        <v/>
      </c>
      <c r="S762" s="34">
        <f>IFERROR(IF($U762="",1,INDEX(Deals!$V$2:$V$355,MATCH($C762,Deals!$A$2:$A$355,0))),1)</f>
        <v/>
      </c>
      <c r="T762" s="34">
        <f>IFERROR(IF($U762="",1,INDEX(Deals!$W$2:$W$355,MATCH($C762,Deals!$A$2:$A$355,0))),1)</f>
        <v/>
      </c>
      <c r="U762" s="22">
        <f>IF($C762="","",IFERROR(IF(INDEX(Deals!$Y$2:$Y$355,MATCH($C762,Deals!$A$2:$A$355,0))=0,"",INDEX(Deals!$Y$2:$Y$355,MATCH($C762,Deals!$A$2:$A$355,0))),""))</f>
        <v/>
      </c>
      <c r="V762" s="35">
        <f>IF($U762="",DATE(1900,1,1),$N762)</f>
        <v/>
      </c>
      <c r="W762" s="35">
        <f>IF($U762="",DATE(2100,12,31),$U762)</f>
        <v/>
      </c>
      <c r="X762" s="32">
        <f>IF($U762="",$K762,$K762*$S762)</f>
        <v/>
      </c>
      <c r="Y762" s="35">
        <f>IF($U762="",DATE(2100,12,31),$U762+1)</f>
        <v/>
      </c>
      <c r="Z762" s="35">
        <f>IF($U762="",DATE(1900,1,1),$O762)</f>
        <v/>
      </c>
      <c r="AA762" s="32">
        <f>IF($U762="",0,$K762*$T762)</f>
        <v/>
      </c>
      <c r="AB762" s="21">
        <f>IF($C762="",0,IFERROR(INDEX(Deals!$AD$2:$AD$355,MATCH($C762,Deals!$A$2:$A$355,0)),0))</f>
        <v/>
      </c>
      <c r="AC762" s="32">
        <f>IF(Settings!$B$4="Yes",$I762*$AB762,$I762)</f>
        <v/>
      </c>
      <c r="AD762" s="22">
        <f>IF($C762="","",IFERROR(IF(INDEX(Deals!$AE$2:$AE$355,MATCH($C762,Deals!$A$2:$A$355,0))=0,"",INDEX(Deals!$AE$2:$AE$355,MATCH($C762,Deals!$A$2:$A$355,0))),""))</f>
        <v/>
      </c>
      <c r="AE762" s="22">
        <f>IF($C762="","",IFERROR(IF(INDEX(Deals!$AF$2:$AF$355,MATCH($C762,Deals!$A$2:$A$355,0))=0,"",INDEX(Deals!$AF$2:$AF$355,MATCH($C762,Deals!$A$2:$A$355,0))),""))</f>
        <v/>
      </c>
      <c r="AF762" s="35">
        <f>IF($AD762="",DATE(1900,1,1),$AD762)</f>
        <v/>
      </c>
      <c r="AG762" s="35">
        <f>IF($AE762="",DATE(2100,12,31),$AE762)</f>
        <v/>
      </c>
      <c r="AH762" s="22">
        <f>IF($C762="","",IFERROR(IF(INDEX(Deals!$AG$2:$AG$355,MATCH($C762,Deals!$A$2:$A$355,0))=0,"",INDEX(Deals!$AG$2:$AG$355,MATCH($C762,Deals!$A$2:$A$355,0))),""))</f>
        <v/>
      </c>
      <c r="AI762" s="35">
        <f>IF($AH762="",DATE(1900,1,1),$AF762)</f>
        <v/>
      </c>
      <c r="AJ762" s="35">
        <f>IF($AH762="",DATE(2100,12,31),$AH762)</f>
        <v/>
      </c>
      <c r="AK762" s="32">
        <f>IF($AH762="",$AC762,$AC762*$S762)</f>
        <v/>
      </c>
      <c r="AL762" s="35">
        <f>IF($AH762="",DATE(2100,12,31),$AH762+1)</f>
        <v/>
      </c>
      <c r="AM762" s="35">
        <f>IF($AH762="",DATE(1900,1,1),$AG762)</f>
        <v/>
      </c>
      <c r="AN762" s="32">
        <f>IF($AH762="",0,$AC762*$T762)</f>
        <v/>
      </c>
    </row>
    <row r="763">
      <c r="A763" s="31" t="n"/>
      <c r="B763" s="16">
        <f>IF($A763="","",IFERROR(INDEX(Roster!$B$2:$B$40,MATCH($A763,Roster!$A$2:$A$40,0)),"?"))</f>
        <v/>
      </c>
      <c r="C763" s="31" t="n"/>
      <c r="D763" s="16">
        <f>IF($C763="","",IFERROR(IF(INDEX(Deals!$C$2:$C$355,MATCH($C763,Deals!$A$2:$A$355,0))=0,"",INDEX(Deals!$C$2:$C$355,MATCH($C763,Deals!$A$2:$A$355,0))),"?"))</f>
        <v/>
      </c>
      <c r="E763" s="16">
        <f>IF($C763="","",IFERROR(INDEX(Deals!$F$2:$F$355,MATCH($C763,Deals!$A$2:$A$355,0)),"?"))</f>
        <v/>
      </c>
      <c r="F763" s="31" t="n"/>
      <c r="G763" s="31" t="n"/>
      <c r="H763" s="31" t="n"/>
      <c r="I763" s="32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1">
        <f>IF($C763="",0,IFERROR(INDEX(Deals!$H$2:$H$355,MATCH($C763,Deals!$A$2:$A$355,0)),0))</f>
        <v/>
      </c>
      <c r="K763" s="32">
        <f>IF(Settings!$B$4="Yes",$I763*$J763,$I763)</f>
        <v/>
      </c>
      <c r="L763" s="22">
        <f>IF($C763="","",IFERROR(IF(INDEX(Deals!$I$2:$I$355,MATCH($C763,Deals!$A$2:$A$355,0))=0,"",INDEX(Deals!$I$2:$I$355,MATCH($C763,Deals!$A$2:$A$355,0))),""))</f>
        <v/>
      </c>
      <c r="M763" s="22">
        <f>IF($C763="","",IFERROR(IF(INDEX(Deals!$J$2:$J$355,MATCH($C763,Deals!$A$2:$A$355,0))=0,"",INDEX(Deals!$J$2:$J$355,MATCH($C763,Deals!$A$2:$A$355,0))),""))</f>
        <v/>
      </c>
      <c r="N763" s="35">
        <f>IF($L763="",DATE(1900,1,1),$L763)</f>
        <v/>
      </c>
      <c r="O763" s="35">
        <f>IF($M763="",DATE(2100,12,31),$M763)</f>
        <v/>
      </c>
      <c r="P763" s="41" t="n"/>
      <c r="Q763" s="31" t="n"/>
      <c r="R763" s="16">
        <f>IF($C763="","",IFERROR(IF(INDEX(Deals!$U$2:$U$355,MATCH($C763,Deals!$A$2:$A$355,0))=0,"",INDEX(Deals!$U$2:$U$355,MATCH($C763,Deals!$A$2:$A$355,0))),""))</f>
        <v/>
      </c>
      <c r="S763" s="34">
        <f>IFERROR(IF($U763="",1,INDEX(Deals!$V$2:$V$355,MATCH($C763,Deals!$A$2:$A$355,0))),1)</f>
        <v/>
      </c>
      <c r="T763" s="34">
        <f>IFERROR(IF($U763="",1,INDEX(Deals!$W$2:$W$355,MATCH($C763,Deals!$A$2:$A$355,0))),1)</f>
        <v/>
      </c>
      <c r="U763" s="22">
        <f>IF($C763="","",IFERROR(IF(INDEX(Deals!$Y$2:$Y$355,MATCH($C763,Deals!$A$2:$A$355,0))=0,"",INDEX(Deals!$Y$2:$Y$355,MATCH($C763,Deals!$A$2:$A$355,0))),""))</f>
        <v/>
      </c>
      <c r="V763" s="35">
        <f>IF($U763="",DATE(1900,1,1),$N763)</f>
        <v/>
      </c>
      <c r="W763" s="35">
        <f>IF($U763="",DATE(2100,12,31),$U763)</f>
        <v/>
      </c>
      <c r="X763" s="32">
        <f>IF($U763="",$K763,$K763*$S763)</f>
        <v/>
      </c>
      <c r="Y763" s="35">
        <f>IF($U763="",DATE(2100,12,31),$U763+1)</f>
        <v/>
      </c>
      <c r="Z763" s="35">
        <f>IF($U763="",DATE(1900,1,1),$O763)</f>
        <v/>
      </c>
      <c r="AA763" s="32">
        <f>IF($U763="",0,$K763*$T763)</f>
        <v/>
      </c>
      <c r="AB763" s="21">
        <f>IF($C763="",0,IFERROR(INDEX(Deals!$AD$2:$AD$355,MATCH($C763,Deals!$A$2:$A$355,0)),0))</f>
        <v/>
      </c>
      <c r="AC763" s="32">
        <f>IF(Settings!$B$4="Yes",$I763*$AB763,$I763)</f>
        <v/>
      </c>
      <c r="AD763" s="22">
        <f>IF($C763="","",IFERROR(IF(INDEX(Deals!$AE$2:$AE$355,MATCH($C763,Deals!$A$2:$A$355,0))=0,"",INDEX(Deals!$AE$2:$AE$355,MATCH($C763,Deals!$A$2:$A$355,0))),""))</f>
        <v/>
      </c>
      <c r="AE763" s="22">
        <f>IF($C763="","",IFERROR(IF(INDEX(Deals!$AF$2:$AF$355,MATCH($C763,Deals!$A$2:$A$355,0))=0,"",INDEX(Deals!$AF$2:$AF$355,MATCH($C763,Deals!$A$2:$A$355,0))),""))</f>
        <v/>
      </c>
      <c r="AF763" s="35">
        <f>IF($AD763="",DATE(1900,1,1),$AD763)</f>
        <v/>
      </c>
      <c r="AG763" s="35">
        <f>IF($AE763="",DATE(2100,12,31),$AE763)</f>
        <v/>
      </c>
      <c r="AH763" s="22">
        <f>IF($C763="","",IFERROR(IF(INDEX(Deals!$AG$2:$AG$355,MATCH($C763,Deals!$A$2:$A$355,0))=0,"",INDEX(Deals!$AG$2:$AG$355,MATCH($C763,Deals!$A$2:$A$355,0))),""))</f>
        <v/>
      </c>
      <c r="AI763" s="35">
        <f>IF($AH763="",DATE(1900,1,1),$AF763)</f>
        <v/>
      </c>
      <c r="AJ763" s="35">
        <f>IF($AH763="",DATE(2100,12,31),$AH763)</f>
        <v/>
      </c>
      <c r="AK763" s="32">
        <f>IF($AH763="",$AC763,$AC763*$S763)</f>
        <v/>
      </c>
      <c r="AL763" s="35">
        <f>IF($AH763="",DATE(2100,12,31),$AH763+1)</f>
        <v/>
      </c>
      <c r="AM763" s="35">
        <f>IF($AH763="",DATE(1900,1,1),$AG763)</f>
        <v/>
      </c>
      <c r="AN763" s="32">
        <f>IF($AH763="",0,$AC763*$T763)</f>
        <v/>
      </c>
    </row>
    <row r="764">
      <c r="A764" s="31" t="n"/>
      <c r="B764" s="16">
        <f>IF($A764="","",IFERROR(INDEX(Roster!$B$2:$B$40,MATCH($A764,Roster!$A$2:$A$40,0)),"?"))</f>
        <v/>
      </c>
      <c r="C764" s="31" t="n"/>
      <c r="D764" s="16">
        <f>IF($C764="","",IFERROR(IF(INDEX(Deals!$C$2:$C$355,MATCH($C764,Deals!$A$2:$A$355,0))=0,"",INDEX(Deals!$C$2:$C$355,MATCH($C764,Deals!$A$2:$A$355,0))),"?"))</f>
        <v/>
      </c>
      <c r="E764" s="16">
        <f>IF($C764="","",IFERROR(INDEX(Deals!$F$2:$F$355,MATCH($C764,Deals!$A$2:$A$355,0)),"?"))</f>
        <v/>
      </c>
      <c r="F764" s="31" t="n"/>
      <c r="G764" s="31" t="n"/>
      <c r="H764" s="31" t="n"/>
      <c r="I764" s="32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1">
        <f>IF($C764="",0,IFERROR(INDEX(Deals!$H$2:$H$355,MATCH($C764,Deals!$A$2:$A$355,0)),0))</f>
        <v/>
      </c>
      <c r="K764" s="32">
        <f>IF(Settings!$B$4="Yes",$I764*$J764,$I764)</f>
        <v/>
      </c>
      <c r="L764" s="22">
        <f>IF($C764="","",IFERROR(IF(INDEX(Deals!$I$2:$I$355,MATCH($C764,Deals!$A$2:$A$355,0))=0,"",INDEX(Deals!$I$2:$I$355,MATCH($C764,Deals!$A$2:$A$355,0))),""))</f>
        <v/>
      </c>
      <c r="M764" s="22">
        <f>IF($C764="","",IFERROR(IF(INDEX(Deals!$J$2:$J$355,MATCH($C764,Deals!$A$2:$A$355,0))=0,"",INDEX(Deals!$J$2:$J$355,MATCH($C764,Deals!$A$2:$A$355,0))),""))</f>
        <v/>
      </c>
      <c r="N764" s="35">
        <f>IF($L764="",DATE(1900,1,1),$L764)</f>
        <v/>
      </c>
      <c r="O764" s="35">
        <f>IF($M764="",DATE(2100,12,31),$M764)</f>
        <v/>
      </c>
      <c r="P764" s="41" t="n"/>
      <c r="Q764" s="31" t="n"/>
      <c r="R764" s="16">
        <f>IF($C764="","",IFERROR(IF(INDEX(Deals!$U$2:$U$355,MATCH($C764,Deals!$A$2:$A$355,0))=0,"",INDEX(Deals!$U$2:$U$355,MATCH($C764,Deals!$A$2:$A$355,0))),""))</f>
        <v/>
      </c>
      <c r="S764" s="34">
        <f>IFERROR(IF($U764="",1,INDEX(Deals!$V$2:$V$355,MATCH($C764,Deals!$A$2:$A$355,0))),1)</f>
        <v/>
      </c>
      <c r="T764" s="34">
        <f>IFERROR(IF($U764="",1,INDEX(Deals!$W$2:$W$355,MATCH($C764,Deals!$A$2:$A$355,0))),1)</f>
        <v/>
      </c>
      <c r="U764" s="22">
        <f>IF($C764="","",IFERROR(IF(INDEX(Deals!$Y$2:$Y$355,MATCH($C764,Deals!$A$2:$A$355,0))=0,"",INDEX(Deals!$Y$2:$Y$355,MATCH($C764,Deals!$A$2:$A$355,0))),""))</f>
        <v/>
      </c>
      <c r="V764" s="35">
        <f>IF($U764="",DATE(1900,1,1),$N764)</f>
        <v/>
      </c>
      <c r="W764" s="35">
        <f>IF($U764="",DATE(2100,12,31),$U764)</f>
        <v/>
      </c>
      <c r="X764" s="32">
        <f>IF($U764="",$K764,$K764*$S764)</f>
        <v/>
      </c>
      <c r="Y764" s="35">
        <f>IF($U764="",DATE(2100,12,31),$U764+1)</f>
        <v/>
      </c>
      <c r="Z764" s="35">
        <f>IF($U764="",DATE(1900,1,1),$O764)</f>
        <v/>
      </c>
      <c r="AA764" s="32">
        <f>IF($U764="",0,$K764*$T764)</f>
        <v/>
      </c>
      <c r="AB764" s="21">
        <f>IF($C764="",0,IFERROR(INDEX(Deals!$AD$2:$AD$355,MATCH($C764,Deals!$A$2:$A$355,0)),0))</f>
        <v/>
      </c>
      <c r="AC764" s="32">
        <f>IF(Settings!$B$4="Yes",$I764*$AB764,$I764)</f>
        <v/>
      </c>
      <c r="AD764" s="22">
        <f>IF($C764="","",IFERROR(IF(INDEX(Deals!$AE$2:$AE$355,MATCH($C764,Deals!$A$2:$A$355,0))=0,"",INDEX(Deals!$AE$2:$AE$355,MATCH($C764,Deals!$A$2:$A$355,0))),""))</f>
        <v/>
      </c>
      <c r="AE764" s="22">
        <f>IF($C764="","",IFERROR(IF(INDEX(Deals!$AF$2:$AF$355,MATCH($C764,Deals!$A$2:$A$355,0))=0,"",INDEX(Deals!$AF$2:$AF$355,MATCH($C764,Deals!$A$2:$A$355,0))),""))</f>
        <v/>
      </c>
      <c r="AF764" s="35">
        <f>IF($AD764="",DATE(1900,1,1),$AD764)</f>
        <v/>
      </c>
      <c r="AG764" s="35">
        <f>IF($AE764="",DATE(2100,12,31),$AE764)</f>
        <v/>
      </c>
      <c r="AH764" s="22">
        <f>IF($C764="","",IFERROR(IF(INDEX(Deals!$AG$2:$AG$355,MATCH($C764,Deals!$A$2:$A$355,0))=0,"",INDEX(Deals!$AG$2:$AG$355,MATCH($C764,Deals!$A$2:$A$355,0))),""))</f>
        <v/>
      </c>
      <c r="AI764" s="35">
        <f>IF($AH764="",DATE(1900,1,1),$AF764)</f>
        <v/>
      </c>
      <c r="AJ764" s="35">
        <f>IF($AH764="",DATE(2100,12,31),$AH764)</f>
        <v/>
      </c>
      <c r="AK764" s="32">
        <f>IF($AH764="",$AC764,$AC764*$S764)</f>
        <v/>
      </c>
      <c r="AL764" s="35">
        <f>IF($AH764="",DATE(2100,12,31),$AH764+1)</f>
        <v/>
      </c>
      <c r="AM764" s="35">
        <f>IF($AH764="",DATE(1900,1,1),$AG764)</f>
        <v/>
      </c>
      <c r="AN764" s="32">
        <f>IF($AH764="",0,$AC764*$T764)</f>
        <v/>
      </c>
    </row>
    <row r="765">
      <c r="A765" s="31" t="n"/>
      <c r="B765" s="16">
        <f>IF($A765="","",IFERROR(INDEX(Roster!$B$2:$B$40,MATCH($A765,Roster!$A$2:$A$40,0)),"?"))</f>
        <v/>
      </c>
      <c r="C765" s="31" t="n"/>
      <c r="D765" s="16">
        <f>IF($C765="","",IFERROR(IF(INDEX(Deals!$C$2:$C$355,MATCH($C765,Deals!$A$2:$A$355,0))=0,"",INDEX(Deals!$C$2:$C$355,MATCH($C765,Deals!$A$2:$A$355,0))),"?"))</f>
        <v/>
      </c>
      <c r="E765" s="16">
        <f>IF($C765="","",IFERROR(INDEX(Deals!$F$2:$F$355,MATCH($C765,Deals!$A$2:$A$355,0)),"?"))</f>
        <v/>
      </c>
      <c r="F765" s="31" t="n"/>
      <c r="G765" s="31" t="n"/>
      <c r="H765" s="31" t="n"/>
      <c r="I765" s="32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1">
        <f>IF($C765="",0,IFERROR(INDEX(Deals!$H$2:$H$355,MATCH($C765,Deals!$A$2:$A$355,0)),0))</f>
        <v/>
      </c>
      <c r="K765" s="32">
        <f>IF(Settings!$B$4="Yes",$I765*$J765,$I765)</f>
        <v/>
      </c>
      <c r="L765" s="22">
        <f>IF($C765="","",IFERROR(IF(INDEX(Deals!$I$2:$I$355,MATCH($C765,Deals!$A$2:$A$355,0))=0,"",INDEX(Deals!$I$2:$I$355,MATCH($C765,Deals!$A$2:$A$355,0))),""))</f>
        <v/>
      </c>
      <c r="M765" s="22">
        <f>IF($C765="","",IFERROR(IF(INDEX(Deals!$J$2:$J$355,MATCH($C765,Deals!$A$2:$A$355,0))=0,"",INDEX(Deals!$J$2:$J$355,MATCH($C765,Deals!$A$2:$A$355,0))),""))</f>
        <v/>
      </c>
      <c r="N765" s="35">
        <f>IF($L765="",DATE(1900,1,1),$L765)</f>
        <v/>
      </c>
      <c r="O765" s="35">
        <f>IF($M765="",DATE(2100,12,31),$M765)</f>
        <v/>
      </c>
      <c r="P765" s="41" t="n"/>
      <c r="Q765" s="31" t="n"/>
      <c r="R765" s="16">
        <f>IF($C765="","",IFERROR(IF(INDEX(Deals!$U$2:$U$355,MATCH($C765,Deals!$A$2:$A$355,0))=0,"",INDEX(Deals!$U$2:$U$355,MATCH($C765,Deals!$A$2:$A$355,0))),""))</f>
        <v/>
      </c>
      <c r="S765" s="34">
        <f>IFERROR(IF($U765="",1,INDEX(Deals!$V$2:$V$355,MATCH($C765,Deals!$A$2:$A$355,0))),1)</f>
        <v/>
      </c>
      <c r="T765" s="34">
        <f>IFERROR(IF($U765="",1,INDEX(Deals!$W$2:$W$355,MATCH($C765,Deals!$A$2:$A$355,0))),1)</f>
        <v/>
      </c>
      <c r="U765" s="22">
        <f>IF($C765="","",IFERROR(IF(INDEX(Deals!$Y$2:$Y$355,MATCH($C765,Deals!$A$2:$A$355,0))=0,"",INDEX(Deals!$Y$2:$Y$355,MATCH($C765,Deals!$A$2:$A$355,0))),""))</f>
        <v/>
      </c>
      <c r="V765" s="35">
        <f>IF($U765="",DATE(1900,1,1),$N765)</f>
        <v/>
      </c>
      <c r="W765" s="35">
        <f>IF($U765="",DATE(2100,12,31),$U765)</f>
        <v/>
      </c>
      <c r="X765" s="32">
        <f>IF($U765="",$K765,$K765*$S765)</f>
        <v/>
      </c>
      <c r="Y765" s="35">
        <f>IF($U765="",DATE(2100,12,31),$U765+1)</f>
        <v/>
      </c>
      <c r="Z765" s="35">
        <f>IF($U765="",DATE(1900,1,1),$O765)</f>
        <v/>
      </c>
      <c r="AA765" s="32">
        <f>IF($U765="",0,$K765*$T765)</f>
        <v/>
      </c>
      <c r="AB765" s="21">
        <f>IF($C765="",0,IFERROR(INDEX(Deals!$AD$2:$AD$355,MATCH($C765,Deals!$A$2:$A$355,0)),0))</f>
        <v/>
      </c>
      <c r="AC765" s="32">
        <f>IF(Settings!$B$4="Yes",$I765*$AB765,$I765)</f>
        <v/>
      </c>
      <c r="AD765" s="22">
        <f>IF($C765="","",IFERROR(IF(INDEX(Deals!$AE$2:$AE$355,MATCH($C765,Deals!$A$2:$A$355,0))=0,"",INDEX(Deals!$AE$2:$AE$355,MATCH($C765,Deals!$A$2:$A$355,0))),""))</f>
        <v/>
      </c>
      <c r="AE765" s="22">
        <f>IF($C765="","",IFERROR(IF(INDEX(Deals!$AF$2:$AF$355,MATCH($C765,Deals!$A$2:$A$355,0))=0,"",INDEX(Deals!$AF$2:$AF$355,MATCH($C765,Deals!$A$2:$A$355,0))),""))</f>
        <v/>
      </c>
      <c r="AF765" s="35">
        <f>IF($AD765="",DATE(1900,1,1),$AD765)</f>
        <v/>
      </c>
      <c r="AG765" s="35">
        <f>IF($AE765="",DATE(2100,12,31),$AE765)</f>
        <v/>
      </c>
      <c r="AH765" s="22">
        <f>IF($C765="","",IFERROR(IF(INDEX(Deals!$AG$2:$AG$355,MATCH($C765,Deals!$A$2:$A$355,0))=0,"",INDEX(Deals!$AG$2:$AG$355,MATCH($C765,Deals!$A$2:$A$355,0))),""))</f>
        <v/>
      </c>
      <c r="AI765" s="35">
        <f>IF($AH765="",DATE(1900,1,1),$AF765)</f>
        <v/>
      </c>
      <c r="AJ765" s="35">
        <f>IF($AH765="",DATE(2100,12,31),$AH765)</f>
        <v/>
      </c>
      <c r="AK765" s="32">
        <f>IF($AH765="",$AC765,$AC765*$S765)</f>
        <v/>
      </c>
      <c r="AL765" s="35">
        <f>IF($AH765="",DATE(2100,12,31),$AH765+1)</f>
        <v/>
      </c>
      <c r="AM765" s="35">
        <f>IF($AH765="",DATE(1900,1,1),$AG765)</f>
        <v/>
      </c>
      <c r="AN765" s="32">
        <f>IF($AH765="",0,$AC765*$T765)</f>
        <v/>
      </c>
    </row>
    <row r="766">
      <c r="A766" s="31" t="n"/>
      <c r="B766" s="16">
        <f>IF($A766="","",IFERROR(INDEX(Roster!$B$2:$B$40,MATCH($A766,Roster!$A$2:$A$40,0)),"?"))</f>
        <v/>
      </c>
      <c r="C766" s="31" t="n"/>
      <c r="D766" s="16">
        <f>IF($C766="","",IFERROR(IF(INDEX(Deals!$C$2:$C$355,MATCH($C766,Deals!$A$2:$A$355,0))=0,"",INDEX(Deals!$C$2:$C$355,MATCH($C766,Deals!$A$2:$A$355,0))),"?"))</f>
        <v/>
      </c>
      <c r="E766" s="16">
        <f>IF($C766="","",IFERROR(INDEX(Deals!$F$2:$F$355,MATCH($C766,Deals!$A$2:$A$355,0)),"?"))</f>
        <v/>
      </c>
      <c r="F766" s="31" t="n"/>
      <c r="G766" s="31" t="n"/>
      <c r="H766" s="31" t="n"/>
      <c r="I766" s="32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1">
        <f>IF($C766="",0,IFERROR(INDEX(Deals!$H$2:$H$355,MATCH($C766,Deals!$A$2:$A$355,0)),0))</f>
        <v/>
      </c>
      <c r="K766" s="32">
        <f>IF(Settings!$B$4="Yes",$I766*$J766,$I766)</f>
        <v/>
      </c>
      <c r="L766" s="22">
        <f>IF($C766="","",IFERROR(IF(INDEX(Deals!$I$2:$I$355,MATCH($C766,Deals!$A$2:$A$355,0))=0,"",INDEX(Deals!$I$2:$I$355,MATCH($C766,Deals!$A$2:$A$355,0))),""))</f>
        <v/>
      </c>
      <c r="M766" s="22">
        <f>IF($C766="","",IFERROR(IF(INDEX(Deals!$J$2:$J$355,MATCH($C766,Deals!$A$2:$A$355,0))=0,"",INDEX(Deals!$J$2:$J$355,MATCH($C766,Deals!$A$2:$A$355,0))),""))</f>
        <v/>
      </c>
      <c r="N766" s="35">
        <f>IF($L766="",DATE(1900,1,1),$L766)</f>
        <v/>
      </c>
      <c r="O766" s="35">
        <f>IF($M766="",DATE(2100,12,31),$M766)</f>
        <v/>
      </c>
      <c r="P766" s="41" t="n"/>
      <c r="Q766" s="31" t="n"/>
      <c r="R766" s="16">
        <f>IF($C766="","",IFERROR(IF(INDEX(Deals!$U$2:$U$355,MATCH($C766,Deals!$A$2:$A$355,0))=0,"",INDEX(Deals!$U$2:$U$355,MATCH($C766,Deals!$A$2:$A$355,0))),""))</f>
        <v/>
      </c>
      <c r="S766" s="34">
        <f>IFERROR(IF($U766="",1,INDEX(Deals!$V$2:$V$355,MATCH($C766,Deals!$A$2:$A$355,0))),1)</f>
        <v/>
      </c>
      <c r="T766" s="34">
        <f>IFERROR(IF($U766="",1,INDEX(Deals!$W$2:$W$355,MATCH($C766,Deals!$A$2:$A$355,0))),1)</f>
        <v/>
      </c>
      <c r="U766" s="22">
        <f>IF($C766="","",IFERROR(IF(INDEX(Deals!$Y$2:$Y$355,MATCH($C766,Deals!$A$2:$A$355,0))=0,"",INDEX(Deals!$Y$2:$Y$355,MATCH($C766,Deals!$A$2:$A$355,0))),""))</f>
        <v/>
      </c>
      <c r="V766" s="35">
        <f>IF($U766="",DATE(1900,1,1),$N766)</f>
        <v/>
      </c>
      <c r="W766" s="35">
        <f>IF($U766="",DATE(2100,12,31),$U766)</f>
        <v/>
      </c>
      <c r="X766" s="32">
        <f>IF($U766="",$K766,$K766*$S766)</f>
        <v/>
      </c>
      <c r="Y766" s="35">
        <f>IF($U766="",DATE(2100,12,31),$U766+1)</f>
        <v/>
      </c>
      <c r="Z766" s="35">
        <f>IF($U766="",DATE(1900,1,1),$O766)</f>
        <v/>
      </c>
      <c r="AA766" s="32">
        <f>IF($U766="",0,$K766*$T766)</f>
        <v/>
      </c>
      <c r="AB766" s="21">
        <f>IF($C766="",0,IFERROR(INDEX(Deals!$AD$2:$AD$355,MATCH($C766,Deals!$A$2:$A$355,0)),0))</f>
        <v/>
      </c>
      <c r="AC766" s="32">
        <f>IF(Settings!$B$4="Yes",$I766*$AB766,$I766)</f>
        <v/>
      </c>
      <c r="AD766" s="22">
        <f>IF($C766="","",IFERROR(IF(INDEX(Deals!$AE$2:$AE$355,MATCH($C766,Deals!$A$2:$A$355,0))=0,"",INDEX(Deals!$AE$2:$AE$355,MATCH($C766,Deals!$A$2:$A$355,0))),""))</f>
        <v/>
      </c>
      <c r="AE766" s="22">
        <f>IF($C766="","",IFERROR(IF(INDEX(Deals!$AF$2:$AF$355,MATCH($C766,Deals!$A$2:$A$355,0))=0,"",INDEX(Deals!$AF$2:$AF$355,MATCH($C766,Deals!$A$2:$A$355,0))),""))</f>
        <v/>
      </c>
      <c r="AF766" s="35">
        <f>IF($AD766="",DATE(1900,1,1),$AD766)</f>
        <v/>
      </c>
      <c r="AG766" s="35">
        <f>IF($AE766="",DATE(2100,12,31),$AE766)</f>
        <v/>
      </c>
      <c r="AH766" s="22">
        <f>IF($C766="","",IFERROR(IF(INDEX(Deals!$AG$2:$AG$355,MATCH($C766,Deals!$A$2:$A$355,0))=0,"",INDEX(Deals!$AG$2:$AG$355,MATCH($C766,Deals!$A$2:$A$355,0))),""))</f>
        <v/>
      </c>
      <c r="AI766" s="35">
        <f>IF($AH766="",DATE(1900,1,1),$AF766)</f>
        <v/>
      </c>
      <c r="AJ766" s="35">
        <f>IF($AH766="",DATE(2100,12,31),$AH766)</f>
        <v/>
      </c>
      <c r="AK766" s="32">
        <f>IF($AH766="",$AC766,$AC766*$S766)</f>
        <v/>
      </c>
      <c r="AL766" s="35">
        <f>IF($AH766="",DATE(2100,12,31),$AH766+1)</f>
        <v/>
      </c>
      <c r="AM766" s="35">
        <f>IF($AH766="",DATE(1900,1,1),$AG766)</f>
        <v/>
      </c>
      <c r="AN766" s="32">
        <f>IF($AH766="",0,$AC766*$T766)</f>
        <v/>
      </c>
    </row>
    <row r="767">
      <c r="A767" s="31" t="n"/>
      <c r="B767" s="16">
        <f>IF($A767="","",IFERROR(INDEX(Roster!$B$2:$B$40,MATCH($A767,Roster!$A$2:$A$40,0)),"?"))</f>
        <v/>
      </c>
      <c r="C767" s="31" t="n"/>
      <c r="D767" s="16">
        <f>IF($C767="","",IFERROR(IF(INDEX(Deals!$C$2:$C$355,MATCH($C767,Deals!$A$2:$A$355,0))=0,"",INDEX(Deals!$C$2:$C$355,MATCH($C767,Deals!$A$2:$A$355,0))),"?"))</f>
        <v/>
      </c>
      <c r="E767" s="16">
        <f>IF($C767="","",IFERROR(INDEX(Deals!$F$2:$F$355,MATCH($C767,Deals!$A$2:$A$355,0)),"?"))</f>
        <v/>
      </c>
      <c r="F767" s="31" t="n"/>
      <c r="G767" s="31" t="n"/>
      <c r="H767" s="31" t="n"/>
      <c r="I767" s="32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1">
        <f>IF($C767="",0,IFERROR(INDEX(Deals!$H$2:$H$355,MATCH($C767,Deals!$A$2:$A$355,0)),0))</f>
        <v/>
      </c>
      <c r="K767" s="32">
        <f>IF(Settings!$B$4="Yes",$I767*$J767,$I767)</f>
        <v/>
      </c>
      <c r="L767" s="22">
        <f>IF($C767="","",IFERROR(IF(INDEX(Deals!$I$2:$I$355,MATCH($C767,Deals!$A$2:$A$355,0))=0,"",INDEX(Deals!$I$2:$I$355,MATCH($C767,Deals!$A$2:$A$355,0))),""))</f>
        <v/>
      </c>
      <c r="M767" s="22">
        <f>IF($C767="","",IFERROR(IF(INDEX(Deals!$J$2:$J$355,MATCH($C767,Deals!$A$2:$A$355,0))=0,"",INDEX(Deals!$J$2:$J$355,MATCH($C767,Deals!$A$2:$A$355,0))),""))</f>
        <v/>
      </c>
      <c r="N767" s="35">
        <f>IF($L767="",DATE(1900,1,1),$L767)</f>
        <v/>
      </c>
      <c r="O767" s="35">
        <f>IF($M767="",DATE(2100,12,31),$M767)</f>
        <v/>
      </c>
      <c r="P767" s="41" t="n"/>
      <c r="Q767" s="31" t="n"/>
      <c r="R767" s="16">
        <f>IF($C767="","",IFERROR(IF(INDEX(Deals!$U$2:$U$355,MATCH($C767,Deals!$A$2:$A$355,0))=0,"",INDEX(Deals!$U$2:$U$355,MATCH($C767,Deals!$A$2:$A$355,0))),""))</f>
        <v/>
      </c>
      <c r="S767" s="34">
        <f>IFERROR(IF($U767="",1,INDEX(Deals!$V$2:$V$355,MATCH($C767,Deals!$A$2:$A$355,0))),1)</f>
        <v/>
      </c>
      <c r="T767" s="34">
        <f>IFERROR(IF($U767="",1,INDEX(Deals!$W$2:$W$355,MATCH($C767,Deals!$A$2:$A$355,0))),1)</f>
        <v/>
      </c>
      <c r="U767" s="22">
        <f>IF($C767="","",IFERROR(IF(INDEX(Deals!$Y$2:$Y$355,MATCH($C767,Deals!$A$2:$A$355,0))=0,"",INDEX(Deals!$Y$2:$Y$355,MATCH($C767,Deals!$A$2:$A$355,0))),""))</f>
        <v/>
      </c>
      <c r="V767" s="35">
        <f>IF($U767="",DATE(1900,1,1),$N767)</f>
        <v/>
      </c>
      <c r="W767" s="35">
        <f>IF($U767="",DATE(2100,12,31),$U767)</f>
        <v/>
      </c>
      <c r="X767" s="32">
        <f>IF($U767="",$K767,$K767*$S767)</f>
        <v/>
      </c>
      <c r="Y767" s="35">
        <f>IF($U767="",DATE(2100,12,31),$U767+1)</f>
        <v/>
      </c>
      <c r="Z767" s="35">
        <f>IF($U767="",DATE(1900,1,1),$O767)</f>
        <v/>
      </c>
      <c r="AA767" s="32">
        <f>IF($U767="",0,$K767*$T767)</f>
        <v/>
      </c>
      <c r="AB767" s="21">
        <f>IF($C767="",0,IFERROR(INDEX(Deals!$AD$2:$AD$355,MATCH($C767,Deals!$A$2:$A$355,0)),0))</f>
        <v/>
      </c>
      <c r="AC767" s="32">
        <f>IF(Settings!$B$4="Yes",$I767*$AB767,$I767)</f>
        <v/>
      </c>
      <c r="AD767" s="22">
        <f>IF($C767="","",IFERROR(IF(INDEX(Deals!$AE$2:$AE$355,MATCH($C767,Deals!$A$2:$A$355,0))=0,"",INDEX(Deals!$AE$2:$AE$355,MATCH($C767,Deals!$A$2:$A$355,0))),""))</f>
        <v/>
      </c>
      <c r="AE767" s="22">
        <f>IF($C767="","",IFERROR(IF(INDEX(Deals!$AF$2:$AF$355,MATCH($C767,Deals!$A$2:$A$355,0))=0,"",INDEX(Deals!$AF$2:$AF$355,MATCH($C767,Deals!$A$2:$A$355,0))),""))</f>
        <v/>
      </c>
      <c r="AF767" s="35">
        <f>IF($AD767="",DATE(1900,1,1),$AD767)</f>
        <v/>
      </c>
      <c r="AG767" s="35">
        <f>IF($AE767="",DATE(2100,12,31),$AE767)</f>
        <v/>
      </c>
      <c r="AH767" s="22">
        <f>IF($C767="","",IFERROR(IF(INDEX(Deals!$AG$2:$AG$355,MATCH($C767,Deals!$A$2:$A$355,0))=0,"",INDEX(Deals!$AG$2:$AG$355,MATCH($C767,Deals!$A$2:$A$355,0))),""))</f>
        <v/>
      </c>
      <c r="AI767" s="35">
        <f>IF($AH767="",DATE(1900,1,1),$AF767)</f>
        <v/>
      </c>
      <c r="AJ767" s="35">
        <f>IF($AH767="",DATE(2100,12,31),$AH767)</f>
        <v/>
      </c>
      <c r="AK767" s="32">
        <f>IF($AH767="",$AC767,$AC767*$S767)</f>
        <v/>
      </c>
      <c r="AL767" s="35">
        <f>IF($AH767="",DATE(2100,12,31),$AH767+1)</f>
        <v/>
      </c>
      <c r="AM767" s="35">
        <f>IF($AH767="",DATE(1900,1,1),$AG767)</f>
        <v/>
      </c>
      <c r="AN767" s="32">
        <f>IF($AH767="",0,$AC767*$T767)</f>
        <v/>
      </c>
    </row>
    <row r="768">
      <c r="A768" s="31" t="n"/>
      <c r="B768" s="16">
        <f>IF($A768="","",IFERROR(INDEX(Roster!$B$2:$B$40,MATCH($A768,Roster!$A$2:$A$40,0)),"?"))</f>
        <v/>
      </c>
      <c r="C768" s="31" t="n"/>
      <c r="D768" s="16">
        <f>IF($C768="","",IFERROR(IF(INDEX(Deals!$C$2:$C$355,MATCH($C768,Deals!$A$2:$A$355,0))=0,"",INDEX(Deals!$C$2:$C$355,MATCH($C768,Deals!$A$2:$A$355,0))),"?"))</f>
        <v/>
      </c>
      <c r="E768" s="16">
        <f>IF($C768="","",IFERROR(INDEX(Deals!$F$2:$F$355,MATCH($C768,Deals!$A$2:$A$355,0)),"?"))</f>
        <v/>
      </c>
      <c r="F768" s="31" t="n"/>
      <c r="G768" s="31" t="n"/>
      <c r="H768" s="31" t="n"/>
      <c r="I768" s="32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1">
        <f>IF($C768="",0,IFERROR(INDEX(Deals!$H$2:$H$355,MATCH($C768,Deals!$A$2:$A$355,0)),0))</f>
        <v/>
      </c>
      <c r="K768" s="32">
        <f>IF(Settings!$B$4="Yes",$I768*$J768,$I768)</f>
        <v/>
      </c>
      <c r="L768" s="22">
        <f>IF($C768="","",IFERROR(IF(INDEX(Deals!$I$2:$I$355,MATCH($C768,Deals!$A$2:$A$355,0))=0,"",INDEX(Deals!$I$2:$I$355,MATCH($C768,Deals!$A$2:$A$355,0))),""))</f>
        <v/>
      </c>
      <c r="M768" s="22">
        <f>IF($C768="","",IFERROR(IF(INDEX(Deals!$J$2:$J$355,MATCH($C768,Deals!$A$2:$A$355,0))=0,"",INDEX(Deals!$J$2:$J$355,MATCH($C768,Deals!$A$2:$A$355,0))),""))</f>
        <v/>
      </c>
      <c r="N768" s="35">
        <f>IF($L768="",DATE(1900,1,1),$L768)</f>
        <v/>
      </c>
      <c r="O768" s="35">
        <f>IF($M768="",DATE(2100,12,31),$M768)</f>
        <v/>
      </c>
      <c r="P768" s="41" t="n"/>
      <c r="Q768" s="31" t="n"/>
      <c r="R768" s="16">
        <f>IF($C768="","",IFERROR(IF(INDEX(Deals!$U$2:$U$355,MATCH($C768,Deals!$A$2:$A$355,0))=0,"",INDEX(Deals!$U$2:$U$355,MATCH($C768,Deals!$A$2:$A$355,0))),""))</f>
        <v/>
      </c>
      <c r="S768" s="34">
        <f>IFERROR(IF($U768="",1,INDEX(Deals!$V$2:$V$355,MATCH($C768,Deals!$A$2:$A$355,0))),1)</f>
        <v/>
      </c>
      <c r="T768" s="34">
        <f>IFERROR(IF($U768="",1,INDEX(Deals!$W$2:$W$355,MATCH($C768,Deals!$A$2:$A$355,0))),1)</f>
        <v/>
      </c>
      <c r="U768" s="22">
        <f>IF($C768="","",IFERROR(IF(INDEX(Deals!$Y$2:$Y$355,MATCH($C768,Deals!$A$2:$A$355,0))=0,"",INDEX(Deals!$Y$2:$Y$355,MATCH($C768,Deals!$A$2:$A$355,0))),""))</f>
        <v/>
      </c>
      <c r="V768" s="35">
        <f>IF($U768="",DATE(1900,1,1),$N768)</f>
        <v/>
      </c>
      <c r="W768" s="35">
        <f>IF($U768="",DATE(2100,12,31),$U768)</f>
        <v/>
      </c>
      <c r="X768" s="32">
        <f>IF($U768="",$K768,$K768*$S768)</f>
        <v/>
      </c>
      <c r="Y768" s="35">
        <f>IF($U768="",DATE(2100,12,31),$U768+1)</f>
        <v/>
      </c>
      <c r="Z768" s="35">
        <f>IF($U768="",DATE(1900,1,1),$O768)</f>
        <v/>
      </c>
      <c r="AA768" s="32">
        <f>IF($U768="",0,$K768*$T768)</f>
        <v/>
      </c>
      <c r="AB768" s="21">
        <f>IF($C768="",0,IFERROR(INDEX(Deals!$AD$2:$AD$355,MATCH($C768,Deals!$A$2:$A$355,0)),0))</f>
        <v/>
      </c>
      <c r="AC768" s="32">
        <f>IF(Settings!$B$4="Yes",$I768*$AB768,$I768)</f>
        <v/>
      </c>
      <c r="AD768" s="22">
        <f>IF($C768="","",IFERROR(IF(INDEX(Deals!$AE$2:$AE$355,MATCH($C768,Deals!$A$2:$A$355,0))=0,"",INDEX(Deals!$AE$2:$AE$355,MATCH($C768,Deals!$A$2:$A$355,0))),""))</f>
        <v/>
      </c>
      <c r="AE768" s="22">
        <f>IF($C768="","",IFERROR(IF(INDEX(Deals!$AF$2:$AF$355,MATCH($C768,Deals!$A$2:$A$355,0))=0,"",INDEX(Deals!$AF$2:$AF$355,MATCH($C768,Deals!$A$2:$A$355,0))),""))</f>
        <v/>
      </c>
      <c r="AF768" s="35">
        <f>IF($AD768="",DATE(1900,1,1),$AD768)</f>
        <v/>
      </c>
      <c r="AG768" s="35">
        <f>IF($AE768="",DATE(2100,12,31),$AE768)</f>
        <v/>
      </c>
      <c r="AH768" s="22">
        <f>IF($C768="","",IFERROR(IF(INDEX(Deals!$AG$2:$AG$355,MATCH($C768,Deals!$A$2:$A$355,0))=0,"",INDEX(Deals!$AG$2:$AG$355,MATCH($C768,Deals!$A$2:$A$355,0))),""))</f>
        <v/>
      </c>
      <c r="AI768" s="35">
        <f>IF($AH768="",DATE(1900,1,1),$AF768)</f>
        <v/>
      </c>
      <c r="AJ768" s="35">
        <f>IF($AH768="",DATE(2100,12,31),$AH768)</f>
        <v/>
      </c>
      <c r="AK768" s="32">
        <f>IF($AH768="",$AC768,$AC768*$S768)</f>
        <v/>
      </c>
      <c r="AL768" s="35">
        <f>IF($AH768="",DATE(2100,12,31),$AH768+1)</f>
        <v/>
      </c>
      <c r="AM768" s="35">
        <f>IF($AH768="",DATE(1900,1,1),$AG768)</f>
        <v/>
      </c>
      <c r="AN768" s="32">
        <f>IF($AH768="",0,$AC768*$T768)</f>
        <v/>
      </c>
    </row>
    <row r="769">
      <c r="A769" s="31" t="n"/>
      <c r="B769" s="16">
        <f>IF($A769="","",IFERROR(INDEX(Roster!$B$2:$B$40,MATCH($A769,Roster!$A$2:$A$40,0)),"?"))</f>
        <v/>
      </c>
      <c r="C769" s="31" t="n"/>
      <c r="D769" s="16">
        <f>IF($C769="","",IFERROR(IF(INDEX(Deals!$C$2:$C$355,MATCH($C769,Deals!$A$2:$A$355,0))=0,"",INDEX(Deals!$C$2:$C$355,MATCH($C769,Deals!$A$2:$A$355,0))),"?"))</f>
        <v/>
      </c>
      <c r="E769" s="16">
        <f>IF($C769="","",IFERROR(INDEX(Deals!$F$2:$F$355,MATCH($C769,Deals!$A$2:$A$355,0)),"?"))</f>
        <v/>
      </c>
      <c r="F769" s="31" t="n"/>
      <c r="G769" s="31" t="n"/>
      <c r="H769" s="31" t="n"/>
      <c r="I769" s="32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1">
        <f>IF($C769="",0,IFERROR(INDEX(Deals!$H$2:$H$355,MATCH($C769,Deals!$A$2:$A$355,0)),0))</f>
        <v/>
      </c>
      <c r="K769" s="32">
        <f>IF(Settings!$B$4="Yes",$I769*$J769,$I769)</f>
        <v/>
      </c>
      <c r="L769" s="22">
        <f>IF($C769="","",IFERROR(IF(INDEX(Deals!$I$2:$I$355,MATCH($C769,Deals!$A$2:$A$355,0))=0,"",INDEX(Deals!$I$2:$I$355,MATCH($C769,Deals!$A$2:$A$355,0))),""))</f>
        <v/>
      </c>
      <c r="M769" s="22">
        <f>IF($C769="","",IFERROR(IF(INDEX(Deals!$J$2:$J$355,MATCH($C769,Deals!$A$2:$A$355,0))=0,"",INDEX(Deals!$J$2:$J$355,MATCH($C769,Deals!$A$2:$A$355,0))),""))</f>
        <v/>
      </c>
      <c r="N769" s="35">
        <f>IF($L769="",DATE(1900,1,1),$L769)</f>
        <v/>
      </c>
      <c r="O769" s="35">
        <f>IF($M769="",DATE(2100,12,31),$M769)</f>
        <v/>
      </c>
      <c r="P769" s="41" t="n"/>
      <c r="Q769" s="31" t="n"/>
      <c r="R769" s="16">
        <f>IF($C769="","",IFERROR(IF(INDEX(Deals!$U$2:$U$355,MATCH($C769,Deals!$A$2:$A$355,0))=0,"",INDEX(Deals!$U$2:$U$355,MATCH($C769,Deals!$A$2:$A$355,0))),""))</f>
        <v/>
      </c>
      <c r="S769" s="34">
        <f>IFERROR(IF($U769="",1,INDEX(Deals!$V$2:$V$355,MATCH($C769,Deals!$A$2:$A$355,0))),1)</f>
        <v/>
      </c>
      <c r="T769" s="34">
        <f>IFERROR(IF($U769="",1,INDEX(Deals!$W$2:$W$355,MATCH($C769,Deals!$A$2:$A$355,0))),1)</f>
        <v/>
      </c>
      <c r="U769" s="22">
        <f>IF($C769="","",IFERROR(IF(INDEX(Deals!$Y$2:$Y$355,MATCH($C769,Deals!$A$2:$A$355,0))=0,"",INDEX(Deals!$Y$2:$Y$355,MATCH($C769,Deals!$A$2:$A$355,0))),""))</f>
        <v/>
      </c>
      <c r="V769" s="35">
        <f>IF($U769="",DATE(1900,1,1),$N769)</f>
        <v/>
      </c>
      <c r="W769" s="35">
        <f>IF($U769="",DATE(2100,12,31),$U769)</f>
        <v/>
      </c>
      <c r="X769" s="32">
        <f>IF($U769="",$K769,$K769*$S769)</f>
        <v/>
      </c>
      <c r="Y769" s="35">
        <f>IF($U769="",DATE(2100,12,31),$U769+1)</f>
        <v/>
      </c>
      <c r="Z769" s="35">
        <f>IF($U769="",DATE(1900,1,1),$O769)</f>
        <v/>
      </c>
      <c r="AA769" s="32">
        <f>IF($U769="",0,$K769*$T769)</f>
        <v/>
      </c>
      <c r="AB769" s="21">
        <f>IF($C769="",0,IFERROR(INDEX(Deals!$AD$2:$AD$355,MATCH($C769,Deals!$A$2:$A$355,0)),0))</f>
        <v/>
      </c>
      <c r="AC769" s="32">
        <f>IF(Settings!$B$4="Yes",$I769*$AB769,$I769)</f>
        <v/>
      </c>
      <c r="AD769" s="22">
        <f>IF($C769="","",IFERROR(IF(INDEX(Deals!$AE$2:$AE$355,MATCH($C769,Deals!$A$2:$A$355,0))=0,"",INDEX(Deals!$AE$2:$AE$355,MATCH($C769,Deals!$A$2:$A$355,0))),""))</f>
        <v/>
      </c>
      <c r="AE769" s="22">
        <f>IF($C769="","",IFERROR(IF(INDEX(Deals!$AF$2:$AF$355,MATCH($C769,Deals!$A$2:$A$355,0))=0,"",INDEX(Deals!$AF$2:$AF$355,MATCH($C769,Deals!$A$2:$A$355,0))),""))</f>
        <v/>
      </c>
      <c r="AF769" s="35">
        <f>IF($AD769="",DATE(1900,1,1),$AD769)</f>
        <v/>
      </c>
      <c r="AG769" s="35">
        <f>IF($AE769="",DATE(2100,12,31),$AE769)</f>
        <v/>
      </c>
      <c r="AH769" s="22">
        <f>IF($C769="","",IFERROR(IF(INDEX(Deals!$AG$2:$AG$355,MATCH($C769,Deals!$A$2:$A$355,0))=0,"",INDEX(Deals!$AG$2:$AG$355,MATCH($C769,Deals!$A$2:$A$355,0))),""))</f>
        <v/>
      </c>
      <c r="AI769" s="35">
        <f>IF($AH769="",DATE(1900,1,1),$AF769)</f>
        <v/>
      </c>
      <c r="AJ769" s="35">
        <f>IF($AH769="",DATE(2100,12,31),$AH769)</f>
        <v/>
      </c>
      <c r="AK769" s="32">
        <f>IF($AH769="",$AC769,$AC769*$S769)</f>
        <v/>
      </c>
      <c r="AL769" s="35">
        <f>IF($AH769="",DATE(2100,12,31),$AH769+1)</f>
        <v/>
      </c>
      <c r="AM769" s="35">
        <f>IF($AH769="",DATE(1900,1,1),$AG769)</f>
        <v/>
      </c>
      <c r="AN769" s="32">
        <f>IF($AH769="",0,$AC769*$T769)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N769">
    <cfRule type="expression" priority="1" dxfId="5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5" t="inlineStr">
        <is>
          <t>Person</t>
        </is>
      </c>
      <c r="B1" s="15" t="inlineStr">
        <is>
          <t>Level</t>
        </is>
      </c>
      <c r="C1" s="15" t="inlineStr">
        <is>
          <t>Specialty</t>
        </is>
      </c>
      <c r="D1" s="15" t="inlineStr">
        <is>
          <t>Weekly capacity (hrs)</t>
        </is>
      </c>
      <c r="E1" s="15" t="inlineStr">
        <is>
          <t>Active assignments</t>
        </is>
      </c>
      <c r="F1" s="15" t="inlineStr">
        <is>
          <t>Committed hrs/wk</t>
        </is>
      </c>
      <c r="G1" s="15" t="inlineStr">
        <is>
          <t>Utilization</t>
        </is>
      </c>
    </row>
    <row r="2">
      <c r="A2" s="28" t="inlineStr">
        <is>
          <t>Tania</t>
        </is>
      </c>
      <c r="B2" s="28" t="inlineStr">
        <is>
          <t>Partner</t>
        </is>
      </c>
      <c r="C2" s="28" t="inlineStr">
        <is>
          <t>Core M&amp;A</t>
        </is>
      </c>
      <c r="D2" s="44" t="n">
        <v>40</v>
      </c>
      <c r="E2" s="23">
        <f>IF($A2="","",COUNTIFS(Assignments!$A$2:$A$769,$A2,Assignments!$G$2:$G$769,"Active"))</f>
        <v/>
      </c>
      <c r="F2" s="32">
        <f>IF($A2="","",SUMIFS(Assignments!$I$2:$I$769,Assignments!$A$2:$A$769,$A2,Assignments!$G$2:$G$769,"Active"))</f>
        <v/>
      </c>
      <c r="G2" s="19">
        <f>IF(OR($A2="",$D2=""),"",IF($D2=0,"",$F2/$D2))</f>
        <v/>
      </c>
    </row>
    <row r="3">
      <c r="A3" s="28" t="inlineStr">
        <is>
          <t>John</t>
        </is>
      </c>
      <c r="B3" s="28" t="inlineStr">
        <is>
          <t>Partner</t>
        </is>
      </c>
      <c r="C3" s="28" t="inlineStr">
        <is>
          <t>Core M&amp;A</t>
        </is>
      </c>
      <c r="D3" s="44" t="n">
        <v>40</v>
      </c>
      <c r="E3" s="23">
        <f>IF($A3="","",COUNTIFS(Assignments!$A$2:$A$769,$A3,Assignments!$G$2:$G$769,"Active"))</f>
        <v/>
      </c>
      <c r="F3" s="32">
        <f>IF($A3="","",SUMIFS(Assignments!$I$2:$I$769,Assignments!$A$2:$A$769,$A3,Assignments!$G$2:$G$769,"Active"))</f>
        <v/>
      </c>
      <c r="G3" s="19">
        <f>IF(OR($A3="",$D3=""),"",IF($D3=0,"",$F3/$D3))</f>
        <v/>
      </c>
    </row>
    <row r="4">
      <c r="A4" s="28" t="inlineStr">
        <is>
          <t>Will B. W.</t>
        </is>
      </c>
      <c r="B4" s="28" t="inlineStr">
        <is>
          <t>Partner</t>
        </is>
      </c>
      <c r="C4" s="28" t="inlineStr">
        <is>
          <t>Core M&amp;A</t>
        </is>
      </c>
      <c r="D4" s="44" t="n">
        <v>40</v>
      </c>
      <c r="E4" s="23">
        <f>IF($A4="","",COUNTIFS(Assignments!$A$2:$A$769,$A4,Assignments!$G$2:$G$769,"Active"))</f>
        <v/>
      </c>
      <c r="F4" s="32">
        <f>IF($A4="","",SUMIFS(Assignments!$I$2:$I$769,Assignments!$A$2:$A$769,$A4,Assignments!$G$2:$G$769,"Active"))</f>
        <v/>
      </c>
      <c r="G4" s="19">
        <f>IF(OR($A4="",$D4=""),"",IF($D4=0,"",$F4/$D4))</f>
        <v/>
      </c>
    </row>
    <row r="5">
      <c r="A5" s="28" t="inlineStr">
        <is>
          <t>Kyle Kidd</t>
        </is>
      </c>
      <c r="B5" s="28" t="inlineStr">
        <is>
          <t>Partner</t>
        </is>
      </c>
      <c r="C5" s="28" t="inlineStr">
        <is>
          <t>Core M&amp;A</t>
        </is>
      </c>
      <c r="D5" s="44" t="n">
        <v>40</v>
      </c>
      <c r="E5" s="23">
        <f>IF($A5="","",COUNTIFS(Assignments!$A$2:$A$769,$A5,Assignments!$G$2:$G$769,"Active"))</f>
        <v/>
      </c>
      <c r="F5" s="32">
        <f>IF($A5="","",SUMIFS(Assignments!$I$2:$I$769,Assignments!$A$2:$A$769,$A5,Assignments!$G$2:$G$769,"Active"))</f>
        <v/>
      </c>
      <c r="G5" s="19">
        <f>IF(OR($A5="",$D5=""),"",IF($D5=0,"",$F5/$D5))</f>
        <v/>
      </c>
    </row>
    <row r="6">
      <c r="A6" s="28" t="inlineStr">
        <is>
          <t>Zack</t>
        </is>
      </c>
      <c r="B6" s="28" t="inlineStr">
        <is>
          <t>MD</t>
        </is>
      </c>
      <c r="C6" s="28" t="inlineStr">
        <is>
          <t>Core M&amp;A</t>
        </is>
      </c>
      <c r="D6" s="44" t="n">
        <v>40</v>
      </c>
      <c r="E6" s="23">
        <f>IF($A6="","",COUNTIFS(Assignments!$A$2:$A$769,$A6,Assignments!$G$2:$G$769,"Active"))</f>
        <v/>
      </c>
      <c r="F6" s="32">
        <f>IF($A6="","",SUMIFS(Assignments!$I$2:$I$769,Assignments!$A$2:$A$769,$A6,Assignments!$G$2:$G$769,"Active"))</f>
        <v/>
      </c>
      <c r="G6" s="19">
        <f>IF(OR($A6="",$D6=""),"",IF($D6=0,"",$F6/$D6))</f>
        <v/>
      </c>
    </row>
    <row r="7">
      <c r="A7" s="28" t="inlineStr">
        <is>
          <t>Ethan</t>
        </is>
      </c>
      <c r="B7" s="28" t="inlineStr">
        <is>
          <t>MD</t>
        </is>
      </c>
      <c r="C7" s="28" t="inlineStr">
        <is>
          <t>Core M&amp;A</t>
        </is>
      </c>
      <c r="D7" s="44" t="n">
        <v>40</v>
      </c>
      <c r="E7" s="23">
        <f>IF($A7="","",COUNTIFS(Assignments!$A$2:$A$769,$A7,Assignments!$G$2:$G$769,"Active"))</f>
        <v/>
      </c>
      <c r="F7" s="32">
        <f>IF($A7="","",SUMIFS(Assignments!$I$2:$I$769,Assignments!$A$2:$A$769,$A7,Assignments!$G$2:$G$769,"Active"))</f>
        <v/>
      </c>
      <c r="G7" s="19">
        <f>IF(OR($A7="",$D7=""),"",IF($D7=0,"",$F7/$D7))</f>
        <v/>
      </c>
    </row>
    <row r="8">
      <c r="A8" s="28" t="inlineStr">
        <is>
          <t>Jeremy</t>
        </is>
      </c>
      <c r="B8" s="28" t="inlineStr">
        <is>
          <t>MD</t>
        </is>
      </c>
      <c r="C8" s="28" t="inlineStr">
        <is>
          <t>Core M&amp;A</t>
        </is>
      </c>
      <c r="D8" s="44" t="n">
        <v>40</v>
      </c>
      <c r="E8" s="23">
        <f>IF($A8="","",COUNTIFS(Assignments!$A$2:$A$769,$A8,Assignments!$G$2:$G$769,"Active"))</f>
        <v/>
      </c>
      <c r="F8" s="32">
        <f>IF($A8="","",SUMIFS(Assignments!$I$2:$I$769,Assignments!$A$2:$A$769,$A8,Assignments!$G$2:$G$769,"Active"))</f>
        <v/>
      </c>
      <c r="G8" s="19">
        <f>IF(OR($A8="",$D8=""),"",IF($D8=0,"",$F8/$D8))</f>
        <v/>
      </c>
    </row>
    <row r="9">
      <c r="A9" s="28" t="inlineStr">
        <is>
          <t>Jason</t>
        </is>
      </c>
      <c r="B9" s="28" t="inlineStr">
        <is>
          <t>MD</t>
        </is>
      </c>
      <c r="C9" s="28" t="inlineStr">
        <is>
          <t>Core M&amp;A</t>
        </is>
      </c>
      <c r="D9" s="44" t="n">
        <v>40</v>
      </c>
      <c r="E9" s="23">
        <f>IF($A9="","",COUNTIFS(Assignments!$A$2:$A$769,$A9,Assignments!$G$2:$G$769,"Active"))</f>
        <v/>
      </c>
      <c r="F9" s="32">
        <f>IF($A9="","",SUMIFS(Assignments!$I$2:$I$769,Assignments!$A$2:$A$769,$A9,Assignments!$G$2:$G$769,"Active"))</f>
        <v/>
      </c>
      <c r="G9" s="19">
        <f>IF(OR($A9="",$D9=""),"",IF($D9=0,"",$F9/$D9))</f>
        <v/>
      </c>
    </row>
    <row r="10">
      <c r="A10" s="28" t="inlineStr">
        <is>
          <t>Justine</t>
        </is>
      </c>
      <c r="B10" s="28" t="inlineStr">
        <is>
          <t>Director</t>
        </is>
      </c>
      <c r="C10" s="28" t="inlineStr">
        <is>
          <t>Core M&amp;A</t>
        </is>
      </c>
      <c r="D10" s="44" t="n">
        <v>40</v>
      </c>
      <c r="E10" s="23">
        <f>IF($A10="","",COUNTIFS(Assignments!$A$2:$A$769,$A10,Assignments!$G$2:$G$769,"Active"))</f>
        <v/>
      </c>
      <c r="F10" s="32">
        <f>IF($A10="","",SUMIFS(Assignments!$I$2:$I$769,Assignments!$A$2:$A$769,$A10,Assignments!$G$2:$G$769,"Active"))</f>
        <v/>
      </c>
      <c r="G10" s="19">
        <f>IF(OR($A10="",$D10=""),"",IF($D10=0,"",$F10/$D10))</f>
        <v/>
      </c>
    </row>
    <row r="11">
      <c r="A11" s="28" t="inlineStr">
        <is>
          <t>Kyle Risser</t>
        </is>
      </c>
      <c r="B11" s="28" t="inlineStr">
        <is>
          <t>Director</t>
        </is>
      </c>
      <c r="C11" s="28" t="inlineStr">
        <is>
          <t>Core M&amp;A</t>
        </is>
      </c>
      <c r="D11" s="44" t="n">
        <v>40</v>
      </c>
      <c r="E11" s="23">
        <f>IF($A11="","",COUNTIFS(Assignments!$A$2:$A$769,$A11,Assignments!$G$2:$G$769,"Active"))</f>
        <v/>
      </c>
      <c r="F11" s="32">
        <f>IF($A11="","",SUMIFS(Assignments!$I$2:$I$769,Assignments!$A$2:$A$769,$A11,Assignments!$G$2:$G$769,"Active"))</f>
        <v/>
      </c>
      <c r="G11" s="19">
        <f>IF(OR($A11="",$D11=""),"",IF($D11=0,"",$F11/$D11))</f>
        <v/>
      </c>
    </row>
    <row r="12">
      <c r="A12" s="28" t="inlineStr">
        <is>
          <t>Will Covalt</t>
        </is>
      </c>
      <c r="B12" s="28" t="inlineStr">
        <is>
          <t>Director</t>
        </is>
      </c>
      <c r="C12" s="28" t="inlineStr">
        <is>
          <t>Core M&amp;A</t>
        </is>
      </c>
      <c r="D12" s="44" t="n">
        <v>40</v>
      </c>
      <c r="E12" s="23">
        <f>IF($A12="","",COUNTIFS(Assignments!$A$2:$A$769,$A12,Assignments!$G$2:$G$769,"Active"))</f>
        <v/>
      </c>
      <c r="F12" s="32">
        <f>IF($A12="","",SUMIFS(Assignments!$I$2:$I$769,Assignments!$A$2:$A$769,$A12,Assignments!$G$2:$G$769,"Active"))</f>
        <v/>
      </c>
      <c r="G12" s="19">
        <f>IF(OR($A12="",$D12=""),"",IF($D12=0,"",$F12/$D12))</f>
        <v/>
      </c>
    </row>
    <row r="13">
      <c r="A13" s="28" t="inlineStr">
        <is>
          <t>Lauren</t>
        </is>
      </c>
      <c r="B13" s="28" t="inlineStr">
        <is>
          <t>Director</t>
        </is>
      </c>
      <c r="C13" s="28" t="inlineStr">
        <is>
          <t>Core M&amp;A</t>
        </is>
      </c>
      <c r="D13" s="44" t="n">
        <v>40</v>
      </c>
      <c r="E13" s="23">
        <f>IF($A13="","",COUNTIFS(Assignments!$A$2:$A$769,$A13,Assignments!$G$2:$G$769,"Active"))</f>
        <v/>
      </c>
      <c r="F13" s="32">
        <f>IF($A13="","",SUMIFS(Assignments!$I$2:$I$769,Assignments!$A$2:$A$769,$A13,Assignments!$G$2:$G$769,"Active"))</f>
        <v/>
      </c>
      <c r="G13" s="19">
        <f>IF(OR($A13="",$D13=""),"",IF($D13=0,"",$F13/$D13))</f>
        <v/>
      </c>
    </row>
    <row r="14">
      <c r="A14" s="28" t="inlineStr">
        <is>
          <t>George</t>
        </is>
      </c>
      <c r="B14" s="28" t="inlineStr">
        <is>
          <t>VP</t>
        </is>
      </c>
      <c r="C14" s="28" t="inlineStr">
        <is>
          <t>Core M&amp;A</t>
        </is>
      </c>
      <c r="D14" s="44" t="n">
        <v>40</v>
      </c>
      <c r="E14" s="23">
        <f>IF($A14="","",COUNTIFS(Assignments!$A$2:$A$769,$A14,Assignments!$G$2:$G$769,"Active"))</f>
        <v/>
      </c>
      <c r="F14" s="32">
        <f>IF($A14="","",SUMIFS(Assignments!$I$2:$I$769,Assignments!$A$2:$A$769,$A14,Assignments!$G$2:$G$769,"Active"))</f>
        <v/>
      </c>
      <c r="G14" s="19">
        <f>IF(OR($A14="",$D14=""),"",IF($D14=0,"",$F14/$D14))</f>
        <v/>
      </c>
    </row>
    <row r="15">
      <c r="A15" s="28" t="inlineStr">
        <is>
          <t>Spencer</t>
        </is>
      </c>
      <c r="B15" s="28" t="inlineStr">
        <is>
          <t>VP</t>
        </is>
      </c>
      <c r="C15" s="28" t="inlineStr">
        <is>
          <t>Core M&amp;A</t>
        </is>
      </c>
      <c r="D15" s="44" t="n">
        <v>40</v>
      </c>
      <c r="E15" s="23">
        <f>IF($A15="","",COUNTIFS(Assignments!$A$2:$A$769,$A15,Assignments!$G$2:$G$769,"Active"))</f>
        <v/>
      </c>
      <c r="F15" s="32">
        <f>IF($A15="","",SUMIFS(Assignments!$I$2:$I$769,Assignments!$A$2:$A$769,$A15,Assignments!$G$2:$G$769,"Active"))</f>
        <v/>
      </c>
      <c r="G15" s="19">
        <f>IF(OR($A15="",$D15=""),"",IF($D15=0,"",$F15/$D15))</f>
        <v/>
      </c>
    </row>
    <row r="16">
      <c r="A16" s="28" t="inlineStr">
        <is>
          <t>Patch</t>
        </is>
      </c>
      <c r="B16" s="28" t="inlineStr">
        <is>
          <t>VP</t>
        </is>
      </c>
      <c r="C16" s="28" t="inlineStr">
        <is>
          <t>Core M&amp;A</t>
        </is>
      </c>
      <c r="D16" s="44" t="n">
        <v>40</v>
      </c>
      <c r="E16" s="23">
        <f>IF($A16="","",COUNTIFS(Assignments!$A$2:$A$769,$A16,Assignments!$G$2:$G$769,"Active"))</f>
        <v/>
      </c>
      <c r="F16" s="32">
        <f>IF($A16="","",SUMIFS(Assignments!$I$2:$I$769,Assignments!$A$2:$A$769,$A16,Assignments!$G$2:$G$769,"Active"))</f>
        <v/>
      </c>
      <c r="G16" s="19">
        <f>IF(OR($A16="",$D16=""),"",IF($D16=0,"",$F16/$D16))</f>
        <v/>
      </c>
    </row>
    <row r="17">
      <c r="A17" s="28" t="inlineStr">
        <is>
          <t>Vidhi</t>
        </is>
      </c>
      <c r="B17" s="28" t="inlineStr">
        <is>
          <t>Senior Associate</t>
        </is>
      </c>
      <c r="C17" s="28" t="inlineStr">
        <is>
          <t>Core M&amp;A</t>
        </is>
      </c>
      <c r="D17" s="44" t="n">
        <v>40</v>
      </c>
      <c r="E17" s="23">
        <f>IF($A17="","",COUNTIFS(Assignments!$A$2:$A$769,$A17,Assignments!$G$2:$G$769,"Active"))</f>
        <v/>
      </c>
      <c r="F17" s="32">
        <f>IF($A17="","",SUMIFS(Assignments!$I$2:$I$769,Assignments!$A$2:$A$769,$A17,Assignments!$G$2:$G$769,"Active"))</f>
        <v/>
      </c>
      <c r="G17" s="19">
        <f>IF(OR($A17="",$D17=""),"",IF($D17=0,"",$F17/$D17))</f>
        <v/>
      </c>
    </row>
    <row r="18">
      <c r="A18" s="28" t="inlineStr">
        <is>
          <t>Nina</t>
        </is>
      </c>
      <c r="B18" s="28" t="inlineStr">
        <is>
          <t>Senior Associate</t>
        </is>
      </c>
      <c r="C18" s="28" t="inlineStr">
        <is>
          <t>Core M&amp;A</t>
        </is>
      </c>
      <c r="D18" s="44" t="n">
        <v>40</v>
      </c>
      <c r="E18" s="23">
        <f>IF($A18="","",COUNTIFS(Assignments!$A$2:$A$769,$A18,Assignments!$G$2:$G$769,"Active"))</f>
        <v/>
      </c>
      <c r="F18" s="32">
        <f>IF($A18="","",SUMIFS(Assignments!$I$2:$I$769,Assignments!$A$2:$A$769,$A18,Assignments!$G$2:$G$769,"Active"))</f>
        <v/>
      </c>
      <c r="G18" s="19">
        <f>IF(OR($A18="",$D18=""),"",IF($D18=0,"",$F18/$D18))</f>
        <v/>
      </c>
    </row>
    <row r="19">
      <c r="A19" s="28" t="inlineStr">
        <is>
          <t>Colleen</t>
        </is>
      </c>
      <c r="B19" s="28" t="inlineStr">
        <is>
          <t>Senior Associate</t>
        </is>
      </c>
      <c r="C19" s="28" t="inlineStr">
        <is>
          <t>Core M&amp;A</t>
        </is>
      </c>
      <c r="D19" s="44" t="n">
        <v>40</v>
      </c>
      <c r="E19" s="23">
        <f>IF($A19="","",COUNTIFS(Assignments!$A$2:$A$769,$A19,Assignments!$G$2:$G$769,"Active"))</f>
        <v/>
      </c>
      <c r="F19" s="32">
        <f>IF($A19="","",SUMIFS(Assignments!$I$2:$I$769,Assignments!$A$2:$A$769,$A19,Assignments!$G$2:$G$769,"Active"))</f>
        <v/>
      </c>
      <c r="G19" s="19">
        <f>IF(OR($A19="",$D19=""),"",IF($D19=0,"",$F19/$D19))</f>
        <v/>
      </c>
    </row>
    <row r="20">
      <c r="A20" s="28" t="inlineStr">
        <is>
          <t>Jennifer Wu</t>
        </is>
      </c>
      <c r="B20" s="28" t="inlineStr">
        <is>
          <t>Senior Associate</t>
        </is>
      </c>
      <c r="C20" s="28" t="inlineStr">
        <is>
          <t>Core M&amp;A</t>
        </is>
      </c>
      <c r="D20" s="44" t="n">
        <v>40</v>
      </c>
      <c r="E20" s="23">
        <f>IF($A20="","",COUNTIFS(Assignments!$A$2:$A$769,$A20,Assignments!$G$2:$G$769,"Active"))</f>
        <v/>
      </c>
      <c r="F20" s="32">
        <f>IF($A20="","",SUMIFS(Assignments!$I$2:$I$769,Assignments!$A$2:$A$769,$A20,Assignments!$G$2:$G$769,"Active"))</f>
        <v/>
      </c>
      <c r="G20" s="19">
        <f>IF(OR($A20="",$D20=""),"",IF($D20=0,"",$F20/$D20))</f>
        <v/>
      </c>
    </row>
    <row r="21">
      <c r="A21" s="28" t="inlineStr">
        <is>
          <t>Dorian</t>
        </is>
      </c>
      <c r="B21" s="28" t="inlineStr">
        <is>
          <t>Renewable Specialist</t>
        </is>
      </c>
      <c r="C21" s="28" t="inlineStr">
        <is>
          <t>Renewable</t>
        </is>
      </c>
      <c r="D21" s="44" t="n">
        <v>40</v>
      </c>
      <c r="E21" s="23">
        <f>IF($A21="","",COUNTIFS(Assignments!$A$2:$A$769,$A21,Assignments!$G$2:$G$769,"Active"))</f>
        <v/>
      </c>
      <c r="F21" s="32">
        <f>IF($A21="","",SUMIFS(Assignments!$I$2:$I$769,Assignments!$A$2:$A$769,$A21,Assignments!$G$2:$G$769,"Active"))</f>
        <v/>
      </c>
      <c r="G21" s="19">
        <f>IF(OR($A21="",$D21=""),"",IF($D21=0,"",$F21/$D21))</f>
        <v/>
      </c>
    </row>
    <row r="22">
      <c r="A22" s="28" t="inlineStr">
        <is>
          <t>Yiyi</t>
        </is>
      </c>
      <c r="B22" s="28" t="inlineStr">
        <is>
          <t>Renewable Specialist</t>
        </is>
      </c>
      <c r="C22" s="28" t="inlineStr">
        <is>
          <t>Renewable</t>
        </is>
      </c>
      <c r="D22" s="44" t="n">
        <v>40</v>
      </c>
      <c r="E22" s="23">
        <f>IF($A22="","",COUNTIFS(Assignments!$A$2:$A$769,$A22,Assignments!$G$2:$G$769,"Active"))</f>
        <v/>
      </c>
      <c r="F22" s="32">
        <f>IF($A22="","",SUMIFS(Assignments!$I$2:$I$769,Assignments!$A$2:$A$769,$A22,Assignments!$G$2:$G$769,"Active"))</f>
        <v/>
      </c>
      <c r="G22" s="19">
        <f>IF(OR($A22="",$D22=""),"",IF($D22=0,"",$F22/$D22))</f>
        <v/>
      </c>
    </row>
    <row r="23">
      <c r="A23" s="28" t="inlineStr">
        <is>
          <t>Eric</t>
        </is>
      </c>
      <c r="B23" s="28" t="inlineStr">
        <is>
          <t>Renewable Specialist</t>
        </is>
      </c>
      <c r="C23" s="28" t="inlineStr">
        <is>
          <t>Renewable</t>
        </is>
      </c>
      <c r="D23" s="44" t="n">
        <v>40</v>
      </c>
      <c r="E23" s="23">
        <f>IF($A23="","",COUNTIFS(Assignments!$A$2:$A$769,$A23,Assignments!$G$2:$G$769,"Active"))</f>
        <v/>
      </c>
      <c r="F23" s="32">
        <f>IF($A23="","",SUMIFS(Assignments!$I$2:$I$769,Assignments!$A$2:$A$769,$A23,Assignments!$G$2:$G$769,"Active"))</f>
        <v/>
      </c>
      <c r="G23" s="19">
        <f>IF(OR($A23="",$D23=""),"",IF($D23=0,"",$F23/$D23))</f>
        <v/>
      </c>
    </row>
    <row r="24">
      <c r="A24" s="28" t="inlineStr">
        <is>
          <t>Robbie</t>
        </is>
      </c>
      <c r="B24" s="28" t="inlineStr">
        <is>
          <t>Renewable Specialist</t>
        </is>
      </c>
      <c r="C24" s="28" t="inlineStr">
        <is>
          <t>Renewable</t>
        </is>
      </c>
      <c r="D24" s="44" t="n">
        <v>40</v>
      </c>
      <c r="E24" s="23">
        <f>IF($A24="","",COUNTIFS(Assignments!$A$2:$A$769,$A24,Assignments!$G$2:$G$769,"Active"))</f>
        <v/>
      </c>
      <c r="F24" s="32">
        <f>IF($A24="","",SUMIFS(Assignments!$I$2:$I$769,Assignments!$A$2:$A$769,$A24,Assignments!$G$2:$G$769,"Active"))</f>
        <v/>
      </c>
      <c r="G24" s="19">
        <f>IF(OR($A24="",$D24=""),"",IF($D24=0,"",$F24/$D24))</f>
        <v/>
      </c>
    </row>
    <row r="25">
      <c r="A25" s="31" t="n"/>
      <c r="B25" s="31" t="n"/>
      <c r="C25" s="31" t="n"/>
      <c r="D25" s="31" t="n"/>
      <c r="E25" s="23">
        <f>IF($A25="","",COUNTIFS(Assignments!$A$2:$A$769,$A25,Assignments!$G$2:$G$769,"Active"))</f>
        <v/>
      </c>
      <c r="F25" s="32">
        <f>IF($A25="","",SUMIFS(Assignments!$I$2:$I$769,Assignments!$A$2:$A$769,$A25,Assignments!$G$2:$G$769,"Active"))</f>
        <v/>
      </c>
      <c r="G25" s="19">
        <f>IF(OR($A25="",$D25=""),"",IF($D25=0,"",$F25/$D25))</f>
        <v/>
      </c>
    </row>
    <row r="26">
      <c r="A26" s="31" t="n"/>
      <c r="B26" s="31" t="n"/>
      <c r="C26" s="31" t="n"/>
      <c r="D26" s="31" t="n"/>
      <c r="E26" s="23">
        <f>IF($A26="","",COUNTIFS(Assignments!$A$2:$A$769,$A26,Assignments!$G$2:$G$769,"Active"))</f>
        <v/>
      </c>
      <c r="F26" s="32">
        <f>IF($A26="","",SUMIFS(Assignments!$I$2:$I$769,Assignments!$A$2:$A$769,$A26,Assignments!$G$2:$G$769,"Active"))</f>
        <v/>
      </c>
      <c r="G26" s="19">
        <f>IF(OR($A26="",$D26=""),"",IF($D26=0,"",$F26/$D26))</f>
        <v/>
      </c>
    </row>
    <row r="27">
      <c r="A27" s="31" t="n"/>
      <c r="B27" s="31" t="n"/>
      <c r="C27" s="31" t="n"/>
      <c r="D27" s="31" t="n"/>
      <c r="E27" s="23">
        <f>IF($A27="","",COUNTIFS(Assignments!$A$2:$A$769,$A27,Assignments!$G$2:$G$769,"Active"))</f>
        <v/>
      </c>
      <c r="F27" s="32">
        <f>IF($A27="","",SUMIFS(Assignments!$I$2:$I$769,Assignments!$A$2:$A$769,$A27,Assignments!$G$2:$G$769,"Active"))</f>
        <v/>
      </c>
      <c r="G27" s="19">
        <f>IF(OR($A27="",$D27=""),"",IF($D27=0,"",$F27/$D27))</f>
        <v/>
      </c>
    </row>
    <row r="28">
      <c r="A28" s="31" t="n"/>
      <c r="B28" s="31" t="n"/>
      <c r="C28" s="31" t="n"/>
      <c r="D28" s="31" t="n"/>
      <c r="E28" s="23">
        <f>IF($A28="","",COUNTIFS(Assignments!$A$2:$A$769,$A28,Assignments!$G$2:$G$769,"Active"))</f>
        <v/>
      </c>
      <c r="F28" s="32">
        <f>IF($A28="","",SUMIFS(Assignments!$I$2:$I$769,Assignments!$A$2:$A$769,$A28,Assignments!$G$2:$G$769,"Active"))</f>
        <v/>
      </c>
      <c r="G28" s="19">
        <f>IF(OR($A28="",$D28=""),"",IF($D28=0,"",$F28/$D28))</f>
        <v/>
      </c>
    </row>
    <row r="29">
      <c r="A29" s="31" t="n"/>
      <c r="B29" s="31" t="n"/>
      <c r="C29" s="31" t="n"/>
      <c r="D29" s="31" t="n"/>
      <c r="E29" s="23">
        <f>IF($A29="","",COUNTIFS(Assignments!$A$2:$A$769,$A29,Assignments!$G$2:$G$769,"Active"))</f>
        <v/>
      </c>
      <c r="F29" s="32">
        <f>IF($A29="","",SUMIFS(Assignments!$I$2:$I$769,Assignments!$A$2:$A$769,$A29,Assignments!$G$2:$G$769,"Active"))</f>
        <v/>
      </c>
      <c r="G29" s="19">
        <f>IF(OR($A29="",$D29=""),"",IF($D29=0,"",$F29/$D29))</f>
        <v/>
      </c>
    </row>
    <row r="30">
      <c r="A30" s="31" t="n"/>
      <c r="B30" s="31" t="n"/>
      <c r="C30" s="31" t="n"/>
      <c r="D30" s="31" t="n"/>
      <c r="E30" s="23">
        <f>IF($A30="","",COUNTIFS(Assignments!$A$2:$A$769,$A30,Assignments!$G$2:$G$769,"Active"))</f>
        <v/>
      </c>
      <c r="F30" s="32">
        <f>IF($A30="","",SUMIFS(Assignments!$I$2:$I$769,Assignments!$A$2:$A$769,$A30,Assignments!$G$2:$G$769,"Active"))</f>
        <v/>
      </c>
      <c r="G30" s="19">
        <f>IF(OR($A30="",$D30=""),"",IF($D30=0,"",$F30/$D30))</f>
        <v/>
      </c>
    </row>
    <row r="31">
      <c r="A31" s="31" t="n"/>
      <c r="B31" s="31" t="n"/>
      <c r="C31" s="31" t="n"/>
      <c r="D31" s="31" t="n"/>
      <c r="E31" s="23">
        <f>IF($A31="","",COUNTIFS(Assignments!$A$2:$A$769,$A31,Assignments!$G$2:$G$769,"Active"))</f>
        <v/>
      </c>
      <c r="F31" s="32">
        <f>IF($A31="","",SUMIFS(Assignments!$I$2:$I$769,Assignments!$A$2:$A$769,$A31,Assignments!$G$2:$G$769,"Active"))</f>
        <v/>
      </c>
      <c r="G31" s="19">
        <f>IF(OR($A31="",$D31=""),"",IF($D31=0,"",$F31/$D31))</f>
        <v/>
      </c>
    </row>
    <row r="32">
      <c r="A32" s="31" t="n"/>
      <c r="B32" s="31" t="n"/>
      <c r="C32" s="31" t="n"/>
      <c r="D32" s="31" t="n"/>
      <c r="E32" s="23">
        <f>IF($A32="","",COUNTIFS(Assignments!$A$2:$A$769,$A32,Assignments!$G$2:$G$769,"Active"))</f>
        <v/>
      </c>
      <c r="F32" s="32">
        <f>IF($A32="","",SUMIFS(Assignments!$I$2:$I$769,Assignments!$A$2:$A$769,$A32,Assignments!$G$2:$G$769,"Active"))</f>
        <v/>
      </c>
      <c r="G32" s="19">
        <f>IF(OR($A32="",$D32=""),"",IF($D32=0,"",$F32/$D32))</f>
        <v/>
      </c>
    </row>
    <row r="33">
      <c r="A33" s="31" t="n"/>
      <c r="B33" s="31" t="n"/>
      <c r="C33" s="31" t="n"/>
      <c r="D33" s="31" t="n"/>
      <c r="E33" s="23">
        <f>IF($A33="","",COUNTIFS(Assignments!$A$2:$A$769,$A33,Assignments!$G$2:$G$769,"Active"))</f>
        <v/>
      </c>
      <c r="F33" s="32">
        <f>IF($A33="","",SUMIFS(Assignments!$I$2:$I$769,Assignments!$A$2:$A$769,$A33,Assignments!$G$2:$G$769,"Active"))</f>
        <v/>
      </c>
      <c r="G33" s="19">
        <f>IF(OR($A33="",$D33=""),"",IF($D33=0,"",$F33/$D33))</f>
        <v/>
      </c>
    </row>
    <row r="34">
      <c r="A34" s="31" t="n"/>
      <c r="B34" s="31" t="n"/>
      <c r="C34" s="31" t="n"/>
      <c r="D34" s="31" t="n"/>
      <c r="E34" s="23">
        <f>IF($A34="","",COUNTIFS(Assignments!$A$2:$A$769,$A34,Assignments!$G$2:$G$769,"Active"))</f>
        <v/>
      </c>
      <c r="F34" s="32">
        <f>IF($A34="","",SUMIFS(Assignments!$I$2:$I$769,Assignments!$A$2:$A$769,$A34,Assignments!$G$2:$G$769,"Active"))</f>
        <v/>
      </c>
      <c r="G34" s="19">
        <f>IF(OR($A34="",$D34=""),"",IF($D34=0,"",$F34/$D34))</f>
        <v/>
      </c>
    </row>
    <row r="35">
      <c r="A35" s="31" t="n"/>
      <c r="B35" s="31" t="n"/>
      <c r="C35" s="31" t="n"/>
      <c r="D35" s="31" t="n"/>
      <c r="E35" s="23">
        <f>IF($A35="","",COUNTIFS(Assignments!$A$2:$A$769,$A35,Assignments!$G$2:$G$769,"Active"))</f>
        <v/>
      </c>
      <c r="F35" s="32">
        <f>IF($A35="","",SUMIFS(Assignments!$I$2:$I$769,Assignments!$A$2:$A$769,$A35,Assignments!$G$2:$G$769,"Active"))</f>
        <v/>
      </c>
      <c r="G35" s="19">
        <f>IF(OR($A35="",$D35=""),"",IF($D35=0,"",$F35/$D35))</f>
        <v/>
      </c>
    </row>
    <row r="36">
      <c r="A36" s="31" t="n"/>
      <c r="B36" s="31" t="n"/>
      <c r="C36" s="31" t="n"/>
      <c r="D36" s="31" t="n"/>
      <c r="E36" s="23">
        <f>IF($A36="","",COUNTIFS(Assignments!$A$2:$A$769,$A36,Assignments!$G$2:$G$769,"Active"))</f>
        <v/>
      </c>
      <c r="F36" s="32">
        <f>IF($A36="","",SUMIFS(Assignments!$I$2:$I$769,Assignments!$A$2:$A$769,$A36,Assignments!$G$2:$G$769,"Active"))</f>
        <v/>
      </c>
      <c r="G36" s="19">
        <f>IF(OR($A36="",$D36=""),"",IF($D36=0,"",$F36/$D36))</f>
        <v/>
      </c>
    </row>
    <row r="37">
      <c r="A37" s="31" t="n"/>
      <c r="B37" s="31" t="n"/>
      <c r="C37" s="31" t="n"/>
      <c r="D37" s="31" t="n"/>
      <c r="E37" s="23">
        <f>IF($A37="","",COUNTIFS(Assignments!$A$2:$A$769,$A37,Assignments!$G$2:$G$769,"Active"))</f>
        <v/>
      </c>
      <c r="F37" s="32">
        <f>IF($A37="","",SUMIFS(Assignments!$I$2:$I$769,Assignments!$A$2:$A$769,$A37,Assignments!$G$2:$G$769,"Active"))</f>
        <v/>
      </c>
      <c r="G37" s="19">
        <f>IF(OR($A37="",$D37=""),"",IF($D37=0,"",$F37/$D37))</f>
        <v/>
      </c>
    </row>
    <row r="38">
      <c r="A38" s="31" t="n"/>
      <c r="B38" s="31" t="n"/>
      <c r="C38" s="31" t="n"/>
      <c r="D38" s="31" t="n"/>
      <c r="E38" s="23">
        <f>IF($A38="","",COUNTIFS(Assignments!$A$2:$A$769,$A38,Assignments!$G$2:$G$769,"Active"))</f>
        <v/>
      </c>
      <c r="F38" s="32">
        <f>IF($A38="","",SUMIFS(Assignments!$I$2:$I$769,Assignments!$A$2:$A$769,$A38,Assignments!$G$2:$G$769,"Active"))</f>
        <v/>
      </c>
      <c r="G38" s="19">
        <f>IF(OR($A38="",$D38=""),"",IF($D38=0,"",$F38/$D38))</f>
        <v/>
      </c>
    </row>
    <row r="39">
      <c r="A39" s="31" t="n"/>
      <c r="B39" s="31" t="n"/>
      <c r="C39" s="31" t="n"/>
      <c r="D39" s="31" t="n"/>
      <c r="E39" s="23">
        <f>IF($A39="","",COUNTIFS(Assignments!$A$2:$A$769,$A39,Assignments!$G$2:$G$769,"Active"))</f>
        <v/>
      </c>
      <c r="F39" s="32">
        <f>IF($A39="","",SUMIFS(Assignments!$I$2:$I$769,Assignments!$A$2:$A$769,$A39,Assignments!$G$2:$G$769,"Active"))</f>
        <v/>
      </c>
      <c r="G39" s="19">
        <f>IF(OR($A39="",$D39=""),"",IF($D39=0,"",$F39/$D39))</f>
        <v/>
      </c>
    </row>
    <row r="40">
      <c r="A40" s="31" t="n"/>
      <c r="B40" s="31" t="n"/>
      <c r="C40" s="31" t="n"/>
      <c r="D40" s="31" t="n"/>
      <c r="E40" s="23">
        <f>IF($A40="","",COUNTIFS(Assignments!$A$2:$A$769,$A40,Assignments!$G$2:$G$769,"Active"))</f>
        <v/>
      </c>
      <c r="F40" s="32">
        <f>IF($A40="","",SUMIFS(Assignments!$I$2:$I$769,Assignments!$A$2:$A$769,$A40,Assignments!$G$2:$G$769,"Active"))</f>
        <v/>
      </c>
      <c r="G40" s="19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L4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Templates &amp; allocation parameters</t>
        </is>
      </c>
    </row>
    <row r="2" ht="28" customHeight="1">
      <c r="A2" s="15" t="inlineStr">
        <is>
          <t>Archetype (legacy)</t>
        </is>
      </c>
      <c r="B2" s="15" t="inlineStr">
        <is>
          <t>Partner</t>
        </is>
      </c>
      <c r="C2" s="15" t="inlineStr">
        <is>
          <t>MD</t>
        </is>
      </c>
      <c r="D2" s="15" t="inlineStr">
        <is>
          <t>Director</t>
        </is>
      </c>
      <c r="E2" s="15" t="inlineStr">
        <is>
          <t>VP</t>
        </is>
      </c>
      <c r="F2" s="15" t="inlineStr">
        <is>
          <t>Senior Associate</t>
        </is>
      </c>
      <c r="G2" s="15" t="inlineStr">
        <is>
          <t>Renewable Specialist</t>
        </is>
      </c>
      <c r="H2" s="15" t="inlineStr">
        <is>
          <t>Associate</t>
        </is>
      </c>
      <c r="I2" s="15" t="inlineStr">
        <is>
          <t>Typical duration (wks)</t>
        </is>
      </c>
      <c r="J2" s="15" t="inlineStr">
        <is>
          <t>Front phase fraction</t>
        </is>
      </c>
      <c r="K2" s="15" t="inlineStr">
        <is>
          <t>Front intensity (x)</t>
        </is>
      </c>
      <c r="L2" s="15" t="inlineStr">
        <is>
          <t>Tail intensity (x)</t>
        </is>
      </c>
    </row>
    <row r="3">
      <c r="A3" s="45" t="inlineStr">
        <is>
          <t>Buy-side TDD (corp / stock)</t>
        </is>
      </c>
      <c r="B3" s="46" t="n">
        <v>2</v>
      </c>
      <c r="C3" s="46" t="n">
        <v>3</v>
      </c>
      <c r="D3" s="46" t="n">
        <v>5</v>
      </c>
      <c r="E3" s="46" t="n">
        <v>10</v>
      </c>
      <c r="F3" s="46" t="n">
        <v>14</v>
      </c>
      <c r="G3" s="46" t="n">
        <v>0</v>
      </c>
      <c r="H3" s="46" t="n">
        <v>16</v>
      </c>
      <c r="I3" s="47" t="n">
        <v>10</v>
      </c>
      <c r="J3" s="48" t="n">
        <v>0.5</v>
      </c>
      <c r="K3" s="49" t="n">
        <v>1.4</v>
      </c>
      <c r="L3" s="50">
        <f>IF((1-$J3)=0,1,(1-$J3*$K3)/(1-$J3))</f>
        <v/>
      </c>
    </row>
    <row r="4">
      <c r="A4" s="45" t="inlineStr">
        <is>
          <t>Buy-side TDD + Structuring</t>
        </is>
      </c>
      <c r="B4" s="46" t="n">
        <v>3</v>
      </c>
      <c r="C4" s="46" t="n">
        <v>4</v>
      </c>
      <c r="D4" s="46" t="n">
        <v>6</v>
      </c>
      <c r="E4" s="46" t="n">
        <v>12</v>
      </c>
      <c r="F4" s="46" t="n">
        <v>16</v>
      </c>
      <c r="G4" s="46" t="n">
        <v>0</v>
      </c>
      <c r="H4" s="46" t="n">
        <v>18</v>
      </c>
      <c r="I4" s="47" t="n">
        <v>14</v>
      </c>
      <c r="J4" s="48" t="n">
        <v>0.45</v>
      </c>
      <c r="K4" s="49" t="n">
        <v>1.35</v>
      </c>
      <c r="L4" s="50">
        <f>IF((1-$J4)=0,1,(1-$J4*$K4)/(1-$J4))</f>
        <v/>
      </c>
    </row>
    <row r="5">
      <c r="A5" s="45" t="inlineStr">
        <is>
          <t>Sell-side / VDD</t>
        </is>
      </c>
      <c r="B5" s="46" t="n">
        <v>2</v>
      </c>
      <c r="C5" s="46" t="n">
        <v>3</v>
      </c>
      <c r="D5" s="46" t="n">
        <v>5</v>
      </c>
      <c r="E5" s="46" t="n">
        <v>9</v>
      </c>
      <c r="F5" s="46" t="n">
        <v>12</v>
      </c>
      <c r="G5" s="46" t="n">
        <v>0</v>
      </c>
      <c r="H5" s="46" t="n">
        <v>14</v>
      </c>
      <c r="I5" s="47" t="n">
        <v>10</v>
      </c>
      <c r="J5" s="48" t="n">
        <v>0.5</v>
      </c>
      <c r="K5" s="49" t="n">
        <v>1.3</v>
      </c>
      <c r="L5" s="50">
        <f>IF((1-$J5)=0,1,(1-$J5*$K5)/(1-$J5))</f>
        <v/>
      </c>
    </row>
    <row r="6">
      <c r="A6" s="45" t="inlineStr">
        <is>
          <t>Structuring only (back-loaded)</t>
        </is>
      </c>
      <c r="B6" s="46" t="n">
        <v>3</v>
      </c>
      <c r="C6" s="46" t="n">
        <v>5</v>
      </c>
      <c r="D6" s="46" t="n">
        <v>8</v>
      </c>
      <c r="E6" s="46" t="n">
        <v>10</v>
      </c>
      <c r="F6" s="46" t="n">
        <v>10</v>
      </c>
      <c r="G6" s="46" t="n">
        <v>0</v>
      </c>
      <c r="H6" s="46" t="n">
        <v>8</v>
      </c>
      <c r="I6" s="47" t="n">
        <v>8</v>
      </c>
      <c r="J6" s="48" t="n">
        <v>0.5</v>
      </c>
      <c r="K6" s="49" t="n">
        <v>0.7</v>
      </c>
      <c r="L6" s="50">
        <f>IF((1-$J6)=0,1,(1-$J6*$K6)/(1-$J6))</f>
        <v/>
      </c>
    </row>
    <row r="7">
      <c r="A7" s="45" t="inlineStr">
        <is>
          <t>Tax equity / PW&amp;A (renewable)</t>
        </is>
      </c>
      <c r="B7" s="46" t="n">
        <v>1</v>
      </c>
      <c r="C7" s="46" t="n">
        <v>2</v>
      </c>
      <c r="D7" s="46" t="n">
        <v>3</v>
      </c>
      <c r="E7" s="46" t="n">
        <v>4</v>
      </c>
      <c r="F7" s="46" t="n">
        <v>4</v>
      </c>
      <c r="G7" s="46" t="n">
        <v>6</v>
      </c>
      <c r="H7" s="46" t="n">
        <v>2</v>
      </c>
      <c r="I7" s="47" t="n">
        <v>6</v>
      </c>
      <c r="J7" s="48" t="n">
        <v>0.5</v>
      </c>
      <c r="K7" s="49" t="n">
        <v>1.2</v>
      </c>
      <c r="L7" s="50">
        <f>IF((1-$J7)=0,1,(1-$J7*$K7)/(1-$J7))</f>
        <v/>
      </c>
    </row>
    <row r="8">
      <c r="A8" s="45" t="inlineStr">
        <is>
          <t>FIRPTA / cross-border</t>
        </is>
      </c>
      <c r="B8" s="46" t="n">
        <v>2</v>
      </c>
      <c r="C8" s="46" t="n">
        <v>3</v>
      </c>
      <c r="D8" s="46" t="n">
        <v>4</v>
      </c>
      <c r="E8" s="46" t="n">
        <v>6</v>
      </c>
      <c r="F8" s="46" t="n">
        <v>8</v>
      </c>
      <c r="G8" s="46" t="n">
        <v>0</v>
      </c>
      <c r="H8" s="46" t="n">
        <v>8</v>
      </c>
      <c r="I8" s="47" t="n">
        <v>6</v>
      </c>
      <c r="J8" s="48" t="n">
        <v>0.5</v>
      </c>
      <c r="K8" s="49" t="n">
        <v>1.2</v>
      </c>
      <c r="L8" s="50">
        <f>IF((1-$J8)=0,1,(1-$J8*$K8)/(1-$J8))</f>
        <v/>
      </c>
    </row>
    <row r="9">
      <c r="A9" s="45" t="inlineStr">
        <is>
          <t>Modeling / QoT support</t>
        </is>
      </c>
      <c r="B9" s="46" t="n">
        <v>1</v>
      </c>
      <c r="C9" s="46" t="n">
        <v>2</v>
      </c>
      <c r="D9" s="46" t="n">
        <v>3</v>
      </c>
      <c r="E9" s="46" t="n">
        <v>6</v>
      </c>
      <c r="F9" s="46" t="n">
        <v>10</v>
      </c>
      <c r="G9" s="46" t="n">
        <v>0</v>
      </c>
      <c r="H9" s="46" t="n">
        <v>12</v>
      </c>
      <c r="I9" s="47" t="n">
        <v>6</v>
      </c>
      <c r="J9" s="48" t="n">
        <v>0.5</v>
      </c>
      <c r="K9" s="49" t="n">
        <v>1</v>
      </c>
      <c r="L9" s="50">
        <f>IF((1-$J9)=0,1,(1-$J9*$K9)/(1-$J9))</f>
        <v/>
      </c>
    </row>
    <row r="10">
      <c r="A10" s="45" t="inlineStr">
        <is>
          <t>Ad-hoc / advisory (light)</t>
        </is>
      </c>
      <c r="B10" s="46" t="n">
        <v>1</v>
      </c>
      <c r="C10" s="46" t="n">
        <v>1</v>
      </c>
      <c r="D10" s="46" t="n">
        <v>2</v>
      </c>
      <c r="E10" s="46" t="n">
        <v>3</v>
      </c>
      <c r="F10" s="46" t="n">
        <v>4</v>
      </c>
      <c r="G10" s="46" t="n">
        <v>2</v>
      </c>
      <c r="H10" s="46" t="n">
        <v>4</v>
      </c>
      <c r="I10" s="47" t="n">
        <v>4</v>
      </c>
      <c r="J10" s="48" t="n">
        <v>0.5</v>
      </c>
      <c r="K10" s="49" t="n">
        <v>1</v>
      </c>
      <c r="L10" s="50">
        <f>IF((1-$J10)=0,1,(1-$J10*$K10)/(1-$J10))</f>
        <v/>
      </c>
    </row>
    <row r="11"/>
    <row r="12">
      <c r="A12" s="6" t="inlineStr">
        <is>
          <t>^ LEGACY effort archetypes (Step 3) - superseded by the fee-&gt;hours parameters below; kept for reference.</t>
        </is>
      </c>
    </row>
    <row r="13"/>
    <row r="14">
      <c r="A14" s="51" t="inlineStr">
        <is>
          <t>FEE -&gt; HOURS ALLOCATION PARAMETERS  (fill the yellow cells with the team's real numbers; wired to hours in Step 9)</t>
        </is>
      </c>
    </row>
    <row r="15">
      <c r="A15" s="12" t="inlineStr">
        <is>
          <t>Rate card - $/hr by level</t>
        </is>
      </c>
    </row>
    <row r="16">
      <c r="A16" s="7" t="inlineStr">
        <is>
          <t>Level</t>
        </is>
      </c>
      <c r="B16" s="7" t="inlineStr">
        <is>
          <t>$ / hr</t>
        </is>
      </c>
    </row>
    <row r="17">
      <c r="A17" s="52" t="inlineStr">
        <is>
          <t>Partner</t>
        </is>
      </c>
      <c r="B17" s="53" t="n">
        <v>900</v>
      </c>
    </row>
    <row r="18">
      <c r="A18" s="52" t="inlineStr">
        <is>
          <t>MD</t>
        </is>
      </c>
      <c r="B18" s="53" t="n">
        <v>700</v>
      </c>
    </row>
    <row r="19">
      <c r="A19" s="52" t="inlineStr">
        <is>
          <t>Director</t>
        </is>
      </c>
      <c r="B19" s="53" t="n">
        <v>550</v>
      </c>
    </row>
    <row r="20">
      <c r="A20" s="52" t="inlineStr">
        <is>
          <t>VP</t>
        </is>
      </c>
      <c r="B20" s="53" t="n">
        <v>400</v>
      </c>
    </row>
    <row r="21">
      <c r="A21" s="52" t="inlineStr">
        <is>
          <t>Senior Associate</t>
        </is>
      </c>
      <c r="B21" s="53" t="n">
        <v>300</v>
      </c>
    </row>
    <row r="22">
      <c r="A22" s="52" t="inlineStr">
        <is>
          <t>Renewable Specialist</t>
        </is>
      </c>
      <c r="B22" s="53" t="n">
        <v>250</v>
      </c>
    </row>
    <row r="23">
      <c r="A23" s="52" t="inlineStr">
        <is>
          <t>Associate</t>
        </is>
      </c>
      <c r="B23" s="53" t="n">
        <v>200</v>
      </c>
    </row>
    <row r="24"/>
    <row r="25">
      <c r="A25" s="12" t="inlineStr">
        <is>
          <t>Fee split % by level, per workstream group (each row must total 100%)</t>
        </is>
      </c>
    </row>
    <row r="26">
      <c r="A26" s="7" t="inlineStr">
        <is>
          <t>Workstream group</t>
        </is>
      </c>
      <c r="B26" s="7" t="inlineStr">
        <is>
          <t>Partner</t>
        </is>
      </c>
      <c r="C26" s="7" t="inlineStr">
        <is>
          <t>MD</t>
        </is>
      </c>
      <c r="D26" s="7" t="inlineStr">
        <is>
          <t>Director</t>
        </is>
      </c>
      <c r="E26" s="7" t="inlineStr">
        <is>
          <t>VP</t>
        </is>
      </c>
      <c r="F26" s="7" t="inlineStr">
        <is>
          <t>Senior Associate</t>
        </is>
      </c>
      <c r="G26" s="7" t="inlineStr">
        <is>
          <t>Renewable Specialist</t>
        </is>
      </c>
      <c r="H26" s="7" t="inlineStr">
        <is>
          <t>Associate</t>
        </is>
      </c>
      <c r="I26" s="7" t="inlineStr">
        <is>
          <t>Check =</t>
        </is>
      </c>
    </row>
    <row r="27">
      <c r="A27" s="52" t="inlineStr">
        <is>
          <t>TDD</t>
        </is>
      </c>
      <c r="B27" s="48" t="n">
        <v>0.05</v>
      </c>
      <c r="C27" s="48" t="n">
        <v>0.1</v>
      </c>
      <c r="D27" s="48" t="n">
        <v>0.15</v>
      </c>
      <c r="E27" s="48" t="n">
        <v>0.2</v>
      </c>
      <c r="F27" s="48" t="n">
        <v>0.3</v>
      </c>
      <c r="G27" s="48" t="n">
        <v>0</v>
      </c>
      <c r="H27" s="48" t="n">
        <v>0.2</v>
      </c>
      <c r="I27" s="54">
        <f>SUM($B27:$H27)</f>
        <v/>
      </c>
    </row>
    <row r="28">
      <c r="A28" s="52" t="inlineStr">
        <is>
          <t>Modeling</t>
        </is>
      </c>
      <c r="B28" s="48" t="n">
        <v>0.03</v>
      </c>
      <c r="C28" s="48" t="n">
        <v>0.07000000000000001</v>
      </c>
      <c r="D28" s="48" t="n">
        <v>0.15</v>
      </c>
      <c r="E28" s="48" t="n">
        <v>0.25</v>
      </c>
      <c r="F28" s="48" t="n">
        <v>0.3</v>
      </c>
      <c r="G28" s="48" t="n">
        <v>0</v>
      </c>
      <c r="H28" s="48" t="n">
        <v>0.2</v>
      </c>
      <c r="I28" s="54">
        <f>SUM($B28:$H28)</f>
        <v/>
      </c>
    </row>
    <row r="29">
      <c r="A29" s="52" t="inlineStr">
        <is>
          <t>Structuring</t>
        </is>
      </c>
      <c r="B29" s="48" t="n">
        <v>0.1</v>
      </c>
      <c r="C29" s="48" t="n">
        <v>0.2</v>
      </c>
      <c r="D29" s="48" t="n">
        <v>0.3</v>
      </c>
      <c r="E29" s="48" t="n">
        <v>0.2</v>
      </c>
      <c r="F29" s="48" t="n">
        <v>0.15</v>
      </c>
      <c r="G29" s="48" t="n">
        <v>0</v>
      </c>
      <c r="H29" s="48" t="n">
        <v>0.05</v>
      </c>
      <c r="I29" s="54">
        <f>SUM($B29:$H29)</f>
        <v/>
      </c>
    </row>
    <row r="30">
      <c r="A30" s="52" t="inlineStr">
        <is>
          <t>Legal docs review</t>
        </is>
      </c>
      <c r="B30" s="48" t="n">
        <v>0.05</v>
      </c>
      <c r="C30" s="48" t="n">
        <v>0.15</v>
      </c>
      <c r="D30" s="48" t="n">
        <v>0.3</v>
      </c>
      <c r="E30" s="48" t="n">
        <v>0.25</v>
      </c>
      <c r="F30" s="48" t="n">
        <v>0.2</v>
      </c>
      <c r="G30" s="48" t="n">
        <v>0</v>
      </c>
      <c r="H30" s="48" t="n">
        <v>0.05</v>
      </c>
      <c r="I30" s="54">
        <f>SUM($B30:$H30)</f>
        <v/>
      </c>
    </row>
    <row r="31">
      <c r="A31" s="52" t="inlineStr">
        <is>
          <t>Other</t>
        </is>
      </c>
      <c r="B31" s="48" t="n">
        <v>0.05</v>
      </c>
      <c r="C31" s="48" t="n">
        <v>0.1</v>
      </c>
      <c r="D31" s="48" t="n">
        <v>0.2</v>
      </c>
      <c r="E31" s="48" t="n">
        <v>0.25</v>
      </c>
      <c r="F31" s="48" t="n">
        <v>0.25</v>
      </c>
      <c r="G31" s="48" t="n">
        <v>0.05</v>
      </c>
      <c r="H31" s="48" t="n">
        <v>0.1</v>
      </c>
      <c r="I31" s="54">
        <f>SUM($B31:$H31)</f>
        <v/>
      </c>
    </row>
    <row r="32"/>
    <row r="33">
      <c r="A33" s="12" t="inlineStr">
        <is>
          <t>Default duration (weeks) per group - used when a deal has no dates</t>
        </is>
      </c>
    </row>
    <row r="34">
      <c r="A34" s="7" t="inlineStr">
        <is>
          <t>Workstream group</t>
        </is>
      </c>
      <c r="B34" s="7" t="inlineStr">
        <is>
          <t>Weeks</t>
        </is>
      </c>
    </row>
    <row r="35">
      <c r="A35" s="52" t="inlineStr">
        <is>
          <t>TDD</t>
        </is>
      </c>
      <c r="B35" s="47" t="n">
        <v>8</v>
      </c>
    </row>
    <row r="36">
      <c r="A36" s="52" t="inlineStr">
        <is>
          <t>Modeling</t>
        </is>
      </c>
      <c r="B36" s="47" t="n">
        <v>6</v>
      </c>
    </row>
    <row r="37">
      <c r="A37" s="52" t="inlineStr">
        <is>
          <t>Structuring</t>
        </is>
      </c>
      <c r="B37" s="47" t="n">
        <v>6</v>
      </c>
    </row>
    <row r="38">
      <c r="A38" s="52" t="inlineStr">
        <is>
          <t>Legal docs review</t>
        </is>
      </c>
      <c r="B38" s="47" t="n">
        <v>4</v>
      </c>
    </row>
    <row r="39">
      <c r="A39" s="52" t="inlineStr">
        <is>
          <t>Other</t>
        </is>
      </c>
      <c r="B39" s="47" t="n">
        <v>6</v>
      </c>
    </row>
    <row r="40"/>
    <row r="41">
      <c r="A41" s="6" t="inlineStr">
        <is>
          <t>All values above are PLACEHOLDERS. Mechanism (decided Jul 21): hours(level) = fee(group) x split%(group,level) / rate(level), summed over a deal's priced workstream groups, spread over its kick-off-&gt;delivery weeks (or the default duration when no dates). Step 9 adds the per-group fee columns on Deals and wires this in.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I27:I31">
    <cfRule type="expression" priority="1" dxfId="0">
      <formula>ABS(I27-1)&gt;0.001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55">
        <f>COUNTIF($K$7:$K$206,"OK")</f>
        <v/>
      </c>
      <c r="C4" s="12" t="inlineStr">
        <is>
          <t>Unmatched code:</t>
        </is>
      </c>
      <c r="D4" s="55">
        <f>COUNTIF($K$7:$K$206,"*code*")</f>
        <v/>
      </c>
      <c r="E4" s="12" t="inlineStr">
        <is>
          <t>Unmatched person:</t>
        </is>
      </c>
      <c r="F4" s="55">
        <f>COUNTIF($K$7:$K$206,"*person*")</f>
        <v/>
      </c>
      <c r="G4" s="12" t="inlineStr">
        <is>
          <t>Total rows:</t>
        </is>
      </c>
      <c r="H4" s="55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56" t="inlineStr">
        <is>
          <t>SAMPLE DATA below (fabricated) proves matching + variance - DELETE rows 7-26 before pasting real NetSuite data.</t>
        </is>
      </c>
      <c r="N5" s="57" t="inlineStr">
        <is>
          <t>Wu, Jennifer</t>
        </is>
      </c>
      <c r="O5" s="57" t="inlineStr">
        <is>
          <t>Jennifer Wu</t>
        </is>
      </c>
    </row>
    <row r="6" ht="28" customHeight="1">
      <c r="A6" s="15" t="inlineStr">
        <is>
          <t>Project code</t>
        </is>
      </c>
      <c r="B6" s="15" t="inlineStr">
        <is>
          <t>Employee (NetSuite)</t>
        </is>
      </c>
      <c r="C6" s="15" t="inlineStr">
        <is>
          <t>Week start</t>
        </is>
      </c>
      <c r="D6" s="15" t="inlineStr">
        <is>
          <t>Hours</t>
        </is>
      </c>
      <c r="E6" s="15" t="inlineStr">
        <is>
          <t>Matched deal</t>
        </is>
      </c>
      <c r="F6" s="15" t="inlineStr">
        <is>
          <t>Matched person</t>
        </is>
      </c>
      <c r="G6" s="15" t="inlineStr">
        <is>
          <t>Level</t>
        </is>
      </c>
      <c r="H6" s="15" t="inlineStr">
        <is>
          <t>Archetype</t>
        </is>
      </c>
      <c r="I6" s="15" t="inlineStr">
        <is>
          <t>Planned hrs/wk</t>
        </is>
      </c>
      <c r="J6" s="15" t="inlineStr">
        <is>
          <t>Variance (wk)</t>
        </is>
      </c>
      <c r="K6" s="15" t="inlineStr">
        <is>
          <t>Status</t>
        </is>
      </c>
      <c r="N6" s="57" t="inlineStr">
        <is>
          <t>Kidd, Kyle</t>
        </is>
      </c>
      <c r="O6" s="57" t="inlineStr">
        <is>
          <t>Kyle Kidd</t>
        </is>
      </c>
    </row>
    <row r="7">
      <c r="A7" s="58" t="inlineStr">
        <is>
          <t>B2V_1</t>
        </is>
      </c>
      <c r="B7" s="58" t="inlineStr">
        <is>
          <t>Wu, Jennifer</t>
        </is>
      </c>
      <c r="C7" s="59" t="n">
        <v>46223</v>
      </c>
      <c r="D7" s="60" t="n">
        <v>12</v>
      </c>
      <c r="E7" s="16">
        <f>IF($A7="","",IF(COUNTIF(Deals!$A$2:$A$355,$A7)&gt;0,$A7,""))</f>
        <v/>
      </c>
      <c r="F7" s="16">
        <f>IF($B7="","",IFERROR(INDEX(Roster!$A$2:$A$40,MATCH($B7,Roster!$A$2:$A$40,0)),IFERROR(IF(INDEX(MapTracker,MATCH($B7,MapNetSuite,0))=0,"",INDEX(MapTracker,MATCH($B7,MapNetSuite,0))),"")))</f>
        <v/>
      </c>
      <c r="G7" s="16">
        <f>IF($F7="","",IFERROR(INDEX(Roster!$B$2:$B$40,MATCH($F7,Roster!$A$2:$A$40,0)),""))</f>
        <v/>
      </c>
      <c r="H7" s="16">
        <f>IF($E7="","",IFERROR(IF(INDEX(Deals!$U$2:$U$355,MATCH($E7,Deals!$A$2:$A$355,0))=0,"",INDEX(Deals!$U$2:$U$355,MATCH($E7,Deals!$A$2:$A$355,0))),""))</f>
        <v/>
      </c>
      <c r="I7" s="18">
        <f>IF(OR($E7="",$F7=""),"",SUMIFS(Assignments!$I$2:$I$769,Assignments!$A$2:$A$769,$F7,Assignments!$C$2:$C$769,$E7))</f>
        <v/>
      </c>
      <c r="J7" s="61">
        <f>IF(OR($E7="",$F7=""),"",$D7-$I7)</f>
        <v/>
      </c>
      <c r="K7" s="20">
        <f>IF($A7="","",IF(AND($E7&lt;&gt;"",$F7&lt;&gt;""),"OK",TRIM(IF($E7="","unmatched code ","")&amp;IF($F7="","unmatched person",""))))</f>
        <v/>
      </c>
      <c r="N7" s="57" t="inlineStr">
        <is>
          <t>Risser, Kyle</t>
        </is>
      </c>
      <c r="O7" s="57" t="inlineStr">
        <is>
          <t>Kyle Risser</t>
        </is>
      </c>
    </row>
    <row r="8">
      <c r="A8" s="58" t="inlineStr">
        <is>
          <t>B2V_1</t>
        </is>
      </c>
      <c r="B8" s="58" t="inlineStr">
        <is>
          <t>Wu, Jennifer</t>
        </is>
      </c>
      <c r="C8" s="59" t="n">
        <v>46230</v>
      </c>
      <c r="D8" s="60" t="n">
        <v>9</v>
      </c>
      <c r="E8" s="16">
        <f>IF($A8="","",IF(COUNTIF(Deals!$A$2:$A$355,$A8)&gt;0,$A8,""))</f>
        <v/>
      </c>
      <c r="F8" s="16">
        <f>IF($B8="","",IFERROR(INDEX(Roster!$A$2:$A$40,MATCH($B8,Roster!$A$2:$A$40,0)),IFERROR(IF(INDEX(MapTracker,MATCH($B8,MapNetSuite,0))=0,"",INDEX(MapTracker,MATCH($B8,MapNetSuite,0))),"")))</f>
        <v/>
      </c>
      <c r="G8" s="16">
        <f>IF($F8="","",IFERROR(INDEX(Roster!$B$2:$B$40,MATCH($F8,Roster!$A$2:$A$40,0)),""))</f>
        <v/>
      </c>
      <c r="H8" s="16">
        <f>IF($E8="","",IFERROR(IF(INDEX(Deals!$U$2:$U$355,MATCH($E8,Deals!$A$2:$A$355,0))=0,"",INDEX(Deals!$U$2:$U$355,MATCH($E8,Deals!$A$2:$A$355,0))),""))</f>
        <v/>
      </c>
      <c r="I8" s="18">
        <f>IF(OR($E8="",$F8=""),"",SUMIFS(Assignments!$I$2:$I$769,Assignments!$A$2:$A$769,$F8,Assignments!$C$2:$C$769,$E8))</f>
        <v/>
      </c>
      <c r="J8" s="61">
        <f>IF(OR($E8="",$F8=""),"",$D8-$I8)</f>
        <v/>
      </c>
      <c r="K8" s="20">
        <f>IF($A8="","",IF(AND($E8&lt;&gt;"",$F8&lt;&gt;""),"OK",TRIM(IF($E8="","unmatched code ","")&amp;IF($F8="","unmatched person",""))))</f>
        <v/>
      </c>
      <c r="N8" s="57" t="inlineStr">
        <is>
          <t>Covalt, Will</t>
        </is>
      </c>
      <c r="O8" s="57" t="inlineStr">
        <is>
          <t>Will Covalt</t>
        </is>
      </c>
    </row>
    <row r="9">
      <c r="A9" s="58" t="inlineStr">
        <is>
          <t>B2V_1</t>
        </is>
      </c>
      <c r="B9" s="58" t="inlineStr">
        <is>
          <t>Wu, Jennifer</t>
        </is>
      </c>
      <c r="C9" s="59" t="n">
        <v>46237</v>
      </c>
      <c r="D9" s="60" t="n">
        <v>11</v>
      </c>
      <c r="E9" s="16">
        <f>IF($A9="","",IF(COUNTIF(Deals!$A$2:$A$355,$A9)&gt;0,$A9,""))</f>
        <v/>
      </c>
      <c r="F9" s="16">
        <f>IF($B9="","",IFERROR(INDEX(Roster!$A$2:$A$40,MATCH($B9,Roster!$A$2:$A$40,0)),IFERROR(IF(INDEX(MapTracker,MATCH($B9,MapNetSuite,0))=0,"",INDEX(MapTracker,MATCH($B9,MapNetSuite,0))),"")))</f>
        <v/>
      </c>
      <c r="G9" s="16">
        <f>IF($F9="","",IFERROR(INDEX(Roster!$B$2:$B$40,MATCH($F9,Roster!$A$2:$A$40,0)),""))</f>
        <v/>
      </c>
      <c r="H9" s="16">
        <f>IF($E9="","",IFERROR(IF(INDEX(Deals!$U$2:$U$355,MATCH($E9,Deals!$A$2:$A$355,0))=0,"",INDEX(Deals!$U$2:$U$355,MATCH($E9,Deals!$A$2:$A$355,0))),""))</f>
        <v/>
      </c>
      <c r="I9" s="18">
        <f>IF(OR($E9="",$F9=""),"",SUMIFS(Assignments!$I$2:$I$769,Assignments!$A$2:$A$769,$F9,Assignments!$C$2:$C$769,$E9))</f>
        <v/>
      </c>
      <c r="J9" s="61">
        <f>IF(OR($E9="",$F9=""),"",$D9-$I9)</f>
        <v/>
      </c>
      <c r="K9" s="20">
        <f>IF($A9="","",IF(AND($E9&lt;&gt;"",$F9&lt;&gt;""),"OK",TRIM(IF($E9="","unmatched code ","")&amp;IF($F9="","unmatched person",""))))</f>
        <v/>
      </c>
      <c r="N9" s="57" t="inlineStr">
        <is>
          <t>Berwick, Will</t>
        </is>
      </c>
      <c r="O9" s="57" t="inlineStr">
        <is>
          <t>Will B. W.</t>
        </is>
      </c>
    </row>
    <row r="10">
      <c r="A10" s="58" t="inlineStr">
        <is>
          <t>B2V_1</t>
        </is>
      </c>
      <c r="B10" s="58" t="inlineStr">
        <is>
          <t>Lauren</t>
        </is>
      </c>
      <c r="C10" s="59" t="n">
        <v>46223</v>
      </c>
      <c r="D10" s="60" t="n">
        <v>6</v>
      </c>
      <c r="E10" s="16">
        <f>IF($A10="","",IF(COUNTIF(Deals!$A$2:$A$355,$A10)&gt;0,$A10,""))</f>
        <v/>
      </c>
      <c r="F10" s="16">
        <f>IF($B10="","",IFERROR(INDEX(Roster!$A$2:$A$40,MATCH($B10,Roster!$A$2:$A$40,0)),IFERROR(IF(INDEX(MapTracker,MATCH($B10,MapNetSuite,0))=0,"",INDEX(MapTracker,MATCH($B10,MapNetSuite,0))),"")))</f>
        <v/>
      </c>
      <c r="G10" s="16">
        <f>IF($F10="","",IFERROR(INDEX(Roster!$B$2:$B$40,MATCH($F10,Roster!$A$2:$A$40,0)),""))</f>
        <v/>
      </c>
      <c r="H10" s="16">
        <f>IF($E10="","",IFERROR(IF(INDEX(Deals!$U$2:$U$355,MATCH($E10,Deals!$A$2:$A$355,0))=0,"",INDEX(Deals!$U$2:$U$355,MATCH($E10,Deals!$A$2:$A$355,0))),""))</f>
        <v/>
      </c>
      <c r="I10" s="18">
        <f>IF(OR($E10="",$F10=""),"",SUMIFS(Assignments!$I$2:$I$769,Assignments!$A$2:$A$769,$F10,Assignments!$C$2:$C$769,$E10))</f>
        <v/>
      </c>
      <c r="J10" s="61">
        <f>IF(OR($E10="",$F10=""),"",$D10-$I10)</f>
        <v/>
      </c>
      <c r="K10" s="20">
        <f>IF($A10="","",IF(AND($E10&lt;&gt;"",$F10&lt;&gt;""),"OK",TRIM(IF($E10="","unmatched code ","")&amp;IF($F10="","unmatched person",""))))</f>
        <v/>
      </c>
      <c r="N10" s="62" t="n"/>
      <c r="O10" s="62" t="n"/>
    </row>
    <row r="11">
      <c r="A11" s="58" t="inlineStr">
        <is>
          <t>B2V_1</t>
        </is>
      </c>
      <c r="B11" s="58" t="inlineStr">
        <is>
          <t>Lauren</t>
        </is>
      </c>
      <c r="C11" s="59" t="n">
        <v>46230</v>
      </c>
      <c r="D11" s="60" t="n">
        <v>4</v>
      </c>
      <c r="E11" s="16">
        <f>IF($A11="","",IF(COUNTIF(Deals!$A$2:$A$355,$A11)&gt;0,$A11,""))</f>
        <v/>
      </c>
      <c r="F11" s="16">
        <f>IF($B11="","",IFERROR(INDEX(Roster!$A$2:$A$40,MATCH($B11,Roster!$A$2:$A$40,0)),IFERROR(IF(INDEX(MapTracker,MATCH($B11,MapNetSuite,0))=0,"",INDEX(MapTracker,MATCH($B11,MapNetSuite,0))),"")))</f>
        <v/>
      </c>
      <c r="G11" s="16">
        <f>IF($F11="","",IFERROR(INDEX(Roster!$B$2:$B$40,MATCH($F11,Roster!$A$2:$A$40,0)),""))</f>
        <v/>
      </c>
      <c r="H11" s="16">
        <f>IF($E11="","",IFERROR(IF(INDEX(Deals!$U$2:$U$355,MATCH($E11,Deals!$A$2:$A$355,0))=0,"",INDEX(Deals!$U$2:$U$355,MATCH($E11,Deals!$A$2:$A$355,0))),""))</f>
        <v/>
      </c>
      <c r="I11" s="18">
        <f>IF(OR($E11="",$F11=""),"",SUMIFS(Assignments!$I$2:$I$769,Assignments!$A$2:$A$769,$F11,Assignments!$C$2:$C$769,$E11))</f>
        <v/>
      </c>
      <c r="J11" s="61">
        <f>IF(OR($E11="",$F11=""),"",$D11-$I11)</f>
        <v/>
      </c>
      <c r="K11" s="20">
        <f>IF($A11="","",IF(AND($E11&lt;&gt;"",$F11&lt;&gt;""),"OK",TRIM(IF($E11="","unmatched code ","")&amp;IF($F11="","unmatched person",""))))</f>
        <v/>
      </c>
      <c r="N11" s="62" t="n"/>
      <c r="O11" s="62" t="n"/>
    </row>
    <row r="12">
      <c r="A12" s="58" t="inlineStr">
        <is>
          <t>B2V_1</t>
        </is>
      </c>
      <c r="B12" s="58" t="inlineStr">
        <is>
          <t>Lauren</t>
        </is>
      </c>
      <c r="C12" s="59" t="n">
        <v>46237</v>
      </c>
      <c r="D12" s="60" t="n">
        <v>5</v>
      </c>
      <c r="E12" s="16">
        <f>IF($A12="","",IF(COUNTIF(Deals!$A$2:$A$355,$A12)&gt;0,$A12,""))</f>
        <v/>
      </c>
      <c r="F12" s="16">
        <f>IF($B12="","",IFERROR(INDEX(Roster!$A$2:$A$40,MATCH($B12,Roster!$A$2:$A$40,0)),IFERROR(IF(INDEX(MapTracker,MATCH($B12,MapNetSuite,0))=0,"",INDEX(MapTracker,MATCH($B12,MapNetSuite,0))),"")))</f>
        <v/>
      </c>
      <c r="G12" s="16">
        <f>IF($F12="","",IFERROR(INDEX(Roster!$B$2:$B$40,MATCH($F12,Roster!$A$2:$A$40,0)),""))</f>
        <v/>
      </c>
      <c r="H12" s="16">
        <f>IF($E12="","",IFERROR(IF(INDEX(Deals!$U$2:$U$355,MATCH($E12,Deals!$A$2:$A$355,0))=0,"",INDEX(Deals!$U$2:$U$355,MATCH($E12,Deals!$A$2:$A$355,0))),""))</f>
        <v/>
      </c>
      <c r="I12" s="18">
        <f>IF(OR($E12="",$F12=""),"",SUMIFS(Assignments!$I$2:$I$769,Assignments!$A$2:$A$769,$F12,Assignments!$C$2:$C$769,$E12))</f>
        <v/>
      </c>
      <c r="J12" s="61">
        <f>IF(OR($E12="",$F12=""),"",$D12-$I12)</f>
        <v/>
      </c>
      <c r="K12" s="20">
        <f>IF($A12="","",IF(AND($E12&lt;&gt;"",$F12&lt;&gt;""),"OK",TRIM(IF($E12="","unmatched code ","")&amp;IF($F12="","unmatched person",""))))</f>
        <v/>
      </c>
      <c r="N12" s="62" t="n"/>
      <c r="O12" s="62" t="n"/>
    </row>
    <row r="13">
      <c r="A13" s="58" t="inlineStr">
        <is>
          <t>MIF_1</t>
        </is>
      </c>
      <c r="B13" s="58" t="inlineStr">
        <is>
          <t>Patch</t>
        </is>
      </c>
      <c r="C13" s="59" t="n">
        <v>46223</v>
      </c>
      <c r="D13" s="60" t="n">
        <v>10</v>
      </c>
      <c r="E13" s="16">
        <f>IF($A13="","",IF(COUNTIF(Deals!$A$2:$A$355,$A13)&gt;0,$A13,""))</f>
        <v/>
      </c>
      <c r="F13" s="16">
        <f>IF($B13="","",IFERROR(INDEX(Roster!$A$2:$A$40,MATCH($B13,Roster!$A$2:$A$40,0)),IFERROR(IF(INDEX(MapTracker,MATCH($B13,MapNetSuite,0))=0,"",INDEX(MapTracker,MATCH($B13,MapNetSuite,0))),"")))</f>
        <v/>
      </c>
      <c r="G13" s="16">
        <f>IF($F13="","",IFERROR(INDEX(Roster!$B$2:$B$40,MATCH($F13,Roster!$A$2:$A$40,0)),""))</f>
        <v/>
      </c>
      <c r="H13" s="16">
        <f>IF($E13="","",IFERROR(IF(INDEX(Deals!$U$2:$U$355,MATCH($E13,Deals!$A$2:$A$355,0))=0,"",INDEX(Deals!$U$2:$U$355,MATCH($E13,Deals!$A$2:$A$355,0))),""))</f>
        <v/>
      </c>
      <c r="I13" s="18">
        <f>IF(OR($E13="",$F13=""),"",SUMIFS(Assignments!$I$2:$I$769,Assignments!$A$2:$A$769,$F13,Assignments!$C$2:$C$769,$E13))</f>
        <v/>
      </c>
      <c r="J13" s="61">
        <f>IF(OR($E13="",$F13=""),"",$D13-$I13)</f>
        <v/>
      </c>
      <c r="K13" s="20">
        <f>IF($A13="","",IF(AND($E13&lt;&gt;"",$F13&lt;&gt;""),"OK",TRIM(IF($E13="","unmatched code ","")&amp;IF($F13="","unmatched person",""))))</f>
        <v/>
      </c>
      <c r="N13" s="62" t="n"/>
      <c r="O13" s="62" t="n"/>
    </row>
    <row r="14">
      <c r="A14" s="58" t="inlineStr">
        <is>
          <t>MIF_1</t>
        </is>
      </c>
      <c r="B14" s="58" t="inlineStr">
        <is>
          <t>Patch</t>
        </is>
      </c>
      <c r="C14" s="59" t="n">
        <v>46230</v>
      </c>
      <c r="D14" s="60" t="n">
        <v>7</v>
      </c>
      <c r="E14" s="16">
        <f>IF($A14="","",IF(COUNTIF(Deals!$A$2:$A$355,$A14)&gt;0,$A14,""))</f>
        <v/>
      </c>
      <c r="F14" s="16">
        <f>IF($B14="","",IFERROR(INDEX(Roster!$A$2:$A$40,MATCH($B14,Roster!$A$2:$A$40,0)),IFERROR(IF(INDEX(MapTracker,MATCH($B14,MapNetSuite,0))=0,"",INDEX(MapTracker,MATCH($B14,MapNetSuite,0))),"")))</f>
        <v/>
      </c>
      <c r="G14" s="16">
        <f>IF($F14="","",IFERROR(INDEX(Roster!$B$2:$B$40,MATCH($F14,Roster!$A$2:$A$40,0)),""))</f>
        <v/>
      </c>
      <c r="H14" s="16">
        <f>IF($E14="","",IFERROR(IF(INDEX(Deals!$U$2:$U$355,MATCH($E14,Deals!$A$2:$A$355,0))=0,"",INDEX(Deals!$U$2:$U$355,MATCH($E14,Deals!$A$2:$A$355,0))),""))</f>
        <v/>
      </c>
      <c r="I14" s="18">
        <f>IF(OR($E14="",$F14=""),"",SUMIFS(Assignments!$I$2:$I$769,Assignments!$A$2:$A$769,$F14,Assignments!$C$2:$C$769,$E14))</f>
        <v/>
      </c>
      <c r="J14" s="61">
        <f>IF(OR($E14="",$F14=""),"",$D14-$I14)</f>
        <v/>
      </c>
      <c r="K14" s="20">
        <f>IF($A14="","",IF(AND($E14&lt;&gt;"",$F14&lt;&gt;""),"OK",TRIM(IF($E14="","unmatched code ","")&amp;IF($F14="","unmatched person",""))))</f>
        <v/>
      </c>
      <c r="N14" s="62" t="n"/>
      <c r="O14" s="62" t="n"/>
    </row>
    <row r="15">
      <c r="A15" s="58" t="inlineStr">
        <is>
          <t>MIF_1</t>
        </is>
      </c>
      <c r="B15" s="58" t="inlineStr">
        <is>
          <t>Patch</t>
        </is>
      </c>
      <c r="C15" s="59" t="n">
        <v>46237</v>
      </c>
      <c r="D15" s="60" t="n">
        <v>9</v>
      </c>
      <c r="E15" s="16">
        <f>IF($A15="","",IF(COUNTIF(Deals!$A$2:$A$355,$A15)&gt;0,$A15,""))</f>
        <v/>
      </c>
      <c r="F15" s="16">
        <f>IF($B15="","",IFERROR(INDEX(Roster!$A$2:$A$40,MATCH($B15,Roster!$A$2:$A$40,0)),IFERROR(IF(INDEX(MapTracker,MATCH($B15,MapNetSuite,0))=0,"",INDEX(MapTracker,MATCH($B15,MapNetSuite,0))),"")))</f>
        <v/>
      </c>
      <c r="G15" s="16">
        <f>IF($F15="","",IFERROR(INDEX(Roster!$B$2:$B$40,MATCH($F15,Roster!$A$2:$A$40,0)),""))</f>
        <v/>
      </c>
      <c r="H15" s="16">
        <f>IF($E15="","",IFERROR(IF(INDEX(Deals!$U$2:$U$355,MATCH($E15,Deals!$A$2:$A$355,0))=0,"",INDEX(Deals!$U$2:$U$355,MATCH($E15,Deals!$A$2:$A$355,0))),""))</f>
        <v/>
      </c>
      <c r="I15" s="18">
        <f>IF(OR($E15="",$F15=""),"",SUMIFS(Assignments!$I$2:$I$769,Assignments!$A$2:$A$769,$F15,Assignments!$C$2:$C$769,$E15))</f>
        <v/>
      </c>
      <c r="J15" s="61">
        <f>IF(OR($E15="",$F15=""),"",$D15-$I15)</f>
        <v/>
      </c>
      <c r="K15" s="20">
        <f>IF($A15="","",IF(AND($E15&lt;&gt;"",$F15&lt;&gt;""),"OK",TRIM(IF($E15="","unmatched code ","")&amp;IF($F15="","unmatched person",""))))</f>
        <v/>
      </c>
      <c r="N15" s="62" t="n"/>
      <c r="O15" s="62" t="n"/>
    </row>
    <row r="16">
      <c r="A16" s="58" t="inlineStr">
        <is>
          <t>MIF_1</t>
        </is>
      </c>
      <c r="B16" s="58" t="inlineStr">
        <is>
          <t>John</t>
        </is>
      </c>
      <c r="C16" s="59" t="n">
        <v>46223</v>
      </c>
      <c r="D16" s="60" t="n">
        <v>3</v>
      </c>
      <c r="E16" s="16">
        <f>IF($A16="","",IF(COUNTIF(Deals!$A$2:$A$355,$A16)&gt;0,$A16,""))</f>
        <v/>
      </c>
      <c r="F16" s="16">
        <f>IF($B16="","",IFERROR(INDEX(Roster!$A$2:$A$40,MATCH($B16,Roster!$A$2:$A$40,0)),IFERROR(IF(INDEX(MapTracker,MATCH($B16,MapNetSuite,0))=0,"",INDEX(MapTracker,MATCH($B16,MapNetSuite,0))),"")))</f>
        <v/>
      </c>
      <c r="G16" s="16">
        <f>IF($F16="","",IFERROR(INDEX(Roster!$B$2:$B$40,MATCH($F16,Roster!$A$2:$A$40,0)),""))</f>
        <v/>
      </c>
      <c r="H16" s="16">
        <f>IF($E16="","",IFERROR(IF(INDEX(Deals!$U$2:$U$355,MATCH($E16,Deals!$A$2:$A$355,0))=0,"",INDEX(Deals!$U$2:$U$355,MATCH($E16,Deals!$A$2:$A$355,0))),""))</f>
        <v/>
      </c>
      <c r="I16" s="18">
        <f>IF(OR($E16="",$F16=""),"",SUMIFS(Assignments!$I$2:$I$769,Assignments!$A$2:$A$769,$F16,Assignments!$C$2:$C$769,$E16))</f>
        <v/>
      </c>
      <c r="J16" s="61">
        <f>IF(OR($E16="",$F16=""),"",$D16-$I16)</f>
        <v/>
      </c>
      <c r="K16" s="20">
        <f>IF($A16="","",IF(AND($E16&lt;&gt;"",$F16&lt;&gt;""),"OK",TRIM(IF($E16="","unmatched code ","")&amp;IF($F16="","unmatched person",""))))</f>
        <v/>
      </c>
      <c r="N16" s="62" t="n"/>
      <c r="O16" s="62" t="n"/>
    </row>
    <row r="17">
      <c r="A17" s="58" t="inlineStr">
        <is>
          <t>MIF_1</t>
        </is>
      </c>
      <c r="B17" s="58" t="inlineStr">
        <is>
          <t>John</t>
        </is>
      </c>
      <c r="C17" s="59" t="n">
        <v>46230</v>
      </c>
      <c r="D17" s="60" t="n">
        <v>2</v>
      </c>
      <c r="E17" s="16">
        <f>IF($A17="","",IF(COUNTIF(Deals!$A$2:$A$355,$A17)&gt;0,$A17,""))</f>
        <v/>
      </c>
      <c r="F17" s="16">
        <f>IF($B17="","",IFERROR(INDEX(Roster!$A$2:$A$40,MATCH($B17,Roster!$A$2:$A$40,0)),IFERROR(IF(INDEX(MapTracker,MATCH($B17,MapNetSuite,0))=0,"",INDEX(MapTracker,MATCH($B17,MapNetSuite,0))),"")))</f>
        <v/>
      </c>
      <c r="G17" s="16">
        <f>IF($F17="","",IFERROR(INDEX(Roster!$B$2:$B$40,MATCH($F17,Roster!$A$2:$A$40,0)),""))</f>
        <v/>
      </c>
      <c r="H17" s="16">
        <f>IF($E17="","",IFERROR(IF(INDEX(Deals!$U$2:$U$355,MATCH($E17,Deals!$A$2:$A$355,0))=0,"",INDEX(Deals!$U$2:$U$355,MATCH($E17,Deals!$A$2:$A$355,0))),""))</f>
        <v/>
      </c>
      <c r="I17" s="18">
        <f>IF(OR($E17="",$F17=""),"",SUMIFS(Assignments!$I$2:$I$769,Assignments!$A$2:$A$769,$F17,Assignments!$C$2:$C$769,$E17))</f>
        <v/>
      </c>
      <c r="J17" s="61">
        <f>IF(OR($E17="",$F17=""),"",$D17-$I17)</f>
        <v/>
      </c>
      <c r="K17" s="20">
        <f>IF($A17="","",IF(AND($E17&lt;&gt;"",$F17&lt;&gt;""),"OK",TRIM(IF($E17="","unmatched code ","")&amp;IF($F17="","unmatched person",""))))</f>
        <v/>
      </c>
      <c r="N17" s="62" t="n"/>
      <c r="O17" s="62" t="n"/>
    </row>
    <row r="18">
      <c r="A18" s="58" t="inlineStr">
        <is>
          <t>MIF_1</t>
        </is>
      </c>
      <c r="B18" s="58" t="inlineStr">
        <is>
          <t>Zack</t>
        </is>
      </c>
      <c r="C18" s="59" t="n">
        <v>46223</v>
      </c>
      <c r="D18" s="60" t="n">
        <v>4</v>
      </c>
      <c r="E18" s="16">
        <f>IF($A18="","",IF(COUNTIF(Deals!$A$2:$A$355,$A18)&gt;0,$A18,""))</f>
        <v/>
      </c>
      <c r="F18" s="16">
        <f>IF($B18="","",IFERROR(INDEX(Roster!$A$2:$A$40,MATCH($B18,Roster!$A$2:$A$40,0)),IFERROR(IF(INDEX(MapTracker,MATCH($B18,MapNetSuite,0))=0,"",INDEX(MapTracker,MATCH($B18,MapNetSuite,0))),"")))</f>
        <v/>
      </c>
      <c r="G18" s="16">
        <f>IF($F18="","",IFERROR(INDEX(Roster!$B$2:$B$40,MATCH($F18,Roster!$A$2:$A$40,0)),""))</f>
        <v/>
      </c>
      <c r="H18" s="16">
        <f>IF($E18="","",IFERROR(IF(INDEX(Deals!$U$2:$U$355,MATCH($E18,Deals!$A$2:$A$355,0))=0,"",INDEX(Deals!$U$2:$U$355,MATCH($E18,Deals!$A$2:$A$355,0))),""))</f>
        <v/>
      </c>
      <c r="I18" s="18">
        <f>IF(OR($E18="",$F18=""),"",SUMIFS(Assignments!$I$2:$I$769,Assignments!$A$2:$A$769,$F18,Assignments!$C$2:$C$769,$E18))</f>
        <v/>
      </c>
      <c r="J18" s="61">
        <f>IF(OR($E18="",$F18=""),"",$D18-$I18)</f>
        <v/>
      </c>
      <c r="K18" s="20">
        <f>IF($A18="","",IF(AND($E18&lt;&gt;"",$F18&lt;&gt;""),"OK",TRIM(IF($E18="","unmatched code ","")&amp;IF($F18="","unmatched person",""))))</f>
        <v/>
      </c>
      <c r="N18" s="62" t="n"/>
      <c r="O18" s="62" t="n"/>
    </row>
    <row r="19">
      <c r="A19" s="58" t="inlineStr">
        <is>
          <t>MIF_1</t>
        </is>
      </c>
      <c r="B19" s="58" t="inlineStr">
        <is>
          <t>Zack</t>
        </is>
      </c>
      <c r="C19" s="59" t="n">
        <v>46230</v>
      </c>
      <c r="D19" s="60" t="n">
        <v>3</v>
      </c>
      <c r="E19" s="16">
        <f>IF($A19="","",IF(COUNTIF(Deals!$A$2:$A$355,$A19)&gt;0,$A19,""))</f>
        <v/>
      </c>
      <c r="F19" s="16">
        <f>IF($B19="","",IFERROR(INDEX(Roster!$A$2:$A$40,MATCH($B19,Roster!$A$2:$A$40,0)),IFERROR(IF(INDEX(MapTracker,MATCH($B19,MapNetSuite,0))=0,"",INDEX(MapTracker,MATCH($B19,MapNetSuite,0))),"")))</f>
        <v/>
      </c>
      <c r="G19" s="16">
        <f>IF($F19="","",IFERROR(INDEX(Roster!$B$2:$B$40,MATCH($F19,Roster!$A$2:$A$40,0)),""))</f>
        <v/>
      </c>
      <c r="H19" s="16">
        <f>IF($E19="","",IFERROR(IF(INDEX(Deals!$U$2:$U$355,MATCH($E19,Deals!$A$2:$A$355,0))=0,"",INDEX(Deals!$U$2:$U$355,MATCH($E19,Deals!$A$2:$A$355,0))),""))</f>
        <v/>
      </c>
      <c r="I19" s="18">
        <f>IF(OR($E19="",$F19=""),"",SUMIFS(Assignments!$I$2:$I$769,Assignments!$A$2:$A$769,$F19,Assignments!$C$2:$C$769,$E19))</f>
        <v/>
      </c>
      <c r="J19" s="61">
        <f>IF(OR($E19="",$F19=""),"",$D19-$I19)</f>
        <v/>
      </c>
      <c r="K19" s="20">
        <f>IF($A19="","",IF(AND($E19&lt;&gt;"",$F19&lt;&gt;""),"OK",TRIM(IF($E19="","unmatched code ","")&amp;IF($F19="","unmatched person",""))))</f>
        <v/>
      </c>
      <c r="N19" s="62" t="n"/>
      <c r="O19" s="62" t="n"/>
    </row>
    <row r="20">
      <c r="A20" s="58" t="inlineStr">
        <is>
          <t>MIF_1</t>
        </is>
      </c>
      <c r="B20" s="58" t="inlineStr">
        <is>
          <t>George</t>
        </is>
      </c>
      <c r="C20" s="59" t="n">
        <v>46223</v>
      </c>
      <c r="D20" s="60" t="n">
        <v>9</v>
      </c>
      <c r="E20" s="16">
        <f>IF($A20="","",IF(COUNTIF(Deals!$A$2:$A$355,$A20)&gt;0,$A20,""))</f>
        <v/>
      </c>
      <c r="F20" s="16">
        <f>IF($B20="","",IFERROR(INDEX(Roster!$A$2:$A$40,MATCH($B20,Roster!$A$2:$A$40,0)),IFERROR(IF(INDEX(MapTracker,MATCH($B20,MapNetSuite,0))=0,"",INDEX(MapTracker,MATCH($B20,MapNetSuite,0))),"")))</f>
        <v/>
      </c>
      <c r="G20" s="16">
        <f>IF($F20="","",IFERROR(INDEX(Roster!$B$2:$B$40,MATCH($F20,Roster!$A$2:$A$40,0)),""))</f>
        <v/>
      </c>
      <c r="H20" s="16">
        <f>IF($E20="","",IFERROR(IF(INDEX(Deals!$U$2:$U$355,MATCH($E20,Deals!$A$2:$A$355,0))=0,"",INDEX(Deals!$U$2:$U$355,MATCH($E20,Deals!$A$2:$A$355,0))),""))</f>
        <v/>
      </c>
      <c r="I20" s="18">
        <f>IF(OR($E20="",$F20=""),"",SUMIFS(Assignments!$I$2:$I$769,Assignments!$A$2:$A$769,$F20,Assignments!$C$2:$C$769,$E20))</f>
        <v/>
      </c>
      <c r="J20" s="61">
        <f>IF(OR($E20="",$F20=""),"",$D20-$I20)</f>
        <v/>
      </c>
      <c r="K20" s="20">
        <f>IF($A20="","",IF(AND($E20&lt;&gt;"",$F20&lt;&gt;""),"OK",TRIM(IF($E20="","unmatched code ","")&amp;IF($F20="","unmatched person",""))))</f>
        <v/>
      </c>
      <c r="N20" s="62" t="n"/>
      <c r="O20" s="62" t="n"/>
    </row>
    <row r="21">
      <c r="A21" s="58" t="inlineStr">
        <is>
          <t>MIF_1</t>
        </is>
      </c>
      <c r="B21" s="58" t="inlineStr">
        <is>
          <t>George</t>
        </is>
      </c>
      <c r="C21" s="59" t="n">
        <v>46230</v>
      </c>
      <c r="D21" s="60" t="n">
        <v>7</v>
      </c>
      <c r="E21" s="16">
        <f>IF($A21="","",IF(COUNTIF(Deals!$A$2:$A$355,$A21)&gt;0,$A21,""))</f>
        <v/>
      </c>
      <c r="F21" s="16">
        <f>IF($B21="","",IFERROR(INDEX(Roster!$A$2:$A$40,MATCH($B21,Roster!$A$2:$A$40,0)),IFERROR(IF(INDEX(MapTracker,MATCH($B21,MapNetSuite,0))=0,"",INDEX(MapTracker,MATCH($B21,MapNetSuite,0))),"")))</f>
        <v/>
      </c>
      <c r="G21" s="16">
        <f>IF($F21="","",IFERROR(INDEX(Roster!$B$2:$B$40,MATCH($F21,Roster!$A$2:$A$40,0)),""))</f>
        <v/>
      </c>
      <c r="H21" s="16">
        <f>IF($E21="","",IFERROR(IF(INDEX(Deals!$U$2:$U$355,MATCH($E21,Deals!$A$2:$A$355,0))=0,"",INDEX(Deals!$U$2:$U$355,MATCH($E21,Deals!$A$2:$A$355,0))),""))</f>
        <v/>
      </c>
      <c r="I21" s="18">
        <f>IF(OR($E21="",$F21=""),"",SUMIFS(Assignments!$I$2:$I$769,Assignments!$A$2:$A$769,$F21,Assignments!$C$2:$C$769,$E21))</f>
        <v/>
      </c>
      <c r="J21" s="61">
        <f>IF(OR($E21="",$F21=""),"",$D21-$I21)</f>
        <v/>
      </c>
      <c r="K21" s="20">
        <f>IF($A21="","",IF(AND($E21&lt;&gt;"",$F21&lt;&gt;""),"OK",TRIM(IF($E21="","unmatched code ","")&amp;IF($F21="","unmatched person",""))))</f>
        <v/>
      </c>
      <c r="N21" s="62" t="n"/>
      <c r="O21" s="62" t="n"/>
    </row>
    <row r="22">
      <c r="A22" s="58" t="inlineStr">
        <is>
          <t>MIF_1</t>
        </is>
      </c>
      <c r="B22" s="58" t="inlineStr">
        <is>
          <t>Vidhi</t>
        </is>
      </c>
      <c r="C22" s="59" t="n">
        <v>46223</v>
      </c>
      <c r="D22" s="60" t="n">
        <v>12</v>
      </c>
      <c r="E22" s="16">
        <f>IF($A22="","",IF(COUNTIF(Deals!$A$2:$A$355,$A22)&gt;0,$A22,""))</f>
        <v/>
      </c>
      <c r="F22" s="16">
        <f>IF($B22="","",IFERROR(INDEX(Roster!$A$2:$A$40,MATCH($B22,Roster!$A$2:$A$40,0)),IFERROR(IF(INDEX(MapTracker,MATCH($B22,MapNetSuite,0))=0,"",INDEX(MapTracker,MATCH($B22,MapNetSuite,0))),"")))</f>
        <v/>
      </c>
      <c r="G22" s="16">
        <f>IF($F22="","",IFERROR(INDEX(Roster!$B$2:$B$40,MATCH($F22,Roster!$A$2:$A$40,0)),""))</f>
        <v/>
      </c>
      <c r="H22" s="16">
        <f>IF($E22="","",IFERROR(IF(INDEX(Deals!$U$2:$U$355,MATCH($E22,Deals!$A$2:$A$355,0))=0,"",INDEX(Deals!$U$2:$U$355,MATCH($E22,Deals!$A$2:$A$355,0))),""))</f>
        <v/>
      </c>
      <c r="I22" s="18">
        <f>IF(OR($E22="",$F22=""),"",SUMIFS(Assignments!$I$2:$I$769,Assignments!$A$2:$A$769,$F22,Assignments!$C$2:$C$769,$E22))</f>
        <v/>
      </c>
      <c r="J22" s="61">
        <f>IF(OR($E22="",$F22=""),"",$D22-$I22)</f>
        <v/>
      </c>
      <c r="K22" s="20">
        <f>IF($A22="","",IF(AND($E22&lt;&gt;"",$F22&lt;&gt;""),"OK",TRIM(IF($E22="","unmatched code ","")&amp;IF($F22="","unmatched person",""))))</f>
        <v/>
      </c>
      <c r="N22" s="62" t="n"/>
      <c r="O22" s="62" t="n"/>
    </row>
    <row r="23">
      <c r="A23" s="58" t="inlineStr">
        <is>
          <t>MIF_1</t>
        </is>
      </c>
      <c r="B23" s="58" t="inlineStr">
        <is>
          <t>Vidhi</t>
        </is>
      </c>
      <c r="C23" s="59" t="n">
        <v>46230</v>
      </c>
      <c r="D23" s="60" t="n">
        <v>8</v>
      </c>
      <c r="E23" s="16">
        <f>IF($A23="","",IF(COUNTIF(Deals!$A$2:$A$355,$A23)&gt;0,$A23,""))</f>
        <v/>
      </c>
      <c r="F23" s="16">
        <f>IF($B23="","",IFERROR(INDEX(Roster!$A$2:$A$40,MATCH($B23,Roster!$A$2:$A$40,0)),IFERROR(IF(INDEX(MapTracker,MATCH($B23,MapNetSuite,0))=0,"",INDEX(MapTracker,MATCH($B23,MapNetSuite,0))),"")))</f>
        <v/>
      </c>
      <c r="G23" s="16">
        <f>IF($F23="","",IFERROR(INDEX(Roster!$B$2:$B$40,MATCH($F23,Roster!$A$2:$A$40,0)),""))</f>
        <v/>
      </c>
      <c r="H23" s="16">
        <f>IF($E23="","",IFERROR(IF(INDEX(Deals!$U$2:$U$355,MATCH($E23,Deals!$A$2:$A$355,0))=0,"",INDEX(Deals!$U$2:$U$355,MATCH($E23,Deals!$A$2:$A$355,0))),""))</f>
        <v/>
      </c>
      <c r="I23" s="18">
        <f>IF(OR($E23="",$F23=""),"",SUMIFS(Assignments!$I$2:$I$769,Assignments!$A$2:$A$769,$F23,Assignments!$C$2:$C$769,$E23))</f>
        <v/>
      </c>
      <c r="J23" s="61">
        <f>IF(OR($E23="",$F23=""),"",$D23-$I23)</f>
        <v/>
      </c>
      <c r="K23" s="20">
        <f>IF($A23="","",IF(AND($E23&lt;&gt;"",$F23&lt;&gt;""),"OK",TRIM(IF($E23="","unmatched code ","")&amp;IF($F23="","unmatched person",""))))</f>
        <v/>
      </c>
      <c r="N23" s="62" t="n"/>
      <c r="O23" s="62" t="n"/>
    </row>
    <row r="24">
      <c r="A24" s="58" t="inlineStr">
        <is>
          <t>MIF_1</t>
        </is>
      </c>
      <c r="B24" s="58" t="inlineStr">
        <is>
          <t>Vidhi</t>
        </is>
      </c>
      <c r="C24" s="59" t="n">
        <v>46237</v>
      </c>
      <c r="D24" s="60" t="n">
        <v>10</v>
      </c>
      <c r="E24" s="16">
        <f>IF($A24="","",IF(COUNTIF(Deals!$A$2:$A$355,$A24)&gt;0,$A24,""))</f>
        <v/>
      </c>
      <c r="F24" s="16">
        <f>IF($B24="","",IFERROR(INDEX(Roster!$A$2:$A$40,MATCH($B24,Roster!$A$2:$A$40,0)),IFERROR(IF(INDEX(MapTracker,MATCH($B24,MapNetSuite,0))=0,"",INDEX(MapTracker,MATCH($B24,MapNetSuite,0))),"")))</f>
        <v/>
      </c>
      <c r="G24" s="16">
        <f>IF($F24="","",IFERROR(INDEX(Roster!$B$2:$B$40,MATCH($F24,Roster!$A$2:$A$40,0)),""))</f>
        <v/>
      </c>
      <c r="H24" s="16">
        <f>IF($E24="","",IFERROR(IF(INDEX(Deals!$U$2:$U$355,MATCH($E24,Deals!$A$2:$A$355,0))=0,"",INDEX(Deals!$U$2:$U$355,MATCH($E24,Deals!$A$2:$A$355,0))),""))</f>
        <v/>
      </c>
      <c r="I24" s="18">
        <f>IF(OR($E24="",$F24=""),"",SUMIFS(Assignments!$I$2:$I$769,Assignments!$A$2:$A$769,$F24,Assignments!$C$2:$C$769,$E24))</f>
        <v/>
      </c>
      <c r="J24" s="61">
        <f>IF(OR($E24="",$F24=""),"",$D24-$I24)</f>
        <v/>
      </c>
      <c r="K24" s="20">
        <f>IF($A24="","",IF(AND($E24&lt;&gt;"",$F24&lt;&gt;""),"OK",TRIM(IF($E24="","unmatched code ","")&amp;IF($F24="","unmatched person",""))))</f>
        <v/>
      </c>
      <c r="N24" s="62" t="n"/>
      <c r="O24" s="62" t="n"/>
    </row>
    <row r="25">
      <c r="A25" s="58" t="inlineStr">
        <is>
          <t>BADCODE_9</t>
        </is>
      </c>
      <c r="B25" s="58" t="inlineStr">
        <is>
          <t>Yiyi</t>
        </is>
      </c>
      <c r="C25" s="59" t="n">
        <v>46223</v>
      </c>
      <c r="D25" s="60" t="n">
        <v>5</v>
      </c>
      <c r="E25" s="16">
        <f>IF($A25="","",IF(COUNTIF(Deals!$A$2:$A$355,$A25)&gt;0,$A25,""))</f>
        <v/>
      </c>
      <c r="F25" s="16">
        <f>IF($B25="","",IFERROR(INDEX(Roster!$A$2:$A$40,MATCH($B25,Roster!$A$2:$A$40,0)),IFERROR(IF(INDEX(MapTracker,MATCH($B25,MapNetSuite,0))=0,"",INDEX(MapTracker,MATCH($B25,MapNetSuite,0))),"")))</f>
        <v/>
      </c>
      <c r="G25" s="16">
        <f>IF($F25="","",IFERROR(INDEX(Roster!$B$2:$B$40,MATCH($F25,Roster!$A$2:$A$40,0)),""))</f>
        <v/>
      </c>
      <c r="H25" s="16">
        <f>IF($E25="","",IFERROR(IF(INDEX(Deals!$U$2:$U$355,MATCH($E25,Deals!$A$2:$A$355,0))=0,"",INDEX(Deals!$U$2:$U$355,MATCH($E25,Deals!$A$2:$A$355,0))),""))</f>
        <v/>
      </c>
      <c r="I25" s="18">
        <f>IF(OR($E25="",$F25=""),"",SUMIFS(Assignments!$I$2:$I$769,Assignments!$A$2:$A$769,$F25,Assignments!$C$2:$C$769,$E25))</f>
        <v/>
      </c>
      <c r="J25" s="61">
        <f>IF(OR($E25="",$F25=""),"",$D25-$I25)</f>
        <v/>
      </c>
      <c r="K25" s="20">
        <f>IF($A25="","",IF(AND($E25&lt;&gt;"",$F25&lt;&gt;""),"OK",TRIM(IF($E25="","unmatched code ","")&amp;IF($F25="","unmatched person",""))))</f>
        <v/>
      </c>
      <c r="N25" s="62" t="n"/>
      <c r="O25" s="62" t="n"/>
    </row>
    <row r="26">
      <c r="A26" s="58" t="inlineStr">
        <is>
          <t>Zora_1</t>
        </is>
      </c>
      <c r="B26" s="58" t="inlineStr">
        <is>
          <t>Newhire, Sam</t>
        </is>
      </c>
      <c r="C26" s="59" t="n">
        <v>46223</v>
      </c>
      <c r="D26" s="60" t="n">
        <v>8</v>
      </c>
      <c r="E26" s="16">
        <f>IF($A26="","",IF(COUNTIF(Deals!$A$2:$A$355,$A26)&gt;0,$A26,""))</f>
        <v/>
      </c>
      <c r="F26" s="16">
        <f>IF($B26="","",IFERROR(INDEX(Roster!$A$2:$A$40,MATCH($B26,Roster!$A$2:$A$40,0)),IFERROR(IF(INDEX(MapTracker,MATCH($B26,MapNetSuite,0))=0,"",INDEX(MapTracker,MATCH($B26,MapNetSuite,0))),"")))</f>
        <v/>
      </c>
      <c r="G26" s="16">
        <f>IF($F26="","",IFERROR(INDEX(Roster!$B$2:$B$40,MATCH($F26,Roster!$A$2:$A$40,0)),""))</f>
        <v/>
      </c>
      <c r="H26" s="16">
        <f>IF($E26="","",IFERROR(IF(INDEX(Deals!$U$2:$U$355,MATCH($E26,Deals!$A$2:$A$355,0))=0,"",INDEX(Deals!$U$2:$U$355,MATCH($E26,Deals!$A$2:$A$355,0))),""))</f>
        <v/>
      </c>
      <c r="I26" s="18">
        <f>IF(OR($E26="",$F26=""),"",SUMIFS(Assignments!$I$2:$I$769,Assignments!$A$2:$A$769,$F26,Assignments!$C$2:$C$769,$E26))</f>
        <v/>
      </c>
      <c r="J26" s="61">
        <f>IF(OR($E26="",$F26=""),"",$D26-$I26)</f>
        <v/>
      </c>
      <c r="K26" s="20">
        <f>IF($A26="","",IF(AND($E26&lt;&gt;"",$F26&lt;&gt;""),"OK",TRIM(IF($E26="","unmatched code ","")&amp;IF($F26="","unmatched person",""))))</f>
        <v/>
      </c>
      <c r="N26" s="62" t="n"/>
      <c r="O26" s="62" t="n"/>
    </row>
    <row r="27">
      <c r="A27" s="31" t="n"/>
      <c r="B27" s="31" t="n"/>
      <c r="C27" s="31" t="n"/>
      <c r="D27" s="31" t="n"/>
      <c r="E27" s="16">
        <f>IF($A27="","",IF(COUNTIF(Deals!$A$2:$A$355,$A27)&gt;0,$A27,""))</f>
        <v/>
      </c>
      <c r="F27" s="16">
        <f>IF($B27="","",IFERROR(INDEX(Roster!$A$2:$A$40,MATCH($B27,Roster!$A$2:$A$40,0)),IFERROR(IF(INDEX(MapTracker,MATCH($B27,MapNetSuite,0))=0,"",INDEX(MapTracker,MATCH($B27,MapNetSuite,0))),"")))</f>
        <v/>
      </c>
      <c r="G27" s="16">
        <f>IF($F27="","",IFERROR(INDEX(Roster!$B$2:$B$40,MATCH($F27,Roster!$A$2:$A$40,0)),""))</f>
        <v/>
      </c>
      <c r="H27" s="16">
        <f>IF($E27="","",IFERROR(IF(INDEX(Deals!$U$2:$U$355,MATCH($E27,Deals!$A$2:$A$355,0))=0,"",INDEX(Deals!$U$2:$U$355,MATCH($E27,Deals!$A$2:$A$355,0))),""))</f>
        <v/>
      </c>
      <c r="I27" s="18">
        <f>IF(OR($E27="",$F27=""),"",SUMIFS(Assignments!$I$2:$I$769,Assignments!$A$2:$A$769,$F27,Assignments!$C$2:$C$769,$E27))</f>
        <v/>
      </c>
      <c r="J27" s="61">
        <f>IF(OR($E27="",$F27=""),"",$D27-$I27)</f>
        <v/>
      </c>
      <c r="K27" s="20">
        <f>IF($A27="","",IF(AND($E27&lt;&gt;"",$F27&lt;&gt;""),"OK",TRIM(IF($E27="","unmatched code ","")&amp;IF($F27="","unmatched person",""))))</f>
        <v/>
      </c>
      <c r="N27" s="62" t="n"/>
      <c r="O27" s="62" t="n"/>
    </row>
    <row r="28">
      <c r="A28" s="31" t="n"/>
      <c r="B28" s="31" t="n"/>
      <c r="C28" s="31" t="n"/>
      <c r="D28" s="31" t="n"/>
      <c r="E28" s="16">
        <f>IF($A28="","",IF(COUNTIF(Deals!$A$2:$A$355,$A28)&gt;0,$A28,""))</f>
        <v/>
      </c>
      <c r="F28" s="16">
        <f>IF($B28="","",IFERROR(INDEX(Roster!$A$2:$A$40,MATCH($B28,Roster!$A$2:$A$40,0)),IFERROR(IF(INDEX(MapTracker,MATCH($B28,MapNetSuite,0))=0,"",INDEX(MapTracker,MATCH($B28,MapNetSuite,0))),"")))</f>
        <v/>
      </c>
      <c r="G28" s="16">
        <f>IF($F28="","",IFERROR(INDEX(Roster!$B$2:$B$40,MATCH($F28,Roster!$A$2:$A$40,0)),""))</f>
        <v/>
      </c>
      <c r="H28" s="16">
        <f>IF($E28="","",IFERROR(IF(INDEX(Deals!$U$2:$U$355,MATCH($E28,Deals!$A$2:$A$355,0))=0,"",INDEX(Deals!$U$2:$U$355,MATCH($E28,Deals!$A$2:$A$355,0))),""))</f>
        <v/>
      </c>
      <c r="I28" s="18">
        <f>IF(OR($E28="",$F28=""),"",SUMIFS(Assignments!$I$2:$I$769,Assignments!$A$2:$A$769,$F28,Assignments!$C$2:$C$769,$E28))</f>
        <v/>
      </c>
      <c r="J28" s="61">
        <f>IF(OR($E28="",$F28=""),"",$D28-$I28)</f>
        <v/>
      </c>
      <c r="K28" s="20">
        <f>IF($A28="","",IF(AND($E28&lt;&gt;"",$F28&lt;&gt;""),"OK",TRIM(IF($E28="","unmatched code ","")&amp;IF($F28="","unmatched person",""))))</f>
        <v/>
      </c>
      <c r="N28" s="62" t="n"/>
      <c r="O28" s="62" t="n"/>
    </row>
    <row r="29">
      <c r="A29" s="31" t="n"/>
      <c r="B29" s="31" t="n"/>
      <c r="C29" s="31" t="n"/>
      <c r="D29" s="31" t="n"/>
      <c r="E29" s="16">
        <f>IF($A29="","",IF(COUNTIF(Deals!$A$2:$A$355,$A29)&gt;0,$A29,""))</f>
        <v/>
      </c>
      <c r="F29" s="16">
        <f>IF($B29="","",IFERROR(INDEX(Roster!$A$2:$A$40,MATCH($B29,Roster!$A$2:$A$40,0)),IFERROR(IF(INDEX(MapTracker,MATCH($B29,MapNetSuite,0))=0,"",INDEX(MapTracker,MATCH($B29,MapNetSuite,0))),"")))</f>
        <v/>
      </c>
      <c r="G29" s="16">
        <f>IF($F29="","",IFERROR(INDEX(Roster!$B$2:$B$40,MATCH($F29,Roster!$A$2:$A$40,0)),""))</f>
        <v/>
      </c>
      <c r="H29" s="16">
        <f>IF($E29="","",IFERROR(IF(INDEX(Deals!$U$2:$U$355,MATCH($E29,Deals!$A$2:$A$355,0))=0,"",INDEX(Deals!$U$2:$U$355,MATCH($E29,Deals!$A$2:$A$355,0))),""))</f>
        <v/>
      </c>
      <c r="I29" s="18">
        <f>IF(OR($E29="",$F29=""),"",SUMIFS(Assignments!$I$2:$I$769,Assignments!$A$2:$A$769,$F29,Assignments!$C$2:$C$769,$E29))</f>
        <v/>
      </c>
      <c r="J29" s="61">
        <f>IF(OR($E29="",$F29=""),"",$D29-$I29)</f>
        <v/>
      </c>
      <c r="K29" s="20">
        <f>IF($A29="","",IF(AND($E29&lt;&gt;"",$F29&lt;&gt;""),"OK",TRIM(IF($E29="","unmatched code ","")&amp;IF($F29="","unmatched person",""))))</f>
        <v/>
      </c>
      <c r="N29" s="62" t="n"/>
      <c r="O29" s="62" t="n"/>
    </row>
    <row r="30">
      <c r="A30" s="31" t="n"/>
      <c r="B30" s="31" t="n"/>
      <c r="C30" s="31" t="n"/>
      <c r="D30" s="31" t="n"/>
      <c r="E30" s="16">
        <f>IF($A30="","",IF(COUNTIF(Deals!$A$2:$A$355,$A30)&gt;0,$A30,""))</f>
        <v/>
      </c>
      <c r="F30" s="16">
        <f>IF($B30="","",IFERROR(INDEX(Roster!$A$2:$A$40,MATCH($B30,Roster!$A$2:$A$40,0)),IFERROR(IF(INDEX(MapTracker,MATCH($B30,MapNetSuite,0))=0,"",INDEX(MapTracker,MATCH($B30,MapNetSuite,0))),"")))</f>
        <v/>
      </c>
      <c r="G30" s="16">
        <f>IF($F30="","",IFERROR(INDEX(Roster!$B$2:$B$40,MATCH($F30,Roster!$A$2:$A$40,0)),""))</f>
        <v/>
      </c>
      <c r="H30" s="16">
        <f>IF($E30="","",IFERROR(IF(INDEX(Deals!$U$2:$U$355,MATCH($E30,Deals!$A$2:$A$355,0))=0,"",INDEX(Deals!$U$2:$U$355,MATCH($E30,Deals!$A$2:$A$355,0))),""))</f>
        <v/>
      </c>
      <c r="I30" s="18">
        <f>IF(OR($E30="",$F30=""),"",SUMIFS(Assignments!$I$2:$I$769,Assignments!$A$2:$A$769,$F30,Assignments!$C$2:$C$769,$E30))</f>
        <v/>
      </c>
      <c r="J30" s="61">
        <f>IF(OR($E30="",$F30=""),"",$D30-$I30)</f>
        <v/>
      </c>
      <c r="K30" s="20">
        <f>IF($A30="","",IF(AND($E30&lt;&gt;"",$F30&lt;&gt;""),"OK",TRIM(IF($E30="","unmatched code ","")&amp;IF($F30="","unmatched person",""))))</f>
        <v/>
      </c>
      <c r="N30" s="62" t="n"/>
      <c r="O30" s="62" t="n"/>
    </row>
    <row r="31">
      <c r="A31" s="31" t="n"/>
      <c r="B31" s="31" t="n"/>
      <c r="C31" s="31" t="n"/>
      <c r="D31" s="31" t="n"/>
      <c r="E31" s="16">
        <f>IF($A31="","",IF(COUNTIF(Deals!$A$2:$A$355,$A31)&gt;0,$A31,""))</f>
        <v/>
      </c>
      <c r="F31" s="16">
        <f>IF($B31="","",IFERROR(INDEX(Roster!$A$2:$A$40,MATCH($B31,Roster!$A$2:$A$40,0)),IFERROR(IF(INDEX(MapTracker,MATCH($B31,MapNetSuite,0))=0,"",INDEX(MapTracker,MATCH($B31,MapNetSuite,0))),"")))</f>
        <v/>
      </c>
      <c r="G31" s="16">
        <f>IF($F31="","",IFERROR(INDEX(Roster!$B$2:$B$40,MATCH($F31,Roster!$A$2:$A$40,0)),""))</f>
        <v/>
      </c>
      <c r="H31" s="16">
        <f>IF($E31="","",IFERROR(IF(INDEX(Deals!$U$2:$U$355,MATCH($E31,Deals!$A$2:$A$355,0))=0,"",INDEX(Deals!$U$2:$U$355,MATCH($E31,Deals!$A$2:$A$355,0))),""))</f>
        <v/>
      </c>
      <c r="I31" s="18">
        <f>IF(OR($E31="",$F31=""),"",SUMIFS(Assignments!$I$2:$I$769,Assignments!$A$2:$A$769,$F31,Assignments!$C$2:$C$769,$E31))</f>
        <v/>
      </c>
      <c r="J31" s="61">
        <f>IF(OR($E31="",$F31=""),"",$D31-$I31)</f>
        <v/>
      </c>
      <c r="K31" s="20">
        <f>IF($A31="","",IF(AND($E31&lt;&gt;"",$F31&lt;&gt;""),"OK",TRIM(IF($E31="","unmatched code ","")&amp;IF($F31="","unmatched person",""))))</f>
        <v/>
      </c>
      <c r="N31" s="62" t="n"/>
      <c r="O31" s="62" t="n"/>
    </row>
    <row r="32">
      <c r="A32" s="31" t="n"/>
      <c r="B32" s="31" t="n"/>
      <c r="C32" s="31" t="n"/>
      <c r="D32" s="31" t="n"/>
      <c r="E32" s="16">
        <f>IF($A32="","",IF(COUNTIF(Deals!$A$2:$A$355,$A32)&gt;0,$A32,""))</f>
        <v/>
      </c>
      <c r="F32" s="16">
        <f>IF($B32="","",IFERROR(INDEX(Roster!$A$2:$A$40,MATCH($B32,Roster!$A$2:$A$40,0)),IFERROR(IF(INDEX(MapTracker,MATCH($B32,MapNetSuite,0))=0,"",INDEX(MapTracker,MATCH($B32,MapNetSuite,0))),"")))</f>
        <v/>
      </c>
      <c r="G32" s="16">
        <f>IF($F32="","",IFERROR(INDEX(Roster!$B$2:$B$40,MATCH($F32,Roster!$A$2:$A$40,0)),""))</f>
        <v/>
      </c>
      <c r="H32" s="16">
        <f>IF($E32="","",IFERROR(IF(INDEX(Deals!$U$2:$U$355,MATCH($E32,Deals!$A$2:$A$355,0))=0,"",INDEX(Deals!$U$2:$U$355,MATCH($E32,Deals!$A$2:$A$355,0))),""))</f>
        <v/>
      </c>
      <c r="I32" s="18">
        <f>IF(OR($E32="",$F32=""),"",SUMIFS(Assignments!$I$2:$I$769,Assignments!$A$2:$A$769,$F32,Assignments!$C$2:$C$769,$E32))</f>
        <v/>
      </c>
      <c r="J32" s="61">
        <f>IF(OR($E32="",$F32=""),"",$D32-$I32)</f>
        <v/>
      </c>
      <c r="K32" s="20">
        <f>IF($A32="","",IF(AND($E32&lt;&gt;"",$F32&lt;&gt;""),"OK",TRIM(IF($E32="","unmatched code ","")&amp;IF($F32="","unmatched person",""))))</f>
        <v/>
      </c>
      <c r="N32" s="62" t="n"/>
      <c r="O32" s="62" t="n"/>
    </row>
    <row r="33">
      <c r="A33" s="31" t="n"/>
      <c r="B33" s="31" t="n"/>
      <c r="C33" s="31" t="n"/>
      <c r="D33" s="31" t="n"/>
      <c r="E33" s="16">
        <f>IF($A33="","",IF(COUNTIF(Deals!$A$2:$A$355,$A33)&gt;0,$A33,""))</f>
        <v/>
      </c>
      <c r="F33" s="16">
        <f>IF($B33="","",IFERROR(INDEX(Roster!$A$2:$A$40,MATCH($B33,Roster!$A$2:$A$40,0)),IFERROR(IF(INDEX(MapTracker,MATCH($B33,MapNetSuite,0))=0,"",INDEX(MapTracker,MATCH($B33,MapNetSuite,0))),"")))</f>
        <v/>
      </c>
      <c r="G33" s="16">
        <f>IF($F33="","",IFERROR(INDEX(Roster!$B$2:$B$40,MATCH($F33,Roster!$A$2:$A$40,0)),""))</f>
        <v/>
      </c>
      <c r="H33" s="16">
        <f>IF($E33="","",IFERROR(IF(INDEX(Deals!$U$2:$U$355,MATCH($E33,Deals!$A$2:$A$355,0))=0,"",INDEX(Deals!$U$2:$U$355,MATCH($E33,Deals!$A$2:$A$355,0))),""))</f>
        <v/>
      </c>
      <c r="I33" s="18">
        <f>IF(OR($E33="",$F33=""),"",SUMIFS(Assignments!$I$2:$I$769,Assignments!$A$2:$A$769,$F33,Assignments!$C$2:$C$769,$E33))</f>
        <v/>
      </c>
      <c r="J33" s="61">
        <f>IF(OR($E33="",$F33=""),"",$D33-$I33)</f>
        <v/>
      </c>
      <c r="K33" s="20">
        <f>IF($A33="","",IF(AND($E33&lt;&gt;"",$F33&lt;&gt;""),"OK",TRIM(IF($E33="","unmatched code ","")&amp;IF($F33="","unmatched person",""))))</f>
        <v/>
      </c>
      <c r="N33" s="62" t="n"/>
      <c r="O33" s="62" t="n"/>
    </row>
    <row r="34">
      <c r="A34" s="31" t="n"/>
      <c r="B34" s="31" t="n"/>
      <c r="C34" s="31" t="n"/>
      <c r="D34" s="31" t="n"/>
      <c r="E34" s="16">
        <f>IF($A34="","",IF(COUNTIF(Deals!$A$2:$A$355,$A34)&gt;0,$A34,""))</f>
        <v/>
      </c>
      <c r="F34" s="16">
        <f>IF($B34="","",IFERROR(INDEX(Roster!$A$2:$A$40,MATCH($B34,Roster!$A$2:$A$40,0)),IFERROR(IF(INDEX(MapTracker,MATCH($B34,MapNetSuite,0))=0,"",INDEX(MapTracker,MATCH($B34,MapNetSuite,0))),"")))</f>
        <v/>
      </c>
      <c r="G34" s="16">
        <f>IF($F34="","",IFERROR(INDEX(Roster!$B$2:$B$40,MATCH($F34,Roster!$A$2:$A$40,0)),""))</f>
        <v/>
      </c>
      <c r="H34" s="16">
        <f>IF($E34="","",IFERROR(IF(INDEX(Deals!$U$2:$U$355,MATCH($E34,Deals!$A$2:$A$355,0))=0,"",INDEX(Deals!$U$2:$U$355,MATCH($E34,Deals!$A$2:$A$355,0))),""))</f>
        <v/>
      </c>
      <c r="I34" s="18">
        <f>IF(OR($E34="",$F34=""),"",SUMIFS(Assignments!$I$2:$I$769,Assignments!$A$2:$A$769,$F34,Assignments!$C$2:$C$769,$E34))</f>
        <v/>
      </c>
      <c r="J34" s="61">
        <f>IF(OR($E34="",$F34=""),"",$D34-$I34)</f>
        <v/>
      </c>
      <c r="K34" s="20">
        <f>IF($A34="","",IF(AND($E34&lt;&gt;"",$F34&lt;&gt;""),"OK",TRIM(IF($E34="","unmatched code ","")&amp;IF($F34="","unmatched person",""))))</f>
        <v/>
      </c>
      <c r="N34" s="62" t="n"/>
      <c r="O34" s="62" t="n"/>
    </row>
    <row r="35">
      <c r="A35" s="31" t="n"/>
      <c r="B35" s="31" t="n"/>
      <c r="C35" s="31" t="n"/>
      <c r="D35" s="31" t="n"/>
      <c r="E35" s="16">
        <f>IF($A35="","",IF(COUNTIF(Deals!$A$2:$A$355,$A35)&gt;0,$A35,""))</f>
        <v/>
      </c>
      <c r="F35" s="16">
        <f>IF($B35="","",IFERROR(INDEX(Roster!$A$2:$A$40,MATCH($B35,Roster!$A$2:$A$40,0)),IFERROR(IF(INDEX(MapTracker,MATCH($B35,MapNetSuite,0))=0,"",INDEX(MapTracker,MATCH($B35,MapNetSuite,0))),"")))</f>
        <v/>
      </c>
      <c r="G35" s="16">
        <f>IF($F35="","",IFERROR(INDEX(Roster!$B$2:$B$40,MATCH($F35,Roster!$A$2:$A$40,0)),""))</f>
        <v/>
      </c>
      <c r="H35" s="16">
        <f>IF($E35="","",IFERROR(IF(INDEX(Deals!$U$2:$U$355,MATCH($E35,Deals!$A$2:$A$355,0))=0,"",INDEX(Deals!$U$2:$U$355,MATCH($E35,Deals!$A$2:$A$355,0))),""))</f>
        <v/>
      </c>
      <c r="I35" s="18">
        <f>IF(OR($E35="",$F35=""),"",SUMIFS(Assignments!$I$2:$I$769,Assignments!$A$2:$A$769,$F35,Assignments!$C$2:$C$769,$E35))</f>
        <v/>
      </c>
      <c r="J35" s="61">
        <f>IF(OR($E35="",$F35=""),"",$D35-$I35)</f>
        <v/>
      </c>
      <c r="K35" s="20">
        <f>IF($A35="","",IF(AND($E35&lt;&gt;"",$F35&lt;&gt;""),"OK",TRIM(IF($E35="","unmatched code ","")&amp;IF($F35="","unmatched person",""))))</f>
        <v/>
      </c>
      <c r="N35" s="62" t="n"/>
      <c r="O35" s="62" t="n"/>
    </row>
    <row r="36">
      <c r="A36" s="31" t="n"/>
      <c r="B36" s="31" t="n"/>
      <c r="C36" s="31" t="n"/>
      <c r="D36" s="31" t="n"/>
      <c r="E36" s="16">
        <f>IF($A36="","",IF(COUNTIF(Deals!$A$2:$A$355,$A36)&gt;0,$A36,""))</f>
        <v/>
      </c>
      <c r="F36" s="16">
        <f>IF($B36="","",IFERROR(INDEX(Roster!$A$2:$A$40,MATCH($B36,Roster!$A$2:$A$40,0)),IFERROR(IF(INDEX(MapTracker,MATCH($B36,MapNetSuite,0))=0,"",INDEX(MapTracker,MATCH($B36,MapNetSuite,0))),"")))</f>
        <v/>
      </c>
      <c r="G36" s="16">
        <f>IF($F36="","",IFERROR(INDEX(Roster!$B$2:$B$40,MATCH($F36,Roster!$A$2:$A$40,0)),""))</f>
        <v/>
      </c>
      <c r="H36" s="16">
        <f>IF($E36="","",IFERROR(IF(INDEX(Deals!$U$2:$U$355,MATCH($E36,Deals!$A$2:$A$355,0))=0,"",INDEX(Deals!$U$2:$U$355,MATCH($E36,Deals!$A$2:$A$355,0))),""))</f>
        <v/>
      </c>
      <c r="I36" s="18">
        <f>IF(OR($E36="",$F36=""),"",SUMIFS(Assignments!$I$2:$I$769,Assignments!$A$2:$A$769,$F36,Assignments!$C$2:$C$769,$E36))</f>
        <v/>
      </c>
      <c r="J36" s="61">
        <f>IF(OR($E36="",$F36=""),"",$D36-$I36)</f>
        <v/>
      </c>
      <c r="K36" s="20">
        <f>IF($A36="","",IF(AND($E36&lt;&gt;"",$F36&lt;&gt;""),"OK",TRIM(IF($E36="","unmatched code ","")&amp;IF($F36="","unmatched person",""))))</f>
        <v/>
      </c>
      <c r="N36" s="62" t="n"/>
      <c r="O36" s="62" t="n"/>
    </row>
    <row r="37">
      <c r="A37" s="31" t="n"/>
      <c r="B37" s="31" t="n"/>
      <c r="C37" s="31" t="n"/>
      <c r="D37" s="31" t="n"/>
      <c r="E37" s="16">
        <f>IF($A37="","",IF(COUNTIF(Deals!$A$2:$A$355,$A37)&gt;0,$A37,""))</f>
        <v/>
      </c>
      <c r="F37" s="16">
        <f>IF($B37="","",IFERROR(INDEX(Roster!$A$2:$A$40,MATCH($B37,Roster!$A$2:$A$40,0)),IFERROR(IF(INDEX(MapTracker,MATCH($B37,MapNetSuite,0))=0,"",INDEX(MapTracker,MATCH($B37,MapNetSuite,0))),"")))</f>
        <v/>
      </c>
      <c r="G37" s="16">
        <f>IF($F37="","",IFERROR(INDEX(Roster!$B$2:$B$40,MATCH($F37,Roster!$A$2:$A$40,0)),""))</f>
        <v/>
      </c>
      <c r="H37" s="16">
        <f>IF($E37="","",IFERROR(IF(INDEX(Deals!$U$2:$U$355,MATCH($E37,Deals!$A$2:$A$355,0))=0,"",INDEX(Deals!$U$2:$U$355,MATCH($E37,Deals!$A$2:$A$355,0))),""))</f>
        <v/>
      </c>
      <c r="I37" s="18">
        <f>IF(OR($E37="",$F37=""),"",SUMIFS(Assignments!$I$2:$I$769,Assignments!$A$2:$A$769,$F37,Assignments!$C$2:$C$769,$E37))</f>
        <v/>
      </c>
      <c r="J37" s="61">
        <f>IF(OR($E37="",$F37=""),"",$D37-$I37)</f>
        <v/>
      </c>
      <c r="K37" s="20">
        <f>IF($A37="","",IF(AND($E37&lt;&gt;"",$F37&lt;&gt;""),"OK",TRIM(IF($E37="","unmatched code ","")&amp;IF($F37="","unmatched person",""))))</f>
        <v/>
      </c>
      <c r="N37" s="62" t="n"/>
      <c r="O37" s="62" t="n"/>
    </row>
    <row r="38">
      <c r="A38" s="31" t="n"/>
      <c r="B38" s="31" t="n"/>
      <c r="C38" s="31" t="n"/>
      <c r="D38" s="31" t="n"/>
      <c r="E38" s="16">
        <f>IF($A38="","",IF(COUNTIF(Deals!$A$2:$A$355,$A38)&gt;0,$A38,""))</f>
        <v/>
      </c>
      <c r="F38" s="16">
        <f>IF($B38="","",IFERROR(INDEX(Roster!$A$2:$A$40,MATCH($B38,Roster!$A$2:$A$40,0)),IFERROR(IF(INDEX(MapTracker,MATCH($B38,MapNetSuite,0))=0,"",INDEX(MapTracker,MATCH($B38,MapNetSuite,0))),"")))</f>
        <v/>
      </c>
      <c r="G38" s="16">
        <f>IF($F38="","",IFERROR(INDEX(Roster!$B$2:$B$40,MATCH($F38,Roster!$A$2:$A$40,0)),""))</f>
        <v/>
      </c>
      <c r="H38" s="16">
        <f>IF($E38="","",IFERROR(IF(INDEX(Deals!$U$2:$U$355,MATCH($E38,Deals!$A$2:$A$355,0))=0,"",INDEX(Deals!$U$2:$U$355,MATCH($E38,Deals!$A$2:$A$355,0))),""))</f>
        <v/>
      </c>
      <c r="I38" s="18">
        <f>IF(OR($E38="",$F38=""),"",SUMIFS(Assignments!$I$2:$I$769,Assignments!$A$2:$A$769,$F38,Assignments!$C$2:$C$769,$E38))</f>
        <v/>
      </c>
      <c r="J38" s="61">
        <f>IF(OR($E38="",$F38=""),"",$D38-$I38)</f>
        <v/>
      </c>
      <c r="K38" s="20">
        <f>IF($A38="","",IF(AND($E38&lt;&gt;"",$F38&lt;&gt;""),"OK",TRIM(IF($E38="","unmatched code ","")&amp;IF($F38="","unmatched person",""))))</f>
        <v/>
      </c>
      <c r="N38" s="62" t="n"/>
      <c r="O38" s="62" t="n"/>
    </row>
    <row r="39">
      <c r="A39" s="31" t="n"/>
      <c r="B39" s="31" t="n"/>
      <c r="C39" s="31" t="n"/>
      <c r="D39" s="31" t="n"/>
      <c r="E39" s="16">
        <f>IF($A39="","",IF(COUNTIF(Deals!$A$2:$A$355,$A39)&gt;0,$A39,""))</f>
        <v/>
      </c>
      <c r="F39" s="16">
        <f>IF($B39="","",IFERROR(INDEX(Roster!$A$2:$A$40,MATCH($B39,Roster!$A$2:$A$40,0)),IFERROR(IF(INDEX(MapTracker,MATCH($B39,MapNetSuite,0))=0,"",INDEX(MapTracker,MATCH($B39,MapNetSuite,0))),"")))</f>
        <v/>
      </c>
      <c r="G39" s="16">
        <f>IF($F39="","",IFERROR(INDEX(Roster!$B$2:$B$40,MATCH($F39,Roster!$A$2:$A$40,0)),""))</f>
        <v/>
      </c>
      <c r="H39" s="16">
        <f>IF($E39="","",IFERROR(IF(INDEX(Deals!$U$2:$U$355,MATCH($E39,Deals!$A$2:$A$355,0))=0,"",INDEX(Deals!$U$2:$U$355,MATCH($E39,Deals!$A$2:$A$355,0))),""))</f>
        <v/>
      </c>
      <c r="I39" s="18">
        <f>IF(OR($E39="",$F39=""),"",SUMIFS(Assignments!$I$2:$I$769,Assignments!$A$2:$A$769,$F39,Assignments!$C$2:$C$769,$E39))</f>
        <v/>
      </c>
      <c r="J39" s="61">
        <f>IF(OR($E39="",$F39=""),"",$D39-$I39)</f>
        <v/>
      </c>
      <c r="K39" s="20">
        <f>IF($A39="","",IF(AND($E39&lt;&gt;"",$F39&lt;&gt;""),"OK",TRIM(IF($E39="","unmatched code ","")&amp;IF($F39="","unmatched person",""))))</f>
        <v/>
      </c>
      <c r="N39" s="62" t="n"/>
      <c r="O39" s="62" t="n"/>
    </row>
    <row r="40">
      <c r="A40" s="31" t="n"/>
      <c r="B40" s="31" t="n"/>
      <c r="C40" s="31" t="n"/>
      <c r="D40" s="31" t="n"/>
      <c r="E40" s="16">
        <f>IF($A40="","",IF(COUNTIF(Deals!$A$2:$A$355,$A40)&gt;0,$A40,""))</f>
        <v/>
      </c>
      <c r="F40" s="16">
        <f>IF($B40="","",IFERROR(INDEX(Roster!$A$2:$A$40,MATCH($B40,Roster!$A$2:$A$40,0)),IFERROR(IF(INDEX(MapTracker,MATCH($B40,MapNetSuite,0))=0,"",INDEX(MapTracker,MATCH($B40,MapNetSuite,0))),"")))</f>
        <v/>
      </c>
      <c r="G40" s="16">
        <f>IF($F40="","",IFERROR(INDEX(Roster!$B$2:$B$40,MATCH($F40,Roster!$A$2:$A$40,0)),""))</f>
        <v/>
      </c>
      <c r="H40" s="16">
        <f>IF($E40="","",IFERROR(IF(INDEX(Deals!$U$2:$U$355,MATCH($E40,Deals!$A$2:$A$355,0))=0,"",INDEX(Deals!$U$2:$U$355,MATCH($E40,Deals!$A$2:$A$355,0))),""))</f>
        <v/>
      </c>
      <c r="I40" s="18">
        <f>IF(OR($E40="",$F40=""),"",SUMIFS(Assignments!$I$2:$I$769,Assignments!$A$2:$A$769,$F40,Assignments!$C$2:$C$769,$E40))</f>
        <v/>
      </c>
      <c r="J40" s="61">
        <f>IF(OR($E40="",$F40=""),"",$D40-$I40)</f>
        <v/>
      </c>
      <c r="K40" s="20">
        <f>IF($A40="","",IF(AND($E40&lt;&gt;"",$F40&lt;&gt;""),"OK",TRIM(IF($E40="","unmatched code ","")&amp;IF($F40="","unmatched person",""))))</f>
        <v/>
      </c>
      <c r="N40" s="62" t="n"/>
      <c r="O40" s="62" t="n"/>
    </row>
    <row r="41">
      <c r="A41" s="31" t="n"/>
      <c r="B41" s="31" t="n"/>
      <c r="C41" s="31" t="n"/>
      <c r="D41" s="31" t="n"/>
      <c r="E41" s="16">
        <f>IF($A41="","",IF(COUNTIF(Deals!$A$2:$A$355,$A41)&gt;0,$A41,""))</f>
        <v/>
      </c>
      <c r="F41" s="16">
        <f>IF($B41="","",IFERROR(INDEX(Roster!$A$2:$A$40,MATCH($B41,Roster!$A$2:$A$40,0)),IFERROR(IF(INDEX(MapTracker,MATCH($B41,MapNetSuite,0))=0,"",INDEX(MapTracker,MATCH($B41,MapNetSuite,0))),"")))</f>
        <v/>
      </c>
      <c r="G41" s="16">
        <f>IF($F41="","",IFERROR(INDEX(Roster!$B$2:$B$40,MATCH($F41,Roster!$A$2:$A$40,0)),""))</f>
        <v/>
      </c>
      <c r="H41" s="16">
        <f>IF($E41="","",IFERROR(IF(INDEX(Deals!$U$2:$U$355,MATCH($E41,Deals!$A$2:$A$355,0))=0,"",INDEX(Deals!$U$2:$U$355,MATCH($E41,Deals!$A$2:$A$355,0))),""))</f>
        <v/>
      </c>
      <c r="I41" s="18">
        <f>IF(OR($E41="",$F41=""),"",SUMIFS(Assignments!$I$2:$I$769,Assignments!$A$2:$A$769,$F41,Assignments!$C$2:$C$769,$E41))</f>
        <v/>
      </c>
      <c r="J41" s="61">
        <f>IF(OR($E41="",$F41=""),"",$D41-$I41)</f>
        <v/>
      </c>
      <c r="K41" s="20">
        <f>IF($A41="","",IF(AND($E41&lt;&gt;"",$F41&lt;&gt;""),"OK",TRIM(IF($E41="","unmatched code ","")&amp;IF($F41="","unmatched person",""))))</f>
        <v/>
      </c>
      <c r="N41" s="62" t="n"/>
      <c r="O41" s="62" t="n"/>
    </row>
    <row r="42">
      <c r="A42" s="31" t="n"/>
      <c r="B42" s="31" t="n"/>
      <c r="C42" s="31" t="n"/>
      <c r="D42" s="31" t="n"/>
      <c r="E42" s="16">
        <f>IF($A42="","",IF(COUNTIF(Deals!$A$2:$A$355,$A42)&gt;0,$A42,""))</f>
        <v/>
      </c>
      <c r="F42" s="16">
        <f>IF($B42="","",IFERROR(INDEX(Roster!$A$2:$A$40,MATCH($B42,Roster!$A$2:$A$40,0)),IFERROR(IF(INDEX(MapTracker,MATCH($B42,MapNetSuite,0))=0,"",INDEX(MapTracker,MATCH($B42,MapNetSuite,0))),"")))</f>
        <v/>
      </c>
      <c r="G42" s="16">
        <f>IF($F42="","",IFERROR(INDEX(Roster!$B$2:$B$40,MATCH($F42,Roster!$A$2:$A$40,0)),""))</f>
        <v/>
      </c>
      <c r="H42" s="16">
        <f>IF($E42="","",IFERROR(IF(INDEX(Deals!$U$2:$U$355,MATCH($E42,Deals!$A$2:$A$355,0))=0,"",INDEX(Deals!$U$2:$U$355,MATCH($E42,Deals!$A$2:$A$355,0))),""))</f>
        <v/>
      </c>
      <c r="I42" s="18">
        <f>IF(OR($E42="",$F42=""),"",SUMIFS(Assignments!$I$2:$I$769,Assignments!$A$2:$A$769,$F42,Assignments!$C$2:$C$769,$E42))</f>
        <v/>
      </c>
      <c r="J42" s="61">
        <f>IF(OR($E42="",$F42=""),"",$D42-$I42)</f>
        <v/>
      </c>
      <c r="K42" s="20">
        <f>IF($A42="","",IF(AND($E42&lt;&gt;"",$F42&lt;&gt;""),"OK",TRIM(IF($E42="","unmatched code ","")&amp;IF($F42="","unmatched person",""))))</f>
        <v/>
      </c>
      <c r="N42" s="62" t="n"/>
      <c r="O42" s="62" t="n"/>
    </row>
    <row r="43">
      <c r="A43" s="31" t="n"/>
      <c r="B43" s="31" t="n"/>
      <c r="C43" s="31" t="n"/>
      <c r="D43" s="31" t="n"/>
      <c r="E43" s="16">
        <f>IF($A43="","",IF(COUNTIF(Deals!$A$2:$A$355,$A43)&gt;0,$A43,""))</f>
        <v/>
      </c>
      <c r="F43" s="16">
        <f>IF($B43="","",IFERROR(INDEX(Roster!$A$2:$A$40,MATCH($B43,Roster!$A$2:$A$40,0)),IFERROR(IF(INDEX(MapTracker,MATCH($B43,MapNetSuite,0))=0,"",INDEX(MapTracker,MATCH($B43,MapNetSuite,0))),"")))</f>
        <v/>
      </c>
      <c r="G43" s="16">
        <f>IF($F43="","",IFERROR(INDEX(Roster!$B$2:$B$40,MATCH($F43,Roster!$A$2:$A$40,0)),""))</f>
        <v/>
      </c>
      <c r="H43" s="16">
        <f>IF($E43="","",IFERROR(IF(INDEX(Deals!$U$2:$U$355,MATCH($E43,Deals!$A$2:$A$355,0))=0,"",INDEX(Deals!$U$2:$U$355,MATCH($E43,Deals!$A$2:$A$355,0))),""))</f>
        <v/>
      </c>
      <c r="I43" s="18">
        <f>IF(OR($E43="",$F43=""),"",SUMIFS(Assignments!$I$2:$I$769,Assignments!$A$2:$A$769,$F43,Assignments!$C$2:$C$769,$E43))</f>
        <v/>
      </c>
      <c r="J43" s="61">
        <f>IF(OR($E43="",$F43=""),"",$D43-$I43)</f>
        <v/>
      </c>
      <c r="K43" s="20">
        <f>IF($A43="","",IF(AND($E43&lt;&gt;"",$F43&lt;&gt;""),"OK",TRIM(IF($E43="","unmatched code ","")&amp;IF($F43="","unmatched person",""))))</f>
        <v/>
      </c>
      <c r="N43" s="62" t="n"/>
      <c r="O43" s="62" t="n"/>
    </row>
    <row r="44">
      <c r="A44" s="31" t="n"/>
      <c r="B44" s="31" t="n"/>
      <c r="C44" s="31" t="n"/>
      <c r="D44" s="31" t="n"/>
      <c r="E44" s="16">
        <f>IF($A44="","",IF(COUNTIF(Deals!$A$2:$A$355,$A44)&gt;0,$A44,""))</f>
        <v/>
      </c>
      <c r="F44" s="16">
        <f>IF($B44="","",IFERROR(INDEX(Roster!$A$2:$A$40,MATCH($B44,Roster!$A$2:$A$40,0)),IFERROR(IF(INDEX(MapTracker,MATCH($B44,MapNetSuite,0))=0,"",INDEX(MapTracker,MATCH($B44,MapNetSuite,0))),"")))</f>
        <v/>
      </c>
      <c r="G44" s="16">
        <f>IF($F44="","",IFERROR(INDEX(Roster!$B$2:$B$40,MATCH($F44,Roster!$A$2:$A$40,0)),""))</f>
        <v/>
      </c>
      <c r="H44" s="16">
        <f>IF($E44="","",IFERROR(IF(INDEX(Deals!$U$2:$U$355,MATCH($E44,Deals!$A$2:$A$355,0))=0,"",INDEX(Deals!$U$2:$U$355,MATCH($E44,Deals!$A$2:$A$355,0))),""))</f>
        <v/>
      </c>
      <c r="I44" s="18">
        <f>IF(OR($E44="",$F44=""),"",SUMIFS(Assignments!$I$2:$I$769,Assignments!$A$2:$A$769,$F44,Assignments!$C$2:$C$769,$E44))</f>
        <v/>
      </c>
      <c r="J44" s="61">
        <f>IF(OR($E44="",$F44=""),"",$D44-$I44)</f>
        <v/>
      </c>
      <c r="K44" s="20">
        <f>IF($A44="","",IF(AND($E44&lt;&gt;"",$F44&lt;&gt;""),"OK",TRIM(IF($E44="","unmatched code ","")&amp;IF($F44="","unmatched person",""))))</f>
        <v/>
      </c>
      <c r="N44" s="62" t="n"/>
      <c r="O44" s="62" t="n"/>
    </row>
    <row r="45">
      <c r="A45" s="31" t="n"/>
      <c r="B45" s="31" t="n"/>
      <c r="C45" s="31" t="n"/>
      <c r="D45" s="31" t="n"/>
      <c r="E45" s="16">
        <f>IF($A45="","",IF(COUNTIF(Deals!$A$2:$A$355,$A45)&gt;0,$A45,""))</f>
        <v/>
      </c>
      <c r="F45" s="16">
        <f>IF($B45="","",IFERROR(INDEX(Roster!$A$2:$A$40,MATCH($B45,Roster!$A$2:$A$40,0)),IFERROR(IF(INDEX(MapTracker,MATCH($B45,MapNetSuite,0))=0,"",INDEX(MapTracker,MATCH($B45,MapNetSuite,0))),"")))</f>
        <v/>
      </c>
      <c r="G45" s="16">
        <f>IF($F45="","",IFERROR(INDEX(Roster!$B$2:$B$40,MATCH($F45,Roster!$A$2:$A$40,0)),""))</f>
        <v/>
      </c>
      <c r="H45" s="16">
        <f>IF($E45="","",IFERROR(IF(INDEX(Deals!$U$2:$U$355,MATCH($E45,Deals!$A$2:$A$355,0))=0,"",INDEX(Deals!$U$2:$U$355,MATCH($E45,Deals!$A$2:$A$355,0))),""))</f>
        <v/>
      </c>
      <c r="I45" s="18">
        <f>IF(OR($E45="",$F45=""),"",SUMIFS(Assignments!$I$2:$I$769,Assignments!$A$2:$A$769,$F45,Assignments!$C$2:$C$769,$E45))</f>
        <v/>
      </c>
      <c r="J45" s="61">
        <f>IF(OR($E45="",$F45=""),"",$D45-$I45)</f>
        <v/>
      </c>
      <c r="K45" s="20">
        <f>IF($A45="","",IF(AND($E45&lt;&gt;"",$F45&lt;&gt;""),"OK",TRIM(IF($E45="","unmatched code ","")&amp;IF($F45="","unmatched person",""))))</f>
        <v/>
      </c>
    </row>
    <row r="46">
      <c r="A46" s="31" t="n"/>
      <c r="B46" s="31" t="n"/>
      <c r="C46" s="31" t="n"/>
      <c r="D46" s="31" t="n"/>
      <c r="E46" s="16">
        <f>IF($A46="","",IF(COUNTIF(Deals!$A$2:$A$355,$A46)&gt;0,$A46,""))</f>
        <v/>
      </c>
      <c r="F46" s="16">
        <f>IF($B46="","",IFERROR(INDEX(Roster!$A$2:$A$40,MATCH($B46,Roster!$A$2:$A$40,0)),IFERROR(IF(INDEX(MapTracker,MATCH($B46,MapNetSuite,0))=0,"",INDEX(MapTracker,MATCH($B46,MapNetSuite,0))),"")))</f>
        <v/>
      </c>
      <c r="G46" s="16">
        <f>IF($F46="","",IFERROR(INDEX(Roster!$B$2:$B$40,MATCH($F46,Roster!$A$2:$A$40,0)),""))</f>
        <v/>
      </c>
      <c r="H46" s="16">
        <f>IF($E46="","",IFERROR(IF(INDEX(Deals!$U$2:$U$355,MATCH($E46,Deals!$A$2:$A$355,0))=0,"",INDEX(Deals!$U$2:$U$355,MATCH($E46,Deals!$A$2:$A$355,0))),""))</f>
        <v/>
      </c>
      <c r="I46" s="18">
        <f>IF(OR($E46="",$F46=""),"",SUMIFS(Assignments!$I$2:$I$769,Assignments!$A$2:$A$769,$F46,Assignments!$C$2:$C$769,$E46))</f>
        <v/>
      </c>
      <c r="J46" s="61">
        <f>IF(OR($E46="",$F46=""),"",$D46-$I46)</f>
        <v/>
      </c>
      <c r="K46" s="20">
        <f>IF($A46="","",IF(AND($E46&lt;&gt;"",$F46&lt;&gt;""),"OK",TRIM(IF($E46="","unmatched code ","")&amp;IF($F46="","unmatched person",""))))</f>
        <v/>
      </c>
    </row>
    <row r="47">
      <c r="A47" s="31" t="n"/>
      <c r="B47" s="31" t="n"/>
      <c r="C47" s="31" t="n"/>
      <c r="D47" s="31" t="n"/>
      <c r="E47" s="16">
        <f>IF($A47="","",IF(COUNTIF(Deals!$A$2:$A$355,$A47)&gt;0,$A47,""))</f>
        <v/>
      </c>
      <c r="F47" s="16">
        <f>IF($B47="","",IFERROR(INDEX(Roster!$A$2:$A$40,MATCH($B47,Roster!$A$2:$A$40,0)),IFERROR(IF(INDEX(MapTracker,MATCH($B47,MapNetSuite,0))=0,"",INDEX(MapTracker,MATCH($B47,MapNetSuite,0))),"")))</f>
        <v/>
      </c>
      <c r="G47" s="16">
        <f>IF($F47="","",IFERROR(INDEX(Roster!$B$2:$B$40,MATCH($F47,Roster!$A$2:$A$40,0)),""))</f>
        <v/>
      </c>
      <c r="H47" s="16">
        <f>IF($E47="","",IFERROR(IF(INDEX(Deals!$U$2:$U$355,MATCH($E47,Deals!$A$2:$A$355,0))=0,"",INDEX(Deals!$U$2:$U$355,MATCH($E47,Deals!$A$2:$A$355,0))),""))</f>
        <v/>
      </c>
      <c r="I47" s="18">
        <f>IF(OR($E47="",$F47=""),"",SUMIFS(Assignments!$I$2:$I$769,Assignments!$A$2:$A$769,$F47,Assignments!$C$2:$C$769,$E47))</f>
        <v/>
      </c>
      <c r="J47" s="61">
        <f>IF(OR($E47="",$F47=""),"",$D47-$I47)</f>
        <v/>
      </c>
      <c r="K47" s="20">
        <f>IF($A47="","",IF(AND($E47&lt;&gt;"",$F47&lt;&gt;""),"OK",TRIM(IF($E47="","unmatched code ","")&amp;IF($F47="","unmatched person",""))))</f>
        <v/>
      </c>
    </row>
    <row r="48">
      <c r="A48" s="31" t="n"/>
      <c r="B48" s="31" t="n"/>
      <c r="C48" s="31" t="n"/>
      <c r="D48" s="31" t="n"/>
      <c r="E48" s="16">
        <f>IF($A48="","",IF(COUNTIF(Deals!$A$2:$A$355,$A48)&gt;0,$A48,""))</f>
        <v/>
      </c>
      <c r="F48" s="16">
        <f>IF($B48="","",IFERROR(INDEX(Roster!$A$2:$A$40,MATCH($B48,Roster!$A$2:$A$40,0)),IFERROR(IF(INDEX(MapTracker,MATCH($B48,MapNetSuite,0))=0,"",INDEX(MapTracker,MATCH($B48,MapNetSuite,0))),"")))</f>
        <v/>
      </c>
      <c r="G48" s="16">
        <f>IF($F48="","",IFERROR(INDEX(Roster!$B$2:$B$40,MATCH($F48,Roster!$A$2:$A$40,0)),""))</f>
        <v/>
      </c>
      <c r="H48" s="16">
        <f>IF($E48="","",IFERROR(IF(INDEX(Deals!$U$2:$U$355,MATCH($E48,Deals!$A$2:$A$355,0))=0,"",INDEX(Deals!$U$2:$U$355,MATCH($E48,Deals!$A$2:$A$355,0))),""))</f>
        <v/>
      </c>
      <c r="I48" s="18">
        <f>IF(OR($E48="",$F48=""),"",SUMIFS(Assignments!$I$2:$I$769,Assignments!$A$2:$A$769,$F48,Assignments!$C$2:$C$769,$E48))</f>
        <v/>
      </c>
      <c r="J48" s="61">
        <f>IF(OR($E48="",$F48=""),"",$D48-$I48)</f>
        <v/>
      </c>
      <c r="K48" s="20">
        <f>IF($A48="","",IF(AND($E48&lt;&gt;"",$F48&lt;&gt;""),"OK",TRIM(IF($E48="","unmatched code ","")&amp;IF($F48="","unmatched person",""))))</f>
        <v/>
      </c>
    </row>
    <row r="49">
      <c r="A49" s="31" t="n"/>
      <c r="B49" s="31" t="n"/>
      <c r="C49" s="31" t="n"/>
      <c r="D49" s="31" t="n"/>
      <c r="E49" s="16">
        <f>IF($A49="","",IF(COUNTIF(Deals!$A$2:$A$355,$A49)&gt;0,$A49,""))</f>
        <v/>
      </c>
      <c r="F49" s="16">
        <f>IF($B49="","",IFERROR(INDEX(Roster!$A$2:$A$40,MATCH($B49,Roster!$A$2:$A$40,0)),IFERROR(IF(INDEX(MapTracker,MATCH($B49,MapNetSuite,0))=0,"",INDEX(MapTracker,MATCH($B49,MapNetSuite,0))),"")))</f>
        <v/>
      </c>
      <c r="G49" s="16">
        <f>IF($F49="","",IFERROR(INDEX(Roster!$B$2:$B$40,MATCH($F49,Roster!$A$2:$A$40,0)),""))</f>
        <v/>
      </c>
      <c r="H49" s="16">
        <f>IF($E49="","",IFERROR(IF(INDEX(Deals!$U$2:$U$355,MATCH($E49,Deals!$A$2:$A$355,0))=0,"",INDEX(Deals!$U$2:$U$355,MATCH($E49,Deals!$A$2:$A$355,0))),""))</f>
        <v/>
      </c>
      <c r="I49" s="18">
        <f>IF(OR($E49="",$F49=""),"",SUMIFS(Assignments!$I$2:$I$769,Assignments!$A$2:$A$769,$F49,Assignments!$C$2:$C$769,$E49))</f>
        <v/>
      </c>
      <c r="J49" s="61">
        <f>IF(OR($E49="",$F49=""),"",$D49-$I49)</f>
        <v/>
      </c>
      <c r="K49" s="20">
        <f>IF($A49="","",IF(AND($E49&lt;&gt;"",$F49&lt;&gt;""),"OK",TRIM(IF($E49="","unmatched code ","")&amp;IF($F49="","unmatched person",""))))</f>
        <v/>
      </c>
    </row>
    <row r="50">
      <c r="A50" s="31" t="n"/>
      <c r="B50" s="31" t="n"/>
      <c r="C50" s="31" t="n"/>
      <c r="D50" s="31" t="n"/>
      <c r="E50" s="16">
        <f>IF($A50="","",IF(COUNTIF(Deals!$A$2:$A$355,$A50)&gt;0,$A50,""))</f>
        <v/>
      </c>
      <c r="F50" s="16">
        <f>IF($B50="","",IFERROR(INDEX(Roster!$A$2:$A$40,MATCH($B50,Roster!$A$2:$A$40,0)),IFERROR(IF(INDEX(MapTracker,MATCH($B50,MapNetSuite,0))=0,"",INDEX(MapTracker,MATCH($B50,MapNetSuite,0))),"")))</f>
        <v/>
      </c>
      <c r="G50" s="16">
        <f>IF($F50="","",IFERROR(INDEX(Roster!$B$2:$B$40,MATCH($F50,Roster!$A$2:$A$40,0)),""))</f>
        <v/>
      </c>
      <c r="H50" s="16">
        <f>IF($E50="","",IFERROR(IF(INDEX(Deals!$U$2:$U$355,MATCH($E50,Deals!$A$2:$A$355,0))=0,"",INDEX(Deals!$U$2:$U$355,MATCH($E50,Deals!$A$2:$A$355,0))),""))</f>
        <v/>
      </c>
      <c r="I50" s="18">
        <f>IF(OR($E50="",$F50=""),"",SUMIFS(Assignments!$I$2:$I$769,Assignments!$A$2:$A$769,$F50,Assignments!$C$2:$C$769,$E50))</f>
        <v/>
      </c>
      <c r="J50" s="61">
        <f>IF(OR($E50="",$F50=""),"",$D50-$I50)</f>
        <v/>
      </c>
      <c r="K50" s="20">
        <f>IF($A50="","",IF(AND($E50&lt;&gt;"",$F50&lt;&gt;""),"OK",TRIM(IF($E50="","unmatched code ","")&amp;IF($F50="","unmatched person",""))))</f>
        <v/>
      </c>
    </row>
    <row r="51">
      <c r="A51" s="31" t="n"/>
      <c r="B51" s="31" t="n"/>
      <c r="C51" s="31" t="n"/>
      <c r="D51" s="31" t="n"/>
      <c r="E51" s="16">
        <f>IF($A51="","",IF(COUNTIF(Deals!$A$2:$A$355,$A51)&gt;0,$A51,""))</f>
        <v/>
      </c>
      <c r="F51" s="16">
        <f>IF($B51="","",IFERROR(INDEX(Roster!$A$2:$A$40,MATCH($B51,Roster!$A$2:$A$40,0)),IFERROR(IF(INDEX(MapTracker,MATCH($B51,MapNetSuite,0))=0,"",INDEX(MapTracker,MATCH($B51,MapNetSuite,0))),"")))</f>
        <v/>
      </c>
      <c r="G51" s="16">
        <f>IF($F51="","",IFERROR(INDEX(Roster!$B$2:$B$40,MATCH($F51,Roster!$A$2:$A$40,0)),""))</f>
        <v/>
      </c>
      <c r="H51" s="16">
        <f>IF($E51="","",IFERROR(IF(INDEX(Deals!$U$2:$U$355,MATCH($E51,Deals!$A$2:$A$355,0))=0,"",INDEX(Deals!$U$2:$U$355,MATCH($E51,Deals!$A$2:$A$355,0))),""))</f>
        <v/>
      </c>
      <c r="I51" s="18">
        <f>IF(OR($E51="",$F51=""),"",SUMIFS(Assignments!$I$2:$I$769,Assignments!$A$2:$A$769,$F51,Assignments!$C$2:$C$769,$E51))</f>
        <v/>
      </c>
      <c r="J51" s="61">
        <f>IF(OR($E51="",$F51=""),"",$D51-$I51)</f>
        <v/>
      </c>
      <c r="K51" s="20">
        <f>IF($A51="","",IF(AND($E51&lt;&gt;"",$F51&lt;&gt;""),"OK",TRIM(IF($E51="","unmatched code ","")&amp;IF($F51="","unmatched person",""))))</f>
        <v/>
      </c>
    </row>
    <row r="52">
      <c r="A52" s="31" t="n"/>
      <c r="B52" s="31" t="n"/>
      <c r="C52" s="31" t="n"/>
      <c r="D52" s="31" t="n"/>
      <c r="E52" s="16">
        <f>IF($A52="","",IF(COUNTIF(Deals!$A$2:$A$355,$A52)&gt;0,$A52,""))</f>
        <v/>
      </c>
      <c r="F52" s="16">
        <f>IF($B52="","",IFERROR(INDEX(Roster!$A$2:$A$40,MATCH($B52,Roster!$A$2:$A$40,0)),IFERROR(IF(INDEX(MapTracker,MATCH($B52,MapNetSuite,0))=0,"",INDEX(MapTracker,MATCH($B52,MapNetSuite,0))),"")))</f>
        <v/>
      </c>
      <c r="G52" s="16">
        <f>IF($F52="","",IFERROR(INDEX(Roster!$B$2:$B$40,MATCH($F52,Roster!$A$2:$A$40,0)),""))</f>
        <v/>
      </c>
      <c r="H52" s="16">
        <f>IF($E52="","",IFERROR(IF(INDEX(Deals!$U$2:$U$355,MATCH($E52,Deals!$A$2:$A$355,0))=0,"",INDEX(Deals!$U$2:$U$355,MATCH($E52,Deals!$A$2:$A$355,0))),""))</f>
        <v/>
      </c>
      <c r="I52" s="18">
        <f>IF(OR($E52="",$F52=""),"",SUMIFS(Assignments!$I$2:$I$769,Assignments!$A$2:$A$769,$F52,Assignments!$C$2:$C$769,$E52))</f>
        <v/>
      </c>
      <c r="J52" s="61">
        <f>IF(OR($E52="",$F52=""),"",$D52-$I52)</f>
        <v/>
      </c>
      <c r="K52" s="20">
        <f>IF($A52="","",IF(AND($E52&lt;&gt;"",$F52&lt;&gt;""),"OK",TRIM(IF($E52="","unmatched code ","")&amp;IF($F52="","unmatched person",""))))</f>
        <v/>
      </c>
    </row>
    <row r="53">
      <c r="A53" s="31" t="n"/>
      <c r="B53" s="31" t="n"/>
      <c r="C53" s="31" t="n"/>
      <c r="D53" s="31" t="n"/>
      <c r="E53" s="16">
        <f>IF($A53="","",IF(COUNTIF(Deals!$A$2:$A$355,$A53)&gt;0,$A53,""))</f>
        <v/>
      </c>
      <c r="F53" s="16">
        <f>IF($B53="","",IFERROR(INDEX(Roster!$A$2:$A$40,MATCH($B53,Roster!$A$2:$A$40,0)),IFERROR(IF(INDEX(MapTracker,MATCH($B53,MapNetSuite,0))=0,"",INDEX(MapTracker,MATCH($B53,MapNetSuite,0))),"")))</f>
        <v/>
      </c>
      <c r="G53" s="16">
        <f>IF($F53="","",IFERROR(INDEX(Roster!$B$2:$B$40,MATCH($F53,Roster!$A$2:$A$40,0)),""))</f>
        <v/>
      </c>
      <c r="H53" s="16">
        <f>IF($E53="","",IFERROR(IF(INDEX(Deals!$U$2:$U$355,MATCH($E53,Deals!$A$2:$A$355,0))=0,"",INDEX(Deals!$U$2:$U$355,MATCH($E53,Deals!$A$2:$A$355,0))),""))</f>
        <v/>
      </c>
      <c r="I53" s="18">
        <f>IF(OR($E53="",$F53=""),"",SUMIFS(Assignments!$I$2:$I$769,Assignments!$A$2:$A$769,$F53,Assignments!$C$2:$C$769,$E53))</f>
        <v/>
      </c>
      <c r="J53" s="61">
        <f>IF(OR($E53="",$F53=""),"",$D53-$I53)</f>
        <v/>
      </c>
      <c r="K53" s="20">
        <f>IF($A53="","",IF(AND($E53&lt;&gt;"",$F53&lt;&gt;""),"OK",TRIM(IF($E53="","unmatched code ","")&amp;IF($F53="","unmatched person",""))))</f>
        <v/>
      </c>
    </row>
    <row r="54">
      <c r="A54" s="31" t="n"/>
      <c r="B54" s="31" t="n"/>
      <c r="C54" s="31" t="n"/>
      <c r="D54" s="31" t="n"/>
      <c r="E54" s="16">
        <f>IF($A54="","",IF(COUNTIF(Deals!$A$2:$A$355,$A54)&gt;0,$A54,""))</f>
        <v/>
      </c>
      <c r="F54" s="16">
        <f>IF($B54="","",IFERROR(INDEX(Roster!$A$2:$A$40,MATCH($B54,Roster!$A$2:$A$40,0)),IFERROR(IF(INDEX(MapTracker,MATCH($B54,MapNetSuite,0))=0,"",INDEX(MapTracker,MATCH($B54,MapNetSuite,0))),"")))</f>
        <v/>
      </c>
      <c r="G54" s="16">
        <f>IF($F54="","",IFERROR(INDEX(Roster!$B$2:$B$40,MATCH($F54,Roster!$A$2:$A$40,0)),""))</f>
        <v/>
      </c>
      <c r="H54" s="16">
        <f>IF($E54="","",IFERROR(IF(INDEX(Deals!$U$2:$U$355,MATCH($E54,Deals!$A$2:$A$355,0))=0,"",INDEX(Deals!$U$2:$U$355,MATCH($E54,Deals!$A$2:$A$355,0))),""))</f>
        <v/>
      </c>
      <c r="I54" s="18">
        <f>IF(OR($E54="",$F54=""),"",SUMIFS(Assignments!$I$2:$I$769,Assignments!$A$2:$A$769,$F54,Assignments!$C$2:$C$769,$E54))</f>
        <v/>
      </c>
      <c r="J54" s="61">
        <f>IF(OR($E54="",$F54=""),"",$D54-$I54)</f>
        <v/>
      </c>
      <c r="K54" s="20">
        <f>IF($A54="","",IF(AND($E54&lt;&gt;"",$F54&lt;&gt;""),"OK",TRIM(IF($E54="","unmatched code ","")&amp;IF($F54="","unmatched person",""))))</f>
        <v/>
      </c>
    </row>
    <row r="55">
      <c r="A55" s="31" t="n"/>
      <c r="B55" s="31" t="n"/>
      <c r="C55" s="31" t="n"/>
      <c r="D55" s="31" t="n"/>
      <c r="E55" s="16">
        <f>IF($A55="","",IF(COUNTIF(Deals!$A$2:$A$355,$A55)&gt;0,$A55,""))</f>
        <v/>
      </c>
      <c r="F55" s="16">
        <f>IF($B55="","",IFERROR(INDEX(Roster!$A$2:$A$40,MATCH($B55,Roster!$A$2:$A$40,0)),IFERROR(IF(INDEX(MapTracker,MATCH($B55,MapNetSuite,0))=0,"",INDEX(MapTracker,MATCH($B55,MapNetSuite,0))),"")))</f>
        <v/>
      </c>
      <c r="G55" s="16">
        <f>IF($F55="","",IFERROR(INDEX(Roster!$B$2:$B$40,MATCH($F55,Roster!$A$2:$A$40,0)),""))</f>
        <v/>
      </c>
      <c r="H55" s="16">
        <f>IF($E55="","",IFERROR(IF(INDEX(Deals!$U$2:$U$355,MATCH($E55,Deals!$A$2:$A$355,0))=0,"",INDEX(Deals!$U$2:$U$355,MATCH($E55,Deals!$A$2:$A$355,0))),""))</f>
        <v/>
      </c>
      <c r="I55" s="18">
        <f>IF(OR($E55="",$F55=""),"",SUMIFS(Assignments!$I$2:$I$769,Assignments!$A$2:$A$769,$F55,Assignments!$C$2:$C$769,$E55))</f>
        <v/>
      </c>
      <c r="J55" s="61">
        <f>IF(OR($E55="",$F55=""),"",$D55-$I55)</f>
        <v/>
      </c>
      <c r="K55" s="20">
        <f>IF($A55="","",IF(AND($E55&lt;&gt;"",$F55&lt;&gt;""),"OK",TRIM(IF($E55="","unmatched code ","")&amp;IF($F55="","unmatched person",""))))</f>
        <v/>
      </c>
    </row>
    <row r="56">
      <c r="A56" s="31" t="n"/>
      <c r="B56" s="31" t="n"/>
      <c r="C56" s="31" t="n"/>
      <c r="D56" s="31" t="n"/>
      <c r="E56" s="16">
        <f>IF($A56="","",IF(COUNTIF(Deals!$A$2:$A$355,$A56)&gt;0,$A56,""))</f>
        <v/>
      </c>
      <c r="F56" s="16">
        <f>IF($B56="","",IFERROR(INDEX(Roster!$A$2:$A$40,MATCH($B56,Roster!$A$2:$A$40,0)),IFERROR(IF(INDEX(MapTracker,MATCH($B56,MapNetSuite,0))=0,"",INDEX(MapTracker,MATCH($B56,MapNetSuite,0))),"")))</f>
        <v/>
      </c>
      <c r="G56" s="16">
        <f>IF($F56="","",IFERROR(INDEX(Roster!$B$2:$B$40,MATCH($F56,Roster!$A$2:$A$40,0)),""))</f>
        <v/>
      </c>
      <c r="H56" s="16">
        <f>IF($E56="","",IFERROR(IF(INDEX(Deals!$U$2:$U$355,MATCH($E56,Deals!$A$2:$A$355,0))=0,"",INDEX(Deals!$U$2:$U$355,MATCH($E56,Deals!$A$2:$A$355,0))),""))</f>
        <v/>
      </c>
      <c r="I56" s="18">
        <f>IF(OR($E56="",$F56=""),"",SUMIFS(Assignments!$I$2:$I$769,Assignments!$A$2:$A$769,$F56,Assignments!$C$2:$C$769,$E56))</f>
        <v/>
      </c>
      <c r="J56" s="61">
        <f>IF(OR($E56="",$F56=""),"",$D56-$I56)</f>
        <v/>
      </c>
      <c r="K56" s="20">
        <f>IF($A56="","",IF(AND($E56&lt;&gt;"",$F56&lt;&gt;""),"OK",TRIM(IF($E56="","unmatched code ","")&amp;IF($F56="","unmatched person",""))))</f>
        <v/>
      </c>
    </row>
    <row r="57">
      <c r="A57" s="31" t="n"/>
      <c r="B57" s="31" t="n"/>
      <c r="C57" s="31" t="n"/>
      <c r="D57" s="31" t="n"/>
      <c r="E57" s="16">
        <f>IF($A57="","",IF(COUNTIF(Deals!$A$2:$A$355,$A57)&gt;0,$A57,""))</f>
        <v/>
      </c>
      <c r="F57" s="16">
        <f>IF($B57="","",IFERROR(INDEX(Roster!$A$2:$A$40,MATCH($B57,Roster!$A$2:$A$40,0)),IFERROR(IF(INDEX(MapTracker,MATCH($B57,MapNetSuite,0))=0,"",INDEX(MapTracker,MATCH($B57,MapNetSuite,0))),"")))</f>
        <v/>
      </c>
      <c r="G57" s="16">
        <f>IF($F57="","",IFERROR(INDEX(Roster!$B$2:$B$40,MATCH($F57,Roster!$A$2:$A$40,0)),""))</f>
        <v/>
      </c>
      <c r="H57" s="16">
        <f>IF($E57="","",IFERROR(IF(INDEX(Deals!$U$2:$U$355,MATCH($E57,Deals!$A$2:$A$355,0))=0,"",INDEX(Deals!$U$2:$U$355,MATCH($E57,Deals!$A$2:$A$355,0))),""))</f>
        <v/>
      </c>
      <c r="I57" s="18">
        <f>IF(OR($E57="",$F57=""),"",SUMIFS(Assignments!$I$2:$I$769,Assignments!$A$2:$A$769,$F57,Assignments!$C$2:$C$769,$E57))</f>
        <v/>
      </c>
      <c r="J57" s="61">
        <f>IF(OR($E57="",$F57=""),"",$D57-$I57)</f>
        <v/>
      </c>
      <c r="K57" s="20">
        <f>IF($A57="","",IF(AND($E57&lt;&gt;"",$F57&lt;&gt;""),"OK",TRIM(IF($E57="","unmatched code ","")&amp;IF($F57="","unmatched person",""))))</f>
        <v/>
      </c>
    </row>
    <row r="58">
      <c r="A58" s="31" t="n"/>
      <c r="B58" s="31" t="n"/>
      <c r="C58" s="31" t="n"/>
      <c r="D58" s="31" t="n"/>
      <c r="E58" s="16">
        <f>IF($A58="","",IF(COUNTIF(Deals!$A$2:$A$355,$A58)&gt;0,$A58,""))</f>
        <v/>
      </c>
      <c r="F58" s="16">
        <f>IF($B58="","",IFERROR(INDEX(Roster!$A$2:$A$40,MATCH($B58,Roster!$A$2:$A$40,0)),IFERROR(IF(INDEX(MapTracker,MATCH($B58,MapNetSuite,0))=0,"",INDEX(MapTracker,MATCH($B58,MapNetSuite,0))),"")))</f>
        <v/>
      </c>
      <c r="G58" s="16">
        <f>IF($F58="","",IFERROR(INDEX(Roster!$B$2:$B$40,MATCH($F58,Roster!$A$2:$A$40,0)),""))</f>
        <v/>
      </c>
      <c r="H58" s="16">
        <f>IF($E58="","",IFERROR(IF(INDEX(Deals!$U$2:$U$355,MATCH($E58,Deals!$A$2:$A$355,0))=0,"",INDEX(Deals!$U$2:$U$355,MATCH($E58,Deals!$A$2:$A$355,0))),""))</f>
        <v/>
      </c>
      <c r="I58" s="18">
        <f>IF(OR($E58="",$F58=""),"",SUMIFS(Assignments!$I$2:$I$769,Assignments!$A$2:$A$769,$F58,Assignments!$C$2:$C$769,$E58))</f>
        <v/>
      </c>
      <c r="J58" s="61">
        <f>IF(OR($E58="",$F58=""),"",$D58-$I58)</f>
        <v/>
      </c>
      <c r="K58" s="20">
        <f>IF($A58="","",IF(AND($E58&lt;&gt;"",$F58&lt;&gt;""),"OK",TRIM(IF($E58="","unmatched code ","")&amp;IF($F58="","unmatched person",""))))</f>
        <v/>
      </c>
    </row>
    <row r="59">
      <c r="A59" s="31" t="n"/>
      <c r="B59" s="31" t="n"/>
      <c r="C59" s="31" t="n"/>
      <c r="D59" s="31" t="n"/>
      <c r="E59" s="16">
        <f>IF($A59="","",IF(COUNTIF(Deals!$A$2:$A$355,$A59)&gt;0,$A59,""))</f>
        <v/>
      </c>
      <c r="F59" s="16">
        <f>IF($B59="","",IFERROR(INDEX(Roster!$A$2:$A$40,MATCH($B59,Roster!$A$2:$A$40,0)),IFERROR(IF(INDEX(MapTracker,MATCH($B59,MapNetSuite,0))=0,"",INDEX(MapTracker,MATCH($B59,MapNetSuite,0))),"")))</f>
        <v/>
      </c>
      <c r="G59" s="16">
        <f>IF($F59="","",IFERROR(INDEX(Roster!$B$2:$B$40,MATCH($F59,Roster!$A$2:$A$40,0)),""))</f>
        <v/>
      </c>
      <c r="H59" s="16">
        <f>IF($E59="","",IFERROR(IF(INDEX(Deals!$U$2:$U$355,MATCH($E59,Deals!$A$2:$A$355,0))=0,"",INDEX(Deals!$U$2:$U$355,MATCH($E59,Deals!$A$2:$A$355,0))),""))</f>
        <v/>
      </c>
      <c r="I59" s="18">
        <f>IF(OR($E59="",$F59=""),"",SUMIFS(Assignments!$I$2:$I$769,Assignments!$A$2:$A$769,$F59,Assignments!$C$2:$C$769,$E59))</f>
        <v/>
      </c>
      <c r="J59" s="61">
        <f>IF(OR($E59="",$F59=""),"",$D59-$I59)</f>
        <v/>
      </c>
      <c r="K59" s="20">
        <f>IF($A59="","",IF(AND($E59&lt;&gt;"",$F59&lt;&gt;""),"OK",TRIM(IF($E59="","unmatched code ","")&amp;IF($F59="","unmatched person",""))))</f>
        <v/>
      </c>
    </row>
    <row r="60">
      <c r="A60" s="31" t="n"/>
      <c r="B60" s="31" t="n"/>
      <c r="C60" s="31" t="n"/>
      <c r="D60" s="31" t="n"/>
      <c r="E60" s="16">
        <f>IF($A60="","",IF(COUNTIF(Deals!$A$2:$A$355,$A60)&gt;0,$A60,""))</f>
        <v/>
      </c>
      <c r="F60" s="16">
        <f>IF($B60="","",IFERROR(INDEX(Roster!$A$2:$A$40,MATCH($B60,Roster!$A$2:$A$40,0)),IFERROR(IF(INDEX(MapTracker,MATCH($B60,MapNetSuite,0))=0,"",INDEX(MapTracker,MATCH($B60,MapNetSuite,0))),"")))</f>
        <v/>
      </c>
      <c r="G60" s="16">
        <f>IF($F60="","",IFERROR(INDEX(Roster!$B$2:$B$40,MATCH($F60,Roster!$A$2:$A$40,0)),""))</f>
        <v/>
      </c>
      <c r="H60" s="16">
        <f>IF($E60="","",IFERROR(IF(INDEX(Deals!$U$2:$U$355,MATCH($E60,Deals!$A$2:$A$355,0))=0,"",INDEX(Deals!$U$2:$U$355,MATCH($E60,Deals!$A$2:$A$355,0))),""))</f>
        <v/>
      </c>
      <c r="I60" s="18">
        <f>IF(OR($E60="",$F60=""),"",SUMIFS(Assignments!$I$2:$I$769,Assignments!$A$2:$A$769,$F60,Assignments!$C$2:$C$769,$E60))</f>
        <v/>
      </c>
      <c r="J60" s="61">
        <f>IF(OR($E60="",$F60=""),"",$D60-$I60)</f>
        <v/>
      </c>
      <c r="K60" s="20">
        <f>IF($A60="","",IF(AND($E60&lt;&gt;"",$F60&lt;&gt;""),"OK",TRIM(IF($E60="","unmatched code ","")&amp;IF($F60="","unmatched person",""))))</f>
        <v/>
      </c>
    </row>
    <row r="61">
      <c r="A61" s="31" t="n"/>
      <c r="B61" s="31" t="n"/>
      <c r="C61" s="31" t="n"/>
      <c r="D61" s="31" t="n"/>
      <c r="E61" s="16">
        <f>IF($A61="","",IF(COUNTIF(Deals!$A$2:$A$355,$A61)&gt;0,$A61,""))</f>
        <v/>
      </c>
      <c r="F61" s="16">
        <f>IF($B61="","",IFERROR(INDEX(Roster!$A$2:$A$40,MATCH($B61,Roster!$A$2:$A$40,0)),IFERROR(IF(INDEX(MapTracker,MATCH($B61,MapNetSuite,0))=0,"",INDEX(MapTracker,MATCH($B61,MapNetSuite,0))),"")))</f>
        <v/>
      </c>
      <c r="G61" s="16">
        <f>IF($F61="","",IFERROR(INDEX(Roster!$B$2:$B$40,MATCH($F61,Roster!$A$2:$A$40,0)),""))</f>
        <v/>
      </c>
      <c r="H61" s="16">
        <f>IF($E61="","",IFERROR(IF(INDEX(Deals!$U$2:$U$355,MATCH($E61,Deals!$A$2:$A$355,0))=0,"",INDEX(Deals!$U$2:$U$355,MATCH($E61,Deals!$A$2:$A$355,0))),""))</f>
        <v/>
      </c>
      <c r="I61" s="18">
        <f>IF(OR($E61="",$F61=""),"",SUMIFS(Assignments!$I$2:$I$769,Assignments!$A$2:$A$769,$F61,Assignments!$C$2:$C$769,$E61))</f>
        <v/>
      </c>
      <c r="J61" s="61">
        <f>IF(OR($E61="",$F61=""),"",$D61-$I61)</f>
        <v/>
      </c>
      <c r="K61" s="20">
        <f>IF($A61="","",IF(AND($E61&lt;&gt;"",$F61&lt;&gt;""),"OK",TRIM(IF($E61="","unmatched code ","")&amp;IF($F61="","unmatched person",""))))</f>
        <v/>
      </c>
    </row>
    <row r="62">
      <c r="A62" s="31" t="n"/>
      <c r="B62" s="31" t="n"/>
      <c r="C62" s="31" t="n"/>
      <c r="D62" s="31" t="n"/>
      <c r="E62" s="16">
        <f>IF($A62="","",IF(COUNTIF(Deals!$A$2:$A$355,$A62)&gt;0,$A62,""))</f>
        <v/>
      </c>
      <c r="F62" s="16">
        <f>IF($B62="","",IFERROR(INDEX(Roster!$A$2:$A$40,MATCH($B62,Roster!$A$2:$A$40,0)),IFERROR(IF(INDEX(MapTracker,MATCH($B62,MapNetSuite,0))=0,"",INDEX(MapTracker,MATCH($B62,MapNetSuite,0))),"")))</f>
        <v/>
      </c>
      <c r="G62" s="16">
        <f>IF($F62="","",IFERROR(INDEX(Roster!$B$2:$B$40,MATCH($F62,Roster!$A$2:$A$40,0)),""))</f>
        <v/>
      </c>
      <c r="H62" s="16">
        <f>IF($E62="","",IFERROR(IF(INDEX(Deals!$U$2:$U$355,MATCH($E62,Deals!$A$2:$A$355,0))=0,"",INDEX(Deals!$U$2:$U$355,MATCH($E62,Deals!$A$2:$A$355,0))),""))</f>
        <v/>
      </c>
      <c r="I62" s="18">
        <f>IF(OR($E62="",$F62=""),"",SUMIFS(Assignments!$I$2:$I$769,Assignments!$A$2:$A$769,$F62,Assignments!$C$2:$C$769,$E62))</f>
        <v/>
      </c>
      <c r="J62" s="61">
        <f>IF(OR($E62="",$F62=""),"",$D62-$I62)</f>
        <v/>
      </c>
      <c r="K62" s="20">
        <f>IF($A62="","",IF(AND($E62&lt;&gt;"",$F62&lt;&gt;""),"OK",TRIM(IF($E62="","unmatched code ","")&amp;IF($F62="","unmatched person",""))))</f>
        <v/>
      </c>
    </row>
    <row r="63">
      <c r="A63" s="31" t="n"/>
      <c r="B63" s="31" t="n"/>
      <c r="C63" s="31" t="n"/>
      <c r="D63" s="31" t="n"/>
      <c r="E63" s="16">
        <f>IF($A63="","",IF(COUNTIF(Deals!$A$2:$A$355,$A63)&gt;0,$A63,""))</f>
        <v/>
      </c>
      <c r="F63" s="16">
        <f>IF($B63="","",IFERROR(INDEX(Roster!$A$2:$A$40,MATCH($B63,Roster!$A$2:$A$40,0)),IFERROR(IF(INDEX(MapTracker,MATCH($B63,MapNetSuite,0))=0,"",INDEX(MapTracker,MATCH($B63,MapNetSuite,0))),"")))</f>
        <v/>
      </c>
      <c r="G63" s="16">
        <f>IF($F63="","",IFERROR(INDEX(Roster!$B$2:$B$40,MATCH($F63,Roster!$A$2:$A$40,0)),""))</f>
        <v/>
      </c>
      <c r="H63" s="16">
        <f>IF($E63="","",IFERROR(IF(INDEX(Deals!$U$2:$U$355,MATCH($E63,Deals!$A$2:$A$355,0))=0,"",INDEX(Deals!$U$2:$U$355,MATCH($E63,Deals!$A$2:$A$355,0))),""))</f>
        <v/>
      </c>
      <c r="I63" s="18">
        <f>IF(OR($E63="",$F63=""),"",SUMIFS(Assignments!$I$2:$I$769,Assignments!$A$2:$A$769,$F63,Assignments!$C$2:$C$769,$E63))</f>
        <v/>
      </c>
      <c r="J63" s="61">
        <f>IF(OR($E63="",$F63=""),"",$D63-$I63)</f>
        <v/>
      </c>
      <c r="K63" s="20">
        <f>IF($A63="","",IF(AND($E63&lt;&gt;"",$F63&lt;&gt;""),"OK",TRIM(IF($E63="","unmatched code ","")&amp;IF($F63="","unmatched person",""))))</f>
        <v/>
      </c>
    </row>
    <row r="64">
      <c r="A64" s="31" t="n"/>
      <c r="B64" s="31" t="n"/>
      <c r="C64" s="31" t="n"/>
      <c r="D64" s="31" t="n"/>
      <c r="E64" s="16">
        <f>IF($A64="","",IF(COUNTIF(Deals!$A$2:$A$355,$A64)&gt;0,$A64,""))</f>
        <v/>
      </c>
      <c r="F64" s="16">
        <f>IF($B64="","",IFERROR(INDEX(Roster!$A$2:$A$40,MATCH($B64,Roster!$A$2:$A$40,0)),IFERROR(IF(INDEX(MapTracker,MATCH($B64,MapNetSuite,0))=0,"",INDEX(MapTracker,MATCH($B64,MapNetSuite,0))),"")))</f>
        <v/>
      </c>
      <c r="G64" s="16">
        <f>IF($F64="","",IFERROR(INDEX(Roster!$B$2:$B$40,MATCH($F64,Roster!$A$2:$A$40,0)),""))</f>
        <v/>
      </c>
      <c r="H64" s="16">
        <f>IF($E64="","",IFERROR(IF(INDEX(Deals!$U$2:$U$355,MATCH($E64,Deals!$A$2:$A$355,0))=0,"",INDEX(Deals!$U$2:$U$355,MATCH($E64,Deals!$A$2:$A$355,0))),""))</f>
        <v/>
      </c>
      <c r="I64" s="18">
        <f>IF(OR($E64="",$F64=""),"",SUMIFS(Assignments!$I$2:$I$769,Assignments!$A$2:$A$769,$F64,Assignments!$C$2:$C$769,$E64))</f>
        <v/>
      </c>
      <c r="J64" s="61">
        <f>IF(OR($E64="",$F64=""),"",$D64-$I64)</f>
        <v/>
      </c>
      <c r="K64" s="20">
        <f>IF($A64="","",IF(AND($E64&lt;&gt;"",$F64&lt;&gt;""),"OK",TRIM(IF($E64="","unmatched code ","")&amp;IF($F64="","unmatched person",""))))</f>
        <v/>
      </c>
    </row>
    <row r="65">
      <c r="A65" s="31" t="n"/>
      <c r="B65" s="31" t="n"/>
      <c r="C65" s="31" t="n"/>
      <c r="D65" s="31" t="n"/>
      <c r="E65" s="16">
        <f>IF($A65="","",IF(COUNTIF(Deals!$A$2:$A$355,$A65)&gt;0,$A65,""))</f>
        <v/>
      </c>
      <c r="F65" s="16">
        <f>IF($B65="","",IFERROR(INDEX(Roster!$A$2:$A$40,MATCH($B65,Roster!$A$2:$A$40,0)),IFERROR(IF(INDEX(MapTracker,MATCH($B65,MapNetSuite,0))=0,"",INDEX(MapTracker,MATCH($B65,MapNetSuite,0))),"")))</f>
        <v/>
      </c>
      <c r="G65" s="16">
        <f>IF($F65="","",IFERROR(INDEX(Roster!$B$2:$B$40,MATCH($F65,Roster!$A$2:$A$40,0)),""))</f>
        <v/>
      </c>
      <c r="H65" s="16">
        <f>IF($E65="","",IFERROR(IF(INDEX(Deals!$U$2:$U$355,MATCH($E65,Deals!$A$2:$A$355,0))=0,"",INDEX(Deals!$U$2:$U$355,MATCH($E65,Deals!$A$2:$A$355,0))),""))</f>
        <v/>
      </c>
      <c r="I65" s="18">
        <f>IF(OR($E65="",$F65=""),"",SUMIFS(Assignments!$I$2:$I$769,Assignments!$A$2:$A$769,$F65,Assignments!$C$2:$C$769,$E65))</f>
        <v/>
      </c>
      <c r="J65" s="61">
        <f>IF(OR($E65="",$F65=""),"",$D65-$I65)</f>
        <v/>
      </c>
      <c r="K65" s="20">
        <f>IF($A65="","",IF(AND($E65&lt;&gt;"",$F65&lt;&gt;""),"OK",TRIM(IF($E65="","unmatched code ","")&amp;IF($F65="","unmatched person",""))))</f>
        <v/>
      </c>
    </row>
    <row r="66">
      <c r="A66" s="31" t="n"/>
      <c r="B66" s="31" t="n"/>
      <c r="C66" s="31" t="n"/>
      <c r="D66" s="31" t="n"/>
      <c r="E66" s="16">
        <f>IF($A66="","",IF(COUNTIF(Deals!$A$2:$A$355,$A66)&gt;0,$A66,""))</f>
        <v/>
      </c>
      <c r="F66" s="16">
        <f>IF($B66="","",IFERROR(INDEX(Roster!$A$2:$A$40,MATCH($B66,Roster!$A$2:$A$40,0)),IFERROR(IF(INDEX(MapTracker,MATCH($B66,MapNetSuite,0))=0,"",INDEX(MapTracker,MATCH($B66,MapNetSuite,0))),"")))</f>
        <v/>
      </c>
      <c r="G66" s="16">
        <f>IF($F66="","",IFERROR(INDEX(Roster!$B$2:$B$40,MATCH($F66,Roster!$A$2:$A$40,0)),""))</f>
        <v/>
      </c>
      <c r="H66" s="16">
        <f>IF($E66="","",IFERROR(IF(INDEX(Deals!$U$2:$U$355,MATCH($E66,Deals!$A$2:$A$355,0))=0,"",INDEX(Deals!$U$2:$U$355,MATCH($E66,Deals!$A$2:$A$355,0))),""))</f>
        <v/>
      </c>
      <c r="I66" s="18">
        <f>IF(OR($E66="",$F66=""),"",SUMIFS(Assignments!$I$2:$I$769,Assignments!$A$2:$A$769,$F66,Assignments!$C$2:$C$769,$E66))</f>
        <v/>
      </c>
      <c r="J66" s="61">
        <f>IF(OR($E66="",$F66=""),"",$D66-$I66)</f>
        <v/>
      </c>
      <c r="K66" s="20">
        <f>IF($A66="","",IF(AND($E66&lt;&gt;"",$F66&lt;&gt;""),"OK",TRIM(IF($E66="","unmatched code ","")&amp;IF($F66="","unmatched person",""))))</f>
        <v/>
      </c>
    </row>
    <row r="67">
      <c r="A67" s="31" t="n"/>
      <c r="B67" s="31" t="n"/>
      <c r="C67" s="31" t="n"/>
      <c r="D67" s="31" t="n"/>
      <c r="E67" s="16">
        <f>IF($A67="","",IF(COUNTIF(Deals!$A$2:$A$355,$A67)&gt;0,$A67,""))</f>
        <v/>
      </c>
      <c r="F67" s="16">
        <f>IF($B67="","",IFERROR(INDEX(Roster!$A$2:$A$40,MATCH($B67,Roster!$A$2:$A$40,0)),IFERROR(IF(INDEX(MapTracker,MATCH($B67,MapNetSuite,0))=0,"",INDEX(MapTracker,MATCH($B67,MapNetSuite,0))),"")))</f>
        <v/>
      </c>
      <c r="G67" s="16">
        <f>IF($F67="","",IFERROR(INDEX(Roster!$B$2:$B$40,MATCH($F67,Roster!$A$2:$A$40,0)),""))</f>
        <v/>
      </c>
      <c r="H67" s="16">
        <f>IF($E67="","",IFERROR(IF(INDEX(Deals!$U$2:$U$355,MATCH($E67,Deals!$A$2:$A$355,0))=0,"",INDEX(Deals!$U$2:$U$355,MATCH($E67,Deals!$A$2:$A$355,0))),""))</f>
        <v/>
      </c>
      <c r="I67" s="18">
        <f>IF(OR($E67="",$F67=""),"",SUMIFS(Assignments!$I$2:$I$769,Assignments!$A$2:$A$769,$F67,Assignments!$C$2:$C$769,$E67))</f>
        <v/>
      </c>
      <c r="J67" s="61">
        <f>IF(OR($E67="",$F67=""),"",$D67-$I67)</f>
        <v/>
      </c>
      <c r="K67" s="20">
        <f>IF($A67="","",IF(AND($E67&lt;&gt;"",$F67&lt;&gt;""),"OK",TRIM(IF($E67="","unmatched code ","")&amp;IF($F67="","unmatched person",""))))</f>
        <v/>
      </c>
    </row>
    <row r="68">
      <c r="A68" s="31" t="n"/>
      <c r="B68" s="31" t="n"/>
      <c r="C68" s="31" t="n"/>
      <c r="D68" s="31" t="n"/>
      <c r="E68" s="16">
        <f>IF($A68="","",IF(COUNTIF(Deals!$A$2:$A$355,$A68)&gt;0,$A68,""))</f>
        <v/>
      </c>
      <c r="F68" s="16">
        <f>IF($B68="","",IFERROR(INDEX(Roster!$A$2:$A$40,MATCH($B68,Roster!$A$2:$A$40,0)),IFERROR(IF(INDEX(MapTracker,MATCH($B68,MapNetSuite,0))=0,"",INDEX(MapTracker,MATCH($B68,MapNetSuite,0))),"")))</f>
        <v/>
      </c>
      <c r="G68" s="16">
        <f>IF($F68="","",IFERROR(INDEX(Roster!$B$2:$B$40,MATCH($F68,Roster!$A$2:$A$40,0)),""))</f>
        <v/>
      </c>
      <c r="H68" s="16">
        <f>IF($E68="","",IFERROR(IF(INDEX(Deals!$U$2:$U$355,MATCH($E68,Deals!$A$2:$A$355,0))=0,"",INDEX(Deals!$U$2:$U$355,MATCH($E68,Deals!$A$2:$A$355,0))),""))</f>
        <v/>
      </c>
      <c r="I68" s="18">
        <f>IF(OR($E68="",$F68=""),"",SUMIFS(Assignments!$I$2:$I$769,Assignments!$A$2:$A$769,$F68,Assignments!$C$2:$C$769,$E68))</f>
        <v/>
      </c>
      <c r="J68" s="61">
        <f>IF(OR($E68="",$F68=""),"",$D68-$I68)</f>
        <v/>
      </c>
      <c r="K68" s="20">
        <f>IF($A68="","",IF(AND($E68&lt;&gt;"",$F68&lt;&gt;""),"OK",TRIM(IF($E68="","unmatched code ","")&amp;IF($F68="","unmatched person",""))))</f>
        <v/>
      </c>
    </row>
    <row r="69">
      <c r="A69" s="31" t="n"/>
      <c r="B69" s="31" t="n"/>
      <c r="C69" s="31" t="n"/>
      <c r="D69" s="31" t="n"/>
      <c r="E69" s="16">
        <f>IF($A69="","",IF(COUNTIF(Deals!$A$2:$A$355,$A69)&gt;0,$A69,""))</f>
        <v/>
      </c>
      <c r="F69" s="16">
        <f>IF($B69="","",IFERROR(INDEX(Roster!$A$2:$A$40,MATCH($B69,Roster!$A$2:$A$40,0)),IFERROR(IF(INDEX(MapTracker,MATCH($B69,MapNetSuite,0))=0,"",INDEX(MapTracker,MATCH($B69,MapNetSuite,0))),"")))</f>
        <v/>
      </c>
      <c r="G69" s="16">
        <f>IF($F69="","",IFERROR(INDEX(Roster!$B$2:$B$40,MATCH($F69,Roster!$A$2:$A$40,0)),""))</f>
        <v/>
      </c>
      <c r="H69" s="16">
        <f>IF($E69="","",IFERROR(IF(INDEX(Deals!$U$2:$U$355,MATCH($E69,Deals!$A$2:$A$355,0))=0,"",INDEX(Deals!$U$2:$U$355,MATCH($E69,Deals!$A$2:$A$355,0))),""))</f>
        <v/>
      </c>
      <c r="I69" s="18">
        <f>IF(OR($E69="",$F69=""),"",SUMIFS(Assignments!$I$2:$I$769,Assignments!$A$2:$A$769,$F69,Assignments!$C$2:$C$769,$E69))</f>
        <v/>
      </c>
      <c r="J69" s="61">
        <f>IF(OR($E69="",$F69=""),"",$D69-$I69)</f>
        <v/>
      </c>
      <c r="K69" s="20">
        <f>IF($A69="","",IF(AND($E69&lt;&gt;"",$F69&lt;&gt;""),"OK",TRIM(IF($E69="","unmatched code ","")&amp;IF($F69="","unmatched person",""))))</f>
        <v/>
      </c>
    </row>
    <row r="70">
      <c r="A70" s="31" t="n"/>
      <c r="B70" s="31" t="n"/>
      <c r="C70" s="31" t="n"/>
      <c r="D70" s="31" t="n"/>
      <c r="E70" s="16">
        <f>IF($A70="","",IF(COUNTIF(Deals!$A$2:$A$355,$A70)&gt;0,$A70,""))</f>
        <v/>
      </c>
      <c r="F70" s="16">
        <f>IF($B70="","",IFERROR(INDEX(Roster!$A$2:$A$40,MATCH($B70,Roster!$A$2:$A$40,0)),IFERROR(IF(INDEX(MapTracker,MATCH($B70,MapNetSuite,0))=0,"",INDEX(MapTracker,MATCH($B70,MapNetSuite,0))),"")))</f>
        <v/>
      </c>
      <c r="G70" s="16">
        <f>IF($F70="","",IFERROR(INDEX(Roster!$B$2:$B$40,MATCH($F70,Roster!$A$2:$A$40,0)),""))</f>
        <v/>
      </c>
      <c r="H70" s="16">
        <f>IF($E70="","",IFERROR(IF(INDEX(Deals!$U$2:$U$355,MATCH($E70,Deals!$A$2:$A$355,0))=0,"",INDEX(Deals!$U$2:$U$355,MATCH($E70,Deals!$A$2:$A$355,0))),""))</f>
        <v/>
      </c>
      <c r="I70" s="18">
        <f>IF(OR($E70="",$F70=""),"",SUMIFS(Assignments!$I$2:$I$769,Assignments!$A$2:$A$769,$F70,Assignments!$C$2:$C$769,$E70))</f>
        <v/>
      </c>
      <c r="J70" s="61">
        <f>IF(OR($E70="",$F70=""),"",$D70-$I70)</f>
        <v/>
      </c>
      <c r="K70" s="20">
        <f>IF($A70="","",IF(AND($E70&lt;&gt;"",$F70&lt;&gt;""),"OK",TRIM(IF($E70="","unmatched code ","")&amp;IF($F70="","unmatched person",""))))</f>
        <v/>
      </c>
    </row>
    <row r="71">
      <c r="A71" s="31" t="n"/>
      <c r="B71" s="31" t="n"/>
      <c r="C71" s="31" t="n"/>
      <c r="D71" s="31" t="n"/>
      <c r="E71" s="16">
        <f>IF($A71="","",IF(COUNTIF(Deals!$A$2:$A$355,$A71)&gt;0,$A71,""))</f>
        <v/>
      </c>
      <c r="F71" s="16">
        <f>IF($B71="","",IFERROR(INDEX(Roster!$A$2:$A$40,MATCH($B71,Roster!$A$2:$A$40,0)),IFERROR(IF(INDEX(MapTracker,MATCH($B71,MapNetSuite,0))=0,"",INDEX(MapTracker,MATCH($B71,MapNetSuite,0))),"")))</f>
        <v/>
      </c>
      <c r="G71" s="16">
        <f>IF($F71="","",IFERROR(INDEX(Roster!$B$2:$B$40,MATCH($F71,Roster!$A$2:$A$40,0)),""))</f>
        <v/>
      </c>
      <c r="H71" s="16">
        <f>IF($E71="","",IFERROR(IF(INDEX(Deals!$U$2:$U$355,MATCH($E71,Deals!$A$2:$A$355,0))=0,"",INDEX(Deals!$U$2:$U$355,MATCH($E71,Deals!$A$2:$A$355,0))),""))</f>
        <v/>
      </c>
      <c r="I71" s="18">
        <f>IF(OR($E71="",$F71=""),"",SUMIFS(Assignments!$I$2:$I$769,Assignments!$A$2:$A$769,$F71,Assignments!$C$2:$C$769,$E71))</f>
        <v/>
      </c>
      <c r="J71" s="61">
        <f>IF(OR($E71="",$F71=""),"",$D71-$I71)</f>
        <v/>
      </c>
      <c r="K71" s="20">
        <f>IF($A71="","",IF(AND($E71&lt;&gt;"",$F71&lt;&gt;""),"OK",TRIM(IF($E71="","unmatched code ","")&amp;IF($F71="","unmatched person",""))))</f>
        <v/>
      </c>
    </row>
    <row r="72">
      <c r="A72" s="31" t="n"/>
      <c r="B72" s="31" t="n"/>
      <c r="C72" s="31" t="n"/>
      <c r="D72" s="31" t="n"/>
      <c r="E72" s="16">
        <f>IF($A72="","",IF(COUNTIF(Deals!$A$2:$A$355,$A72)&gt;0,$A72,""))</f>
        <v/>
      </c>
      <c r="F72" s="16">
        <f>IF($B72="","",IFERROR(INDEX(Roster!$A$2:$A$40,MATCH($B72,Roster!$A$2:$A$40,0)),IFERROR(IF(INDEX(MapTracker,MATCH($B72,MapNetSuite,0))=0,"",INDEX(MapTracker,MATCH($B72,MapNetSuite,0))),"")))</f>
        <v/>
      </c>
      <c r="G72" s="16">
        <f>IF($F72="","",IFERROR(INDEX(Roster!$B$2:$B$40,MATCH($F72,Roster!$A$2:$A$40,0)),""))</f>
        <v/>
      </c>
      <c r="H72" s="16">
        <f>IF($E72="","",IFERROR(IF(INDEX(Deals!$U$2:$U$355,MATCH($E72,Deals!$A$2:$A$355,0))=0,"",INDEX(Deals!$U$2:$U$355,MATCH($E72,Deals!$A$2:$A$355,0))),""))</f>
        <v/>
      </c>
      <c r="I72" s="18">
        <f>IF(OR($E72="",$F72=""),"",SUMIFS(Assignments!$I$2:$I$769,Assignments!$A$2:$A$769,$F72,Assignments!$C$2:$C$769,$E72))</f>
        <v/>
      </c>
      <c r="J72" s="61">
        <f>IF(OR($E72="",$F72=""),"",$D72-$I72)</f>
        <v/>
      </c>
      <c r="K72" s="20">
        <f>IF($A72="","",IF(AND($E72&lt;&gt;"",$F72&lt;&gt;""),"OK",TRIM(IF($E72="","unmatched code ","")&amp;IF($F72="","unmatched person",""))))</f>
        <v/>
      </c>
    </row>
    <row r="73">
      <c r="A73" s="31" t="n"/>
      <c r="B73" s="31" t="n"/>
      <c r="C73" s="31" t="n"/>
      <c r="D73" s="31" t="n"/>
      <c r="E73" s="16">
        <f>IF($A73="","",IF(COUNTIF(Deals!$A$2:$A$355,$A73)&gt;0,$A73,""))</f>
        <v/>
      </c>
      <c r="F73" s="16">
        <f>IF($B73="","",IFERROR(INDEX(Roster!$A$2:$A$40,MATCH($B73,Roster!$A$2:$A$40,0)),IFERROR(IF(INDEX(MapTracker,MATCH($B73,MapNetSuite,0))=0,"",INDEX(MapTracker,MATCH($B73,MapNetSuite,0))),"")))</f>
        <v/>
      </c>
      <c r="G73" s="16">
        <f>IF($F73="","",IFERROR(INDEX(Roster!$B$2:$B$40,MATCH($F73,Roster!$A$2:$A$40,0)),""))</f>
        <v/>
      </c>
      <c r="H73" s="16">
        <f>IF($E73="","",IFERROR(IF(INDEX(Deals!$U$2:$U$355,MATCH($E73,Deals!$A$2:$A$355,0))=0,"",INDEX(Deals!$U$2:$U$355,MATCH($E73,Deals!$A$2:$A$355,0))),""))</f>
        <v/>
      </c>
      <c r="I73" s="18">
        <f>IF(OR($E73="",$F73=""),"",SUMIFS(Assignments!$I$2:$I$769,Assignments!$A$2:$A$769,$F73,Assignments!$C$2:$C$769,$E73))</f>
        <v/>
      </c>
      <c r="J73" s="61">
        <f>IF(OR($E73="",$F73=""),"",$D73-$I73)</f>
        <v/>
      </c>
      <c r="K73" s="20">
        <f>IF($A73="","",IF(AND($E73&lt;&gt;"",$F73&lt;&gt;""),"OK",TRIM(IF($E73="","unmatched code ","")&amp;IF($F73="","unmatched person",""))))</f>
        <v/>
      </c>
    </row>
    <row r="74">
      <c r="A74" s="31" t="n"/>
      <c r="B74" s="31" t="n"/>
      <c r="C74" s="31" t="n"/>
      <c r="D74" s="31" t="n"/>
      <c r="E74" s="16">
        <f>IF($A74="","",IF(COUNTIF(Deals!$A$2:$A$355,$A74)&gt;0,$A74,""))</f>
        <v/>
      </c>
      <c r="F74" s="16">
        <f>IF($B74="","",IFERROR(INDEX(Roster!$A$2:$A$40,MATCH($B74,Roster!$A$2:$A$40,0)),IFERROR(IF(INDEX(MapTracker,MATCH($B74,MapNetSuite,0))=0,"",INDEX(MapTracker,MATCH($B74,MapNetSuite,0))),"")))</f>
        <v/>
      </c>
      <c r="G74" s="16">
        <f>IF($F74="","",IFERROR(INDEX(Roster!$B$2:$B$40,MATCH($F74,Roster!$A$2:$A$40,0)),""))</f>
        <v/>
      </c>
      <c r="H74" s="16">
        <f>IF($E74="","",IFERROR(IF(INDEX(Deals!$U$2:$U$355,MATCH($E74,Deals!$A$2:$A$355,0))=0,"",INDEX(Deals!$U$2:$U$355,MATCH($E74,Deals!$A$2:$A$355,0))),""))</f>
        <v/>
      </c>
      <c r="I74" s="18">
        <f>IF(OR($E74="",$F74=""),"",SUMIFS(Assignments!$I$2:$I$769,Assignments!$A$2:$A$769,$F74,Assignments!$C$2:$C$769,$E74))</f>
        <v/>
      </c>
      <c r="J74" s="61">
        <f>IF(OR($E74="",$F74=""),"",$D74-$I74)</f>
        <v/>
      </c>
      <c r="K74" s="20">
        <f>IF($A74="","",IF(AND($E74&lt;&gt;"",$F74&lt;&gt;""),"OK",TRIM(IF($E74="","unmatched code ","")&amp;IF($F74="","unmatched person",""))))</f>
        <v/>
      </c>
    </row>
    <row r="75">
      <c r="A75" s="31" t="n"/>
      <c r="B75" s="31" t="n"/>
      <c r="C75" s="31" t="n"/>
      <c r="D75" s="31" t="n"/>
      <c r="E75" s="16">
        <f>IF($A75="","",IF(COUNTIF(Deals!$A$2:$A$355,$A75)&gt;0,$A75,""))</f>
        <v/>
      </c>
      <c r="F75" s="16">
        <f>IF($B75="","",IFERROR(INDEX(Roster!$A$2:$A$40,MATCH($B75,Roster!$A$2:$A$40,0)),IFERROR(IF(INDEX(MapTracker,MATCH($B75,MapNetSuite,0))=0,"",INDEX(MapTracker,MATCH($B75,MapNetSuite,0))),"")))</f>
        <v/>
      </c>
      <c r="G75" s="16">
        <f>IF($F75="","",IFERROR(INDEX(Roster!$B$2:$B$40,MATCH($F75,Roster!$A$2:$A$40,0)),""))</f>
        <v/>
      </c>
      <c r="H75" s="16">
        <f>IF($E75="","",IFERROR(IF(INDEX(Deals!$U$2:$U$355,MATCH($E75,Deals!$A$2:$A$355,0))=0,"",INDEX(Deals!$U$2:$U$355,MATCH($E75,Deals!$A$2:$A$355,0))),""))</f>
        <v/>
      </c>
      <c r="I75" s="18">
        <f>IF(OR($E75="",$F75=""),"",SUMIFS(Assignments!$I$2:$I$769,Assignments!$A$2:$A$769,$F75,Assignments!$C$2:$C$769,$E75))</f>
        <v/>
      </c>
      <c r="J75" s="61">
        <f>IF(OR($E75="",$F75=""),"",$D75-$I75)</f>
        <v/>
      </c>
      <c r="K75" s="20">
        <f>IF($A75="","",IF(AND($E75&lt;&gt;"",$F75&lt;&gt;""),"OK",TRIM(IF($E75="","unmatched code ","")&amp;IF($F75="","unmatched person",""))))</f>
        <v/>
      </c>
    </row>
    <row r="76">
      <c r="A76" s="31" t="n"/>
      <c r="B76" s="31" t="n"/>
      <c r="C76" s="31" t="n"/>
      <c r="D76" s="31" t="n"/>
      <c r="E76" s="16">
        <f>IF($A76="","",IF(COUNTIF(Deals!$A$2:$A$355,$A76)&gt;0,$A76,""))</f>
        <v/>
      </c>
      <c r="F76" s="16">
        <f>IF($B76="","",IFERROR(INDEX(Roster!$A$2:$A$40,MATCH($B76,Roster!$A$2:$A$40,0)),IFERROR(IF(INDEX(MapTracker,MATCH($B76,MapNetSuite,0))=0,"",INDEX(MapTracker,MATCH($B76,MapNetSuite,0))),"")))</f>
        <v/>
      </c>
      <c r="G76" s="16">
        <f>IF($F76="","",IFERROR(INDEX(Roster!$B$2:$B$40,MATCH($F76,Roster!$A$2:$A$40,0)),""))</f>
        <v/>
      </c>
      <c r="H76" s="16">
        <f>IF($E76="","",IFERROR(IF(INDEX(Deals!$U$2:$U$355,MATCH($E76,Deals!$A$2:$A$355,0))=0,"",INDEX(Deals!$U$2:$U$355,MATCH($E76,Deals!$A$2:$A$355,0))),""))</f>
        <v/>
      </c>
      <c r="I76" s="18">
        <f>IF(OR($E76="",$F76=""),"",SUMIFS(Assignments!$I$2:$I$769,Assignments!$A$2:$A$769,$F76,Assignments!$C$2:$C$769,$E76))</f>
        <v/>
      </c>
      <c r="J76" s="61">
        <f>IF(OR($E76="",$F76=""),"",$D76-$I76)</f>
        <v/>
      </c>
      <c r="K76" s="20">
        <f>IF($A76="","",IF(AND($E76&lt;&gt;"",$F76&lt;&gt;""),"OK",TRIM(IF($E76="","unmatched code ","")&amp;IF($F76="","unmatched person",""))))</f>
        <v/>
      </c>
    </row>
    <row r="77">
      <c r="A77" s="31" t="n"/>
      <c r="B77" s="31" t="n"/>
      <c r="C77" s="31" t="n"/>
      <c r="D77" s="31" t="n"/>
      <c r="E77" s="16">
        <f>IF($A77="","",IF(COUNTIF(Deals!$A$2:$A$355,$A77)&gt;0,$A77,""))</f>
        <v/>
      </c>
      <c r="F77" s="16">
        <f>IF($B77="","",IFERROR(INDEX(Roster!$A$2:$A$40,MATCH($B77,Roster!$A$2:$A$40,0)),IFERROR(IF(INDEX(MapTracker,MATCH($B77,MapNetSuite,0))=0,"",INDEX(MapTracker,MATCH($B77,MapNetSuite,0))),"")))</f>
        <v/>
      </c>
      <c r="G77" s="16">
        <f>IF($F77="","",IFERROR(INDEX(Roster!$B$2:$B$40,MATCH($F77,Roster!$A$2:$A$40,0)),""))</f>
        <v/>
      </c>
      <c r="H77" s="16">
        <f>IF($E77="","",IFERROR(IF(INDEX(Deals!$U$2:$U$355,MATCH($E77,Deals!$A$2:$A$355,0))=0,"",INDEX(Deals!$U$2:$U$355,MATCH($E77,Deals!$A$2:$A$355,0))),""))</f>
        <v/>
      </c>
      <c r="I77" s="18">
        <f>IF(OR($E77="",$F77=""),"",SUMIFS(Assignments!$I$2:$I$769,Assignments!$A$2:$A$769,$F77,Assignments!$C$2:$C$769,$E77))</f>
        <v/>
      </c>
      <c r="J77" s="61">
        <f>IF(OR($E77="",$F77=""),"",$D77-$I77)</f>
        <v/>
      </c>
      <c r="K77" s="20">
        <f>IF($A77="","",IF(AND($E77&lt;&gt;"",$F77&lt;&gt;""),"OK",TRIM(IF($E77="","unmatched code ","")&amp;IF($F77="","unmatched person",""))))</f>
        <v/>
      </c>
    </row>
    <row r="78">
      <c r="A78" s="31" t="n"/>
      <c r="B78" s="31" t="n"/>
      <c r="C78" s="31" t="n"/>
      <c r="D78" s="31" t="n"/>
      <c r="E78" s="16">
        <f>IF($A78="","",IF(COUNTIF(Deals!$A$2:$A$355,$A78)&gt;0,$A78,""))</f>
        <v/>
      </c>
      <c r="F78" s="16">
        <f>IF($B78="","",IFERROR(INDEX(Roster!$A$2:$A$40,MATCH($B78,Roster!$A$2:$A$40,0)),IFERROR(IF(INDEX(MapTracker,MATCH($B78,MapNetSuite,0))=0,"",INDEX(MapTracker,MATCH($B78,MapNetSuite,0))),"")))</f>
        <v/>
      </c>
      <c r="G78" s="16">
        <f>IF($F78="","",IFERROR(INDEX(Roster!$B$2:$B$40,MATCH($F78,Roster!$A$2:$A$40,0)),""))</f>
        <v/>
      </c>
      <c r="H78" s="16">
        <f>IF($E78="","",IFERROR(IF(INDEX(Deals!$U$2:$U$355,MATCH($E78,Deals!$A$2:$A$355,0))=0,"",INDEX(Deals!$U$2:$U$355,MATCH($E78,Deals!$A$2:$A$355,0))),""))</f>
        <v/>
      </c>
      <c r="I78" s="18">
        <f>IF(OR($E78="",$F78=""),"",SUMIFS(Assignments!$I$2:$I$769,Assignments!$A$2:$A$769,$F78,Assignments!$C$2:$C$769,$E78))</f>
        <v/>
      </c>
      <c r="J78" s="61">
        <f>IF(OR($E78="",$F78=""),"",$D78-$I78)</f>
        <v/>
      </c>
      <c r="K78" s="20">
        <f>IF($A78="","",IF(AND($E78&lt;&gt;"",$F78&lt;&gt;""),"OK",TRIM(IF($E78="","unmatched code ","")&amp;IF($F78="","unmatched person",""))))</f>
        <v/>
      </c>
    </row>
    <row r="79">
      <c r="A79" s="31" t="n"/>
      <c r="B79" s="31" t="n"/>
      <c r="C79" s="31" t="n"/>
      <c r="D79" s="31" t="n"/>
      <c r="E79" s="16">
        <f>IF($A79="","",IF(COUNTIF(Deals!$A$2:$A$355,$A79)&gt;0,$A79,""))</f>
        <v/>
      </c>
      <c r="F79" s="16">
        <f>IF($B79="","",IFERROR(INDEX(Roster!$A$2:$A$40,MATCH($B79,Roster!$A$2:$A$40,0)),IFERROR(IF(INDEX(MapTracker,MATCH($B79,MapNetSuite,0))=0,"",INDEX(MapTracker,MATCH($B79,MapNetSuite,0))),"")))</f>
        <v/>
      </c>
      <c r="G79" s="16">
        <f>IF($F79="","",IFERROR(INDEX(Roster!$B$2:$B$40,MATCH($F79,Roster!$A$2:$A$40,0)),""))</f>
        <v/>
      </c>
      <c r="H79" s="16">
        <f>IF($E79="","",IFERROR(IF(INDEX(Deals!$U$2:$U$355,MATCH($E79,Deals!$A$2:$A$355,0))=0,"",INDEX(Deals!$U$2:$U$355,MATCH($E79,Deals!$A$2:$A$355,0))),""))</f>
        <v/>
      </c>
      <c r="I79" s="18">
        <f>IF(OR($E79="",$F79=""),"",SUMIFS(Assignments!$I$2:$I$769,Assignments!$A$2:$A$769,$F79,Assignments!$C$2:$C$769,$E79))</f>
        <v/>
      </c>
      <c r="J79" s="61">
        <f>IF(OR($E79="",$F79=""),"",$D79-$I79)</f>
        <v/>
      </c>
      <c r="K79" s="20">
        <f>IF($A79="","",IF(AND($E79&lt;&gt;"",$F79&lt;&gt;""),"OK",TRIM(IF($E79="","unmatched code ","")&amp;IF($F79="","unmatched person",""))))</f>
        <v/>
      </c>
    </row>
    <row r="80">
      <c r="A80" s="31" t="n"/>
      <c r="B80" s="31" t="n"/>
      <c r="C80" s="31" t="n"/>
      <c r="D80" s="31" t="n"/>
      <c r="E80" s="16">
        <f>IF($A80="","",IF(COUNTIF(Deals!$A$2:$A$355,$A80)&gt;0,$A80,""))</f>
        <v/>
      </c>
      <c r="F80" s="16">
        <f>IF($B80="","",IFERROR(INDEX(Roster!$A$2:$A$40,MATCH($B80,Roster!$A$2:$A$40,0)),IFERROR(IF(INDEX(MapTracker,MATCH($B80,MapNetSuite,0))=0,"",INDEX(MapTracker,MATCH($B80,MapNetSuite,0))),"")))</f>
        <v/>
      </c>
      <c r="G80" s="16">
        <f>IF($F80="","",IFERROR(INDEX(Roster!$B$2:$B$40,MATCH($F80,Roster!$A$2:$A$40,0)),""))</f>
        <v/>
      </c>
      <c r="H80" s="16">
        <f>IF($E80="","",IFERROR(IF(INDEX(Deals!$U$2:$U$355,MATCH($E80,Deals!$A$2:$A$355,0))=0,"",INDEX(Deals!$U$2:$U$355,MATCH($E80,Deals!$A$2:$A$355,0))),""))</f>
        <v/>
      </c>
      <c r="I80" s="18">
        <f>IF(OR($E80="",$F80=""),"",SUMIFS(Assignments!$I$2:$I$769,Assignments!$A$2:$A$769,$F80,Assignments!$C$2:$C$769,$E80))</f>
        <v/>
      </c>
      <c r="J80" s="61">
        <f>IF(OR($E80="",$F80=""),"",$D80-$I80)</f>
        <v/>
      </c>
      <c r="K80" s="20">
        <f>IF($A80="","",IF(AND($E80&lt;&gt;"",$F80&lt;&gt;""),"OK",TRIM(IF($E80="","unmatched code ","")&amp;IF($F80="","unmatched person",""))))</f>
        <v/>
      </c>
    </row>
    <row r="81">
      <c r="A81" s="31" t="n"/>
      <c r="B81" s="31" t="n"/>
      <c r="C81" s="31" t="n"/>
      <c r="D81" s="31" t="n"/>
      <c r="E81" s="16">
        <f>IF($A81="","",IF(COUNTIF(Deals!$A$2:$A$355,$A81)&gt;0,$A81,""))</f>
        <v/>
      </c>
      <c r="F81" s="16">
        <f>IF($B81="","",IFERROR(INDEX(Roster!$A$2:$A$40,MATCH($B81,Roster!$A$2:$A$40,0)),IFERROR(IF(INDEX(MapTracker,MATCH($B81,MapNetSuite,0))=0,"",INDEX(MapTracker,MATCH($B81,MapNetSuite,0))),"")))</f>
        <v/>
      </c>
      <c r="G81" s="16">
        <f>IF($F81="","",IFERROR(INDEX(Roster!$B$2:$B$40,MATCH($F81,Roster!$A$2:$A$40,0)),""))</f>
        <v/>
      </c>
      <c r="H81" s="16">
        <f>IF($E81="","",IFERROR(IF(INDEX(Deals!$U$2:$U$355,MATCH($E81,Deals!$A$2:$A$355,0))=0,"",INDEX(Deals!$U$2:$U$355,MATCH($E81,Deals!$A$2:$A$355,0))),""))</f>
        <v/>
      </c>
      <c r="I81" s="18">
        <f>IF(OR($E81="",$F81=""),"",SUMIFS(Assignments!$I$2:$I$769,Assignments!$A$2:$A$769,$F81,Assignments!$C$2:$C$769,$E81))</f>
        <v/>
      </c>
      <c r="J81" s="61">
        <f>IF(OR($E81="",$F81=""),"",$D81-$I81)</f>
        <v/>
      </c>
      <c r="K81" s="20">
        <f>IF($A81="","",IF(AND($E81&lt;&gt;"",$F81&lt;&gt;""),"OK",TRIM(IF($E81="","unmatched code ","")&amp;IF($F81="","unmatched person",""))))</f>
        <v/>
      </c>
    </row>
    <row r="82">
      <c r="A82" s="31" t="n"/>
      <c r="B82" s="31" t="n"/>
      <c r="C82" s="31" t="n"/>
      <c r="D82" s="31" t="n"/>
      <c r="E82" s="16">
        <f>IF($A82="","",IF(COUNTIF(Deals!$A$2:$A$355,$A82)&gt;0,$A82,""))</f>
        <v/>
      </c>
      <c r="F82" s="16">
        <f>IF($B82="","",IFERROR(INDEX(Roster!$A$2:$A$40,MATCH($B82,Roster!$A$2:$A$40,0)),IFERROR(IF(INDEX(MapTracker,MATCH($B82,MapNetSuite,0))=0,"",INDEX(MapTracker,MATCH($B82,MapNetSuite,0))),"")))</f>
        <v/>
      </c>
      <c r="G82" s="16">
        <f>IF($F82="","",IFERROR(INDEX(Roster!$B$2:$B$40,MATCH($F82,Roster!$A$2:$A$40,0)),""))</f>
        <v/>
      </c>
      <c r="H82" s="16">
        <f>IF($E82="","",IFERROR(IF(INDEX(Deals!$U$2:$U$355,MATCH($E82,Deals!$A$2:$A$355,0))=0,"",INDEX(Deals!$U$2:$U$355,MATCH($E82,Deals!$A$2:$A$355,0))),""))</f>
        <v/>
      </c>
      <c r="I82" s="18">
        <f>IF(OR($E82="",$F82=""),"",SUMIFS(Assignments!$I$2:$I$769,Assignments!$A$2:$A$769,$F82,Assignments!$C$2:$C$769,$E82))</f>
        <v/>
      </c>
      <c r="J82" s="61">
        <f>IF(OR($E82="",$F82=""),"",$D82-$I82)</f>
        <v/>
      </c>
      <c r="K82" s="20">
        <f>IF($A82="","",IF(AND($E82&lt;&gt;"",$F82&lt;&gt;""),"OK",TRIM(IF($E82="","unmatched code ","")&amp;IF($F82="","unmatched person",""))))</f>
        <v/>
      </c>
    </row>
    <row r="83">
      <c r="A83" s="31" t="n"/>
      <c r="B83" s="31" t="n"/>
      <c r="C83" s="31" t="n"/>
      <c r="D83" s="31" t="n"/>
      <c r="E83" s="16">
        <f>IF($A83="","",IF(COUNTIF(Deals!$A$2:$A$355,$A83)&gt;0,$A83,""))</f>
        <v/>
      </c>
      <c r="F83" s="16">
        <f>IF($B83="","",IFERROR(INDEX(Roster!$A$2:$A$40,MATCH($B83,Roster!$A$2:$A$40,0)),IFERROR(IF(INDEX(MapTracker,MATCH($B83,MapNetSuite,0))=0,"",INDEX(MapTracker,MATCH($B83,MapNetSuite,0))),"")))</f>
        <v/>
      </c>
      <c r="G83" s="16">
        <f>IF($F83="","",IFERROR(INDEX(Roster!$B$2:$B$40,MATCH($F83,Roster!$A$2:$A$40,0)),""))</f>
        <v/>
      </c>
      <c r="H83" s="16">
        <f>IF($E83="","",IFERROR(IF(INDEX(Deals!$U$2:$U$355,MATCH($E83,Deals!$A$2:$A$355,0))=0,"",INDEX(Deals!$U$2:$U$355,MATCH($E83,Deals!$A$2:$A$355,0))),""))</f>
        <v/>
      </c>
      <c r="I83" s="18">
        <f>IF(OR($E83="",$F83=""),"",SUMIFS(Assignments!$I$2:$I$769,Assignments!$A$2:$A$769,$F83,Assignments!$C$2:$C$769,$E83))</f>
        <v/>
      </c>
      <c r="J83" s="61">
        <f>IF(OR($E83="",$F83=""),"",$D83-$I83)</f>
        <v/>
      </c>
      <c r="K83" s="20">
        <f>IF($A83="","",IF(AND($E83&lt;&gt;"",$F83&lt;&gt;""),"OK",TRIM(IF($E83="","unmatched code ","")&amp;IF($F83="","unmatched person",""))))</f>
        <v/>
      </c>
    </row>
    <row r="84">
      <c r="A84" s="31" t="n"/>
      <c r="B84" s="31" t="n"/>
      <c r="C84" s="31" t="n"/>
      <c r="D84" s="31" t="n"/>
      <c r="E84" s="16">
        <f>IF($A84="","",IF(COUNTIF(Deals!$A$2:$A$355,$A84)&gt;0,$A84,""))</f>
        <v/>
      </c>
      <c r="F84" s="16">
        <f>IF($B84="","",IFERROR(INDEX(Roster!$A$2:$A$40,MATCH($B84,Roster!$A$2:$A$40,0)),IFERROR(IF(INDEX(MapTracker,MATCH($B84,MapNetSuite,0))=0,"",INDEX(MapTracker,MATCH($B84,MapNetSuite,0))),"")))</f>
        <v/>
      </c>
      <c r="G84" s="16">
        <f>IF($F84="","",IFERROR(INDEX(Roster!$B$2:$B$40,MATCH($F84,Roster!$A$2:$A$40,0)),""))</f>
        <v/>
      </c>
      <c r="H84" s="16">
        <f>IF($E84="","",IFERROR(IF(INDEX(Deals!$U$2:$U$355,MATCH($E84,Deals!$A$2:$A$355,0))=0,"",INDEX(Deals!$U$2:$U$355,MATCH($E84,Deals!$A$2:$A$355,0))),""))</f>
        <v/>
      </c>
      <c r="I84" s="18">
        <f>IF(OR($E84="",$F84=""),"",SUMIFS(Assignments!$I$2:$I$769,Assignments!$A$2:$A$769,$F84,Assignments!$C$2:$C$769,$E84))</f>
        <v/>
      </c>
      <c r="J84" s="61">
        <f>IF(OR($E84="",$F84=""),"",$D84-$I84)</f>
        <v/>
      </c>
      <c r="K84" s="20">
        <f>IF($A84="","",IF(AND($E84&lt;&gt;"",$F84&lt;&gt;""),"OK",TRIM(IF($E84="","unmatched code ","")&amp;IF($F84="","unmatched person",""))))</f>
        <v/>
      </c>
    </row>
    <row r="85">
      <c r="A85" s="31" t="n"/>
      <c r="B85" s="31" t="n"/>
      <c r="C85" s="31" t="n"/>
      <c r="D85" s="31" t="n"/>
      <c r="E85" s="16">
        <f>IF($A85="","",IF(COUNTIF(Deals!$A$2:$A$355,$A85)&gt;0,$A85,""))</f>
        <v/>
      </c>
      <c r="F85" s="16">
        <f>IF($B85="","",IFERROR(INDEX(Roster!$A$2:$A$40,MATCH($B85,Roster!$A$2:$A$40,0)),IFERROR(IF(INDEX(MapTracker,MATCH($B85,MapNetSuite,0))=0,"",INDEX(MapTracker,MATCH($B85,MapNetSuite,0))),"")))</f>
        <v/>
      </c>
      <c r="G85" s="16">
        <f>IF($F85="","",IFERROR(INDEX(Roster!$B$2:$B$40,MATCH($F85,Roster!$A$2:$A$40,0)),""))</f>
        <v/>
      </c>
      <c r="H85" s="16">
        <f>IF($E85="","",IFERROR(IF(INDEX(Deals!$U$2:$U$355,MATCH($E85,Deals!$A$2:$A$355,0))=0,"",INDEX(Deals!$U$2:$U$355,MATCH($E85,Deals!$A$2:$A$355,0))),""))</f>
        <v/>
      </c>
      <c r="I85" s="18">
        <f>IF(OR($E85="",$F85=""),"",SUMIFS(Assignments!$I$2:$I$769,Assignments!$A$2:$A$769,$F85,Assignments!$C$2:$C$769,$E85))</f>
        <v/>
      </c>
      <c r="J85" s="61">
        <f>IF(OR($E85="",$F85=""),"",$D85-$I85)</f>
        <v/>
      </c>
      <c r="K85" s="20">
        <f>IF($A85="","",IF(AND($E85&lt;&gt;"",$F85&lt;&gt;""),"OK",TRIM(IF($E85="","unmatched code ","")&amp;IF($F85="","unmatched person",""))))</f>
        <v/>
      </c>
    </row>
    <row r="86">
      <c r="A86" s="31" t="n"/>
      <c r="B86" s="31" t="n"/>
      <c r="C86" s="31" t="n"/>
      <c r="D86" s="31" t="n"/>
      <c r="E86" s="16">
        <f>IF($A86="","",IF(COUNTIF(Deals!$A$2:$A$355,$A86)&gt;0,$A86,""))</f>
        <v/>
      </c>
      <c r="F86" s="16">
        <f>IF($B86="","",IFERROR(INDEX(Roster!$A$2:$A$40,MATCH($B86,Roster!$A$2:$A$40,0)),IFERROR(IF(INDEX(MapTracker,MATCH($B86,MapNetSuite,0))=0,"",INDEX(MapTracker,MATCH($B86,MapNetSuite,0))),"")))</f>
        <v/>
      </c>
      <c r="G86" s="16">
        <f>IF($F86="","",IFERROR(INDEX(Roster!$B$2:$B$40,MATCH($F86,Roster!$A$2:$A$40,0)),""))</f>
        <v/>
      </c>
      <c r="H86" s="16">
        <f>IF($E86="","",IFERROR(IF(INDEX(Deals!$U$2:$U$355,MATCH($E86,Deals!$A$2:$A$355,0))=0,"",INDEX(Deals!$U$2:$U$355,MATCH($E86,Deals!$A$2:$A$355,0))),""))</f>
        <v/>
      </c>
      <c r="I86" s="18">
        <f>IF(OR($E86="",$F86=""),"",SUMIFS(Assignments!$I$2:$I$769,Assignments!$A$2:$A$769,$F86,Assignments!$C$2:$C$769,$E86))</f>
        <v/>
      </c>
      <c r="J86" s="61">
        <f>IF(OR($E86="",$F86=""),"",$D86-$I86)</f>
        <v/>
      </c>
      <c r="K86" s="20">
        <f>IF($A86="","",IF(AND($E86&lt;&gt;"",$F86&lt;&gt;""),"OK",TRIM(IF($E86="","unmatched code ","")&amp;IF($F86="","unmatched person",""))))</f>
        <v/>
      </c>
    </row>
    <row r="87">
      <c r="A87" s="31" t="n"/>
      <c r="B87" s="31" t="n"/>
      <c r="C87" s="31" t="n"/>
      <c r="D87" s="31" t="n"/>
      <c r="E87" s="16">
        <f>IF($A87="","",IF(COUNTIF(Deals!$A$2:$A$355,$A87)&gt;0,$A87,""))</f>
        <v/>
      </c>
      <c r="F87" s="16">
        <f>IF($B87="","",IFERROR(INDEX(Roster!$A$2:$A$40,MATCH($B87,Roster!$A$2:$A$40,0)),IFERROR(IF(INDEX(MapTracker,MATCH($B87,MapNetSuite,0))=0,"",INDEX(MapTracker,MATCH($B87,MapNetSuite,0))),"")))</f>
        <v/>
      </c>
      <c r="G87" s="16">
        <f>IF($F87="","",IFERROR(INDEX(Roster!$B$2:$B$40,MATCH($F87,Roster!$A$2:$A$40,0)),""))</f>
        <v/>
      </c>
      <c r="H87" s="16">
        <f>IF($E87="","",IFERROR(IF(INDEX(Deals!$U$2:$U$355,MATCH($E87,Deals!$A$2:$A$355,0))=0,"",INDEX(Deals!$U$2:$U$355,MATCH($E87,Deals!$A$2:$A$355,0))),""))</f>
        <v/>
      </c>
      <c r="I87" s="18">
        <f>IF(OR($E87="",$F87=""),"",SUMIFS(Assignments!$I$2:$I$769,Assignments!$A$2:$A$769,$F87,Assignments!$C$2:$C$769,$E87))</f>
        <v/>
      </c>
      <c r="J87" s="61">
        <f>IF(OR($E87="",$F87=""),"",$D87-$I87)</f>
        <v/>
      </c>
      <c r="K87" s="20">
        <f>IF($A87="","",IF(AND($E87&lt;&gt;"",$F87&lt;&gt;""),"OK",TRIM(IF($E87="","unmatched code ","")&amp;IF($F87="","unmatched person",""))))</f>
        <v/>
      </c>
    </row>
    <row r="88">
      <c r="A88" s="31" t="n"/>
      <c r="B88" s="31" t="n"/>
      <c r="C88" s="31" t="n"/>
      <c r="D88" s="31" t="n"/>
      <c r="E88" s="16">
        <f>IF($A88="","",IF(COUNTIF(Deals!$A$2:$A$355,$A88)&gt;0,$A88,""))</f>
        <v/>
      </c>
      <c r="F88" s="16">
        <f>IF($B88="","",IFERROR(INDEX(Roster!$A$2:$A$40,MATCH($B88,Roster!$A$2:$A$40,0)),IFERROR(IF(INDEX(MapTracker,MATCH($B88,MapNetSuite,0))=0,"",INDEX(MapTracker,MATCH($B88,MapNetSuite,0))),"")))</f>
        <v/>
      </c>
      <c r="G88" s="16">
        <f>IF($F88="","",IFERROR(INDEX(Roster!$B$2:$B$40,MATCH($F88,Roster!$A$2:$A$40,0)),""))</f>
        <v/>
      </c>
      <c r="H88" s="16">
        <f>IF($E88="","",IFERROR(IF(INDEX(Deals!$U$2:$U$355,MATCH($E88,Deals!$A$2:$A$355,0))=0,"",INDEX(Deals!$U$2:$U$355,MATCH($E88,Deals!$A$2:$A$355,0))),""))</f>
        <v/>
      </c>
      <c r="I88" s="18">
        <f>IF(OR($E88="",$F88=""),"",SUMIFS(Assignments!$I$2:$I$769,Assignments!$A$2:$A$769,$F88,Assignments!$C$2:$C$769,$E88))</f>
        <v/>
      </c>
      <c r="J88" s="61">
        <f>IF(OR($E88="",$F88=""),"",$D88-$I88)</f>
        <v/>
      </c>
      <c r="K88" s="20">
        <f>IF($A88="","",IF(AND($E88&lt;&gt;"",$F88&lt;&gt;""),"OK",TRIM(IF($E88="","unmatched code ","")&amp;IF($F88="","unmatched person",""))))</f>
        <v/>
      </c>
    </row>
    <row r="89">
      <c r="A89" s="31" t="n"/>
      <c r="B89" s="31" t="n"/>
      <c r="C89" s="31" t="n"/>
      <c r="D89" s="31" t="n"/>
      <c r="E89" s="16">
        <f>IF($A89="","",IF(COUNTIF(Deals!$A$2:$A$355,$A89)&gt;0,$A89,""))</f>
        <v/>
      </c>
      <c r="F89" s="16">
        <f>IF($B89="","",IFERROR(INDEX(Roster!$A$2:$A$40,MATCH($B89,Roster!$A$2:$A$40,0)),IFERROR(IF(INDEX(MapTracker,MATCH($B89,MapNetSuite,0))=0,"",INDEX(MapTracker,MATCH($B89,MapNetSuite,0))),"")))</f>
        <v/>
      </c>
      <c r="G89" s="16">
        <f>IF($F89="","",IFERROR(INDEX(Roster!$B$2:$B$40,MATCH($F89,Roster!$A$2:$A$40,0)),""))</f>
        <v/>
      </c>
      <c r="H89" s="16">
        <f>IF($E89="","",IFERROR(IF(INDEX(Deals!$U$2:$U$355,MATCH($E89,Deals!$A$2:$A$355,0))=0,"",INDEX(Deals!$U$2:$U$355,MATCH($E89,Deals!$A$2:$A$355,0))),""))</f>
        <v/>
      </c>
      <c r="I89" s="18">
        <f>IF(OR($E89="",$F89=""),"",SUMIFS(Assignments!$I$2:$I$769,Assignments!$A$2:$A$769,$F89,Assignments!$C$2:$C$769,$E89))</f>
        <v/>
      </c>
      <c r="J89" s="61">
        <f>IF(OR($E89="",$F89=""),"",$D89-$I89)</f>
        <v/>
      </c>
      <c r="K89" s="20">
        <f>IF($A89="","",IF(AND($E89&lt;&gt;"",$F89&lt;&gt;""),"OK",TRIM(IF($E89="","unmatched code ","")&amp;IF($F89="","unmatched person",""))))</f>
        <v/>
      </c>
    </row>
    <row r="90">
      <c r="A90" s="31" t="n"/>
      <c r="B90" s="31" t="n"/>
      <c r="C90" s="31" t="n"/>
      <c r="D90" s="31" t="n"/>
      <c r="E90" s="16">
        <f>IF($A90="","",IF(COUNTIF(Deals!$A$2:$A$355,$A90)&gt;0,$A90,""))</f>
        <v/>
      </c>
      <c r="F90" s="16">
        <f>IF($B90="","",IFERROR(INDEX(Roster!$A$2:$A$40,MATCH($B90,Roster!$A$2:$A$40,0)),IFERROR(IF(INDEX(MapTracker,MATCH($B90,MapNetSuite,0))=0,"",INDEX(MapTracker,MATCH($B90,MapNetSuite,0))),"")))</f>
        <v/>
      </c>
      <c r="G90" s="16">
        <f>IF($F90="","",IFERROR(INDEX(Roster!$B$2:$B$40,MATCH($F90,Roster!$A$2:$A$40,0)),""))</f>
        <v/>
      </c>
      <c r="H90" s="16">
        <f>IF($E90="","",IFERROR(IF(INDEX(Deals!$U$2:$U$355,MATCH($E90,Deals!$A$2:$A$355,0))=0,"",INDEX(Deals!$U$2:$U$355,MATCH($E90,Deals!$A$2:$A$355,0))),""))</f>
        <v/>
      </c>
      <c r="I90" s="18">
        <f>IF(OR($E90="",$F90=""),"",SUMIFS(Assignments!$I$2:$I$769,Assignments!$A$2:$A$769,$F90,Assignments!$C$2:$C$769,$E90))</f>
        <v/>
      </c>
      <c r="J90" s="61">
        <f>IF(OR($E90="",$F90=""),"",$D90-$I90)</f>
        <v/>
      </c>
      <c r="K90" s="20">
        <f>IF($A90="","",IF(AND($E90&lt;&gt;"",$F90&lt;&gt;""),"OK",TRIM(IF($E90="","unmatched code ","")&amp;IF($F90="","unmatched person",""))))</f>
        <v/>
      </c>
    </row>
    <row r="91">
      <c r="A91" s="31" t="n"/>
      <c r="B91" s="31" t="n"/>
      <c r="C91" s="31" t="n"/>
      <c r="D91" s="31" t="n"/>
      <c r="E91" s="16">
        <f>IF($A91="","",IF(COUNTIF(Deals!$A$2:$A$355,$A91)&gt;0,$A91,""))</f>
        <v/>
      </c>
      <c r="F91" s="16">
        <f>IF($B91="","",IFERROR(INDEX(Roster!$A$2:$A$40,MATCH($B91,Roster!$A$2:$A$40,0)),IFERROR(IF(INDEX(MapTracker,MATCH($B91,MapNetSuite,0))=0,"",INDEX(MapTracker,MATCH($B91,MapNetSuite,0))),"")))</f>
        <v/>
      </c>
      <c r="G91" s="16">
        <f>IF($F91="","",IFERROR(INDEX(Roster!$B$2:$B$40,MATCH($F91,Roster!$A$2:$A$40,0)),""))</f>
        <v/>
      </c>
      <c r="H91" s="16">
        <f>IF($E91="","",IFERROR(IF(INDEX(Deals!$U$2:$U$355,MATCH($E91,Deals!$A$2:$A$355,0))=0,"",INDEX(Deals!$U$2:$U$355,MATCH($E91,Deals!$A$2:$A$355,0))),""))</f>
        <v/>
      </c>
      <c r="I91" s="18">
        <f>IF(OR($E91="",$F91=""),"",SUMIFS(Assignments!$I$2:$I$769,Assignments!$A$2:$A$769,$F91,Assignments!$C$2:$C$769,$E91))</f>
        <v/>
      </c>
      <c r="J91" s="61">
        <f>IF(OR($E91="",$F91=""),"",$D91-$I91)</f>
        <v/>
      </c>
      <c r="K91" s="20">
        <f>IF($A91="","",IF(AND($E91&lt;&gt;"",$F91&lt;&gt;""),"OK",TRIM(IF($E91="","unmatched code ","")&amp;IF($F91="","unmatched person",""))))</f>
        <v/>
      </c>
    </row>
    <row r="92">
      <c r="A92" s="31" t="n"/>
      <c r="B92" s="31" t="n"/>
      <c r="C92" s="31" t="n"/>
      <c r="D92" s="31" t="n"/>
      <c r="E92" s="16">
        <f>IF($A92="","",IF(COUNTIF(Deals!$A$2:$A$355,$A92)&gt;0,$A92,""))</f>
        <v/>
      </c>
      <c r="F92" s="16">
        <f>IF($B92="","",IFERROR(INDEX(Roster!$A$2:$A$40,MATCH($B92,Roster!$A$2:$A$40,0)),IFERROR(IF(INDEX(MapTracker,MATCH($B92,MapNetSuite,0))=0,"",INDEX(MapTracker,MATCH($B92,MapNetSuite,0))),"")))</f>
        <v/>
      </c>
      <c r="G92" s="16">
        <f>IF($F92="","",IFERROR(INDEX(Roster!$B$2:$B$40,MATCH($F92,Roster!$A$2:$A$40,0)),""))</f>
        <v/>
      </c>
      <c r="H92" s="16">
        <f>IF($E92="","",IFERROR(IF(INDEX(Deals!$U$2:$U$355,MATCH($E92,Deals!$A$2:$A$355,0))=0,"",INDEX(Deals!$U$2:$U$355,MATCH($E92,Deals!$A$2:$A$355,0))),""))</f>
        <v/>
      </c>
      <c r="I92" s="18">
        <f>IF(OR($E92="",$F92=""),"",SUMIFS(Assignments!$I$2:$I$769,Assignments!$A$2:$A$769,$F92,Assignments!$C$2:$C$769,$E92))</f>
        <v/>
      </c>
      <c r="J92" s="61">
        <f>IF(OR($E92="",$F92=""),"",$D92-$I92)</f>
        <v/>
      </c>
      <c r="K92" s="20">
        <f>IF($A92="","",IF(AND($E92&lt;&gt;"",$F92&lt;&gt;""),"OK",TRIM(IF($E92="","unmatched code ","")&amp;IF($F92="","unmatched person",""))))</f>
        <v/>
      </c>
    </row>
    <row r="93">
      <c r="A93" s="31" t="n"/>
      <c r="B93" s="31" t="n"/>
      <c r="C93" s="31" t="n"/>
      <c r="D93" s="31" t="n"/>
      <c r="E93" s="16">
        <f>IF($A93="","",IF(COUNTIF(Deals!$A$2:$A$355,$A93)&gt;0,$A93,""))</f>
        <v/>
      </c>
      <c r="F93" s="16">
        <f>IF($B93="","",IFERROR(INDEX(Roster!$A$2:$A$40,MATCH($B93,Roster!$A$2:$A$40,0)),IFERROR(IF(INDEX(MapTracker,MATCH($B93,MapNetSuite,0))=0,"",INDEX(MapTracker,MATCH($B93,MapNetSuite,0))),"")))</f>
        <v/>
      </c>
      <c r="G93" s="16">
        <f>IF($F93="","",IFERROR(INDEX(Roster!$B$2:$B$40,MATCH($F93,Roster!$A$2:$A$40,0)),""))</f>
        <v/>
      </c>
      <c r="H93" s="16">
        <f>IF($E93="","",IFERROR(IF(INDEX(Deals!$U$2:$U$355,MATCH($E93,Deals!$A$2:$A$355,0))=0,"",INDEX(Deals!$U$2:$U$355,MATCH($E93,Deals!$A$2:$A$355,0))),""))</f>
        <v/>
      </c>
      <c r="I93" s="18">
        <f>IF(OR($E93="",$F93=""),"",SUMIFS(Assignments!$I$2:$I$769,Assignments!$A$2:$A$769,$F93,Assignments!$C$2:$C$769,$E93))</f>
        <v/>
      </c>
      <c r="J93" s="61">
        <f>IF(OR($E93="",$F93=""),"",$D93-$I93)</f>
        <v/>
      </c>
      <c r="K93" s="20">
        <f>IF($A93="","",IF(AND($E93&lt;&gt;"",$F93&lt;&gt;""),"OK",TRIM(IF($E93="","unmatched code ","")&amp;IF($F93="","unmatched person",""))))</f>
        <v/>
      </c>
    </row>
    <row r="94">
      <c r="A94" s="31" t="n"/>
      <c r="B94" s="31" t="n"/>
      <c r="C94" s="31" t="n"/>
      <c r="D94" s="31" t="n"/>
      <c r="E94" s="16">
        <f>IF($A94="","",IF(COUNTIF(Deals!$A$2:$A$355,$A94)&gt;0,$A94,""))</f>
        <v/>
      </c>
      <c r="F94" s="16">
        <f>IF($B94="","",IFERROR(INDEX(Roster!$A$2:$A$40,MATCH($B94,Roster!$A$2:$A$40,0)),IFERROR(IF(INDEX(MapTracker,MATCH($B94,MapNetSuite,0))=0,"",INDEX(MapTracker,MATCH($B94,MapNetSuite,0))),"")))</f>
        <v/>
      </c>
      <c r="G94" s="16">
        <f>IF($F94="","",IFERROR(INDEX(Roster!$B$2:$B$40,MATCH($F94,Roster!$A$2:$A$40,0)),""))</f>
        <v/>
      </c>
      <c r="H94" s="16">
        <f>IF($E94="","",IFERROR(IF(INDEX(Deals!$U$2:$U$355,MATCH($E94,Deals!$A$2:$A$355,0))=0,"",INDEX(Deals!$U$2:$U$355,MATCH($E94,Deals!$A$2:$A$355,0))),""))</f>
        <v/>
      </c>
      <c r="I94" s="18">
        <f>IF(OR($E94="",$F94=""),"",SUMIFS(Assignments!$I$2:$I$769,Assignments!$A$2:$A$769,$F94,Assignments!$C$2:$C$769,$E94))</f>
        <v/>
      </c>
      <c r="J94" s="61">
        <f>IF(OR($E94="",$F94=""),"",$D94-$I94)</f>
        <v/>
      </c>
      <c r="K94" s="20">
        <f>IF($A94="","",IF(AND($E94&lt;&gt;"",$F94&lt;&gt;""),"OK",TRIM(IF($E94="","unmatched code ","")&amp;IF($F94="","unmatched person",""))))</f>
        <v/>
      </c>
    </row>
    <row r="95">
      <c r="A95" s="31" t="n"/>
      <c r="B95" s="31" t="n"/>
      <c r="C95" s="31" t="n"/>
      <c r="D95" s="31" t="n"/>
      <c r="E95" s="16">
        <f>IF($A95="","",IF(COUNTIF(Deals!$A$2:$A$355,$A95)&gt;0,$A95,""))</f>
        <v/>
      </c>
      <c r="F95" s="16">
        <f>IF($B95="","",IFERROR(INDEX(Roster!$A$2:$A$40,MATCH($B95,Roster!$A$2:$A$40,0)),IFERROR(IF(INDEX(MapTracker,MATCH($B95,MapNetSuite,0))=0,"",INDEX(MapTracker,MATCH($B95,MapNetSuite,0))),"")))</f>
        <v/>
      </c>
      <c r="G95" s="16">
        <f>IF($F95="","",IFERROR(INDEX(Roster!$B$2:$B$40,MATCH($F95,Roster!$A$2:$A$40,0)),""))</f>
        <v/>
      </c>
      <c r="H95" s="16">
        <f>IF($E95="","",IFERROR(IF(INDEX(Deals!$U$2:$U$355,MATCH($E95,Deals!$A$2:$A$355,0))=0,"",INDEX(Deals!$U$2:$U$355,MATCH($E95,Deals!$A$2:$A$355,0))),""))</f>
        <v/>
      </c>
      <c r="I95" s="18">
        <f>IF(OR($E95="",$F95=""),"",SUMIFS(Assignments!$I$2:$I$769,Assignments!$A$2:$A$769,$F95,Assignments!$C$2:$C$769,$E95))</f>
        <v/>
      </c>
      <c r="J95" s="61">
        <f>IF(OR($E95="",$F95=""),"",$D95-$I95)</f>
        <v/>
      </c>
      <c r="K95" s="20">
        <f>IF($A95="","",IF(AND($E95&lt;&gt;"",$F95&lt;&gt;""),"OK",TRIM(IF($E95="","unmatched code ","")&amp;IF($F95="","unmatched person",""))))</f>
        <v/>
      </c>
    </row>
    <row r="96">
      <c r="A96" s="31" t="n"/>
      <c r="B96" s="31" t="n"/>
      <c r="C96" s="31" t="n"/>
      <c r="D96" s="31" t="n"/>
      <c r="E96" s="16">
        <f>IF($A96="","",IF(COUNTIF(Deals!$A$2:$A$355,$A96)&gt;0,$A96,""))</f>
        <v/>
      </c>
      <c r="F96" s="16">
        <f>IF($B96="","",IFERROR(INDEX(Roster!$A$2:$A$40,MATCH($B96,Roster!$A$2:$A$40,0)),IFERROR(IF(INDEX(MapTracker,MATCH($B96,MapNetSuite,0))=0,"",INDEX(MapTracker,MATCH($B96,MapNetSuite,0))),"")))</f>
        <v/>
      </c>
      <c r="G96" s="16">
        <f>IF($F96="","",IFERROR(INDEX(Roster!$B$2:$B$40,MATCH($F96,Roster!$A$2:$A$40,0)),""))</f>
        <v/>
      </c>
      <c r="H96" s="16">
        <f>IF($E96="","",IFERROR(IF(INDEX(Deals!$U$2:$U$355,MATCH($E96,Deals!$A$2:$A$355,0))=0,"",INDEX(Deals!$U$2:$U$355,MATCH($E96,Deals!$A$2:$A$355,0))),""))</f>
        <v/>
      </c>
      <c r="I96" s="18">
        <f>IF(OR($E96="",$F96=""),"",SUMIFS(Assignments!$I$2:$I$769,Assignments!$A$2:$A$769,$F96,Assignments!$C$2:$C$769,$E96))</f>
        <v/>
      </c>
      <c r="J96" s="61">
        <f>IF(OR($E96="",$F96=""),"",$D96-$I96)</f>
        <v/>
      </c>
      <c r="K96" s="20">
        <f>IF($A96="","",IF(AND($E96&lt;&gt;"",$F96&lt;&gt;""),"OK",TRIM(IF($E96="","unmatched code ","")&amp;IF($F96="","unmatched person",""))))</f>
        <v/>
      </c>
    </row>
    <row r="97">
      <c r="A97" s="31" t="n"/>
      <c r="B97" s="31" t="n"/>
      <c r="C97" s="31" t="n"/>
      <c r="D97" s="31" t="n"/>
      <c r="E97" s="16">
        <f>IF($A97="","",IF(COUNTIF(Deals!$A$2:$A$355,$A97)&gt;0,$A97,""))</f>
        <v/>
      </c>
      <c r="F97" s="16">
        <f>IF($B97="","",IFERROR(INDEX(Roster!$A$2:$A$40,MATCH($B97,Roster!$A$2:$A$40,0)),IFERROR(IF(INDEX(MapTracker,MATCH($B97,MapNetSuite,0))=0,"",INDEX(MapTracker,MATCH($B97,MapNetSuite,0))),"")))</f>
        <v/>
      </c>
      <c r="G97" s="16">
        <f>IF($F97="","",IFERROR(INDEX(Roster!$B$2:$B$40,MATCH($F97,Roster!$A$2:$A$40,0)),""))</f>
        <v/>
      </c>
      <c r="H97" s="16">
        <f>IF($E97="","",IFERROR(IF(INDEX(Deals!$U$2:$U$355,MATCH($E97,Deals!$A$2:$A$355,0))=0,"",INDEX(Deals!$U$2:$U$355,MATCH($E97,Deals!$A$2:$A$355,0))),""))</f>
        <v/>
      </c>
      <c r="I97" s="18">
        <f>IF(OR($E97="",$F97=""),"",SUMIFS(Assignments!$I$2:$I$769,Assignments!$A$2:$A$769,$F97,Assignments!$C$2:$C$769,$E97))</f>
        <v/>
      </c>
      <c r="J97" s="61">
        <f>IF(OR($E97="",$F97=""),"",$D97-$I97)</f>
        <v/>
      </c>
      <c r="K97" s="20">
        <f>IF($A97="","",IF(AND($E97&lt;&gt;"",$F97&lt;&gt;""),"OK",TRIM(IF($E97="","unmatched code ","")&amp;IF($F97="","unmatched person",""))))</f>
        <v/>
      </c>
    </row>
    <row r="98">
      <c r="A98" s="31" t="n"/>
      <c r="B98" s="31" t="n"/>
      <c r="C98" s="31" t="n"/>
      <c r="D98" s="31" t="n"/>
      <c r="E98" s="16">
        <f>IF($A98="","",IF(COUNTIF(Deals!$A$2:$A$355,$A98)&gt;0,$A98,""))</f>
        <v/>
      </c>
      <c r="F98" s="16">
        <f>IF($B98="","",IFERROR(INDEX(Roster!$A$2:$A$40,MATCH($B98,Roster!$A$2:$A$40,0)),IFERROR(IF(INDEX(MapTracker,MATCH($B98,MapNetSuite,0))=0,"",INDEX(MapTracker,MATCH($B98,MapNetSuite,0))),"")))</f>
        <v/>
      </c>
      <c r="G98" s="16">
        <f>IF($F98="","",IFERROR(INDEX(Roster!$B$2:$B$40,MATCH($F98,Roster!$A$2:$A$40,0)),""))</f>
        <v/>
      </c>
      <c r="H98" s="16">
        <f>IF($E98="","",IFERROR(IF(INDEX(Deals!$U$2:$U$355,MATCH($E98,Deals!$A$2:$A$355,0))=0,"",INDEX(Deals!$U$2:$U$355,MATCH($E98,Deals!$A$2:$A$355,0))),""))</f>
        <v/>
      </c>
      <c r="I98" s="18">
        <f>IF(OR($E98="",$F98=""),"",SUMIFS(Assignments!$I$2:$I$769,Assignments!$A$2:$A$769,$F98,Assignments!$C$2:$C$769,$E98))</f>
        <v/>
      </c>
      <c r="J98" s="61">
        <f>IF(OR($E98="",$F98=""),"",$D98-$I98)</f>
        <v/>
      </c>
      <c r="K98" s="20">
        <f>IF($A98="","",IF(AND($E98&lt;&gt;"",$F98&lt;&gt;""),"OK",TRIM(IF($E98="","unmatched code ","")&amp;IF($F98="","unmatched person",""))))</f>
        <v/>
      </c>
    </row>
    <row r="99">
      <c r="A99" s="31" t="n"/>
      <c r="B99" s="31" t="n"/>
      <c r="C99" s="31" t="n"/>
      <c r="D99" s="31" t="n"/>
      <c r="E99" s="16">
        <f>IF($A99="","",IF(COUNTIF(Deals!$A$2:$A$355,$A99)&gt;0,$A99,""))</f>
        <v/>
      </c>
      <c r="F99" s="16">
        <f>IF($B99="","",IFERROR(INDEX(Roster!$A$2:$A$40,MATCH($B99,Roster!$A$2:$A$40,0)),IFERROR(IF(INDEX(MapTracker,MATCH($B99,MapNetSuite,0))=0,"",INDEX(MapTracker,MATCH($B99,MapNetSuite,0))),"")))</f>
        <v/>
      </c>
      <c r="G99" s="16">
        <f>IF($F99="","",IFERROR(INDEX(Roster!$B$2:$B$40,MATCH($F99,Roster!$A$2:$A$40,0)),""))</f>
        <v/>
      </c>
      <c r="H99" s="16">
        <f>IF($E99="","",IFERROR(IF(INDEX(Deals!$U$2:$U$355,MATCH($E99,Deals!$A$2:$A$355,0))=0,"",INDEX(Deals!$U$2:$U$355,MATCH($E99,Deals!$A$2:$A$355,0))),""))</f>
        <v/>
      </c>
      <c r="I99" s="18">
        <f>IF(OR($E99="",$F99=""),"",SUMIFS(Assignments!$I$2:$I$769,Assignments!$A$2:$A$769,$F99,Assignments!$C$2:$C$769,$E99))</f>
        <v/>
      </c>
      <c r="J99" s="61">
        <f>IF(OR($E99="",$F99=""),"",$D99-$I99)</f>
        <v/>
      </c>
      <c r="K99" s="20">
        <f>IF($A99="","",IF(AND($E99&lt;&gt;"",$F99&lt;&gt;""),"OK",TRIM(IF($E99="","unmatched code ","")&amp;IF($F99="","unmatched person",""))))</f>
        <v/>
      </c>
    </row>
    <row r="100">
      <c r="A100" s="31" t="n"/>
      <c r="B100" s="31" t="n"/>
      <c r="C100" s="31" t="n"/>
      <c r="D100" s="31" t="n"/>
      <c r="E100" s="16">
        <f>IF($A100="","",IF(COUNTIF(Deals!$A$2:$A$355,$A100)&gt;0,$A100,""))</f>
        <v/>
      </c>
      <c r="F100" s="16">
        <f>IF($B100="","",IFERROR(INDEX(Roster!$A$2:$A$40,MATCH($B100,Roster!$A$2:$A$40,0)),IFERROR(IF(INDEX(MapTracker,MATCH($B100,MapNetSuite,0))=0,"",INDEX(MapTracker,MATCH($B100,MapNetSuite,0))),"")))</f>
        <v/>
      </c>
      <c r="G100" s="16">
        <f>IF($F100="","",IFERROR(INDEX(Roster!$B$2:$B$40,MATCH($F100,Roster!$A$2:$A$40,0)),""))</f>
        <v/>
      </c>
      <c r="H100" s="16">
        <f>IF($E100="","",IFERROR(IF(INDEX(Deals!$U$2:$U$355,MATCH($E100,Deals!$A$2:$A$355,0))=0,"",INDEX(Deals!$U$2:$U$355,MATCH($E100,Deals!$A$2:$A$355,0))),""))</f>
        <v/>
      </c>
      <c r="I100" s="18">
        <f>IF(OR($E100="",$F100=""),"",SUMIFS(Assignments!$I$2:$I$769,Assignments!$A$2:$A$769,$F100,Assignments!$C$2:$C$769,$E100))</f>
        <v/>
      </c>
      <c r="J100" s="61">
        <f>IF(OR($E100="",$F100=""),"",$D100-$I100)</f>
        <v/>
      </c>
      <c r="K100" s="20">
        <f>IF($A100="","",IF(AND($E100&lt;&gt;"",$F100&lt;&gt;""),"OK",TRIM(IF($E100="","unmatched code ","")&amp;IF($F100="","unmatched person",""))))</f>
        <v/>
      </c>
    </row>
    <row r="101">
      <c r="A101" s="31" t="n"/>
      <c r="B101" s="31" t="n"/>
      <c r="C101" s="31" t="n"/>
      <c r="D101" s="31" t="n"/>
      <c r="E101" s="16">
        <f>IF($A101="","",IF(COUNTIF(Deals!$A$2:$A$355,$A101)&gt;0,$A101,""))</f>
        <v/>
      </c>
      <c r="F101" s="16">
        <f>IF($B101="","",IFERROR(INDEX(Roster!$A$2:$A$40,MATCH($B101,Roster!$A$2:$A$40,0)),IFERROR(IF(INDEX(MapTracker,MATCH($B101,MapNetSuite,0))=0,"",INDEX(MapTracker,MATCH($B101,MapNetSuite,0))),"")))</f>
        <v/>
      </c>
      <c r="G101" s="16">
        <f>IF($F101="","",IFERROR(INDEX(Roster!$B$2:$B$40,MATCH($F101,Roster!$A$2:$A$40,0)),""))</f>
        <v/>
      </c>
      <c r="H101" s="16">
        <f>IF($E101="","",IFERROR(IF(INDEX(Deals!$U$2:$U$355,MATCH($E101,Deals!$A$2:$A$355,0))=0,"",INDEX(Deals!$U$2:$U$355,MATCH($E101,Deals!$A$2:$A$355,0))),""))</f>
        <v/>
      </c>
      <c r="I101" s="18">
        <f>IF(OR($E101="",$F101=""),"",SUMIFS(Assignments!$I$2:$I$769,Assignments!$A$2:$A$769,$F101,Assignments!$C$2:$C$769,$E101))</f>
        <v/>
      </c>
      <c r="J101" s="61">
        <f>IF(OR($E101="",$F101=""),"",$D101-$I101)</f>
        <v/>
      </c>
      <c r="K101" s="20">
        <f>IF($A101="","",IF(AND($E101&lt;&gt;"",$F101&lt;&gt;""),"OK",TRIM(IF($E101="","unmatched code ","")&amp;IF($F101="","unmatched person",""))))</f>
        <v/>
      </c>
    </row>
    <row r="102">
      <c r="A102" s="31" t="n"/>
      <c r="B102" s="31" t="n"/>
      <c r="C102" s="31" t="n"/>
      <c r="D102" s="31" t="n"/>
      <c r="E102" s="16">
        <f>IF($A102="","",IF(COUNTIF(Deals!$A$2:$A$355,$A102)&gt;0,$A102,""))</f>
        <v/>
      </c>
      <c r="F102" s="16">
        <f>IF($B102="","",IFERROR(INDEX(Roster!$A$2:$A$40,MATCH($B102,Roster!$A$2:$A$40,0)),IFERROR(IF(INDEX(MapTracker,MATCH($B102,MapNetSuite,0))=0,"",INDEX(MapTracker,MATCH($B102,MapNetSuite,0))),"")))</f>
        <v/>
      </c>
      <c r="G102" s="16">
        <f>IF($F102="","",IFERROR(INDEX(Roster!$B$2:$B$40,MATCH($F102,Roster!$A$2:$A$40,0)),""))</f>
        <v/>
      </c>
      <c r="H102" s="16">
        <f>IF($E102="","",IFERROR(IF(INDEX(Deals!$U$2:$U$355,MATCH($E102,Deals!$A$2:$A$355,0))=0,"",INDEX(Deals!$U$2:$U$355,MATCH($E102,Deals!$A$2:$A$355,0))),""))</f>
        <v/>
      </c>
      <c r="I102" s="18">
        <f>IF(OR($E102="",$F102=""),"",SUMIFS(Assignments!$I$2:$I$769,Assignments!$A$2:$A$769,$F102,Assignments!$C$2:$C$769,$E102))</f>
        <v/>
      </c>
      <c r="J102" s="61">
        <f>IF(OR($E102="",$F102=""),"",$D102-$I102)</f>
        <v/>
      </c>
      <c r="K102" s="20">
        <f>IF($A102="","",IF(AND($E102&lt;&gt;"",$F102&lt;&gt;""),"OK",TRIM(IF($E102="","unmatched code ","")&amp;IF($F102="","unmatched person",""))))</f>
        <v/>
      </c>
    </row>
    <row r="103">
      <c r="A103" s="31" t="n"/>
      <c r="B103" s="31" t="n"/>
      <c r="C103" s="31" t="n"/>
      <c r="D103" s="31" t="n"/>
      <c r="E103" s="16">
        <f>IF($A103="","",IF(COUNTIF(Deals!$A$2:$A$355,$A103)&gt;0,$A103,""))</f>
        <v/>
      </c>
      <c r="F103" s="16">
        <f>IF($B103="","",IFERROR(INDEX(Roster!$A$2:$A$40,MATCH($B103,Roster!$A$2:$A$40,0)),IFERROR(IF(INDEX(MapTracker,MATCH($B103,MapNetSuite,0))=0,"",INDEX(MapTracker,MATCH($B103,MapNetSuite,0))),"")))</f>
        <v/>
      </c>
      <c r="G103" s="16">
        <f>IF($F103="","",IFERROR(INDEX(Roster!$B$2:$B$40,MATCH($F103,Roster!$A$2:$A$40,0)),""))</f>
        <v/>
      </c>
      <c r="H103" s="16">
        <f>IF($E103="","",IFERROR(IF(INDEX(Deals!$U$2:$U$355,MATCH($E103,Deals!$A$2:$A$355,0))=0,"",INDEX(Deals!$U$2:$U$355,MATCH($E103,Deals!$A$2:$A$355,0))),""))</f>
        <v/>
      </c>
      <c r="I103" s="18">
        <f>IF(OR($E103="",$F103=""),"",SUMIFS(Assignments!$I$2:$I$769,Assignments!$A$2:$A$769,$F103,Assignments!$C$2:$C$769,$E103))</f>
        <v/>
      </c>
      <c r="J103" s="61">
        <f>IF(OR($E103="",$F103=""),"",$D103-$I103)</f>
        <v/>
      </c>
      <c r="K103" s="20">
        <f>IF($A103="","",IF(AND($E103&lt;&gt;"",$F103&lt;&gt;""),"OK",TRIM(IF($E103="","unmatched code ","")&amp;IF($F103="","unmatched person",""))))</f>
        <v/>
      </c>
    </row>
    <row r="104">
      <c r="A104" s="31" t="n"/>
      <c r="B104" s="31" t="n"/>
      <c r="C104" s="31" t="n"/>
      <c r="D104" s="31" t="n"/>
      <c r="E104" s="16">
        <f>IF($A104="","",IF(COUNTIF(Deals!$A$2:$A$355,$A104)&gt;0,$A104,""))</f>
        <v/>
      </c>
      <c r="F104" s="16">
        <f>IF($B104="","",IFERROR(INDEX(Roster!$A$2:$A$40,MATCH($B104,Roster!$A$2:$A$40,0)),IFERROR(IF(INDEX(MapTracker,MATCH($B104,MapNetSuite,0))=0,"",INDEX(MapTracker,MATCH($B104,MapNetSuite,0))),"")))</f>
        <v/>
      </c>
      <c r="G104" s="16">
        <f>IF($F104="","",IFERROR(INDEX(Roster!$B$2:$B$40,MATCH($F104,Roster!$A$2:$A$40,0)),""))</f>
        <v/>
      </c>
      <c r="H104" s="16">
        <f>IF($E104="","",IFERROR(IF(INDEX(Deals!$U$2:$U$355,MATCH($E104,Deals!$A$2:$A$355,0))=0,"",INDEX(Deals!$U$2:$U$355,MATCH($E104,Deals!$A$2:$A$355,0))),""))</f>
        <v/>
      </c>
      <c r="I104" s="18">
        <f>IF(OR($E104="",$F104=""),"",SUMIFS(Assignments!$I$2:$I$769,Assignments!$A$2:$A$769,$F104,Assignments!$C$2:$C$769,$E104))</f>
        <v/>
      </c>
      <c r="J104" s="61">
        <f>IF(OR($E104="",$F104=""),"",$D104-$I104)</f>
        <v/>
      </c>
      <c r="K104" s="20">
        <f>IF($A104="","",IF(AND($E104&lt;&gt;"",$F104&lt;&gt;""),"OK",TRIM(IF($E104="","unmatched code ","")&amp;IF($F104="","unmatched person",""))))</f>
        <v/>
      </c>
    </row>
    <row r="105">
      <c r="A105" s="31" t="n"/>
      <c r="B105" s="31" t="n"/>
      <c r="C105" s="31" t="n"/>
      <c r="D105" s="31" t="n"/>
      <c r="E105" s="16">
        <f>IF($A105="","",IF(COUNTIF(Deals!$A$2:$A$355,$A105)&gt;0,$A105,""))</f>
        <v/>
      </c>
      <c r="F105" s="16">
        <f>IF($B105="","",IFERROR(INDEX(Roster!$A$2:$A$40,MATCH($B105,Roster!$A$2:$A$40,0)),IFERROR(IF(INDEX(MapTracker,MATCH($B105,MapNetSuite,0))=0,"",INDEX(MapTracker,MATCH($B105,MapNetSuite,0))),"")))</f>
        <v/>
      </c>
      <c r="G105" s="16">
        <f>IF($F105="","",IFERROR(INDEX(Roster!$B$2:$B$40,MATCH($F105,Roster!$A$2:$A$40,0)),""))</f>
        <v/>
      </c>
      <c r="H105" s="16">
        <f>IF($E105="","",IFERROR(IF(INDEX(Deals!$U$2:$U$355,MATCH($E105,Deals!$A$2:$A$355,0))=0,"",INDEX(Deals!$U$2:$U$355,MATCH($E105,Deals!$A$2:$A$355,0))),""))</f>
        <v/>
      </c>
      <c r="I105" s="18">
        <f>IF(OR($E105="",$F105=""),"",SUMIFS(Assignments!$I$2:$I$769,Assignments!$A$2:$A$769,$F105,Assignments!$C$2:$C$769,$E105))</f>
        <v/>
      </c>
      <c r="J105" s="61">
        <f>IF(OR($E105="",$F105=""),"",$D105-$I105)</f>
        <v/>
      </c>
      <c r="K105" s="20">
        <f>IF($A105="","",IF(AND($E105&lt;&gt;"",$F105&lt;&gt;""),"OK",TRIM(IF($E105="","unmatched code ","")&amp;IF($F105="","unmatched person",""))))</f>
        <v/>
      </c>
    </row>
    <row r="106">
      <c r="A106" s="31" t="n"/>
      <c r="B106" s="31" t="n"/>
      <c r="C106" s="31" t="n"/>
      <c r="D106" s="31" t="n"/>
      <c r="E106" s="16">
        <f>IF($A106="","",IF(COUNTIF(Deals!$A$2:$A$355,$A106)&gt;0,$A106,""))</f>
        <v/>
      </c>
      <c r="F106" s="16">
        <f>IF($B106="","",IFERROR(INDEX(Roster!$A$2:$A$40,MATCH($B106,Roster!$A$2:$A$40,0)),IFERROR(IF(INDEX(MapTracker,MATCH($B106,MapNetSuite,0))=0,"",INDEX(MapTracker,MATCH($B106,MapNetSuite,0))),"")))</f>
        <v/>
      </c>
      <c r="G106" s="16">
        <f>IF($F106="","",IFERROR(INDEX(Roster!$B$2:$B$40,MATCH($F106,Roster!$A$2:$A$40,0)),""))</f>
        <v/>
      </c>
      <c r="H106" s="16">
        <f>IF($E106="","",IFERROR(IF(INDEX(Deals!$U$2:$U$355,MATCH($E106,Deals!$A$2:$A$355,0))=0,"",INDEX(Deals!$U$2:$U$355,MATCH($E106,Deals!$A$2:$A$355,0))),""))</f>
        <v/>
      </c>
      <c r="I106" s="18">
        <f>IF(OR($E106="",$F106=""),"",SUMIFS(Assignments!$I$2:$I$769,Assignments!$A$2:$A$769,$F106,Assignments!$C$2:$C$769,$E106))</f>
        <v/>
      </c>
      <c r="J106" s="61">
        <f>IF(OR($E106="",$F106=""),"",$D106-$I106)</f>
        <v/>
      </c>
      <c r="K106" s="20">
        <f>IF($A106="","",IF(AND($E106&lt;&gt;"",$F106&lt;&gt;""),"OK",TRIM(IF($E106="","unmatched code ","")&amp;IF($F106="","unmatched person",""))))</f>
        <v/>
      </c>
    </row>
    <row r="107">
      <c r="A107" s="31" t="n"/>
      <c r="B107" s="31" t="n"/>
      <c r="C107" s="31" t="n"/>
      <c r="D107" s="31" t="n"/>
      <c r="E107" s="16">
        <f>IF($A107="","",IF(COUNTIF(Deals!$A$2:$A$355,$A107)&gt;0,$A107,""))</f>
        <v/>
      </c>
      <c r="F107" s="16">
        <f>IF($B107="","",IFERROR(INDEX(Roster!$A$2:$A$40,MATCH($B107,Roster!$A$2:$A$40,0)),IFERROR(IF(INDEX(MapTracker,MATCH($B107,MapNetSuite,0))=0,"",INDEX(MapTracker,MATCH($B107,MapNetSuite,0))),"")))</f>
        <v/>
      </c>
      <c r="G107" s="16">
        <f>IF($F107="","",IFERROR(INDEX(Roster!$B$2:$B$40,MATCH($F107,Roster!$A$2:$A$40,0)),""))</f>
        <v/>
      </c>
      <c r="H107" s="16">
        <f>IF($E107="","",IFERROR(IF(INDEX(Deals!$U$2:$U$355,MATCH($E107,Deals!$A$2:$A$355,0))=0,"",INDEX(Deals!$U$2:$U$355,MATCH($E107,Deals!$A$2:$A$355,0))),""))</f>
        <v/>
      </c>
      <c r="I107" s="18">
        <f>IF(OR($E107="",$F107=""),"",SUMIFS(Assignments!$I$2:$I$769,Assignments!$A$2:$A$769,$F107,Assignments!$C$2:$C$769,$E107))</f>
        <v/>
      </c>
      <c r="J107" s="61">
        <f>IF(OR($E107="",$F107=""),"",$D107-$I107)</f>
        <v/>
      </c>
      <c r="K107" s="20">
        <f>IF($A107="","",IF(AND($E107&lt;&gt;"",$F107&lt;&gt;""),"OK",TRIM(IF($E107="","unmatched code ","")&amp;IF($F107="","unmatched person",""))))</f>
        <v/>
      </c>
    </row>
    <row r="108">
      <c r="A108" s="31" t="n"/>
      <c r="B108" s="31" t="n"/>
      <c r="C108" s="31" t="n"/>
      <c r="D108" s="31" t="n"/>
      <c r="E108" s="16">
        <f>IF($A108="","",IF(COUNTIF(Deals!$A$2:$A$355,$A108)&gt;0,$A108,""))</f>
        <v/>
      </c>
      <c r="F108" s="16">
        <f>IF($B108="","",IFERROR(INDEX(Roster!$A$2:$A$40,MATCH($B108,Roster!$A$2:$A$40,0)),IFERROR(IF(INDEX(MapTracker,MATCH($B108,MapNetSuite,0))=0,"",INDEX(MapTracker,MATCH($B108,MapNetSuite,0))),"")))</f>
        <v/>
      </c>
      <c r="G108" s="16">
        <f>IF($F108="","",IFERROR(INDEX(Roster!$B$2:$B$40,MATCH($F108,Roster!$A$2:$A$40,0)),""))</f>
        <v/>
      </c>
      <c r="H108" s="16">
        <f>IF($E108="","",IFERROR(IF(INDEX(Deals!$U$2:$U$355,MATCH($E108,Deals!$A$2:$A$355,0))=0,"",INDEX(Deals!$U$2:$U$355,MATCH($E108,Deals!$A$2:$A$355,0))),""))</f>
        <v/>
      </c>
      <c r="I108" s="18">
        <f>IF(OR($E108="",$F108=""),"",SUMIFS(Assignments!$I$2:$I$769,Assignments!$A$2:$A$769,$F108,Assignments!$C$2:$C$769,$E108))</f>
        <v/>
      </c>
      <c r="J108" s="61">
        <f>IF(OR($E108="",$F108=""),"",$D108-$I108)</f>
        <v/>
      </c>
      <c r="K108" s="20">
        <f>IF($A108="","",IF(AND($E108&lt;&gt;"",$F108&lt;&gt;""),"OK",TRIM(IF($E108="","unmatched code ","")&amp;IF($F108="","unmatched person",""))))</f>
        <v/>
      </c>
    </row>
    <row r="109">
      <c r="A109" s="31" t="n"/>
      <c r="B109" s="31" t="n"/>
      <c r="C109" s="31" t="n"/>
      <c r="D109" s="31" t="n"/>
      <c r="E109" s="16">
        <f>IF($A109="","",IF(COUNTIF(Deals!$A$2:$A$355,$A109)&gt;0,$A109,""))</f>
        <v/>
      </c>
      <c r="F109" s="16">
        <f>IF($B109="","",IFERROR(INDEX(Roster!$A$2:$A$40,MATCH($B109,Roster!$A$2:$A$40,0)),IFERROR(IF(INDEX(MapTracker,MATCH($B109,MapNetSuite,0))=0,"",INDEX(MapTracker,MATCH($B109,MapNetSuite,0))),"")))</f>
        <v/>
      </c>
      <c r="G109" s="16">
        <f>IF($F109="","",IFERROR(INDEX(Roster!$B$2:$B$40,MATCH($F109,Roster!$A$2:$A$40,0)),""))</f>
        <v/>
      </c>
      <c r="H109" s="16">
        <f>IF($E109="","",IFERROR(IF(INDEX(Deals!$U$2:$U$355,MATCH($E109,Deals!$A$2:$A$355,0))=0,"",INDEX(Deals!$U$2:$U$355,MATCH($E109,Deals!$A$2:$A$355,0))),""))</f>
        <v/>
      </c>
      <c r="I109" s="18">
        <f>IF(OR($E109="",$F109=""),"",SUMIFS(Assignments!$I$2:$I$769,Assignments!$A$2:$A$769,$F109,Assignments!$C$2:$C$769,$E109))</f>
        <v/>
      </c>
      <c r="J109" s="61">
        <f>IF(OR($E109="",$F109=""),"",$D109-$I109)</f>
        <v/>
      </c>
      <c r="K109" s="20">
        <f>IF($A109="","",IF(AND($E109&lt;&gt;"",$F109&lt;&gt;""),"OK",TRIM(IF($E109="","unmatched code ","")&amp;IF($F109="","unmatched person",""))))</f>
        <v/>
      </c>
    </row>
    <row r="110">
      <c r="A110" s="31" t="n"/>
      <c r="B110" s="31" t="n"/>
      <c r="C110" s="31" t="n"/>
      <c r="D110" s="31" t="n"/>
      <c r="E110" s="16">
        <f>IF($A110="","",IF(COUNTIF(Deals!$A$2:$A$355,$A110)&gt;0,$A110,""))</f>
        <v/>
      </c>
      <c r="F110" s="16">
        <f>IF($B110="","",IFERROR(INDEX(Roster!$A$2:$A$40,MATCH($B110,Roster!$A$2:$A$40,0)),IFERROR(IF(INDEX(MapTracker,MATCH($B110,MapNetSuite,0))=0,"",INDEX(MapTracker,MATCH($B110,MapNetSuite,0))),"")))</f>
        <v/>
      </c>
      <c r="G110" s="16">
        <f>IF($F110="","",IFERROR(INDEX(Roster!$B$2:$B$40,MATCH($F110,Roster!$A$2:$A$40,0)),""))</f>
        <v/>
      </c>
      <c r="H110" s="16">
        <f>IF($E110="","",IFERROR(IF(INDEX(Deals!$U$2:$U$355,MATCH($E110,Deals!$A$2:$A$355,0))=0,"",INDEX(Deals!$U$2:$U$355,MATCH($E110,Deals!$A$2:$A$355,0))),""))</f>
        <v/>
      </c>
      <c r="I110" s="18">
        <f>IF(OR($E110="",$F110=""),"",SUMIFS(Assignments!$I$2:$I$769,Assignments!$A$2:$A$769,$F110,Assignments!$C$2:$C$769,$E110))</f>
        <v/>
      </c>
      <c r="J110" s="61">
        <f>IF(OR($E110="",$F110=""),"",$D110-$I110)</f>
        <v/>
      </c>
      <c r="K110" s="20">
        <f>IF($A110="","",IF(AND($E110&lt;&gt;"",$F110&lt;&gt;""),"OK",TRIM(IF($E110="","unmatched code ","")&amp;IF($F110="","unmatched person",""))))</f>
        <v/>
      </c>
    </row>
    <row r="111">
      <c r="A111" s="31" t="n"/>
      <c r="B111" s="31" t="n"/>
      <c r="C111" s="31" t="n"/>
      <c r="D111" s="31" t="n"/>
      <c r="E111" s="16">
        <f>IF($A111="","",IF(COUNTIF(Deals!$A$2:$A$355,$A111)&gt;0,$A111,""))</f>
        <v/>
      </c>
      <c r="F111" s="16">
        <f>IF($B111="","",IFERROR(INDEX(Roster!$A$2:$A$40,MATCH($B111,Roster!$A$2:$A$40,0)),IFERROR(IF(INDEX(MapTracker,MATCH($B111,MapNetSuite,0))=0,"",INDEX(MapTracker,MATCH($B111,MapNetSuite,0))),"")))</f>
        <v/>
      </c>
      <c r="G111" s="16">
        <f>IF($F111="","",IFERROR(INDEX(Roster!$B$2:$B$40,MATCH($F111,Roster!$A$2:$A$40,0)),""))</f>
        <v/>
      </c>
      <c r="H111" s="16">
        <f>IF($E111="","",IFERROR(IF(INDEX(Deals!$U$2:$U$355,MATCH($E111,Deals!$A$2:$A$355,0))=0,"",INDEX(Deals!$U$2:$U$355,MATCH($E111,Deals!$A$2:$A$355,0))),""))</f>
        <v/>
      </c>
      <c r="I111" s="18">
        <f>IF(OR($E111="",$F111=""),"",SUMIFS(Assignments!$I$2:$I$769,Assignments!$A$2:$A$769,$F111,Assignments!$C$2:$C$769,$E111))</f>
        <v/>
      </c>
      <c r="J111" s="61">
        <f>IF(OR($E111="",$F111=""),"",$D111-$I111)</f>
        <v/>
      </c>
      <c r="K111" s="20">
        <f>IF($A111="","",IF(AND($E111&lt;&gt;"",$F111&lt;&gt;""),"OK",TRIM(IF($E111="","unmatched code ","")&amp;IF($F111="","unmatched person",""))))</f>
        <v/>
      </c>
    </row>
    <row r="112">
      <c r="A112" s="31" t="n"/>
      <c r="B112" s="31" t="n"/>
      <c r="C112" s="31" t="n"/>
      <c r="D112" s="31" t="n"/>
      <c r="E112" s="16">
        <f>IF($A112="","",IF(COUNTIF(Deals!$A$2:$A$355,$A112)&gt;0,$A112,""))</f>
        <v/>
      </c>
      <c r="F112" s="16">
        <f>IF($B112="","",IFERROR(INDEX(Roster!$A$2:$A$40,MATCH($B112,Roster!$A$2:$A$40,0)),IFERROR(IF(INDEX(MapTracker,MATCH($B112,MapNetSuite,0))=0,"",INDEX(MapTracker,MATCH($B112,MapNetSuite,0))),"")))</f>
        <v/>
      </c>
      <c r="G112" s="16">
        <f>IF($F112="","",IFERROR(INDEX(Roster!$B$2:$B$40,MATCH($F112,Roster!$A$2:$A$40,0)),""))</f>
        <v/>
      </c>
      <c r="H112" s="16">
        <f>IF($E112="","",IFERROR(IF(INDEX(Deals!$U$2:$U$355,MATCH($E112,Deals!$A$2:$A$355,0))=0,"",INDEX(Deals!$U$2:$U$355,MATCH($E112,Deals!$A$2:$A$355,0))),""))</f>
        <v/>
      </c>
      <c r="I112" s="18">
        <f>IF(OR($E112="",$F112=""),"",SUMIFS(Assignments!$I$2:$I$769,Assignments!$A$2:$A$769,$F112,Assignments!$C$2:$C$769,$E112))</f>
        <v/>
      </c>
      <c r="J112" s="61">
        <f>IF(OR($E112="",$F112=""),"",$D112-$I112)</f>
        <v/>
      </c>
      <c r="K112" s="20">
        <f>IF($A112="","",IF(AND($E112&lt;&gt;"",$F112&lt;&gt;""),"OK",TRIM(IF($E112="","unmatched code ","")&amp;IF($F112="","unmatched person",""))))</f>
        <v/>
      </c>
    </row>
    <row r="113">
      <c r="A113" s="31" t="n"/>
      <c r="B113" s="31" t="n"/>
      <c r="C113" s="31" t="n"/>
      <c r="D113" s="31" t="n"/>
      <c r="E113" s="16">
        <f>IF($A113="","",IF(COUNTIF(Deals!$A$2:$A$355,$A113)&gt;0,$A113,""))</f>
        <v/>
      </c>
      <c r="F113" s="16">
        <f>IF($B113="","",IFERROR(INDEX(Roster!$A$2:$A$40,MATCH($B113,Roster!$A$2:$A$40,0)),IFERROR(IF(INDEX(MapTracker,MATCH($B113,MapNetSuite,0))=0,"",INDEX(MapTracker,MATCH($B113,MapNetSuite,0))),"")))</f>
        <v/>
      </c>
      <c r="G113" s="16">
        <f>IF($F113="","",IFERROR(INDEX(Roster!$B$2:$B$40,MATCH($F113,Roster!$A$2:$A$40,0)),""))</f>
        <v/>
      </c>
      <c r="H113" s="16">
        <f>IF($E113="","",IFERROR(IF(INDEX(Deals!$U$2:$U$355,MATCH($E113,Deals!$A$2:$A$355,0))=0,"",INDEX(Deals!$U$2:$U$355,MATCH($E113,Deals!$A$2:$A$355,0))),""))</f>
        <v/>
      </c>
      <c r="I113" s="18">
        <f>IF(OR($E113="",$F113=""),"",SUMIFS(Assignments!$I$2:$I$769,Assignments!$A$2:$A$769,$F113,Assignments!$C$2:$C$769,$E113))</f>
        <v/>
      </c>
      <c r="J113" s="61">
        <f>IF(OR($E113="",$F113=""),"",$D113-$I113)</f>
        <v/>
      </c>
      <c r="K113" s="20">
        <f>IF($A113="","",IF(AND($E113&lt;&gt;"",$F113&lt;&gt;""),"OK",TRIM(IF($E113="","unmatched code ","")&amp;IF($F113="","unmatched person",""))))</f>
        <v/>
      </c>
    </row>
    <row r="114">
      <c r="A114" s="31" t="n"/>
      <c r="B114" s="31" t="n"/>
      <c r="C114" s="31" t="n"/>
      <c r="D114" s="31" t="n"/>
      <c r="E114" s="16">
        <f>IF($A114="","",IF(COUNTIF(Deals!$A$2:$A$355,$A114)&gt;0,$A114,""))</f>
        <v/>
      </c>
      <c r="F114" s="16">
        <f>IF($B114="","",IFERROR(INDEX(Roster!$A$2:$A$40,MATCH($B114,Roster!$A$2:$A$40,0)),IFERROR(IF(INDEX(MapTracker,MATCH($B114,MapNetSuite,0))=0,"",INDEX(MapTracker,MATCH($B114,MapNetSuite,0))),"")))</f>
        <v/>
      </c>
      <c r="G114" s="16">
        <f>IF($F114="","",IFERROR(INDEX(Roster!$B$2:$B$40,MATCH($F114,Roster!$A$2:$A$40,0)),""))</f>
        <v/>
      </c>
      <c r="H114" s="16">
        <f>IF($E114="","",IFERROR(IF(INDEX(Deals!$U$2:$U$355,MATCH($E114,Deals!$A$2:$A$355,0))=0,"",INDEX(Deals!$U$2:$U$355,MATCH($E114,Deals!$A$2:$A$355,0))),""))</f>
        <v/>
      </c>
      <c r="I114" s="18">
        <f>IF(OR($E114="",$F114=""),"",SUMIFS(Assignments!$I$2:$I$769,Assignments!$A$2:$A$769,$F114,Assignments!$C$2:$C$769,$E114))</f>
        <v/>
      </c>
      <c r="J114" s="61">
        <f>IF(OR($E114="",$F114=""),"",$D114-$I114)</f>
        <v/>
      </c>
      <c r="K114" s="20">
        <f>IF($A114="","",IF(AND($E114&lt;&gt;"",$F114&lt;&gt;""),"OK",TRIM(IF($E114="","unmatched code ","")&amp;IF($F114="","unmatched person",""))))</f>
        <v/>
      </c>
    </row>
    <row r="115">
      <c r="A115" s="31" t="n"/>
      <c r="B115" s="31" t="n"/>
      <c r="C115" s="31" t="n"/>
      <c r="D115" s="31" t="n"/>
      <c r="E115" s="16">
        <f>IF($A115="","",IF(COUNTIF(Deals!$A$2:$A$355,$A115)&gt;0,$A115,""))</f>
        <v/>
      </c>
      <c r="F115" s="16">
        <f>IF($B115="","",IFERROR(INDEX(Roster!$A$2:$A$40,MATCH($B115,Roster!$A$2:$A$40,0)),IFERROR(IF(INDEX(MapTracker,MATCH($B115,MapNetSuite,0))=0,"",INDEX(MapTracker,MATCH($B115,MapNetSuite,0))),"")))</f>
        <v/>
      </c>
      <c r="G115" s="16">
        <f>IF($F115="","",IFERROR(INDEX(Roster!$B$2:$B$40,MATCH($F115,Roster!$A$2:$A$40,0)),""))</f>
        <v/>
      </c>
      <c r="H115" s="16">
        <f>IF($E115="","",IFERROR(IF(INDEX(Deals!$U$2:$U$355,MATCH($E115,Deals!$A$2:$A$355,0))=0,"",INDEX(Deals!$U$2:$U$355,MATCH($E115,Deals!$A$2:$A$355,0))),""))</f>
        <v/>
      </c>
      <c r="I115" s="18">
        <f>IF(OR($E115="",$F115=""),"",SUMIFS(Assignments!$I$2:$I$769,Assignments!$A$2:$A$769,$F115,Assignments!$C$2:$C$769,$E115))</f>
        <v/>
      </c>
      <c r="J115" s="61">
        <f>IF(OR($E115="",$F115=""),"",$D115-$I115)</f>
        <v/>
      </c>
      <c r="K115" s="20">
        <f>IF($A115="","",IF(AND($E115&lt;&gt;"",$F115&lt;&gt;""),"OK",TRIM(IF($E115="","unmatched code ","")&amp;IF($F115="","unmatched person",""))))</f>
        <v/>
      </c>
    </row>
    <row r="116">
      <c r="A116" s="31" t="n"/>
      <c r="B116" s="31" t="n"/>
      <c r="C116" s="31" t="n"/>
      <c r="D116" s="31" t="n"/>
      <c r="E116" s="16">
        <f>IF($A116="","",IF(COUNTIF(Deals!$A$2:$A$355,$A116)&gt;0,$A116,""))</f>
        <v/>
      </c>
      <c r="F116" s="16">
        <f>IF($B116="","",IFERROR(INDEX(Roster!$A$2:$A$40,MATCH($B116,Roster!$A$2:$A$40,0)),IFERROR(IF(INDEX(MapTracker,MATCH($B116,MapNetSuite,0))=0,"",INDEX(MapTracker,MATCH($B116,MapNetSuite,0))),"")))</f>
        <v/>
      </c>
      <c r="G116" s="16">
        <f>IF($F116="","",IFERROR(INDEX(Roster!$B$2:$B$40,MATCH($F116,Roster!$A$2:$A$40,0)),""))</f>
        <v/>
      </c>
      <c r="H116" s="16">
        <f>IF($E116="","",IFERROR(IF(INDEX(Deals!$U$2:$U$355,MATCH($E116,Deals!$A$2:$A$355,0))=0,"",INDEX(Deals!$U$2:$U$355,MATCH($E116,Deals!$A$2:$A$355,0))),""))</f>
        <v/>
      </c>
      <c r="I116" s="18">
        <f>IF(OR($E116="",$F116=""),"",SUMIFS(Assignments!$I$2:$I$769,Assignments!$A$2:$A$769,$F116,Assignments!$C$2:$C$769,$E116))</f>
        <v/>
      </c>
      <c r="J116" s="61">
        <f>IF(OR($E116="",$F116=""),"",$D116-$I116)</f>
        <v/>
      </c>
      <c r="K116" s="20">
        <f>IF($A116="","",IF(AND($E116&lt;&gt;"",$F116&lt;&gt;""),"OK",TRIM(IF($E116="","unmatched code ","")&amp;IF($F116="","unmatched person",""))))</f>
        <v/>
      </c>
    </row>
    <row r="117">
      <c r="A117" s="31" t="n"/>
      <c r="B117" s="31" t="n"/>
      <c r="C117" s="31" t="n"/>
      <c r="D117" s="31" t="n"/>
      <c r="E117" s="16">
        <f>IF($A117="","",IF(COUNTIF(Deals!$A$2:$A$355,$A117)&gt;0,$A117,""))</f>
        <v/>
      </c>
      <c r="F117" s="16">
        <f>IF($B117="","",IFERROR(INDEX(Roster!$A$2:$A$40,MATCH($B117,Roster!$A$2:$A$40,0)),IFERROR(IF(INDEX(MapTracker,MATCH($B117,MapNetSuite,0))=0,"",INDEX(MapTracker,MATCH($B117,MapNetSuite,0))),"")))</f>
        <v/>
      </c>
      <c r="G117" s="16">
        <f>IF($F117="","",IFERROR(INDEX(Roster!$B$2:$B$40,MATCH($F117,Roster!$A$2:$A$40,0)),""))</f>
        <v/>
      </c>
      <c r="H117" s="16">
        <f>IF($E117="","",IFERROR(IF(INDEX(Deals!$U$2:$U$355,MATCH($E117,Deals!$A$2:$A$355,0))=0,"",INDEX(Deals!$U$2:$U$355,MATCH($E117,Deals!$A$2:$A$355,0))),""))</f>
        <v/>
      </c>
      <c r="I117" s="18">
        <f>IF(OR($E117="",$F117=""),"",SUMIFS(Assignments!$I$2:$I$769,Assignments!$A$2:$A$769,$F117,Assignments!$C$2:$C$769,$E117))</f>
        <v/>
      </c>
      <c r="J117" s="61">
        <f>IF(OR($E117="",$F117=""),"",$D117-$I117)</f>
        <v/>
      </c>
      <c r="K117" s="20">
        <f>IF($A117="","",IF(AND($E117&lt;&gt;"",$F117&lt;&gt;""),"OK",TRIM(IF($E117="","unmatched code ","")&amp;IF($F117="","unmatched person",""))))</f>
        <v/>
      </c>
    </row>
    <row r="118">
      <c r="A118" s="31" t="n"/>
      <c r="B118" s="31" t="n"/>
      <c r="C118" s="31" t="n"/>
      <c r="D118" s="31" t="n"/>
      <c r="E118" s="16">
        <f>IF($A118="","",IF(COUNTIF(Deals!$A$2:$A$355,$A118)&gt;0,$A118,""))</f>
        <v/>
      </c>
      <c r="F118" s="16">
        <f>IF($B118="","",IFERROR(INDEX(Roster!$A$2:$A$40,MATCH($B118,Roster!$A$2:$A$40,0)),IFERROR(IF(INDEX(MapTracker,MATCH($B118,MapNetSuite,0))=0,"",INDEX(MapTracker,MATCH($B118,MapNetSuite,0))),"")))</f>
        <v/>
      </c>
      <c r="G118" s="16">
        <f>IF($F118="","",IFERROR(INDEX(Roster!$B$2:$B$40,MATCH($F118,Roster!$A$2:$A$40,0)),""))</f>
        <v/>
      </c>
      <c r="H118" s="16">
        <f>IF($E118="","",IFERROR(IF(INDEX(Deals!$U$2:$U$355,MATCH($E118,Deals!$A$2:$A$355,0))=0,"",INDEX(Deals!$U$2:$U$355,MATCH($E118,Deals!$A$2:$A$355,0))),""))</f>
        <v/>
      </c>
      <c r="I118" s="18">
        <f>IF(OR($E118="",$F118=""),"",SUMIFS(Assignments!$I$2:$I$769,Assignments!$A$2:$A$769,$F118,Assignments!$C$2:$C$769,$E118))</f>
        <v/>
      </c>
      <c r="J118" s="61">
        <f>IF(OR($E118="",$F118=""),"",$D118-$I118)</f>
        <v/>
      </c>
      <c r="K118" s="20">
        <f>IF($A118="","",IF(AND($E118&lt;&gt;"",$F118&lt;&gt;""),"OK",TRIM(IF($E118="","unmatched code ","")&amp;IF($F118="","unmatched person",""))))</f>
        <v/>
      </c>
    </row>
    <row r="119">
      <c r="A119" s="31" t="n"/>
      <c r="B119" s="31" t="n"/>
      <c r="C119" s="31" t="n"/>
      <c r="D119" s="31" t="n"/>
      <c r="E119" s="16">
        <f>IF($A119="","",IF(COUNTIF(Deals!$A$2:$A$355,$A119)&gt;0,$A119,""))</f>
        <v/>
      </c>
      <c r="F119" s="16">
        <f>IF($B119="","",IFERROR(INDEX(Roster!$A$2:$A$40,MATCH($B119,Roster!$A$2:$A$40,0)),IFERROR(IF(INDEX(MapTracker,MATCH($B119,MapNetSuite,0))=0,"",INDEX(MapTracker,MATCH($B119,MapNetSuite,0))),"")))</f>
        <v/>
      </c>
      <c r="G119" s="16">
        <f>IF($F119="","",IFERROR(INDEX(Roster!$B$2:$B$40,MATCH($F119,Roster!$A$2:$A$40,0)),""))</f>
        <v/>
      </c>
      <c r="H119" s="16">
        <f>IF($E119="","",IFERROR(IF(INDEX(Deals!$U$2:$U$355,MATCH($E119,Deals!$A$2:$A$355,0))=0,"",INDEX(Deals!$U$2:$U$355,MATCH($E119,Deals!$A$2:$A$355,0))),""))</f>
        <v/>
      </c>
      <c r="I119" s="18">
        <f>IF(OR($E119="",$F119=""),"",SUMIFS(Assignments!$I$2:$I$769,Assignments!$A$2:$A$769,$F119,Assignments!$C$2:$C$769,$E119))</f>
        <v/>
      </c>
      <c r="J119" s="61">
        <f>IF(OR($E119="",$F119=""),"",$D119-$I119)</f>
        <v/>
      </c>
      <c r="K119" s="20">
        <f>IF($A119="","",IF(AND($E119&lt;&gt;"",$F119&lt;&gt;""),"OK",TRIM(IF($E119="","unmatched code ","")&amp;IF($F119="","unmatched person",""))))</f>
        <v/>
      </c>
    </row>
    <row r="120">
      <c r="A120" s="31" t="n"/>
      <c r="B120" s="31" t="n"/>
      <c r="C120" s="31" t="n"/>
      <c r="D120" s="31" t="n"/>
      <c r="E120" s="16">
        <f>IF($A120="","",IF(COUNTIF(Deals!$A$2:$A$355,$A120)&gt;0,$A120,""))</f>
        <v/>
      </c>
      <c r="F120" s="16">
        <f>IF($B120="","",IFERROR(INDEX(Roster!$A$2:$A$40,MATCH($B120,Roster!$A$2:$A$40,0)),IFERROR(IF(INDEX(MapTracker,MATCH($B120,MapNetSuite,0))=0,"",INDEX(MapTracker,MATCH($B120,MapNetSuite,0))),"")))</f>
        <v/>
      </c>
      <c r="G120" s="16">
        <f>IF($F120="","",IFERROR(INDEX(Roster!$B$2:$B$40,MATCH($F120,Roster!$A$2:$A$40,0)),""))</f>
        <v/>
      </c>
      <c r="H120" s="16">
        <f>IF($E120="","",IFERROR(IF(INDEX(Deals!$U$2:$U$355,MATCH($E120,Deals!$A$2:$A$355,0))=0,"",INDEX(Deals!$U$2:$U$355,MATCH($E120,Deals!$A$2:$A$355,0))),""))</f>
        <v/>
      </c>
      <c r="I120" s="18">
        <f>IF(OR($E120="",$F120=""),"",SUMIFS(Assignments!$I$2:$I$769,Assignments!$A$2:$A$769,$F120,Assignments!$C$2:$C$769,$E120))</f>
        <v/>
      </c>
      <c r="J120" s="61">
        <f>IF(OR($E120="",$F120=""),"",$D120-$I120)</f>
        <v/>
      </c>
      <c r="K120" s="20">
        <f>IF($A120="","",IF(AND($E120&lt;&gt;"",$F120&lt;&gt;""),"OK",TRIM(IF($E120="","unmatched code ","")&amp;IF($F120="","unmatched person",""))))</f>
        <v/>
      </c>
    </row>
    <row r="121">
      <c r="A121" s="31" t="n"/>
      <c r="B121" s="31" t="n"/>
      <c r="C121" s="31" t="n"/>
      <c r="D121" s="31" t="n"/>
      <c r="E121" s="16">
        <f>IF($A121="","",IF(COUNTIF(Deals!$A$2:$A$355,$A121)&gt;0,$A121,""))</f>
        <v/>
      </c>
      <c r="F121" s="16">
        <f>IF($B121="","",IFERROR(INDEX(Roster!$A$2:$A$40,MATCH($B121,Roster!$A$2:$A$40,0)),IFERROR(IF(INDEX(MapTracker,MATCH($B121,MapNetSuite,0))=0,"",INDEX(MapTracker,MATCH($B121,MapNetSuite,0))),"")))</f>
        <v/>
      </c>
      <c r="G121" s="16">
        <f>IF($F121="","",IFERROR(INDEX(Roster!$B$2:$B$40,MATCH($F121,Roster!$A$2:$A$40,0)),""))</f>
        <v/>
      </c>
      <c r="H121" s="16">
        <f>IF($E121="","",IFERROR(IF(INDEX(Deals!$U$2:$U$355,MATCH($E121,Deals!$A$2:$A$355,0))=0,"",INDEX(Deals!$U$2:$U$355,MATCH($E121,Deals!$A$2:$A$355,0))),""))</f>
        <v/>
      </c>
      <c r="I121" s="18">
        <f>IF(OR($E121="",$F121=""),"",SUMIFS(Assignments!$I$2:$I$769,Assignments!$A$2:$A$769,$F121,Assignments!$C$2:$C$769,$E121))</f>
        <v/>
      </c>
      <c r="J121" s="61">
        <f>IF(OR($E121="",$F121=""),"",$D121-$I121)</f>
        <v/>
      </c>
      <c r="K121" s="20">
        <f>IF($A121="","",IF(AND($E121&lt;&gt;"",$F121&lt;&gt;""),"OK",TRIM(IF($E121="","unmatched code ","")&amp;IF($F121="","unmatched person",""))))</f>
        <v/>
      </c>
    </row>
    <row r="122">
      <c r="A122" s="31" t="n"/>
      <c r="B122" s="31" t="n"/>
      <c r="C122" s="31" t="n"/>
      <c r="D122" s="31" t="n"/>
      <c r="E122" s="16">
        <f>IF($A122="","",IF(COUNTIF(Deals!$A$2:$A$355,$A122)&gt;0,$A122,""))</f>
        <v/>
      </c>
      <c r="F122" s="16">
        <f>IF($B122="","",IFERROR(INDEX(Roster!$A$2:$A$40,MATCH($B122,Roster!$A$2:$A$40,0)),IFERROR(IF(INDEX(MapTracker,MATCH($B122,MapNetSuite,0))=0,"",INDEX(MapTracker,MATCH($B122,MapNetSuite,0))),"")))</f>
        <v/>
      </c>
      <c r="G122" s="16">
        <f>IF($F122="","",IFERROR(INDEX(Roster!$B$2:$B$40,MATCH($F122,Roster!$A$2:$A$40,0)),""))</f>
        <v/>
      </c>
      <c r="H122" s="16">
        <f>IF($E122="","",IFERROR(IF(INDEX(Deals!$U$2:$U$355,MATCH($E122,Deals!$A$2:$A$355,0))=0,"",INDEX(Deals!$U$2:$U$355,MATCH($E122,Deals!$A$2:$A$355,0))),""))</f>
        <v/>
      </c>
      <c r="I122" s="18">
        <f>IF(OR($E122="",$F122=""),"",SUMIFS(Assignments!$I$2:$I$769,Assignments!$A$2:$A$769,$F122,Assignments!$C$2:$C$769,$E122))</f>
        <v/>
      </c>
      <c r="J122" s="61">
        <f>IF(OR($E122="",$F122=""),"",$D122-$I122)</f>
        <v/>
      </c>
      <c r="K122" s="20">
        <f>IF($A122="","",IF(AND($E122&lt;&gt;"",$F122&lt;&gt;""),"OK",TRIM(IF($E122="","unmatched code ","")&amp;IF($F122="","unmatched person",""))))</f>
        <v/>
      </c>
    </row>
    <row r="123">
      <c r="A123" s="31" t="n"/>
      <c r="B123" s="31" t="n"/>
      <c r="C123" s="31" t="n"/>
      <c r="D123" s="31" t="n"/>
      <c r="E123" s="16">
        <f>IF($A123="","",IF(COUNTIF(Deals!$A$2:$A$355,$A123)&gt;0,$A123,""))</f>
        <v/>
      </c>
      <c r="F123" s="16">
        <f>IF($B123="","",IFERROR(INDEX(Roster!$A$2:$A$40,MATCH($B123,Roster!$A$2:$A$40,0)),IFERROR(IF(INDEX(MapTracker,MATCH($B123,MapNetSuite,0))=0,"",INDEX(MapTracker,MATCH($B123,MapNetSuite,0))),"")))</f>
        <v/>
      </c>
      <c r="G123" s="16">
        <f>IF($F123="","",IFERROR(INDEX(Roster!$B$2:$B$40,MATCH($F123,Roster!$A$2:$A$40,0)),""))</f>
        <v/>
      </c>
      <c r="H123" s="16">
        <f>IF($E123="","",IFERROR(IF(INDEX(Deals!$U$2:$U$355,MATCH($E123,Deals!$A$2:$A$355,0))=0,"",INDEX(Deals!$U$2:$U$355,MATCH($E123,Deals!$A$2:$A$355,0))),""))</f>
        <v/>
      </c>
      <c r="I123" s="18">
        <f>IF(OR($E123="",$F123=""),"",SUMIFS(Assignments!$I$2:$I$769,Assignments!$A$2:$A$769,$F123,Assignments!$C$2:$C$769,$E123))</f>
        <v/>
      </c>
      <c r="J123" s="61">
        <f>IF(OR($E123="",$F123=""),"",$D123-$I123)</f>
        <v/>
      </c>
      <c r="K123" s="20">
        <f>IF($A123="","",IF(AND($E123&lt;&gt;"",$F123&lt;&gt;""),"OK",TRIM(IF($E123="","unmatched code ","")&amp;IF($F123="","unmatched person",""))))</f>
        <v/>
      </c>
    </row>
    <row r="124">
      <c r="A124" s="31" t="n"/>
      <c r="B124" s="31" t="n"/>
      <c r="C124" s="31" t="n"/>
      <c r="D124" s="31" t="n"/>
      <c r="E124" s="16">
        <f>IF($A124="","",IF(COUNTIF(Deals!$A$2:$A$355,$A124)&gt;0,$A124,""))</f>
        <v/>
      </c>
      <c r="F124" s="16">
        <f>IF($B124="","",IFERROR(INDEX(Roster!$A$2:$A$40,MATCH($B124,Roster!$A$2:$A$40,0)),IFERROR(IF(INDEX(MapTracker,MATCH($B124,MapNetSuite,0))=0,"",INDEX(MapTracker,MATCH($B124,MapNetSuite,0))),"")))</f>
        <v/>
      </c>
      <c r="G124" s="16">
        <f>IF($F124="","",IFERROR(INDEX(Roster!$B$2:$B$40,MATCH($F124,Roster!$A$2:$A$40,0)),""))</f>
        <v/>
      </c>
      <c r="H124" s="16">
        <f>IF($E124="","",IFERROR(IF(INDEX(Deals!$U$2:$U$355,MATCH($E124,Deals!$A$2:$A$355,0))=0,"",INDEX(Deals!$U$2:$U$355,MATCH($E124,Deals!$A$2:$A$355,0))),""))</f>
        <v/>
      </c>
      <c r="I124" s="18">
        <f>IF(OR($E124="",$F124=""),"",SUMIFS(Assignments!$I$2:$I$769,Assignments!$A$2:$A$769,$F124,Assignments!$C$2:$C$769,$E124))</f>
        <v/>
      </c>
      <c r="J124" s="61">
        <f>IF(OR($E124="",$F124=""),"",$D124-$I124)</f>
        <v/>
      </c>
      <c r="K124" s="20">
        <f>IF($A124="","",IF(AND($E124&lt;&gt;"",$F124&lt;&gt;""),"OK",TRIM(IF($E124="","unmatched code ","")&amp;IF($F124="","unmatched person",""))))</f>
        <v/>
      </c>
    </row>
    <row r="125">
      <c r="A125" s="31" t="n"/>
      <c r="B125" s="31" t="n"/>
      <c r="C125" s="31" t="n"/>
      <c r="D125" s="31" t="n"/>
      <c r="E125" s="16">
        <f>IF($A125="","",IF(COUNTIF(Deals!$A$2:$A$355,$A125)&gt;0,$A125,""))</f>
        <v/>
      </c>
      <c r="F125" s="16">
        <f>IF($B125="","",IFERROR(INDEX(Roster!$A$2:$A$40,MATCH($B125,Roster!$A$2:$A$40,0)),IFERROR(IF(INDEX(MapTracker,MATCH($B125,MapNetSuite,0))=0,"",INDEX(MapTracker,MATCH($B125,MapNetSuite,0))),"")))</f>
        <v/>
      </c>
      <c r="G125" s="16">
        <f>IF($F125="","",IFERROR(INDEX(Roster!$B$2:$B$40,MATCH($F125,Roster!$A$2:$A$40,0)),""))</f>
        <v/>
      </c>
      <c r="H125" s="16">
        <f>IF($E125="","",IFERROR(IF(INDEX(Deals!$U$2:$U$355,MATCH($E125,Deals!$A$2:$A$355,0))=0,"",INDEX(Deals!$U$2:$U$355,MATCH($E125,Deals!$A$2:$A$355,0))),""))</f>
        <v/>
      </c>
      <c r="I125" s="18">
        <f>IF(OR($E125="",$F125=""),"",SUMIFS(Assignments!$I$2:$I$769,Assignments!$A$2:$A$769,$F125,Assignments!$C$2:$C$769,$E125))</f>
        <v/>
      </c>
      <c r="J125" s="61">
        <f>IF(OR($E125="",$F125=""),"",$D125-$I125)</f>
        <v/>
      </c>
      <c r="K125" s="20">
        <f>IF($A125="","",IF(AND($E125&lt;&gt;"",$F125&lt;&gt;""),"OK",TRIM(IF($E125="","unmatched code ","")&amp;IF($F125="","unmatched person",""))))</f>
        <v/>
      </c>
    </row>
    <row r="126">
      <c r="A126" s="31" t="n"/>
      <c r="B126" s="31" t="n"/>
      <c r="C126" s="31" t="n"/>
      <c r="D126" s="31" t="n"/>
      <c r="E126" s="16">
        <f>IF($A126="","",IF(COUNTIF(Deals!$A$2:$A$355,$A126)&gt;0,$A126,""))</f>
        <v/>
      </c>
      <c r="F126" s="16">
        <f>IF($B126="","",IFERROR(INDEX(Roster!$A$2:$A$40,MATCH($B126,Roster!$A$2:$A$40,0)),IFERROR(IF(INDEX(MapTracker,MATCH($B126,MapNetSuite,0))=0,"",INDEX(MapTracker,MATCH($B126,MapNetSuite,0))),"")))</f>
        <v/>
      </c>
      <c r="G126" s="16">
        <f>IF($F126="","",IFERROR(INDEX(Roster!$B$2:$B$40,MATCH($F126,Roster!$A$2:$A$40,0)),""))</f>
        <v/>
      </c>
      <c r="H126" s="16">
        <f>IF($E126="","",IFERROR(IF(INDEX(Deals!$U$2:$U$355,MATCH($E126,Deals!$A$2:$A$355,0))=0,"",INDEX(Deals!$U$2:$U$355,MATCH($E126,Deals!$A$2:$A$355,0))),""))</f>
        <v/>
      </c>
      <c r="I126" s="18">
        <f>IF(OR($E126="",$F126=""),"",SUMIFS(Assignments!$I$2:$I$769,Assignments!$A$2:$A$769,$F126,Assignments!$C$2:$C$769,$E126))</f>
        <v/>
      </c>
      <c r="J126" s="61">
        <f>IF(OR($E126="",$F126=""),"",$D126-$I126)</f>
        <v/>
      </c>
      <c r="K126" s="20">
        <f>IF($A126="","",IF(AND($E126&lt;&gt;"",$F126&lt;&gt;""),"OK",TRIM(IF($E126="","unmatched code ","")&amp;IF($F126="","unmatched person",""))))</f>
        <v/>
      </c>
    </row>
    <row r="127">
      <c r="A127" s="31" t="n"/>
      <c r="B127" s="31" t="n"/>
      <c r="C127" s="31" t="n"/>
      <c r="D127" s="31" t="n"/>
      <c r="E127" s="16">
        <f>IF($A127="","",IF(COUNTIF(Deals!$A$2:$A$355,$A127)&gt;0,$A127,""))</f>
        <v/>
      </c>
      <c r="F127" s="16">
        <f>IF($B127="","",IFERROR(INDEX(Roster!$A$2:$A$40,MATCH($B127,Roster!$A$2:$A$40,0)),IFERROR(IF(INDEX(MapTracker,MATCH($B127,MapNetSuite,0))=0,"",INDEX(MapTracker,MATCH($B127,MapNetSuite,0))),"")))</f>
        <v/>
      </c>
      <c r="G127" s="16">
        <f>IF($F127="","",IFERROR(INDEX(Roster!$B$2:$B$40,MATCH($F127,Roster!$A$2:$A$40,0)),""))</f>
        <v/>
      </c>
      <c r="H127" s="16">
        <f>IF($E127="","",IFERROR(IF(INDEX(Deals!$U$2:$U$355,MATCH($E127,Deals!$A$2:$A$355,0))=0,"",INDEX(Deals!$U$2:$U$355,MATCH($E127,Deals!$A$2:$A$355,0))),""))</f>
        <v/>
      </c>
      <c r="I127" s="18">
        <f>IF(OR($E127="",$F127=""),"",SUMIFS(Assignments!$I$2:$I$769,Assignments!$A$2:$A$769,$F127,Assignments!$C$2:$C$769,$E127))</f>
        <v/>
      </c>
      <c r="J127" s="61">
        <f>IF(OR($E127="",$F127=""),"",$D127-$I127)</f>
        <v/>
      </c>
      <c r="K127" s="20">
        <f>IF($A127="","",IF(AND($E127&lt;&gt;"",$F127&lt;&gt;""),"OK",TRIM(IF($E127="","unmatched code ","")&amp;IF($F127="","unmatched person",""))))</f>
        <v/>
      </c>
    </row>
    <row r="128">
      <c r="A128" s="31" t="n"/>
      <c r="B128" s="31" t="n"/>
      <c r="C128" s="31" t="n"/>
      <c r="D128" s="31" t="n"/>
      <c r="E128" s="16">
        <f>IF($A128="","",IF(COUNTIF(Deals!$A$2:$A$355,$A128)&gt;0,$A128,""))</f>
        <v/>
      </c>
      <c r="F128" s="16">
        <f>IF($B128="","",IFERROR(INDEX(Roster!$A$2:$A$40,MATCH($B128,Roster!$A$2:$A$40,0)),IFERROR(IF(INDEX(MapTracker,MATCH($B128,MapNetSuite,0))=0,"",INDEX(MapTracker,MATCH($B128,MapNetSuite,0))),"")))</f>
        <v/>
      </c>
      <c r="G128" s="16">
        <f>IF($F128="","",IFERROR(INDEX(Roster!$B$2:$B$40,MATCH($F128,Roster!$A$2:$A$40,0)),""))</f>
        <v/>
      </c>
      <c r="H128" s="16">
        <f>IF($E128="","",IFERROR(IF(INDEX(Deals!$U$2:$U$355,MATCH($E128,Deals!$A$2:$A$355,0))=0,"",INDEX(Deals!$U$2:$U$355,MATCH($E128,Deals!$A$2:$A$355,0))),""))</f>
        <v/>
      </c>
      <c r="I128" s="18">
        <f>IF(OR($E128="",$F128=""),"",SUMIFS(Assignments!$I$2:$I$769,Assignments!$A$2:$A$769,$F128,Assignments!$C$2:$C$769,$E128))</f>
        <v/>
      </c>
      <c r="J128" s="61">
        <f>IF(OR($E128="",$F128=""),"",$D128-$I128)</f>
        <v/>
      </c>
      <c r="K128" s="20">
        <f>IF($A128="","",IF(AND($E128&lt;&gt;"",$F128&lt;&gt;""),"OK",TRIM(IF($E128="","unmatched code ","")&amp;IF($F128="","unmatched person",""))))</f>
        <v/>
      </c>
    </row>
    <row r="129">
      <c r="A129" s="31" t="n"/>
      <c r="B129" s="31" t="n"/>
      <c r="C129" s="31" t="n"/>
      <c r="D129" s="31" t="n"/>
      <c r="E129" s="16">
        <f>IF($A129="","",IF(COUNTIF(Deals!$A$2:$A$355,$A129)&gt;0,$A129,""))</f>
        <v/>
      </c>
      <c r="F129" s="16">
        <f>IF($B129="","",IFERROR(INDEX(Roster!$A$2:$A$40,MATCH($B129,Roster!$A$2:$A$40,0)),IFERROR(IF(INDEX(MapTracker,MATCH($B129,MapNetSuite,0))=0,"",INDEX(MapTracker,MATCH($B129,MapNetSuite,0))),"")))</f>
        <v/>
      </c>
      <c r="G129" s="16">
        <f>IF($F129="","",IFERROR(INDEX(Roster!$B$2:$B$40,MATCH($F129,Roster!$A$2:$A$40,0)),""))</f>
        <v/>
      </c>
      <c r="H129" s="16">
        <f>IF($E129="","",IFERROR(IF(INDEX(Deals!$U$2:$U$355,MATCH($E129,Deals!$A$2:$A$355,0))=0,"",INDEX(Deals!$U$2:$U$355,MATCH($E129,Deals!$A$2:$A$355,0))),""))</f>
        <v/>
      </c>
      <c r="I129" s="18">
        <f>IF(OR($E129="",$F129=""),"",SUMIFS(Assignments!$I$2:$I$769,Assignments!$A$2:$A$769,$F129,Assignments!$C$2:$C$769,$E129))</f>
        <v/>
      </c>
      <c r="J129" s="61">
        <f>IF(OR($E129="",$F129=""),"",$D129-$I129)</f>
        <v/>
      </c>
      <c r="K129" s="20">
        <f>IF($A129="","",IF(AND($E129&lt;&gt;"",$F129&lt;&gt;""),"OK",TRIM(IF($E129="","unmatched code ","")&amp;IF($F129="","unmatched person",""))))</f>
        <v/>
      </c>
    </row>
    <row r="130">
      <c r="A130" s="31" t="n"/>
      <c r="B130" s="31" t="n"/>
      <c r="C130" s="31" t="n"/>
      <c r="D130" s="31" t="n"/>
      <c r="E130" s="16">
        <f>IF($A130="","",IF(COUNTIF(Deals!$A$2:$A$355,$A130)&gt;0,$A130,""))</f>
        <v/>
      </c>
      <c r="F130" s="16">
        <f>IF($B130="","",IFERROR(INDEX(Roster!$A$2:$A$40,MATCH($B130,Roster!$A$2:$A$40,0)),IFERROR(IF(INDEX(MapTracker,MATCH($B130,MapNetSuite,0))=0,"",INDEX(MapTracker,MATCH($B130,MapNetSuite,0))),"")))</f>
        <v/>
      </c>
      <c r="G130" s="16">
        <f>IF($F130="","",IFERROR(INDEX(Roster!$B$2:$B$40,MATCH($F130,Roster!$A$2:$A$40,0)),""))</f>
        <v/>
      </c>
      <c r="H130" s="16">
        <f>IF($E130="","",IFERROR(IF(INDEX(Deals!$U$2:$U$355,MATCH($E130,Deals!$A$2:$A$355,0))=0,"",INDEX(Deals!$U$2:$U$355,MATCH($E130,Deals!$A$2:$A$355,0))),""))</f>
        <v/>
      </c>
      <c r="I130" s="18">
        <f>IF(OR($E130="",$F130=""),"",SUMIFS(Assignments!$I$2:$I$769,Assignments!$A$2:$A$769,$F130,Assignments!$C$2:$C$769,$E130))</f>
        <v/>
      </c>
      <c r="J130" s="61">
        <f>IF(OR($E130="",$F130=""),"",$D130-$I130)</f>
        <v/>
      </c>
      <c r="K130" s="20">
        <f>IF($A130="","",IF(AND($E130&lt;&gt;"",$F130&lt;&gt;""),"OK",TRIM(IF($E130="","unmatched code ","")&amp;IF($F130="","unmatched person",""))))</f>
        <v/>
      </c>
    </row>
    <row r="131">
      <c r="A131" s="31" t="n"/>
      <c r="B131" s="31" t="n"/>
      <c r="C131" s="31" t="n"/>
      <c r="D131" s="31" t="n"/>
      <c r="E131" s="16">
        <f>IF($A131="","",IF(COUNTIF(Deals!$A$2:$A$355,$A131)&gt;0,$A131,""))</f>
        <v/>
      </c>
      <c r="F131" s="16">
        <f>IF($B131="","",IFERROR(INDEX(Roster!$A$2:$A$40,MATCH($B131,Roster!$A$2:$A$40,0)),IFERROR(IF(INDEX(MapTracker,MATCH($B131,MapNetSuite,0))=0,"",INDEX(MapTracker,MATCH($B131,MapNetSuite,0))),"")))</f>
        <v/>
      </c>
      <c r="G131" s="16">
        <f>IF($F131="","",IFERROR(INDEX(Roster!$B$2:$B$40,MATCH($F131,Roster!$A$2:$A$40,0)),""))</f>
        <v/>
      </c>
      <c r="H131" s="16">
        <f>IF($E131="","",IFERROR(IF(INDEX(Deals!$U$2:$U$355,MATCH($E131,Deals!$A$2:$A$355,0))=0,"",INDEX(Deals!$U$2:$U$355,MATCH($E131,Deals!$A$2:$A$355,0))),""))</f>
        <v/>
      </c>
      <c r="I131" s="18">
        <f>IF(OR($E131="",$F131=""),"",SUMIFS(Assignments!$I$2:$I$769,Assignments!$A$2:$A$769,$F131,Assignments!$C$2:$C$769,$E131))</f>
        <v/>
      </c>
      <c r="J131" s="61">
        <f>IF(OR($E131="",$F131=""),"",$D131-$I131)</f>
        <v/>
      </c>
      <c r="K131" s="20">
        <f>IF($A131="","",IF(AND($E131&lt;&gt;"",$F131&lt;&gt;""),"OK",TRIM(IF($E131="","unmatched code ","")&amp;IF($F131="","unmatched person",""))))</f>
        <v/>
      </c>
    </row>
    <row r="132">
      <c r="A132" s="31" t="n"/>
      <c r="B132" s="31" t="n"/>
      <c r="C132" s="31" t="n"/>
      <c r="D132" s="31" t="n"/>
      <c r="E132" s="16">
        <f>IF($A132="","",IF(COUNTIF(Deals!$A$2:$A$355,$A132)&gt;0,$A132,""))</f>
        <v/>
      </c>
      <c r="F132" s="16">
        <f>IF($B132="","",IFERROR(INDEX(Roster!$A$2:$A$40,MATCH($B132,Roster!$A$2:$A$40,0)),IFERROR(IF(INDEX(MapTracker,MATCH($B132,MapNetSuite,0))=0,"",INDEX(MapTracker,MATCH($B132,MapNetSuite,0))),"")))</f>
        <v/>
      </c>
      <c r="G132" s="16">
        <f>IF($F132="","",IFERROR(INDEX(Roster!$B$2:$B$40,MATCH($F132,Roster!$A$2:$A$40,0)),""))</f>
        <v/>
      </c>
      <c r="H132" s="16">
        <f>IF($E132="","",IFERROR(IF(INDEX(Deals!$U$2:$U$355,MATCH($E132,Deals!$A$2:$A$355,0))=0,"",INDEX(Deals!$U$2:$U$355,MATCH($E132,Deals!$A$2:$A$355,0))),""))</f>
        <v/>
      </c>
      <c r="I132" s="18">
        <f>IF(OR($E132="",$F132=""),"",SUMIFS(Assignments!$I$2:$I$769,Assignments!$A$2:$A$769,$F132,Assignments!$C$2:$C$769,$E132))</f>
        <v/>
      </c>
      <c r="J132" s="61">
        <f>IF(OR($E132="",$F132=""),"",$D132-$I132)</f>
        <v/>
      </c>
      <c r="K132" s="20">
        <f>IF($A132="","",IF(AND($E132&lt;&gt;"",$F132&lt;&gt;""),"OK",TRIM(IF($E132="","unmatched code ","")&amp;IF($F132="","unmatched person",""))))</f>
        <v/>
      </c>
    </row>
    <row r="133">
      <c r="A133" s="31" t="n"/>
      <c r="B133" s="31" t="n"/>
      <c r="C133" s="31" t="n"/>
      <c r="D133" s="31" t="n"/>
      <c r="E133" s="16">
        <f>IF($A133="","",IF(COUNTIF(Deals!$A$2:$A$355,$A133)&gt;0,$A133,""))</f>
        <v/>
      </c>
      <c r="F133" s="16">
        <f>IF($B133="","",IFERROR(INDEX(Roster!$A$2:$A$40,MATCH($B133,Roster!$A$2:$A$40,0)),IFERROR(IF(INDEX(MapTracker,MATCH($B133,MapNetSuite,0))=0,"",INDEX(MapTracker,MATCH($B133,MapNetSuite,0))),"")))</f>
        <v/>
      </c>
      <c r="G133" s="16">
        <f>IF($F133="","",IFERROR(INDEX(Roster!$B$2:$B$40,MATCH($F133,Roster!$A$2:$A$40,0)),""))</f>
        <v/>
      </c>
      <c r="H133" s="16">
        <f>IF($E133="","",IFERROR(IF(INDEX(Deals!$U$2:$U$355,MATCH($E133,Deals!$A$2:$A$355,0))=0,"",INDEX(Deals!$U$2:$U$355,MATCH($E133,Deals!$A$2:$A$355,0))),""))</f>
        <v/>
      </c>
      <c r="I133" s="18">
        <f>IF(OR($E133="",$F133=""),"",SUMIFS(Assignments!$I$2:$I$769,Assignments!$A$2:$A$769,$F133,Assignments!$C$2:$C$769,$E133))</f>
        <v/>
      </c>
      <c r="J133" s="61">
        <f>IF(OR($E133="",$F133=""),"",$D133-$I133)</f>
        <v/>
      </c>
      <c r="K133" s="20">
        <f>IF($A133="","",IF(AND($E133&lt;&gt;"",$F133&lt;&gt;""),"OK",TRIM(IF($E133="","unmatched code ","")&amp;IF($F133="","unmatched person",""))))</f>
        <v/>
      </c>
    </row>
    <row r="134">
      <c r="A134" s="31" t="n"/>
      <c r="B134" s="31" t="n"/>
      <c r="C134" s="31" t="n"/>
      <c r="D134" s="31" t="n"/>
      <c r="E134" s="16">
        <f>IF($A134="","",IF(COUNTIF(Deals!$A$2:$A$355,$A134)&gt;0,$A134,""))</f>
        <v/>
      </c>
      <c r="F134" s="16">
        <f>IF($B134="","",IFERROR(INDEX(Roster!$A$2:$A$40,MATCH($B134,Roster!$A$2:$A$40,0)),IFERROR(IF(INDEX(MapTracker,MATCH($B134,MapNetSuite,0))=0,"",INDEX(MapTracker,MATCH($B134,MapNetSuite,0))),"")))</f>
        <v/>
      </c>
      <c r="G134" s="16">
        <f>IF($F134="","",IFERROR(INDEX(Roster!$B$2:$B$40,MATCH($F134,Roster!$A$2:$A$40,0)),""))</f>
        <v/>
      </c>
      <c r="H134" s="16">
        <f>IF($E134="","",IFERROR(IF(INDEX(Deals!$U$2:$U$355,MATCH($E134,Deals!$A$2:$A$355,0))=0,"",INDEX(Deals!$U$2:$U$355,MATCH($E134,Deals!$A$2:$A$355,0))),""))</f>
        <v/>
      </c>
      <c r="I134" s="18">
        <f>IF(OR($E134="",$F134=""),"",SUMIFS(Assignments!$I$2:$I$769,Assignments!$A$2:$A$769,$F134,Assignments!$C$2:$C$769,$E134))</f>
        <v/>
      </c>
      <c r="J134" s="61">
        <f>IF(OR($E134="",$F134=""),"",$D134-$I134)</f>
        <v/>
      </c>
      <c r="K134" s="20">
        <f>IF($A134="","",IF(AND($E134&lt;&gt;"",$F134&lt;&gt;""),"OK",TRIM(IF($E134="","unmatched code ","")&amp;IF($F134="","unmatched person",""))))</f>
        <v/>
      </c>
    </row>
    <row r="135">
      <c r="A135" s="31" t="n"/>
      <c r="B135" s="31" t="n"/>
      <c r="C135" s="31" t="n"/>
      <c r="D135" s="31" t="n"/>
      <c r="E135" s="16">
        <f>IF($A135="","",IF(COUNTIF(Deals!$A$2:$A$355,$A135)&gt;0,$A135,""))</f>
        <v/>
      </c>
      <c r="F135" s="16">
        <f>IF($B135="","",IFERROR(INDEX(Roster!$A$2:$A$40,MATCH($B135,Roster!$A$2:$A$40,0)),IFERROR(IF(INDEX(MapTracker,MATCH($B135,MapNetSuite,0))=0,"",INDEX(MapTracker,MATCH($B135,MapNetSuite,0))),"")))</f>
        <v/>
      </c>
      <c r="G135" s="16">
        <f>IF($F135="","",IFERROR(INDEX(Roster!$B$2:$B$40,MATCH($F135,Roster!$A$2:$A$40,0)),""))</f>
        <v/>
      </c>
      <c r="H135" s="16">
        <f>IF($E135="","",IFERROR(IF(INDEX(Deals!$U$2:$U$355,MATCH($E135,Deals!$A$2:$A$355,0))=0,"",INDEX(Deals!$U$2:$U$355,MATCH($E135,Deals!$A$2:$A$355,0))),""))</f>
        <v/>
      </c>
      <c r="I135" s="18">
        <f>IF(OR($E135="",$F135=""),"",SUMIFS(Assignments!$I$2:$I$769,Assignments!$A$2:$A$769,$F135,Assignments!$C$2:$C$769,$E135))</f>
        <v/>
      </c>
      <c r="J135" s="61">
        <f>IF(OR($E135="",$F135=""),"",$D135-$I135)</f>
        <v/>
      </c>
      <c r="K135" s="20">
        <f>IF($A135="","",IF(AND($E135&lt;&gt;"",$F135&lt;&gt;""),"OK",TRIM(IF($E135="","unmatched code ","")&amp;IF($F135="","unmatched person",""))))</f>
        <v/>
      </c>
    </row>
    <row r="136">
      <c r="A136" s="31" t="n"/>
      <c r="B136" s="31" t="n"/>
      <c r="C136" s="31" t="n"/>
      <c r="D136" s="31" t="n"/>
      <c r="E136" s="16">
        <f>IF($A136="","",IF(COUNTIF(Deals!$A$2:$A$355,$A136)&gt;0,$A136,""))</f>
        <v/>
      </c>
      <c r="F136" s="16">
        <f>IF($B136="","",IFERROR(INDEX(Roster!$A$2:$A$40,MATCH($B136,Roster!$A$2:$A$40,0)),IFERROR(IF(INDEX(MapTracker,MATCH($B136,MapNetSuite,0))=0,"",INDEX(MapTracker,MATCH($B136,MapNetSuite,0))),"")))</f>
        <v/>
      </c>
      <c r="G136" s="16">
        <f>IF($F136="","",IFERROR(INDEX(Roster!$B$2:$B$40,MATCH($F136,Roster!$A$2:$A$40,0)),""))</f>
        <v/>
      </c>
      <c r="H136" s="16">
        <f>IF($E136="","",IFERROR(IF(INDEX(Deals!$U$2:$U$355,MATCH($E136,Deals!$A$2:$A$355,0))=0,"",INDEX(Deals!$U$2:$U$355,MATCH($E136,Deals!$A$2:$A$355,0))),""))</f>
        <v/>
      </c>
      <c r="I136" s="18">
        <f>IF(OR($E136="",$F136=""),"",SUMIFS(Assignments!$I$2:$I$769,Assignments!$A$2:$A$769,$F136,Assignments!$C$2:$C$769,$E136))</f>
        <v/>
      </c>
      <c r="J136" s="61">
        <f>IF(OR($E136="",$F136=""),"",$D136-$I136)</f>
        <v/>
      </c>
      <c r="K136" s="20">
        <f>IF($A136="","",IF(AND($E136&lt;&gt;"",$F136&lt;&gt;""),"OK",TRIM(IF($E136="","unmatched code ","")&amp;IF($F136="","unmatched person",""))))</f>
        <v/>
      </c>
    </row>
    <row r="137">
      <c r="A137" s="31" t="n"/>
      <c r="B137" s="31" t="n"/>
      <c r="C137" s="31" t="n"/>
      <c r="D137" s="31" t="n"/>
      <c r="E137" s="16">
        <f>IF($A137="","",IF(COUNTIF(Deals!$A$2:$A$355,$A137)&gt;0,$A137,""))</f>
        <v/>
      </c>
      <c r="F137" s="16">
        <f>IF($B137="","",IFERROR(INDEX(Roster!$A$2:$A$40,MATCH($B137,Roster!$A$2:$A$40,0)),IFERROR(IF(INDEX(MapTracker,MATCH($B137,MapNetSuite,0))=0,"",INDEX(MapTracker,MATCH($B137,MapNetSuite,0))),"")))</f>
        <v/>
      </c>
      <c r="G137" s="16">
        <f>IF($F137="","",IFERROR(INDEX(Roster!$B$2:$B$40,MATCH($F137,Roster!$A$2:$A$40,0)),""))</f>
        <v/>
      </c>
      <c r="H137" s="16">
        <f>IF($E137="","",IFERROR(IF(INDEX(Deals!$U$2:$U$355,MATCH($E137,Deals!$A$2:$A$355,0))=0,"",INDEX(Deals!$U$2:$U$355,MATCH($E137,Deals!$A$2:$A$355,0))),""))</f>
        <v/>
      </c>
      <c r="I137" s="18">
        <f>IF(OR($E137="",$F137=""),"",SUMIFS(Assignments!$I$2:$I$769,Assignments!$A$2:$A$769,$F137,Assignments!$C$2:$C$769,$E137))</f>
        <v/>
      </c>
      <c r="J137" s="61">
        <f>IF(OR($E137="",$F137=""),"",$D137-$I137)</f>
        <v/>
      </c>
      <c r="K137" s="20">
        <f>IF($A137="","",IF(AND($E137&lt;&gt;"",$F137&lt;&gt;""),"OK",TRIM(IF($E137="","unmatched code ","")&amp;IF($F137="","unmatched person",""))))</f>
        <v/>
      </c>
    </row>
    <row r="138">
      <c r="A138" s="31" t="n"/>
      <c r="B138" s="31" t="n"/>
      <c r="C138" s="31" t="n"/>
      <c r="D138" s="31" t="n"/>
      <c r="E138" s="16">
        <f>IF($A138="","",IF(COUNTIF(Deals!$A$2:$A$355,$A138)&gt;0,$A138,""))</f>
        <v/>
      </c>
      <c r="F138" s="16">
        <f>IF($B138="","",IFERROR(INDEX(Roster!$A$2:$A$40,MATCH($B138,Roster!$A$2:$A$40,0)),IFERROR(IF(INDEX(MapTracker,MATCH($B138,MapNetSuite,0))=0,"",INDEX(MapTracker,MATCH($B138,MapNetSuite,0))),"")))</f>
        <v/>
      </c>
      <c r="G138" s="16">
        <f>IF($F138="","",IFERROR(INDEX(Roster!$B$2:$B$40,MATCH($F138,Roster!$A$2:$A$40,0)),""))</f>
        <v/>
      </c>
      <c r="H138" s="16">
        <f>IF($E138="","",IFERROR(IF(INDEX(Deals!$U$2:$U$355,MATCH($E138,Deals!$A$2:$A$355,0))=0,"",INDEX(Deals!$U$2:$U$355,MATCH($E138,Deals!$A$2:$A$355,0))),""))</f>
        <v/>
      </c>
      <c r="I138" s="18">
        <f>IF(OR($E138="",$F138=""),"",SUMIFS(Assignments!$I$2:$I$769,Assignments!$A$2:$A$769,$F138,Assignments!$C$2:$C$769,$E138))</f>
        <v/>
      </c>
      <c r="J138" s="61">
        <f>IF(OR($E138="",$F138=""),"",$D138-$I138)</f>
        <v/>
      </c>
      <c r="K138" s="20">
        <f>IF($A138="","",IF(AND($E138&lt;&gt;"",$F138&lt;&gt;""),"OK",TRIM(IF($E138="","unmatched code ","")&amp;IF($F138="","unmatched person",""))))</f>
        <v/>
      </c>
    </row>
    <row r="139">
      <c r="A139" s="31" t="n"/>
      <c r="B139" s="31" t="n"/>
      <c r="C139" s="31" t="n"/>
      <c r="D139" s="31" t="n"/>
      <c r="E139" s="16">
        <f>IF($A139="","",IF(COUNTIF(Deals!$A$2:$A$355,$A139)&gt;0,$A139,""))</f>
        <v/>
      </c>
      <c r="F139" s="16">
        <f>IF($B139="","",IFERROR(INDEX(Roster!$A$2:$A$40,MATCH($B139,Roster!$A$2:$A$40,0)),IFERROR(IF(INDEX(MapTracker,MATCH($B139,MapNetSuite,0))=0,"",INDEX(MapTracker,MATCH($B139,MapNetSuite,0))),"")))</f>
        <v/>
      </c>
      <c r="G139" s="16">
        <f>IF($F139="","",IFERROR(INDEX(Roster!$B$2:$B$40,MATCH($F139,Roster!$A$2:$A$40,0)),""))</f>
        <v/>
      </c>
      <c r="H139" s="16">
        <f>IF($E139="","",IFERROR(IF(INDEX(Deals!$U$2:$U$355,MATCH($E139,Deals!$A$2:$A$355,0))=0,"",INDEX(Deals!$U$2:$U$355,MATCH($E139,Deals!$A$2:$A$355,0))),""))</f>
        <v/>
      </c>
      <c r="I139" s="18">
        <f>IF(OR($E139="",$F139=""),"",SUMIFS(Assignments!$I$2:$I$769,Assignments!$A$2:$A$769,$F139,Assignments!$C$2:$C$769,$E139))</f>
        <v/>
      </c>
      <c r="J139" s="61">
        <f>IF(OR($E139="",$F139=""),"",$D139-$I139)</f>
        <v/>
      </c>
      <c r="K139" s="20">
        <f>IF($A139="","",IF(AND($E139&lt;&gt;"",$F139&lt;&gt;""),"OK",TRIM(IF($E139="","unmatched code ","")&amp;IF($F139="","unmatched person",""))))</f>
        <v/>
      </c>
    </row>
    <row r="140">
      <c r="A140" s="31" t="n"/>
      <c r="B140" s="31" t="n"/>
      <c r="C140" s="31" t="n"/>
      <c r="D140" s="31" t="n"/>
      <c r="E140" s="16">
        <f>IF($A140="","",IF(COUNTIF(Deals!$A$2:$A$355,$A140)&gt;0,$A140,""))</f>
        <v/>
      </c>
      <c r="F140" s="16">
        <f>IF($B140="","",IFERROR(INDEX(Roster!$A$2:$A$40,MATCH($B140,Roster!$A$2:$A$40,0)),IFERROR(IF(INDEX(MapTracker,MATCH($B140,MapNetSuite,0))=0,"",INDEX(MapTracker,MATCH($B140,MapNetSuite,0))),"")))</f>
        <v/>
      </c>
      <c r="G140" s="16">
        <f>IF($F140="","",IFERROR(INDEX(Roster!$B$2:$B$40,MATCH($F140,Roster!$A$2:$A$40,0)),""))</f>
        <v/>
      </c>
      <c r="H140" s="16">
        <f>IF($E140="","",IFERROR(IF(INDEX(Deals!$U$2:$U$355,MATCH($E140,Deals!$A$2:$A$355,0))=0,"",INDEX(Deals!$U$2:$U$355,MATCH($E140,Deals!$A$2:$A$355,0))),""))</f>
        <v/>
      </c>
      <c r="I140" s="18">
        <f>IF(OR($E140="",$F140=""),"",SUMIFS(Assignments!$I$2:$I$769,Assignments!$A$2:$A$769,$F140,Assignments!$C$2:$C$769,$E140))</f>
        <v/>
      </c>
      <c r="J140" s="61">
        <f>IF(OR($E140="",$F140=""),"",$D140-$I140)</f>
        <v/>
      </c>
      <c r="K140" s="20">
        <f>IF($A140="","",IF(AND($E140&lt;&gt;"",$F140&lt;&gt;""),"OK",TRIM(IF($E140="","unmatched code ","")&amp;IF($F140="","unmatched person",""))))</f>
        <v/>
      </c>
    </row>
    <row r="141">
      <c r="A141" s="31" t="n"/>
      <c r="B141" s="31" t="n"/>
      <c r="C141" s="31" t="n"/>
      <c r="D141" s="31" t="n"/>
      <c r="E141" s="16">
        <f>IF($A141="","",IF(COUNTIF(Deals!$A$2:$A$355,$A141)&gt;0,$A141,""))</f>
        <v/>
      </c>
      <c r="F141" s="16">
        <f>IF($B141="","",IFERROR(INDEX(Roster!$A$2:$A$40,MATCH($B141,Roster!$A$2:$A$40,0)),IFERROR(IF(INDEX(MapTracker,MATCH($B141,MapNetSuite,0))=0,"",INDEX(MapTracker,MATCH($B141,MapNetSuite,0))),"")))</f>
        <v/>
      </c>
      <c r="G141" s="16">
        <f>IF($F141="","",IFERROR(INDEX(Roster!$B$2:$B$40,MATCH($F141,Roster!$A$2:$A$40,0)),""))</f>
        <v/>
      </c>
      <c r="H141" s="16">
        <f>IF($E141="","",IFERROR(IF(INDEX(Deals!$U$2:$U$355,MATCH($E141,Deals!$A$2:$A$355,0))=0,"",INDEX(Deals!$U$2:$U$355,MATCH($E141,Deals!$A$2:$A$355,0))),""))</f>
        <v/>
      </c>
      <c r="I141" s="18">
        <f>IF(OR($E141="",$F141=""),"",SUMIFS(Assignments!$I$2:$I$769,Assignments!$A$2:$A$769,$F141,Assignments!$C$2:$C$769,$E141))</f>
        <v/>
      </c>
      <c r="J141" s="61">
        <f>IF(OR($E141="",$F141=""),"",$D141-$I141)</f>
        <v/>
      </c>
      <c r="K141" s="20">
        <f>IF($A141="","",IF(AND($E141&lt;&gt;"",$F141&lt;&gt;""),"OK",TRIM(IF($E141="","unmatched code ","")&amp;IF($F141="","unmatched person",""))))</f>
        <v/>
      </c>
    </row>
    <row r="142">
      <c r="A142" s="31" t="n"/>
      <c r="B142" s="31" t="n"/>
      <c r="C142" s="31" t="n"/>
      <c r="D142" s="31" t="n"/>
      <c r="E142" s="16">
        <f>IF($A142="","",IF(COUNTIF(Deals!$A$2:$A$355,$A142)&gt;0,$A142,""))</f>
        <v/>
      </c>
      <c r="F142" s="16">
        <f>IF($B142="","",IFERROR(INDEX(Roster!$A$2:$A$40,MATCH($B142,Roster!$A$2:$A$40,0)),IFERROR(IF(INDEX(MapTracker,MATCH($B142,MapNetSuite,0))=0,"",INDEX(MapTracker,MATCH($B142,MapNetSuite,0))),"")))</f>
        <v/>
      </c>
      <c r="G142" s="16">
        <f>IF($F142="","",IFERROR(INDEX(Roster!$B$2:$B$40,MATCH($F142,Roster!$A$2:$A$40,0)),""))</f>
        <v/>
      </c>
      <c r="H142" s="16">
        <f>IF($E142="","",IFERROR(IF(INDEX(Deals!$U$2:$U$355,MATCH($E142,Deals!$A$2:$A$355,0))=0,"",INDEX(Deals!$U$2:$U$355,MATCH($E142,Deals!$A$2:$A$355,0))),""))</f>
        <v/>
      </c>
      <c r="I142" s="18">
        <f>IF(OR($E142="",$F142=""),"",SUMIFS(Assignments!$I$2:$I$769,Assignments!$A$2:$A$769,$F142,Assignments!$C$2:$C$769,$E142))</f>
        <v/>
      </c>
      <c r="J142" s="61">
        <f>IF(OR($E142="",$F142=""),"",$D142-$I142)</f>
        <v/>
      </c>
      <c r="K142" s="20">
        <f>IF($A142="","",IF(AND($E142&lt;&gt;"",$F142&lt;&gt;""),"OK",TRIM(IF($E142="","unmatched code ","")&amp;IF($F142="","unmatched person",""))))</f>
        <v/>
      </c>
    </row>
    <row r="143">
      <c r="A143" s="31" t="n"/>
      <c r="B143" s="31" t="n"/>
      <c r="C143" s="31" t="n"/>
      <c r="D143" s="31" t="n"/>
      <c r="E143" s="16">
        <f>IF($A143="","",IF(COUNTIF(Deals!$A$2:$A$355,$A143)&gt;0,$A143,""))</f>
        <v/>
      </c>
      <c r="F143" s="16">
        <f>IF($B143="","",IFERROR(INDEX(Roster!$A$2:$A$40,MATCH($B143,Roster!$A$2:$A$40,0)),IFERROR(IF(INDEX(MapTracker,MATCH($B143,MapNetSuite,0))=0,"",INDEX(MapTracker,MATCH($B143,MapNetSuite,0))),"")))</f>
        <v/>
      </c>
      <c r="G143" s="16">
        <f>IF($F143="","",IFERROR(INDEX(Roster!$B$2:$B$40,MATCH($F143,Roster!$A$2:$A$40,0)),""))</f>
        <v/>
      </c>
      <c r="H143" s="16">
        <f>IF($E143="","",IFERROR(IF(INDEX(Deals!$U$2:$U$355,MATCH($E143,Deals!$A$2:$A$355,0))=0,"",INDEX(Deals!$U$2:$U$355,MATCH($E143,Deals!$A$2:$A$355,0))),""))</f>
        <v/>
      </c>
      <c r="I143" s="18">
        <f>IF(OR($E143="",$F143=""),"",SUMIFS(Assignments!$I$2:$I$769,Assignments!$A$2:$A$769,$F143,Assignments!$C$2:$C$769,$E143))</f>
        <v/>
      </c>
      <c r="J143" s="61">
        <f>IF(OR($E143="",$F143=""),"",$D143-$I143)</f>
        <v/>
      </c>
      <c r="K143" s="20">
        <f>IF($A143="","",IF(AND($E143&lt;&gt;"",$F143&lt;&gt;""),"OK",TRIM(IF($E143="","unmatched code ","")&amp;IF($F143="","unmatched person",""))))</f>
        <v/>
      </c>
    </row>
    <row r="144">
      <c r="A144" s="31" t="n"/>
      <c r="B144" s="31" t="n"/>
      <c r="C144" s="31" t="n"/>
      <c r="D144" s="31" t="n"/>
      <c r="E144" s="16">
        <f>IF($A144="","",IF(COUNTIF(Deals!$A$2:$A$355,$A144)&gt;0,$A144,""))</f>
        <v/>
      </c>
      <c r="F144" s="16">
        <f>IF($B144="","",IFERROR(INDEX(Roster!$A$2:$A$40,MATCH($B144,Roster!$A$2:$A$40,0)),IFERROR(IF(INDEX(MapTracker,MATCH($B144,MapNetSuite,0))=0,"",INDEX(MapTracker,MATCH($B144,MapNetSuite,0))),"")))</f>
        <v/>
      </c>
      <c r="G144" s="16">
        <f>IF($F144="","",IFERROR(INDEX(Roster!$B$2:$B$40,MATCH($F144,Roster!$A$2:$A$40,0)),""))</f>
        <v/>
      </c>
      <c r="H144" s="16">
        <f>IF($E144="","",IFERROR(IF(INDEX(Deals!$U$2:$U$355,MATCH($E144,Deals!$A$2:$A$355,0))=0,"",INDEX(Deals!$U$2:$U$355,MATCH($E144,Deals!$A$2:$A$355,0))),""))</f>
        <v/>
      </c>
      <c r="I144" s="18">
        <f>IF(OR($E144="",$F144=""),"",SUMIFS(Assignments!$I$2:$I$769,Assignments!$A$2:$A$769,$F144,Assignments!$C$2:$C$769,$E144))</f>
        <v/>
      </c>
      <c r="J144" s="61">
        <f>IF(OR($E144="",$F144=""),"",$D144-$I144)</f>
        <v/>
      </c>
      <c r="K144" s="20">
        <f>IF($A144="","",IF(AND($E144&lt;&gt;"",$F144&lt;&gt;""),"OK",TRIM(IF($E144="","unmatched code ","")&amp;IF($F144="","unmatched person",""))))</f>
        <v/>
      </c>
    </row>
    <row r="145">
      <c r="A145" s="31" t="n"/>
      <c r="B145" s="31" t="n"/>
      <c r="C145" s="31" t="n"/>
      <c r="D145" s="31" t="n"/>
      <c r="E145" s="16">
        <f>IF($A145="","",IF(COUNTIF(Deals!$A$2:$A$355,$A145)&gt;0,$A145,""))</f>
        <v/>
      </c>
      <c r="F145" s="16">
        <f>IF($B145="","",IFERROR(INDEX(Roster!$A$2:$A$40,MATCH($B145,Roster!$A$2:$A$40,0)),IFERROR(IF(INDEX(MapTracker,MATCH($B145,MapNetSuite,0))=0,"",INDEX(MapTracker,MATCH($B145,MapNetSuite,0))),"")))</f>
        <v/>
      </c>
      <c r="G145" s="16">
        <f>IF($F145="","",IFERROR(INDEX(Roster!$B$2:$B$40,MATCH($F145,Roster!$A$2:$A$40,0)),""))</f>
        <v/>
      </c>
      <c r="H145" s="16">
        <f>IF($E145="","",IFERROR(IF(INDEX(Deals!$U$2:$U$355,MATCH($E145,Deals!$A$2:$A$355,0))=0,"",INDEX(Deals!$U$2:$U$355,MATCH($E145,Deals!$A$2:$A$355,0))),""))</f>
        <v/>
      </c>
      <c r="I145" s="18">
        <f>IF(OR($E145="",$F145=""),"",SUMIFS(Assignments!$I$2:$I$769,Assignments!$A$2:$A$769,$F145,Assignments!$C$2:$C$769,$E145))</f>
        <v/>
      </c>
      <c r="J145" s="61">
        <f>IF(OR($E145="",$F145=""),"",$D145-$I145)</f>
        <v/>
      </c>
      <c r="K145" s="20">
        <f>IF($A145="","",IF(AND($E145&lt;&gt;"",$F145&lt;&gt;""),"OK",TRIM(IF($E145="","unmatched code ","")&amp;IF($F145="","unmatched person",""))))</f>
        <v/>
      </c>
    </row>
    <row r="146">
      <c r="A146" s="31" t="n"/>
      <c r="B146" s="31" t="n"/>
      <c r="C146" s="31" t="n"/>
      <c r="D146" s="31" t="n"/>
      <c r="E146" s="16">
        <f>IF($A146="","",IF(COUNTIF(Deals!$A$2:$A$355,$A146)&gt;0,$A146,""))</f>
        <v/>
      </c>
      <c r="F146" s="16">
        <f>IF($B146="","",IFERROR(INDEX(Roster!$A$2:$A$40,MATCH($B146,Roster!$A$2:$A$40,0)),IFERROR(IF(INDEX(MapTracker,MATCH($B146,MapNetSuite,0))=0,"",INDEX(MapTracker,MATCH($B146,MapNetSuite,0))),"")))</f>
        <v/>
      </c>
      <c r="G146" s="16">
        <f>IF($F146="","",IFERROR(INDEX(Roster!$B$2:$B$40,MATCH($F146,Roster!$A$2:$A$40,0)),""))</f>
        <v/>
      </c>
      <c r="H146" s="16">
        <f>IF($E146="","",IFERROR(IF(INDEX(Deals!$U$2:$U$355,MATCH($E146,Deals!$A$2:$A$355,0))=0,"",INDEX(Deals!$U$2:$U$355,MATCH($E146,Deals!$A$2:$A$355,0))),""))</f>
        <v/>
      </c>
      <c r="I146" s="18">
        <f>IF(OR($E146="",$F146=""),"",SUMIFS(Assignments!$I$2:$I$769,Assignments!$A$2:$A$769,$F146,Assignments!$C$2:$C$769,$E146))</f>
        <v/>
      </c>
      <c r="J146" s="61">
        <f>IF(OR($E146="",$F146=""),"",$D146-$I146)</f>
        <v/>
      </c>
      <c r="K146" s="20">
        <f>IF($A146="","",IF(AND($E146&lt;&gt;"",$F146&lt;&gt;""),"OK",TRIM(IF($E146="","unmatched code ","")&amp;IF($F146="","unmatched person",""))))</f>
        <v/>
      </c>
    </row>
    <row r="147">
      <c r="A147" s="31" t="n"/>
      <c r="B147" s="31" t="n"/>
      <c r="C147" s="31" t="n"/>
      <c r="D147" s="31" t="n"/>
      <c r="E147" s="16">
        <f>IF($A147="","",IF(COUNTIF(Deals!$A$2:$A$355,$A147)&gt;0,$A147,""))</f>
        <v/>
      </c>
      <c r="F147" s="16">
        <f>IF($B147="","",IFERROR(INDEX(Roster!$A$2:$A$40,MATCH($B147,Roster!$A$2:$A$40,0)),IFERROR(IF(INDEX(MapTracker,MATCH($B147,MapNetSuite,0))=0,"",INDEX(MapTracker,MATCH($B147,MapNetSuite,0))),"")))</f>
        <v/>
      </c>
      <c r="G147" s="16">
        <f>IF($F147="","",IFERROR(INDEX(Roster!$B$2:$B$40,MATCH($F147,Roster!$A$2:$A$40,0)),""))</f>
        <v/>
      </c>
      <c r="H147" s="16">
        <f>IF($E147="","",IFERROR(IF(INDEX(Deals!$U$2:$U$355,MATCH($E147,Deals!$A$2:$A$355,0))=0,"",INDEX(Deals!$U$2:$U$355,MATCH($E147,Deals!$A$2:$A$355,0))),""))</f>
        <v/>
      </c>
      <c r="I147" s="18">
        <f>IF(OR($E147="",$F147=""),"",SUMIFS(Assignments!$I$2:$I$769,Assignments!$A$2:$A$769,$F147,Assignments!$C$2:$C$769,$E147))</f>
        <v/>
      </c>
      <c r="J147" s="61">
        <f>IF(OR($E147="",$F147=""),"",$D147-$I147)</f>
        <v/>
      </c>
      <c r="K147" s="20">
        <f>IF($A147="","",IF(AND($E147&lt;&gt;"",$F147&lt;&gt;""),"OK",TRIM(IF($E147="","unmatched code ","")&amp;IF($F147="","unmatched person",""))))</f>
        <v/>
      </c>
    </row>
    <row r="148">
      <c r="A148" s="31" t="n"/>
      <c r="B148" s="31" t="n"/>
      <c r="C148" s="31" t="n"/>
      <c r="D148" s="31" t="n"/>
      <c r="E148" s="16">
        <f>IF($A148="","",IF(COUNTIF(Deals!$A$2:$A$355,$A148)&gt;0,$A148,""))</f>
        <v/>
      </c>
      <c r="F148" s="16">
        <f>IF($B148="","",IFERROR(INDEX(Roster!$A$2:$A$40,MATCH($B148,Roster!$A$2:$A$40,0)),IFERROR(IF(INDEX(MapTracker,MATCH($B148,MapNetSuite,0))=0,"",INDEX(MapTracker,MATCH($B148,MapNetSuite,0))),"")))</f>
        <v/>
      </c>
      <c r="G148" s="16">
        <f>IF($F148="","",IFERROR(INDEX(Roster!$B$2:$B$40,MATCH($F148,Roster!$A$2:$A$40,0)),""))</f>
        <v/>
      </c>
      <c r="H148" s="16">
        <f>IF($E148="","",IFERROR(IF(INDEX(Deals!$U$2:$U$355,MATCH($E148,Deals!$A$2:$A$355,0))=0,"",INDEX(Deals!$U$2:$U$355,MATCH($E148,Deals!$A$2:$A$355,0))),""))</f>
        <v/>
      </c>
      <c r="I148" s="18">
        <f>IF(OR($E148="",$F148=""),"",SUMIFS(Assignments!$I$2:$I$769,Assignments!$A$2:$A$769,$F148,Assignments!$C$2:$C$769,$E148))</f>
        <v/>
      </c>
      <c r="J148" s="61">
        <f>IF(OR($E148="",$F148=""),"",$D148-$I148)</f>
        <v/>
      </c>
      <c r="K148" s="20">
        <f>IF($A148="","",IF(AND($E148&lt;&gt;"",$F148&lt;&gt;""),"OK",TRIM(IF($E148="","unmatched code ","")&amp;IF($F148="","unmatched person",""))))</f>
        <v/>
      </c>
    </row>
    <row r="149">
      <c r="A149" s="31" t="n"/>
      <c r="B149" s="31" t="n"/>
      <c r="C149" s="31" t="n"/>
      <c r="D149" s="31" t="n"/>
      <c r="E149" s="16">
        <f>IF($A149="","",IF(COUNTIF(Deals!$A$2:$A$355,$A149)&gt;0,$A149,""))</f>
        <v/>
      </c>
      <c r="F149" s="16">
        <f>IF($B149="","",IFERROR(INDEX(Roster!$A$2:$A$40,MATCH($B149,Roster!$A$2:$A$40,0)),IFERROR(IF(INDEX(MapTracker,MATCH($B149,MapNetSuite,0))=0,"",INDEX(MapTracker,MATCH($B149,MapNetSuite,0))),"")))</f>
        <v/>
      </c>
      <c r="G149" s="16">
        <f>IF($F149="","",IFERROR(INDEX(Roster!$B$2:$B$40,MATCH($F149,Roster!$A$2:$A$40,0)),""))</f>
        <v/>
      </c>
      <c r="H149" s="16">
        <f>IF($E149="","",IFERROR(IF(INDEX(Deals!$U$2:$U$355,MATCH($E149,Deals!$A$2:$A$355,0))=0,"",INDEX(Deals!$U$2:$U$355,MATCH($E149,Deals!$A$2:$A$355,0))),""))</f>
        <v/>
      </c>
      <c r="I149" s="18">
        <f>IF(OR($E149="",$F149=""),"",SUMIFS(Assignments!$I$2:$I$769,Assignments!$A$2:$A$769,$F149,Assignments!$C$2:$C$769,$E149))</f>
        <v/>
      </c>
      <c r="J149" s="61">
        <f>IF(OR($E149="",$F149=""),"",$D149-$I149)</f>
        <v/>
      </c>
      <c r="K149" s="20">
        <f>IF($A149="","",IF(AND($E149&lt;&gt;"",$F149&lt;&gt;""),"OK",TRIM(IF($E149="","unmatched code ","")&amp;IF($F149="","unmatched person",""))))</f>
        <v/>
      </c>
    </row>
    <row r="150">
      <c r="A150" s="31" t="n"/>
      <c r="B150" s="31" t="n"/>
      <c r="C150" s="31" t="n"/>
      <c r="D150" s="31" t="n"/>
      <c r="E150" s="16">
        <f>IF($A150="","",IF(COUNTIF(Deals!$A$2:$A$355,$A150)&gt;0,$A150,""))</f>
        <v/>
      </c>
      <c r="F150" s="16">
        <f>IF($B150="","",IFERROR(INDEX(Roster!$A$2:$A$40,MATCH($B150,Roster!$A$2:$A$40,0)),IFERROR(IF(INDEX(MapTracker,MATCH($B150,MapNetSuite,0))=0,"",INDEX(MapTracker,MATCH($B150,MapNetSuite,0))),"")))</f>
        <v/>
      </c>
      <c r="G150" s="16">
        <f>IF($F150="","",IFERROR(INDEX(Roster!$B$2:$B$40,MATCH($F150,Roster!$A$2:$A$40,0)),""))</f>
        <v/>
      </c>
      <c r="H150" s="16">
        <f>IF($E150="","",IFERROR(IF(INDEX(Deals!$U$2:$U$355,MATCH($E150,Deals!$A$2:$A$355,0))=0,"",INDEX(Deals!$U$2:$U$355,MATCH($E150,Deals!$A$2:$A$355,0))),""))</f>
        <v/>
      </c>
      <c r="I150" s="18">
        <f>IF(OR($E150="",$F150=""),"",SUMIFS(Assignments!$I$2:$I$769,Assignments!$A$2:$A$769,$F150,Assignments!$C$2:$C$769,$E150))</f>
        <v/>
      </c>
      <c r="J150" s="61">
        <f>IF(OR($E150="",$F150=""),"",$D150-$I150)</f>
        <v/>
      </c>
      <c r="K150" s="20">
        <f>IF($A150="","",IF(AND($E150&lt;&gt;"",$F150&lt;&gt;""),"OK",TRIM(IF($E150="","unmatched code ","")&amp;IF($F150="","unmatched person",""))))</f>
        <v/>
      </c>
    </row>
    <row r="151">
      <c r="A151" s="31" t="n"/>
      <c r="B151" s="31" t="n"/>
      <c r="C151" s="31" t="n"/>
      <c r="D151" s="31" t="n"/>
      <c r="E151" s="16">
        <f>IF($A151="","",IF(COUNTIF(Deals!$A$2:$A$355,$A151)&gt;0,$A151,""))</f>
        <v/>
      </c>
      <c r="F151" s="16">
        <f>IF($B151="","",IFERROR(INDEX(Roster!$A$2:$A$40,MATCH($B151,Roster!$A$2:$A$40,0)),IFERROR(IF(INDEX(MapTracker,MATCH($B151,MapNetSuite,0))=0,"",INDEX(MapTracker,MATCH($B151,MapNetSuite,0))),"")))</f>
        <v/>
      </c>
      <c r="G151" s="16">
        <f>IF($F151="","",IFERROR(INDEX(Roster!$B$2:$B$40,MATCH($F151,Roster!$A$2:$A$40,0)),""))</f>
        <v/>
      </c>
      <c r="H151" s="16">
        <f>IF($E151="","",IFERROR(IF(INDEX(Deals!$U$2:$U$355,MATCH($E151,Deals!$A$2:$A$355,0))=0,"",INDEX(Deals!$U$2:$U$355,MATCH($E151,Deals!$A$2:$A$355,0))),""))</f>
        <v/>
      </c>
      <c r="I151" s="18">
        <f>IF(OR($E151="",$F151=""),"",SUMIFS(Assignments!$I$2:$I$769,Assignments!$A$2:$A$769,$F151,Assignments!$C$2:$C$769,$E151))</f>
        <v/>
      </c>
      <c r="J151" s="61">
        <f>IF(OR($E151="",$F151=""),"",$D151-$I151)</f>
        <v/>
      </c>
      <c r="K151" s="20">
        <f>IF($A151="","",IF(AND($E151&lt;&gt;"",$F151&lt;&gt;""),"OK",TRIM(IF($E151="","unmatched code ","")&amp;IF($F151="","unmatched person",""))))</f>
        <v/>
      </c>
    </row>
    <row r="152">
      <c r="A152" s="31" t="n"/>
      <c r="B152" s="31" t="n"/>
      <c r="C152" s="31" t="n"/>
      <c r="D152" s="31" t="n"/>
      <c r="E152" s="16">
        <f>IF($A152="","",IF(COUNTIF(Deals!$A$2:$A$355,$A152)&gt;0,$A152,""))</f>
        <v/>
      </c>
      <c r="F152" s="16">
        <f>IF($B152="","",IFERROR(INDEX(Roster!$A$2:$A$40,MATCH($B152,Roster!$A$2:$A$40,0)),IFERROR(IF(INDEX(MapTracker,MATCH($B152,MapNetSuite,0))=0,"",INDEX(MapTracker,MATCH($B152,MapNetSuite,0))),"")))</f>
        <v/>
      </c>
      <c r="G152" s="16">
        <f>IF($F152="","",IFERROR(INDEX(Roster!$B$2:$B$40,MATCH($F152,Roster!$A$2:$A$40,0)),""))</f>
        <v/>
      </c>
      <c r="H152" s="16">
        <f>IF($E152="","",IFERROR(IF(INDEX(Deals!$U$2:$U$355,MATCH($E152,Deals!$A$2:$A$355,0))=0,"",INDEX(Deals!$U$2:$U$355,MATCH($E152,Deals!$A$2:$A$355,0))),""))</f>
        <v/>
      </c>
      <c r="I152" s="18">
        <f>IF(OR($E152="",$F152=""),"",SUMIFS(Assignments!$I$2:$I$769,Assignments!$A$2:$A$769,$F152,Assignments!$C$2:$C$769,$E152))</f>
        <v/>
      </c>
      <c r="J152" s="61">
        <f>IF(OR($E152="",$F152=""),"",$D152-$I152)</f>
        <v/>
      </c>
      <c r="K152" s="20">
        <f>IF($A152="","",IF(AND($E152&lt;&gt;"",$F152&lt;&gt;""),"OK",TRIM(IF($E152="","unmatched code ","")&amp;IF($F152="","unmatched person",""))))</f>
        <v/>
      </c>
    </row>
    <row r="153">
      <c r="A153" s="31" t="n"/>
      <c r="B153" s="31" t="n"/>
      <c r="C153" s="31" t="n"/>
      <c r="D153" s="31" t="n"/>
      <c r="E153" s="16">
        <f>IF($A153="","",IF(COUNTIF(Deals!$A$2:$A$355,$A153)&gt;0,$A153,""))</f>
        <v/>
      </c>
      <c r="F153" s="16">
        <f>IF($B153="","",IFERROR(INDEX(Roster!$A$2:$A$40,MATCH($B153,Roster!$A$2:$A$40,0)),IFERROR(IF(INDEX(MapTracker,MATCH($B153,MapNetSuite,0))=0,"",INDEX(MapTracker,MATCH($B153,MapNetSuite,0))),"")))</f>
        <v/>
      </c>
      <c r="G153" s="16">
        <f>IF($F153="","",IFERROR(INDEX(Roster!$B$2:$B$40,MATCH($F153,Roster!$A$2:$A$40,0)),""))</f>
        <v/>
      </c>
      <c r="H153" s="16">
        <f>IF($E153="","",IFERROR(IF(INDEX(Deals!$U$2:$U$355,MATCH($E153,Deals!$A$2:$A$355,0))=0,"",INDEX(Deals!$U$2:$U$355,MATCH($E153,Deals!$A$2:$A$355,0))),""))</f>
        <v/>
      </c>
      <c r="I153" s="18">
        <f>IF(OR($E153="",$F153=""),"",SUMIFS(Assignments!$I$2:$I$769,Assignments!$A$2:$A$769,$F153,Assignments!$C$2:$C$769,$E153))</f>
        <v/>
      </c>
      <c r="J153" s="61">
        <f>IF(OR($E153="",$F153=""),"",$D153-$I153)</f>
        <v/>
      </c>
      <c r="K153" s="20">
        <f>IF($A153="","",IF(AND($E153&lt;&gt;"",$F153&lt;&gt;""),"OK",TRIM(IF($E153="","unmatched code ","")&amp;IF($F153="","unmatched person",""))))</f>
        <v/>
      </c>
    </row>
    <row r="154">
      <c r="A154" s="31" t="n"/>
      <c r="B154" s="31" t="n"/>
      <c r="C154" s="31" t="n"/>
      <c r="D154" s="31" t="n"/>
      <c r="E154" s="16">
        <f>IF($A154="","",IF(COUNTIF(Deals!$A$2:$A$355,$A154)&gt;0,$A154,""))</f>
        <v/>
      </c>
      <c r="F154" s="16">
        <f>IF($B154="","",IFERROR(INDEX(Roster!$A$2:$A$40,MATCH($B154,Roster!$A$2:$A$40,0)),IFERROR(IF(INDEX(MapTracker,MATCH($B154,MapNetSuite,0))=0,"",INDEX(MapTracker,MATCH($B154,MapNetSuite,0))),"")))</f>
        <v/>
      </c>
      <c r="G154" s="16">
        <f>IF($F154="","",IFERROR(INDEX(Roster!$B$2:$B$40,MATCH($F154,Roster!$A$2:$A$40,0)),""))</f>
        <v/>
      </c>
      <c r="H154" s="16">
        <f>IF($E154="","",IFERROR(IF(INDEX(Deals!$U$2:$U$355,MATCH($E154,Deals!$A$2:$A$355,0))=0,"",INDEX(Deals!$U$2:$U$355,MATCH($E154,Deals!$A$2:$A$355,0))),""))</f>
        <v/>
      </c>
      <c r="I154" s="18">
        <f>IF(OR($E154="",$F154=""),"",SUMIFS(Assignments!$I$2:$I$769,Assignments!$A$2:$A$769,$F154,Assignments!$C$2:$C$769,$E154))</f>
        <v/>
      </c>
      <c r="J154" s="61">
        <f>IF(OR($E154="",$F154=""),"",$D154-$I154)</f>
        <v/>
      </c>
      <c r="K154" s="20">
        <f>IF($A154="","",IF(AND($E154&lt;&gt;"",$F154&lt;&gt;""),"OK",TRIM(IF($E154="","unmatched code ","")&amp;IF($F154="","unmatched person",""))))</f>
        <v/>
      </c>
    </row>
    <row r="155">
      <c r="A155" s="31" t="n"/>
      <c r="B155" s="31" t="n"/>
      <c r="C155" s="31" t="n"/>
      <c r="D155" s="31" t="n"/>
      <c r="E155" s="16">
        <f>IF($A155="","",IF(COUNTIF(Deals!$A$2:$A$355,$A155)&gt;0,$A155,""))</f>
        <v/>
      </c>
      <c r="F155" s="16">
        <f>IF($B155="","",IFERROR(INDEX(Roster!$A$2:$A$40,MATCH($B155,Roster!$A$2:$A$40,0)),IFERROR(IF(INDEX(MapTracker,MATCH($B155,MapNetSuite,0))=0,"",INDEX(MapTracker,MATCH($B155,MapNetSuite,0))),"")))</f>
        <v/>
      </c>
      <c r="G155" s="16">
        <f>IF($F155="","",IFERROR(INDEX(Roster!$B$2:$B$40,MATCH($F155,Roster!$A$2:$A$40,0)),""))</f>
        <v/>
      </c>
      <c r="H155" s="16">
        <f>IF($E155="","",IFERROR(IF(INDEX(Deals!$U$2:$U$355,MATCH($E155,Deals!$A$2:$A$355,0))=0,"",INDEX(Deals!$U$2:$U$355,MATCH($E155,Deals!$A$2:$A$355,0))),""))</f>
        <v/>
      </c>
      <c r="I155" s="18">
        <f>IF(OR($E155="",$F155=""),"",SUMIFS(Assignments!$I$2:$I$769,Assignments!$A$2:$A$769,$F155,Assignments!$C$2:$C$769,$E155))</f>
        <v/>
      </c>
      <c r="J155" s="61">
        <f>IF(OR($E155="",$F155=""),"",$D155-$I155)</f>
        <v/>
      </c>
      <c r="K155" s="20">
        <f>IF($A155="","",IF(AND($E155&lt;&gt;"",$F155&lt;&gt;""),"OK",TRIM(IF($E155="","unmatched code ","")&amp;IF($F155="","unmatched person",""))))</f>
        <v/>
      </c>
    </row>
    <row r="156">
      <c r="A156" s="31" t="n"/>
      <c r="B156" s="31" t="n"/>
      <c r="C156" s="31" t="n"/>
      <c r="D156" s="31" t="n"/>
      <c r="E156" s="16">
        <f>IF($A156="","",IF(COUNTIF(Deals!$A$2:$A$355,$A156)&gt;0,$A156,""))</f>
        <v/>
      </c>
      <c r="F156" s="16">
        <f>IF($B156="","",IFERROR(INDEX(Roster!$A$2:$A$40,MATCH($B156,Roster!$A$2:$A$40,0)),IFERROR(IF(INDEX(MapTracker,MATCH($B156,MapNetSuite,0))=0,"",INDEX(MapTracker,MATCH($B156,MapNetSuite,0))),"")))</f>
        <v/>
      </c>
      <c r="G156" s="16">
        <f>IF($F156="","",IFERROR(INDEX(Roster!$B$2:$B$40,MATCH($F156,Roster!$A$2:$A$40,0)),""))</f>
        <v/>
      </c>
      <c r="H156" s="16">
        <f>IF($E156="","",IFERROR(IF(INDEX(Deals!$U$2:$U$355,MATCH($E156,Deals!$A$2:$A$355,0))=0,"",INDEX(Deals!$U$2:$U$355,MATCH($E156,Deals!$A$2:$A$355,0))),""))</f>
        <v/>
      </c>
      <c r="I156" s="18">
        <f>IF(OR($E156="",$F156=""),"",SUMIFS(Assignments!$I$2:$I$769,Assignments!$A$2:$A$769,$F156,Assignments!$C$2:$C$769,$E156))</f>
        <v/>
      </c>
      <c r="J156" s="61">
        <f>IF(OR($E156="",$F156=""),"",$D156-$I156)</f>
        <v/>
      </c>
      <c r="K156" s="20">
        <f>IF($A156="","",IF(AND($E156&lt;&gt;"",$F156&lt;&gt;""),"OK",TRIM(IF($E156="","unmatched code ","")&amp;IF($F156="","unmatched person",""))))</f>
        <v/>
      </c>
    </row>
    <row r="157">
      <c r="A157" s="31" t="n"/>
      <c r="B157" s="31" t="n"/>
      <c r="C157" s="31" t="n"/>
      <c r="D157" s="31" t="n"/>
      <c r="E157" s="16">
        <f>IF($A157="","",IF(COUNTIF(Deals!$A$2:$A$355,$A157)&gt;0,$A157,""))</f>
        <v/>
      </c>
      <c r="F157" s="16">
        <f>IF($B157="","",IFERROR(INDEX(Roster!$A$2:$A$40,MATCH($B157,Roster!$A$2:$A$40,0)),IFERROR(IF(INDEX(MapTracker,MATCH($B157,MapNetSuite,0))=0,"",INDEX(MapTracker,MATCH($B157,MapNetSuite,0))),"")))</f>
        <v/>
      </c>
      <c r="G157" s="16">
        <f>IF($F157="","",IFERROR(INDEX(Roster!$B$2:$B$40,MATCH($F157,Roster!$A$2:$A$40,0)),""))</f>
        <v/>
      </c>
      <c r="H157" s="16">
        <f>IF($E157="","",IFERROR(IF(INDEX(Deals!$U$2:$U$355,MATCH($E157,Deals!$A$2:$A$355,0))=0,"",INDEX(Deals!$U$2:$U$355,MATCH($E157,Deals!$A$2:$A$355,0))),""))</f>
        <v/>
      </c>
      <c r="I157" s="18">
        <f>IF(OR($E157="",$F157=""),"",SUMIFS(Assignments!$I$2:$I$769,Assignments!$A$2:$A$769,$F157,Assignments!$C$2:$C$769,$E157))</f>
        <v/>
      </c>
      <c r="J157" s="61">
        <f>IF(OR($E157="",$F157=""),"",$D157-$I157)</f>
        <v/>
      </c>
      <c r="K157" s="20">
        <f>IF($A157="","",IF(AND($E157&lt;&gt;"",$F157&lt;&gt;""),"OK",TRIM(IF($E157="","unmatched code ","")&amp;IF($F157="","unmatched person",""))))</f>
        <v/>
      </c>
    </row>
    <row r="158">
      <c r="A158" s="31" t="n"/>
      <c r="B158" s="31" t="n"/>
      <c r="C158" s="31" t="n"/>
      <c r="D158" s="31" t="n"/>
      <c r="E158" s="16">
        <f>IF($A158="","",IF(COUNTIF(Deals!$A$2:$A$355,$A158)&gt;0,$A158,""))</f>
        <v/>
      </c>
      <c r="F158" s="16">
        <f>IF($B158="","",IFERROR(INDEX(Roster!$A$2:$A$40,MATCH($B158,Roster!$A$2:$A$40,0)),IFERROR(IF(INDEX(MapTracker,MATCH($B158,MapNetSuite,0))=0,"",INDEX(MapTracker,MATCH($B158,MapNetSuite,0))),"")))</f>
        <v/>
      </c>
      <c r="G158" s="16">
        <f>IF($F158="","",IFERROR(INDEX(Roster!$B$2:$B$40,MATCH($F158,Roster!$A$2:$A$40,0)),""))</f>
        <v/>
      </c>
      <c r="H158" s="16">
        <f>IF($E158="","",IFERROR(IF(INDEX(Deals!$U$2:$U$355,MATCH($E158,Deals!$A$2:$A$355,0))=0,"",INDEX(Deals!$U$2:$U$355,MATCH($E158,Deals!$A$2:$A$355,0))),""))</f>
        <v/>
      </c>
      <c r="I158" s="18">
        <f>IF(OR($E158="",$F158=""),"",SUMIFS(Assignments!$I$2:$I$769,Assignments!$A$2:$A$769,$F158,Assignments!$C$2:$C$769,$E158))</f>
        <v/>
      </c>
      <c r="J158" s="61">
        <f>IF(OR($E158="",$F158=""),"",$D158-$I158)</f>
        <v/>
      </c>
      <c r="K158" s="20">
        <f>IF($A158="","",IF(AND($E158&lt;&gt;"",$F158&lt;&gt;""),"OK",TRIM(IF($E158="","unmatched code ","")&amp;IF($F158="","unmatched person",""))))</f>
        <v/>
      </c>
    </row>
    <row r="159">
      <c r="A159" s="31" t="n"/>
      <c r="B159" s="31" t="n"/>
      <c r="C159" s="31" t="n"/>
      <c r="D159" s="31" t="n"/>
      <c r="E159" s="16">
        <f>IF($A159="","",IF(COUNTIF(Deals!$A$2:$A$355,$A159)&gt;0,$A159,""))</f>
        <v/>
      </c>
      <c r="F159" s="16">
        <f>IF($B159="","",IFERROR(INDEX(Roster!$A$2:$A$40,MATCH($B159,Roster!$A$2:$A$40,0)),IFERROR(IF(INDEX(MapTracker,MATCH($B159,MapNetSuite,0))=0,"",INDEX(MapTracker,MATCH($B159,MapNetSuite,0))),"")))</f>
        <v/>
      </c>
      <c r="G159" s="16">
        <f>IF($F159="","",IFERROR(INDEX(Roster!$B$2:$B$40,MATCH($F159,Roster!$A$2:$A$40,0)),""))</f>
        <v/>
      </c>
      <c r="H159" s="16">
        <f>IF($E159="","",IFERROR(IF(INDEX(Deals!$U$2:$U$355,MATCH($E159,Deals!$A$2:$A$355,0))=0,"",INDEX(Deals!$U$2:$U$355,MATCH($E159,Deals!$A$2:$A$355,0))),""))</f>
        <v/>
      </c>
      <c r="I159" s="18">
        <f>IF(OR($E159="",$F159=""),"",SUMIFS(Assignments!$I$2:$I$769,Assignments!$A$2:$A$769,$F159,Assignments!$C$2:$C$769,$E159))</f>
        <v/>
      </c>
      <c r="J159" s="61">
        <f>IF(OR($E159="",$F159=""),"",$D159-$I159)</f>
        <v/>
      </c>
      <c r="K159" s="20">
        <f>IF($A159="","",IF(AND($E159&lt;&gt;"",$F159&lt;&gt;""),"OK",TRIM(IF($E159="","unmatched code ","")&amp;IF($F159="","unmatched person",""))))</f>
        <v/>
      </c>
    </row>
    <row r="160">
      <c r="A160" s="31" t="n"/>
      <c r="B160" s="31" t="n"/>
      <c r="C160" s="31" t="n"/>
      <c r="D160" s="31" t="n"/>
      <c r="E160" s="16">
        <f>IF($A160="","",IF(COUNTIF(Deals!$A$2:$A$355,$A160)&gt;0,$A160,""))</f>
        <v/>
      </c>
      <c r="F160" s="16">
        <f>IF($B160="","",IFERROR(INDEX(Roster!$A$2:$A$40,MATCH($B160,Roster!$A$2:$A$40,0)),IFERROR(IF(INDEX(MapTracker,MATCH($B160,MapNetSuite,0))=0,"",INDEX(MapTracker,MATCH($B160,MapNetSuite,0))),"")))</f>
        <v/>
      </c>
      <c r="G160" s="16">
        <f>IF($F160="","",IFERROR(INDEX(Roster!$B$2:$B$40,MATCH($F160,Roster!$A$2:$A$40,0)),""))</f>
        <v/>
      </c>
      <c r="H160" s="16">
        <f>IF($E160="","",IFERROR(IF(INDEX(Deals!$U$2:$U$355,MATCH($E160,Deals!$A$2:$A$355,0))=0,"",INDEX(Deals!$U$2:$U$355,MATCH($E160,Deals!$A$2:$A$355,0))),""))</f>
        <v/>
      </c>
      <c r="I160" s="18">
        <f>IF(OR($E160="",$F160=""),"",SUMIFS(Assignments!$I$2:$I$769,Assignments!$A$2:$A$769,$F160,Assignments!$C$2:$C$769,$E160))</f>
        <v/>
      </c>
      <c r="J160" s="61">
        <f>IF(OR($E160="",$F160=""),"",$D160-$I160)</f>
        <v/>
      </c>
      <c r="K160" s="20">
        <f>IF($A160="","",IF(AND($E160&lt;&gt;"",$F160&lt;&gt;""),"OK",TRIM(IF($E160="","unmatched code ","")&amp;IF($F160="","unmatched person",""))))</f>
        <v/>
      </c>
    </row>
    <row r="161">
      <c r="A161" s="31" t="n"/>
      <c r="B161" s="31" t="n"/>
      <c r="C161" s="31" t="n"/>
      <c r="D161" s="31" t="n"/>
      <c r="E161" s="16">
        <f>IF($A161="","",IF(COUNTIF(Deals!$A$2:$A$355,$A161)&gt;0,$A161,""))</f>
        <v/>
      </c>
      <c r="F161" s="16">
        <f>IF($B161="","",IFERROR(INDEX(Roster!$A$2:$A$40,MATCH($B161,Roster!$A$2:$A$40,0)),IFERROR(IF(INDEX(MapTracker,MATCH($B161,MapNetSuite,0))=0,"",INDEX(MapTracker,MATCH($B161,MapNetSuite,0))),"")))</f>
        <v/>
      </c>
      <c r="G161" s="16">
        <f>IF($F161="","",IFERROR(INDEX(Roster!$B$2:$B$40,MATCH($F161,Roster!$A$2:$A$40,0)),""))</f>
        <v/>
      </c>
      <c r="H161" s="16">
        <f>IF($E161="","",IFERROR(IF(INDEX(Deals!$U$2:$U$355,MATCH($E161,Deals!$A$2:$A$355,0))=0,"",INDEX(Deals!$U$2:$U$355,MATCH($E161,Deals!$A$2:$A$355,0))),""))</f>
        <v/>
      </c>
      <c r="I161" s="18">
        <f>IF(OR($E161="",$F161=""),"",SUMIFS(Assignments!$I$2:$I$769,Assignments!$A$2:$A$769,$F161,Assignments!$C$2:$C$769,$E161))</f>
        <v/>
      </c>
      <c r="J161" s="61">
        <f>IF(OR($E161="",$F161=""),"",$D161-$I161)</f>
        <v/>
      </c>
      <c r="K161" s="20">
        <f>IF($A161="","",IF(AND($E161&lt;&gt;"",$F161&lt;&gt;""),"OK",TRIM(IF($E161="","unmatched code ","")&amp;IF($F161="","unmatched person",""))))</f>
        <v/>
      </c>
    </row>
    <row r="162">
      <c r="A162" s="31" t="n"/>
      <c r="B162" s="31" t="n"/>
      <c r="C162" s="31" t="n"/>
      <c r="D162" s="31" t="n"/>
      <c r="E162" s="16">
        <f>IF($A162="","",IF(COUNTIF(Deals!$A$2:$A$355,$A162)&gt;0,$A162,""))</f>
        <v/>
      </c>
      <c r="F162" s="16">
        <f>IF($B162="","",IFERROR(INDEX(Roster!$A$2:$A$40,MATCH($B162,Roster!$A$2:$A$40,0)),IFERROR(IF(INDEX(MapTracker,MATCH($B162,MapNetSuite,0))=0,"",INDEX(MapTracker,MATCH($B162,MapNetSuite,0))),"")))</f>
        <v/>
      </c>
      <c r="G162" s="16">
        <f>IF($F162="","",IFERROR(INDEX(Roster!$B$2:$B$40,MATCH($F162,Roster!$A$2:$A$40,0)),""))</f>
        <v/>
      </c>
      <c r="H162" s="16">
        <f>IF($E162="","",IFERROR(IF(INDEX(Deals!$U$2:$U$355,MATCH($E162,Deals!$A$2:$A$355,0))=0,"",INDEX(Deals!$U$2:$U$355,MATCH($E162,Deals!$A$2:$A$355,0))),""))</f>
        <v/>
      </c>
      <c r="I162" s="18">
        <f>IF(OR($E162="",$F162=""),"",SUMIFS(Assignments!$I$2:$I$769,Assignments!$A$2:$A$769,$F162,Assignments!$C$2:$C$769,$E162))</f>
        <v/>
      </c>
      <c r="J162" s="61">
        <f>IF(OR($E162="",$F162=""),"",$D162-$I162)</f>
        <v/>
      </c>
      <c r="K162" s="20">
        <f>IF($A162="","",IF(AND($E162&lt;&gt;"",$F162&lt;&gt;""),"OK",TRIM(IF($E162="","unmatched code ","")&amp;IF($F162="","unmatched person",""))))</f>
        <v/>
      </c>
    </row>
    <row r="163">
      <c r="A163" s="31" t="n"/>
      <c r="B163" s="31" t="n"/>
      <c r="C163" s="31" t="n"/>
      <c r="D163" s="31" t="n"/>
      <c r="E163" s="16">
        <f>IF($A163="","",IF(COUNTIF(Deals!$A$2:$A$355,$A163)&gt;0,$A163,""))</f>
        <v/>
      </c>
      <c r="F163" s="16">
        <f>IF($B163="","",IFERROR(INDEX(Roster!$A$2:$A$40,MATCH($B163,Roster!$A$2:$A$40,0)),IFERROR(IF(INDEX(MapTracker,MATCH($B163,MapNetSuite,0))=0,"",INDEX(MapTracker,MATCH($B163,MapNetSuite,0))),"")))</f>
        <v/>
      </c>
      <c r="G163" s="16">
        <f>IF($F163="","",IFERROR(INDEX(Roster!$B$2:$B$40,MATCH($F163,Roster!$A$2:$A$40,0)),""))</f>
        <v/>
      </c>
      <c r="H163" s="16">
        <f>IF($E163="","",IFERROR(IF(INDEX(Deals!$U$2:$U$355,MATCH($E163,Deals!$A$2:$A$355,0))=0,"",INDEX(Deals!$U$2:$U$355,MATCH($E163,Deals!$A$2:$A$355,0))),""))</f>
        <v/>
      </c>
      <c r="I163" s="18">
        <f>IF(OR($E163="",$F163=""),"",SUMIFS(Assignments!$I$2:$I$769,Assignments!$A$2:$A$769,$F163,Assignments!$C$2:$C$769,$E163))</f>
        <v/>
      </c>
      <c r="J163" s="61">
        <f>IF(OR($E163="",$F163=""),"",$D163-$I163)</f>
        <v/>
      </c>
      <c r="K163" s="20">
        <f>IF($A163="","",IF(AND($E163&lt;&gt;"",$F163&lt;&gt;""),"OK",TRIM(IF($E163="","unmatched code ","")&amp;IF($F163="","unmatched person",""))))</f>
        <v/>
      </c>
    </row>
    <row r="164">
      <c r="A164" s="31" t="n"/>
      <c r="B164" s="31" t="n"/>
      <c r="C164" s="31" t="n"/>
      <c r="D164" s="31" t="n"/>
      <c r="E164" s="16">
        <f>IF($A164="","",IF(COUNTIF(Deals!$A$2:$A$355,$A164)&gt;0,$A164,""))</f>
        <v/>
      </c>
      <c r="F164" s="16">
        <f>IF($B164="","",IFERROR(INDEX(Roster!$A$2:$A$40,MATCH($B164,Roster!$A$2:$A$40,0)),IFERROR(IF(INDEX(MapTracker,MATCH($B164,MapNetSuite,0))=0,"",INDEX(MapTracker,MATCH($B164,MapNetSuite,0))),"")))</f>
        <v/>
      </c>
      <c r="G164" s="16">
        <f>IF($F164="","",IFERROR(INDEX(Roster!$B$2:$B$40,MATCH($F164,Roster!$A$2:$A$40,0)),""))</f>
        <v/>
      </c>
      <c r="H164" s="16">
        <f>IF($E164="","",IFERROR(IF(INDEX(Deals!$U$2:$U$355,MATCH($E164,Deals!$A$2:$A$355,0))=0,"",INDEX(Deals!$U$2:$U$355,MATCH($E164,Deals!$A$2:$A$355,0))),""))</f>
        <v/>
      </c>
      <c r="I164" s="18">
        <f>IF(OR($E164="",$F164=""),"",SUMIFS(Assignments!$I$2:$I$769,Assignments!$A$2:$A$769,$F164,Assignments!$C$2:$C$769,$E164))</f>
        <v/>
      </c>
      <c r="J164" s="61">
        <f>IF(OR($E164="",$F164=""),"",$D164-$I164)</f>
        <v/>
      </c>
      <c r="K164" s="20">
        <f>IF($A164="","",IF(AND($E164&lt;&gt;"",$F164&lt;&gt;""),"OK",TRIM(IF($E164="","unmatched code ","")&amp;IF($F164="","unmatched person",""))))</f>
        <v/>
      </c>
    </row>
    <row r="165">
      <c r="A165" s="31" t="n"/>
      <c r="B165" s="31" t="n"/>
      <c r="C165" s="31" t="n"/>
      <c r="D165" s="31" t="n"/>
      <c r="E165" s="16">
        <f>IF($A165="","",IF(COUNTIF(Deals!$A$2:$A$355,$A165)&gt;0,$A165,""))</f>
        <v/>
      </c>
      <c r="F165" s="16">
        <f>IF($B165="","",IFERROR(INDEX(Roster!$A$2:$A$40,MATCH($B165,Roster!$A$2:$A$40,0)),IFERROR(IF(INDEX(MapTracker,MATCH($B165,MapNetSuite,0))=0,"",INDEX(MapTracker,MATCH($B165,MapNetSuite,0))),"")))</f>
        <v/>
      </c>
      <c r="G165" s="16">
        <f>IF($F165="","",IFERROR(INDEX(Roster!$B$2:$B$40,MATCH($F165,Roster!$A$2:$A$40,0)),""))</f>
        <v/>
      </c>
      <c r="H165" s="16">
        <f>IF($E165="","",IFERROR(IF(INDEX(Deals!$U$2:$U$355,MATCH($E165,Deals!$A$2:$A$355,0))=0,"",INDEX(Deals!$U$2:$U$355,MATCH($E165,Deals!$A$2:$A$355,0))),""))</f>
        <v/>
      </c>
      <c r="I165" s="18">
        <f>IF(OR($E165="",$F165=""),"",SUMIFS(Assignments!$I$2:$I$769,Assignments!$A$2:$A$769,$F165,Assignments!$C$2:$C$769,$E165))</f>
        <v/>
      </c>
      <c r="J165" s="61">
        <f>IF(OR($E165="",$F165=""),"",$D165-$I165)</f>
        <v/>
      </c>
      <c r="K165" s="20">
        <f>IF($A165="","",IF(AND($E165&lt;&gt;"",$F165&lt;&gt;""),"OK",TRIM(IF($E165="","unmatched code ","")&amp;IF($F165="","unmatched person",""))))</f>
        <v/>
      </c>
    </row>
    <row r="166">
      <c r="A166" s="31" t="n"/>
      <c r="B166" s="31" t="n"/>
      <c r="C166" s="31" t="n"/>
      <c r="D166" s="31" t="n"/>
      <c r="E166" s="16">
        <f>IF($A166="","",IF(COUNTIF(Deals!$A$2:$A$355,$A166)&gt;0,$A166,""))</f>
        <v/>
      </c>
      <c r="F166" s="16">
        <f>IF($B166="","",IFERROR(INDEX(Roster!$A$2:$A$40,MATCH($B166,Roster!$A$2:$A$40,0)),IFERROR(IF(INDEX(MapTracker,MATCH($B166,MapNetSuite,0))=0,"",INDEX(MapTracker,MATCH($B166,MapNetSuite,0))),"")))</f>
        <v/>
      </c>
      <c r="G166" s="16">
        <f>IF($F166="","",IFERROR(INDEX(Roster!$B$2:$B$40,MATCH($F166,Roster!$A$2:$A$40,0)),""))</f>
        <v/>
      </c>
      <c r="H166" s="16">
        <f>IF($E166="","",IFERROR(IF(INDEX(Deals!$U$2:$U$355,MATCH($E166,Deals!$A$2:$A$355,0))=0,"",INDEX(Deals!$U$2:$U$355,MATCH($E166,Deals!$A$2:$A$355,0))),""))</f>
        <v/>
      </c>
      <c r="I166" s="18">
        <f>IF(OR($E166="",$F166=""),"",SUMIFS(Assignments!$I$2:$I$769,Assignments!$A$2:$A$769,$F166,Assignments!$C$2:$C$769,$E166))</f>
        <v/>
      </c>
      <c r="J166" s="61">
        <f>IF(OR($E166="",$F166=""),"",$D166-$I166)</f>
        <v/>
      </c>
      <c r="K166" s="20">
        <f>IF($A166="","",IF(AND($E166&lt;&gt;"",$F166&lt;&gt;""),"OK",TRIM(IF($E166="","unmatched code ","")&amp;IF($F166="","unmatched person",""))))</f>
        <v/>
      </c>
    </row>
    <row r="167">
      <c r="A167" s="31" t="n"/>
      <c r="B167" s="31" t="n"/>
      <c r="C167" s="31" t="n"/>
      <c r="D167" s="31" t="n"/>
      <c r="E167" s="16">
        <f>IF($A167="","",IF(COUNTIF(Deals!$A$2:$A$355,$A167)&gt;0,$A167,""))</f>
        <v/>
      </c>
      <c r="F167" s="16">
        <f>IF($B167="","",IFERROR(INDEX(Roster!$A$2:$A$40,MATCH($B167,Roster!$A$2:$A$40,0)),IFERROR(IF(INDEX(MapTracker,MATCH($B167,MapNetSuite,0))=0,"",INDEX(MapTracker,MATCH($B167,MapNetSuite,0))),"")))</f>
        <v/>
      </c>
      <c r="G167" s="16">
        <f>IF($F167="","",IFERROR(INDEX(Roster!$B$2:$B$40,MATCH($F167,Roster!$A$2:$A$40,0)),""))</f>
        <v/>
      </c>
      <c r="H167" s="16">
        <f>IF($E167="","",IFERROR(IF(INDEX(Deals!$U$2:$U$355,MATCH($E167,Deals!$A$2:$A$355,0))=0,"",INDEX(Deals!$U$2:$U$355,MATCH($E167,Deals!$A$2:$A$355,0))),""))</f>
        <v/>
      </c>
      <c r="I167" s="18">
        <f>IF(OR($E167="",$F167=""),"",SUMIFS(Assignments!$I$2:$I$769,Assignments!$A$2:$A$769,$F167,Assignments!$C$2:$C$769,$E167))</f>
        <v/>
      </c>
      <c r="J167" s="61">
        <f>IF(OR($E167="",$F167=""),"",$D167-$I167)</f>
        <v/>
      </c>
      <c r="K167" s="20">
        <f>IF($A167="","",IF(AND($E167&lt;&gt;"",$F167&lt;&gt;""),"OK",TRIM(IF($E167="","unmatched code ","")&amp;IF($F167="","unmatched person",""))))</f>
        <v/>
      </c>
    </row>
    <row r="168">
      <c r="A168" s="31" t="n"/>
      <c r="B168" s="31" t="n"/>
      <c r="C168" s="31" t="n"/>
      <c r="D168" s="31" t="n"/>
      <c r="E168" s="16">
        <f>IF($A168="","",IF(COUNTIF(Deals!$A$2:$A$355,$A168)&gt;0,$A168,""))</f>
        <v/>
      </c>
      <c r="F168" s="16">
        <f>IF($B168="","",IFERROR(INDEX(Roster!$A$2:$A$40,MATCH($B168,Roster!$A$2:$A$40,0)),IFERROR(IF(INDEX(MapTracker,MATCH($B168,MapNetSuite,0))=0,"",INDEX(MapTracker,MATCH($B168,MapNetSuite,0))),"")))</f>
        <v/>
      </c>
      <c r="G168" s="16">
        <f>IF($F168="","",IFERROR(INDEX(Roster!$B$2:$B$40,MATCH($F168,Roster!$A$2:$A$40,0)),""))</f>
        <v/>
      </c>
      <c r="H168" s="16">
        <f>IF($E168="","",IFERROR(IF(INDEX(Deals!$U$2:$U$355,MATCH($E168,Deals!$A$2:$A$355,0))=0,"",INDEX(Deals!$U$2:$U$355,MATCH($E168,Deals!$A$2:$A$355,0))),""))</f>
        <v/>
      </c>
      <c r="I168" s="18">
        <f>IF(OR($E168="",$F168=""),"",SUMIFS(Assignments!$I$2:$I$769,Assignments!$A$2:$A$769,$F168,Assignments!$C$2:$C$769,$E168))</f>
        <v/>
      </c>
      <c r="J168" s="61">
        <f>IF(OR($E168="",$F168=""),"",$D168-$I168)</f>
        <v/>
      </c>
      <c r="K168" s="20">
        <f>IF($A168="","",IF(AND($E168&lt;&gt;"",$F168&lt;&gt;""),"OK",TRIM(IF($E168="","unmatched code ","")&amp;IF($F168="","unmatched person",""))))</f>
        <v/>
      </c>
    </row>
    <row r="169">
      <c r="A169" s="31" t="n"/>
      <c r="B169" s="31" t="n"/>
      <c r="C169" s="31" t="n"/>
      <c r="D169" s="31" t="n"/>
      <c r="E169" s="16">
        <f>IF($A169="","",IF(COUNTIF(Deals!$A$2:$A$355,$A169)&gt;0,$A169,""))</f>
        <v/>
      </c>
      <c r="F169" s="16">
        <f>IF($B169="","",IFERROR(INDEX(Roster!$A$2:$A$40,MATCH($B169,Roster!$A$2:$A$40,0)),IFERROR(IF(INDEX(MapTracker,MATCH($B169,MapNetSuite,0))=0,"",INDEX(MapTracker,MATCH($B169,MapNetSuite,0))),"")))</f>
        <v/>
      </c>
      <c r="G169" s="16">
        <f>IF($F169="","",IFERROR(INDEX(Roster!$B$2:$B$40,MATCH($F169,Roster!$A$2:$A$40,0)),""))</f>
        <v/>
      </c>
      <c r="H169" s="16">
        <f>IF($E169="","",IFERROR(IF(INDEX(Deals!$U$2:$U$355,MATCH($E169,Deals!$A$2:$A$355,0))=0,"",INDEX(Deals!$U$2:$U$355,MATCH($E169,Deals!$A$2:$A$355,0))),""))</f>
        <v/>
      </c>
      <c r="I169" s="18">
        <f>IF(OR($E169="",$F169=""),"",SUMIFS(Assignments!$I$2:$I$769,Assignments!$A$2:$A$769,$F169,Assignments!$C$2:$C$769,$E169))</f>
        <v/>
      </c>
      <c r="J169" s="61">
        <f>IF(OR($E169="",$F169=""),"",$D169-$I169)</f>
        <v/>
      </c>
      <c r="K169" s="20">
        <f>IF($A169="","",IF(AND($E169&lt;&gt;"",$F169&lt;&gt;""),"OK",TRIM(IF($E169="","unmatched code ","")&amp;IF($F169="","unmatched person",""))))</f>
        <v/>
      </c>
    </row>
    <row r="170">
      <c r="A170" s="31" t="n"/>
      <c r="B170" s="31" t="n"/>
      <c r="C170" s="31" t="n"/>
      <c r="D170" s="31" t="n"/>
      <c r="E170" s="16">
        <f>IF($A170="","",IF(COUNTIF(Deals!$A$2:$A$355,$A170)&gt;0,$A170,""))</f>
        <v/>
      </c>
      <c r="F170" s="16">
        <f>IF($B170="","",IFERROR(INDEX(Roster!$A$2:$A$40,MATCH($B170,Roster!$A$2:$A$40,0)),IFERROR(IF(INDEX(MapTracker,MATCH($B170,MapNetSuite,0))=0,"",INDEX(MapTracker,MATCH($B170,MapNetSuite,0))),"")))</f>
        <v/>
      </c>
      <c r="G170" s="16">
        <f>IF($F170="","",IFERROR(INDEX(Roster!$B$2:$B$40,MATCH($F170,Roster!$A$2:$A$40,0)),""))</f>
        <v/>
      </c>
      <c r="H170" s="16">
        <f>IF($E170="","",IFERROR(IF(INDEX(Deals!$U$2:$U$355,MATCH($E170,Deals!$A$2:$A$355,0))=0,"",INDEX(Deals!$U$2:$U$355,MATCH($E170,Deals!$A$2:$A$355,0))),""))</f>
        <v/>
      </c>
      <c r="I170" s="18">
        <f>IF(OR($E170="",$F170=""),"",SUMIFS(Assignments!$I$2:$I$769,Assignments!$A$2:$A$769,$F170,Assignments!$C$2:$C$769,$E170))</f>
        <v/>
      </c>
      <c r="J170" s="61">
        <f>IF(OR($E170="",$F170=""),"",$D170-$I170)</f>
        <v/>
      </c>
      <c r="K170" s="20">
        <f>IF($A170="","",IF(AND($E170&lt;&gt;"",$F170&lt;&gt;""),"OK",TRIM(IF($E170="","unmatched code ","")&amp;IF($F170="","unmatched person",""))))</f>
        <v/>
      </c>
    </row>
    <row r="171">
      <c r="A171" s="31" t="n"/>
      <c r="B171" s="31" t="n"/>
      <c r="C171" s="31" t="n"/>
      <c r="D171" s="31" t="n"/>
      <c r="E171" s="16">
        <f>IF($A171="","",IF(COUNTIF(Deals!$A$2:$A$355,$A171)&gt;0,$A171,""))</f>
        <v/>
      </c>
      <c r="F171" s="16">
        <f>IF($B171="","",IFERROR(INDEX(Roster!$A$2:$A$40,MATCH($B171,Roster!$A$2:$A$40,0)),IFERROR(IF(INDEX(MapTracker,MATCH($B171,MapNetSuite,0))=0,"",INDEX(MapTracker,MATCH($B171,MapNetSuite,0))),"")))</f>
        <v/>
      </c>
      <c r="G171" s="16">
        <f>IF($F171="","",IFERROR(INDEX(Roster!$B$2:$B$40,MATCH($F171,Roster!$A$2:$A$40,0)),""))</f>
        <v/>
      </c>
      <c r="H171" s="16">
        <f>IF($E171="","",IFERROR(IF(INDEX(Deals!$U$2:$U$355,MATCH($E171,Deals!$A$2:$A$355,0))=0,"",INDEX(Deals!$U$2:$U$355,MATCH($E171,Deals!$A$2:$A$355,0))),""))</f>
        <v/>
      </c>
      <c r="I171" s="18">
        <f>IF(OR($E171="",$F171=""),"",SUMIFS(Assignments!$I$2:$I$769,Assignments!$A$2:$A$769,$F171,Assignments!$C$2:$C$769,$E171))</f>
        <v/>
      </c>
      <c r="J171" s="61">
        <f>IF(OR($E171="",$F171=""),"",$D171-$I171)</f>
        <v/>
      </c>
      <c r="K171" s="20">
        <f>IF($A171="","",IF(AND($E171&lt;&gt;"",$F171&lt;&gt;""),"OK",TRIM(IF($E171="","unmatched code ","")&amp;IF($F171="","unmatched person",""))))</f>
        <v/>
      </c>
    </row>
    <row r="172">
      <c r="A172" s="31" t="n"/>
      <c r="B172" s="31" t="n"/>
      <c r="C172" s="31" t="n"/>
      <c r="D172" s="31" t="n"/>
      <c r="E172" s="16">
        <f>IF($A172="","",IF(COUNTIF(Deals!$A$2:$A$355,$A172)&gt;0,$A172,""))</f>
        <v/>
      </c>
      <c r="F172" s="16">
        <f>IF($B172="","",IFERROR(INDEX(Roster!$A$2:$A$40,MATCH($B172,Roster!$A$2:$A$40,0)),IFERROR(IF(INDEX(MapTracker,MATCH($B172,MapNetSuite,0))=0,"",INDEX(MapTracker,MATCH($B172,MapNetSuite,0))),"")))</f>
        <v/>
      </c>
      <c r="G172" s="16">
        <f>IF($F172="","",IFERROR(INDEX(Roster!$B$2:$B$40,MATCH($F172,Roster!$A$2:$A$40,0)),""))</f>
        <v/>
      </c>
      <c r="H172" s="16">
        <f>IF($E172="","",IFERROR(IF(INDEX(Deals!$U$2:$U$355,MATCH($E172,Deals!$A$2:$A$355,0))=0,"",INDEX(Deals!$U$2:$U$355,MATCH($E172,Deals!$A$2:$A$355,0))),""))</f>
        <v/>
      </c>
      <c r="I172" s="18">
        <f>IF(OR($E172="",$F172=""),"",SUMIFS(Assignments!$I$2:$I$769,Assignments!$A$2:$A$769,$F172,Assignments!$C$2:$C$769,$E172))</f>
        <v/>
      </c>
      <c r="J172" s="61">
        <f>IF(OR($E172="",$F172=""),"",$D172-$I172)</f>
        <v/>
      </c>
      <c r="K172" s="20">
        <f>IF($A172="","",IF(AND($E172&lt;&gt;"",$F172&lt;&gt;""),"OK",TRIM(IF($E172="","unmatched code ","")&amp;IF($F172="","unmatched person",""))))</f>
        <v/>
      </c>
    </row>
    <row r="173">
      <c r="A173" s="31" t="n"/>
      <c r="B173" s="31" t="n"/>
      <c r="C173" s="31" t="n"/>
      <c r="D173" s="31" t="n"/>
      <c r="E173" s="16">
        <f>IF($A173="","",IF(COUNTIF(Deals!$A$2:$A$355,$A173)&gt;0,$A173,""))</f>
        <v/>
      </c>
      <c r="F173" s="16">
        <f>IF($B173="","",IFERROR(INDEX(Roster!$A$2:$A$40,MATCH($B173,Roster!$A$2:$A$40,0)),IFERROR(IF(INDEX(MapTracker,MATCH($B173,MapNetSuite,0))=0,"",INDEX(MapTracker,MATCH($B173,MapNetSuite,0))),"")))</f>
        <v/>
      </c>
      <c r="G173" s="16">
        <f>IF($F173="","",IFERROR(INDEX(Roster!$B$2:$B$40,MATCH($F173,Roster!$A$2:$A$40,0)),""))</f>
        <v/>
      </c>
      <c r="H173" s="16">
        <f>IF($E173="","",IFERROR(IF(INDEX(Deals!$U$2:$U$355,MATCH($E173,Deals!$A$2:$A$355,0))=0,"",INDEX(Deals!$U$2:$U$355,MATCH($E173,Deals!$A$2:$A$355,0))),""))</f>
        <v/>
      </c>
      <c r="I173" s="18">
        <f>IF(OR($E173="",$F173=""),"",SUMIFS(Assignments!$I$2:$I$769,Assignments!$A$2:$A$769,$F173,Assignments!$C$2:$C$769,$E173))</f>
        <v/>
      </c>
      <c r="J173" s="61">
        <f>IF(OR($E173="",$F173=""),"",$D173-$I173)</f>
        <v/>
      </c>
      <c r="K173" s="20">
        <f>IF($A173="","",IF(AND($E173&lt;&gt;"",$F173&lt;&gt;""),"OK",TRIM(IF($E173="","unmatched code ","")&amp;IF($F173="","unmatched person",""))))</f>
        <v/>
      </c>
    </row>
    <row r="174">
      <c r="A174" s="31" t="n"/>
      <c r="B174" s="31" t="n"/>
      <c r="C174" s="31" t="n"/>
      <c r="D174" s="31" t="n"/>
      <c r="E174" s="16">
        <f>IF($A174="","",IF(COUNTIF(Deals!$A$2:$A$355,$A174)&gt;0,$A174,""))</f>
        <v/>
      </c>
      <c r="F174" s="16">
        <f>IF($B174="","",IFERROR(INDEX(Roster!$A$2:$A$40,MATCH($B174,Roster!$A$2:$A$40,0)),IFERROR(IF(INDEX(MapTracker,MATCH($B174,MapNetSuite,0))=0,"",INDEX(MapTracker,MATCH($B174,MapNetSuite,0))),"")))</f>
        <v/>
      </c>
      <c r="G174" s="16">
        <f>IF($F174="","",IFERROR(INDEX(Roster!$B$2:$B$40,MATCH($F174,Roster!$A$2:$A$40,0)),""))</f>
        <v/>
      </c>
      <c r="H174" s="16">
        <f>IF($E174="","",IFERROR(IF(INDEX(Deals!$U$2:$U$355,MATCH($E174,Deals!$A$2:$A$355,0))=0,"",INDEX(Deals!$U$2:$U$355,MATCH($E174,Deals!$A$2:$A$355,0))),""))</f>
        <v/>
      </c>
      <c r="I174" s="18">
        <f>IF(OR($E174="",$F174=""),"",SUMIFS(Assignments!$I$2:$I$769,Assignments!$A$2:$A$769,$F174,Assignments!$C$2:$C$769,$E174))</f>
        <v/>
      </c>
      <c r="J174" s="61">
        <f>IF(OR($E174="",$F174=""),"",$D174-$I174)</f>
        <v/>
      </c>
      <c r="K174" s="20">
        <f>IF($A174="","",IF(AND($E174&lt;&gt;"",$F174&lt;&gt;""),"OK",TRIM(IF($E174="","unmatched code ","")&amp;IF($F174="","unmatched person",""))))</f>
        <v/>
      </c>
    </row>
    <row r="175">
      <c r="A175" s="31" t="n"/>
      <c r="B175" s="31" t="n"/>
      <c r="C175" s="31" t="n"/>
      <c r="D175" s="31" t="n"/>
      <c r="E175" s="16">
        <f>IF($A175="","",IF(COUNTIF(Deals!$A$2:$A$355,$A175)&gt;0,$A175,""))</f>
        <v/>
      </c>
      <c r="F175" s="16">
        <f>IF($B175="","",IFERROR(INDEX(Roster!$A$2:$A$40,MATCH($B175,Roster!$A$2:$A$40,0)),IFERROR(IF(INDEX(MapTracker,MATCH($B175,MapNetSuite,0))=0,"",INDEX(MapTracker,MATCH($B175,MapNetSuite,0))),"")))</f>
        <v/>
      </c>
      <c r="G175" s="16">
        <f>IF($F175="","",IFERROR(INDEX(Roster!$B$2:$B$40,MATCH($F175,Roster!$A$2:$A$40,0)),""))</f>
        <v/>
      </c>
      <c r="H175" s="16">
        <f>IF($E175="","",IFERROR(IF(INDEX(Deals!$U$2:$U$355,MATCH($E175,Deals!$A$2:$A$355,0))=0,"",INDEX(Deals!$U$2:$U$355,MATCH($E175,Deals!$A$2:$A$355,0))),""))</f>
        <v/>
      </c>
      <c r="I175" s="18">
        <f>IF(OR($E175="",$F175=""),"",SUMIFS(Assignments!$I$2:$I$769,Assignments!$A$2:$A$769,$F175,Assignments!$C$2:$C$769,$E175))</f>
        <v/>
      </c>
      <c r="J175" s="61">
        <f>IF(OR($E175="",$F175=""),"",$D175-$I175)</f>
        <v/>
      </c>
      <c r="K175" s="20">
        <f>IF($A175="","",IF(AND($E175&lt;&gt;"",$F175&lt;&gt;""),"OK",TRIM(IF($E175="","unmatched code ","")&amp;IF($F175="","unmatched person",""))))</f>
        <v/>
      </c>
    </row>
    <row r="176">
      <c r="A176" s="31" t="n"/>
      <c r="B176" s="31" t="n"/>
      <c r="C176" s="31" t="n"/>
      <c r="D176" s="31" t="n"/>
      <c r="E176" s="16">
        <f>IF($A176="","",IF(COUNTIF(Deals!$A$2:$A$355,$A176)&gt;0,$A176,""))</f>
        <v/>
      </c>
      <c r="F176" s="16">
        <f>IF($B176="","",IFERROR(INDEX(Roster!$A$2:$A$40,MATCH($B176,Roster!$A$2:$A$40,0)),IFERROR(IF(INDEX(MapTracker,MATCH($B176,MapNetSuite,0))=0,"",INDEX(MapTracker,MATCH($B176,MapNetSuite,0))),"")))</f>
        <v/>
      </c>
      <c r="G176" s="16">
        <f>IF($F176="","",IFERROR(INDEX(Roster!$B$2:$B$40,MATCH($F176,Roster!$A$2:$A$40,0)),""))</f>
        <v/>
      </c>
      <c r="H176" s="16">
        <f>IF($E176="","",IFERROR(IF(INDEX(Deals!$U$2:$U$355,MATCH($E176,Deals!$A$2:$A$355,0))=0,"",INDEX(Deals!$U$2:$U$355,MATCH($E176,Deals!$A$2:$A$355,0))),""))</f>
        <v/>
      </c>
      <c r="I176" s="18">
        <f>IF(OR($E176="",$F176=""),"",SUMIFS(Assignments!$I$2:$I$769,Assignments!$A$2:$A$769,$F176,Assignments!$C$2:$C$769,$E176))</f>
        <v/>
      </c>
      <c r="J176" s="61">
        <f>IF(OR($E176="",$F176=""),"",$D176-$I176)</f>
        <v/>
      </c>
      <c r="K176" s="20">
        <f>IF($A176="","",IF(AND($E176&lt;&gt;"",$F176&lt;&gt;""),"OK",TRIM(IF($E176="","unmatched code ","")&amp;IF($F176="","unmatched person",""))))</f>
        <v/>
      </c>
    </row>
    <row r="177">
      <c r="A177" s="31" t="n"/>
      <c r="B177" s="31" t="n"/>
      <c r="C177" s="31" t="n"/>
      <c r="D177" s="31" t="n"/>
      <c r="E177" s="16">
        <f>IF($A177="","",IF(COUNTIF(Deals!$A$2:$A$355,$A177)&gt;0,$A177,""))</f>
        <v/>
      </c>
      <c r="F177" s="16">
        <f>IF($B177="","",IFERROR(INDEX(Roster!$A$2:$A$40,MATCH($B177,Roster!$A$2:$A$40,0)),IFERROR(IF(INDEX(MapTracker,MATCH($B177,MapNetSuite,0))=0,"",INDEX(MapTracker,MATCH($B177,MapNetSuite,0))),"")))</f>
        <v/>
      </c>
      <c r="G177" s="16">
        <f>IF($F177="","",IFERROR(INDEX(Roster!$B$2:$B$40,MATCH($F177,Roster!$A$2:$A$40,0)),""))</f>
        <v/>
      </c>
      <c r="H177" s="16">
        <f>IF($E177="","",IFERROR(IF(INDEX(Deals!$U$2:$U$355,MATCH($E177,Deals!$A$2:$A$355,0))=0,"",INDEX(Deals!$U$2:$U$355,MATCH($E177,Deals!$A$2:$A$355,0))),""))</f>
        <v/>
      </c>
      <c r="I177" s="18">
        <f>IF(OR($E177="",$F177=""),"",SUMIFS(Assignments!$I$2:$I$769,Assignments!$A$2:$A$769,$F177,Assignments!$C$2:$C$769,$E177))</f>
        <v/>
      </c>
      <c r="J177" s="61">
        <f>IF(OR($E177="",$F177=""),"",$D177-$I177)</f>
        <v/>
      </c>
      <c r="K177" s="20">
        <f>IF($A177="","",IF(AND($E177&lt;&gt;"",$F177&lt;&gt;""),"OK",TRIM(IF($E177="","unmatched code ","")&amp;IF($F177="","unmatched person",""))))</f>
        <v/>
      </c>
    </row>
    <row r="178">
      <c r="A178" s="31" t="n"/>
      <c r="B178" s="31" t="n"/>
      <c r="C178" s="31" t="n"/>
      <c r="D178" s="31" t="n"/>
      <c r="E178" s="16">
        <f>IF($A178="","",IF(COUNTIF(Deals!$A$2:$A$355,$A178)&gt;0,$A178,""))</f>
        <v/>
      </c>
      <c r="F178" s="16">
        <f>IF($B178="","",IFERROR(INDEX(Roster!$A$2:$A$40,MATCH($B178,Roster!$A$2:$A$40,0)),IFERROR(IF(INDEX(MapTracker,MATCH($B178,MapNetSuite,0))=0,"",INDEX(MapTracker,MATCH($B178,MapNetSuite,0))),"")))</f>
        <v/>
      </c>
      <c r="G178" s="16">
        <f>IF($F178="","",IFERROR(INDEX(Roster!$B$2:$B$40,MATCH($F178,Roster!$A$2:$A$40,0)),""))</f>
        <v/>
      </c>
      <c r="H178" s="16">
        <f>IF($E178="","",IFERROR(IF(INDEX(Deals!$U$2:$U$355,MATCH($E178,Deals!$A$2:$A$355,0))=0,"",INDEX(Deals!$U$2:$U$355,MATCH($E178,Deals!$A$2:$A$355,0))),""))</f>
        <v/>
      </c>
      <c r="I178" s="18">
        <f>IF(OR($E178="",$F178=""),"",SUMIFS(Assignments!$I$2:$I$769,Assignments!$A$2:$A$769,$F178,Assignments!$C$2:$C$769,$E178))</f>
        <v/>
      </c>
      <c r="J178" s="61">
        <f>IF(OR($E178="",$F178=""),"",$D178-$I178)</f>
        <v/>
      </c>
      <c r="K178" s="20">
        <f>IF($A178="","",IF(AND($E178&lt;&gt;"",$F178&lt;&gt;""),"OK",TRIM(IF($E178="","unmatched code ","")&amp;IF($F178="","unmatched person",""))))</f>
        <v/>
      </c>
    </row>
    <row r="179">
      <c r="A179" s="31" t="n"/>
      <c r="B179" s="31" t="n"/>
      <c r="C179" s="31" t="n"/>
      <c r="D179" s="31" t="n"/>
      <c r="E179" s="16">
        <f>IF($A179="","",IF(COUNTIF(Deals!$A$2:$A$355,$A179)&gt;0,$A179,""))</f>
        <v/>
      </c>
      <c r="F179" s="16">
        <f>IF($B179="","",IFERROR(INDEX(Roster!$A$2:$A$40,MATCH($B179,Roster!$A$2:$A$40,0)),IFERROR(IF(INDEX(MapTracker,MATCH($B179,MapNetSuite,0))=0,"",INDEX(MapTracker,MATCH($B179,MapNetSuite,0))),"")))</f>
        <v/>
      </c>
      <c r="G179" s="16">
        <f>IF($F179="","",IFERROR(INDEX(Roster!$B$2:$B$40,MATCH($F179,Roster!$A$2:$A$40,0)),""))</f>
        <v/>
      </c>
      <c r="H179" s="16">
        <f>IF($E179="","",IFERROR(IF(INDEX(Deals!$U$2:$U$355,MATCH($E179,Deals!$A$2:$A$355,0))=0,"",INDEX(Deals!$U$2:$U$355,MATCH($E179,Deals!$A$2:$A$355,0))),""))</f>
        <v/>
      </c>
      <c r="I179" s="18">
        <f>IF(OR($E179="",$F179=""),"",SUMIFS(Assignments!$I$2:$I$769,Assignments!$A$2:$A$769,$F179,Assignments!$C$2:$C$769,$E179))</f>
        <v/>
      </c>
      <c r="J179" s="61">
        <f>IF(OR($E179="",$F179=""),"",$D179-$I179)</f>
        <v/>
      </c>
      <c r="K179" s="20">
        <f>IF($A179="","",IF(AND($E179&lt;&gt;"",$F179&lt;&gt;""),"OK",TRIM(IF($E179="","unmatched code ","")&amp;IF($F179="","unmatched person",""))))</f>
        <v/>
      </c>
    </row>
    <row r="180">
      <c r="A180" s="31" t="n"/>
      <c r="B180" s="31" t="n"/>
      <c r="C180" s="31" t="n"/>
      <c r="D180" s="31" t="n"/>
      <c r="E180" s="16">
        <f>IF($A180="","",IF(COUNTIF(Deals!$A$2:$A$355,$A180)&gt;0,$A180,""))</f>
        <v/>
      </c>
      <c r="F180" s="16">
        <f>IF($B180="","",IFERROR(INDEX(Roster!$A$2:$A$40,MATCH($B180,Roster!$A$2:$A$40,0)),IFERROR(IF(INDEX(MapTracker,MATCH($B180,MapNetSuite,0))=0,"",INDEX(MapTracker,MATCH($B180,MapNetSuite,0))),"")))</f>
        <v/>
      </c>
      <c r="G180" s="16">
        <f>IF($F180="","",IFERROR(INDEX(Roster!$B$2:$B$40,MATCH($F180,Roster!$A$2:$A$40,0)),""))</f>
        <v/>
      </c>
      <c r="H180" s="16">
        <f>IF($E180="","",IFERROR(IF(INDEX(Deals!$U$2:$U$355,MATCH($E180,Deals!$A$2:$A$355,0))=0,"",INDEX(Deals!$U$2:$U$355,MATCH($E180,Deals!$A$2:$A$355,0))),""))</f>
        <v/>
      </c>
      <c r="I180" s="18">
        <f>IF(OR($E180="",$F180=""),"",SUMIFS(Assignments!$I$2:$I$769,Assignments!$A$2:$A$769,$F180,Assignments!$C$2:$C$769,$E180))</f>
        <v/>
      </c>
      <c r="J180" s="61">
        <f>IF(OR($E180="",$F180=""),"",$D180-$I180)</f>
        <v/>
      </c>
      <c r="K180" s="20">
        <f>IF($A180="","",IF(AND($E180&lt;&gt;"",$F180&lt;&gt;""),"OK",TRIM(IF($E180="","unmatched code ","")&amp;IF($F180="","unmatched person",""))))</f>
        <v/>
      </c>
    </row>
    <row r="181">
      <c r="A181" s="31" t="n"/>
      <c r="B181" s="31" t="n"/>
      <c r="C181" s="31" t="n"/>
      <c r="D181" s="31" t="n"/>
      <c r="E181" s="16">
        <f>IF($A181="","",IF(COUNTIF(Deals!$A$2:$A$355,$A181)&gt;0,$A181,""))</f>
        <v/>
      </c>
      <c r="F181" s="16">
        <f>IF($B181="","",IFERROR(INDEX(Roster!$A$2:$A$40,MATCH($B181,Roster!$A$2:$A$40,0)),IFERROR(IF(INDEX(MapTracker,MATCH($B181,MapNetSuite,0))=0,"",INDEX(MapTracker,MATCH($B181,MapNetSuite,0))),"")))</f>
        <v/>
      </c>
      <c r="G181" s="16">
        <f>IF($F181="","",IFERROR(INDEX(Roster!$B$2:$B$40,MATCH($F181,Roster!$A$2:$A$40,0)),""))</f>
        <v/>
      </c>
      <c r="H181" s="16">
        <f>IF($E181="","",IFERROR(IF(INDEX(Deals!$U$2:$U$355,MATCH($E181,Deals!$A$2:$A$355,0))=0,"",INDEX(Deals!$U$2:$U$355,MATCH($E181,Deals!$A$2:$A$355,0))),""))</f>
        <v/>
      </c>
      <c r="I181" s="18">
        <f>IF(OR($E181="",$F181=""),"",SUMIFS(Assignments!$I$2:$I$769,Assignments!$A$2:$A$769,$F181,Assignments!$C$2:$C$769,$E181))</f>
        <v/>
      </c>
      <c r="J181" s="61">
        <f>IF(OR($E181="",$F181=""),"",$D181-$I181)</f>
        <v/>
      </c>
      <c r="K181" s="20">
        <f>IF($A181="","",IF(AND($E181&lt;&gt;"",$F181&lt;&gt;""),"OK",TRIM(IF($E181="","unmatched code ","")&amp;IF($F181="","unmatched person",""))))</f>
        <v/>
      </c>
    </row>
    <row r="182">
      <c r="A182" s="31" t="n"/>
      <c r="B182" s="31" t="n"/>
      <c r="C182" s="31" t="n"/>
      <c r="D182" s="31" t="n"/>
      <c r="E182" s="16">
        <f>IF($A182="","",IF(COUNTIF(Deals!$A$2:$A$355,$A182)&gt;0,$A182,""))</f>
        <v/>
      </c>
      <c r="F182" s="16">
        <f>IF($B182="","",IFERROR(INDEX(Roster!$A$2:$A$40,MATCH($B182,Roster!$A$2:$A$40,0)),IFERROR(IF(INDEX(MapTracker,MATCH($B182,MapNetSuite,0))=0,"",INDEX(MapTracker,MATCH($B182,MapNetSuite,0))),"")))</f>
        <v/>
      </c>
      <c r="G182" s="16">
        <f>IF($F182="","",IFERROR(INDEX(Roster!$B$2:$B$40,MATCH($F182,Roster!$A$2:$A$40,0)),""))</f>
        <v/>
      </c>
      <c r="H182" s="16">
        <f>IF($E182="","",IFERROR(IF(INDEX(Deals!$U$2:$U$355,MATCH($E182,Deals!$A$2:$A$355,0))=0,"",INDEX(Deals!$U$2:$U$355,MATCH($E182,Deals!$A$2:$A$355,0))),""))</f>
        <v/>
      </c>
      <c r="I182" s="18">
        <f>IF(OR($E182="",$F182=""),"",SUMIFS(Assignments!$I$2:$I$769,Assignments!$A$2:$A$769,$F182,Assignments!$C$2:$C$769,$E182))</f>
        <v/>
      </c>
      <c r="J182" s="61">
        <f>IF(OR($E182="",$F182=""),"",$D182-$I182)</f>
        <v/>
      </c>
      <c r="K182" s="20">
        <f>IF($A182="","",IF(AND($E182&lt;&gt;"",$F182&lt;&gt;""),"OK",TRIM(IF($E182="","unmatched code ","")&amp;IF($F182="","unmatched person",""))))</f>
        <v/>
      </c>
    </row>
    <row r="183">
      <c r="A183" s="31" t="n"/>
      <c r="B183" s="31" t="n"/>
      <c r="C183" s="31" t="n"/>
      <c r="D183" s="31" t="n"/>
      <c r="E183" s="16">
        <f>IF($A183="","",IF(COUNTIF(Deals!$A$2:$A$355,$A183)&gt;0,$A183,""))</f>
        <v/>
      </c>
      <c r="F183" s="16">
        <f>IF($B183="","",IFERROR(INDEX(Roster!$A$2:$A$40,MATCH($B183,Roster!$A$2:$A$40,0)),IFERROR(IF(INDEX(MapTracker,MATCH($B183,MapNetSuite,0))=0,"",INDEX(MapTracker,MATCH($B183,MapNetSuite,0))),"")))</f>
        <v/>
      </c>
      <c r="G183" s="16">
        <f>IF($F183="","",IFERROR(INDEX(Roster!$B$2:$B$40,MATCH($F183,Roster!$A$2:$A$40,0)),""))</f>
        <v/>
      </c>
      <c r="H183" s="16">
        <f>IF($E183="","",IFERROR(IF(INDEX(Deals!$U$2:$U$355,MATCH($E183,Deals!$A$2:$A$355,0))=0,"",INDEX(Deals!$U$2:$U$355,MATCH($E183,Deals!$A$2:$A$355,0))),""))</f>
        <v/>
      </c>
      <c r="I183" s="18">
        <f>IF(OR($E183="",$F183=""),"",SUMIFS(Assignments!$I$2:$I$769,Assignments!$A$2:$A$769,$F183,Assignments!$C$2:$C$769,$E183))</f>
        <v/>
      </c>
      <c r="J183" s="61">
        <f>IF(OR($E183="",$F183=""),"",$D183-$I183)</f>
        <v/>
      </c>
      <c r="K183" s="20">
        <f>IF($A183="","",IF(AND($E183&lt;&gt;"",$F183&lt;&gt;""),"OK",TRIM(IF($E183="","unmatched code ","")&amp;IF($F183="","unmatched person",""))))</f>
        <v/>
      </c>
    </row>
    <row r="184">
      <c r="A184" s="31" t="n"/>
      <c r="B184" s="31" t="n"/>
      <c r="C184" s="31" t="n"/>
      <c r="D184" s="31" t="n"/>
      <c r="E184" s="16">
        <f>IF($A184="","",IF(COUNTIF(Deals!$A$2:$A$355,$A184)&gt;0,$A184,""))</f>
        <v/>
      </c>
      <c r="F184" s="16">
        <f>IF($B184="","",IFERROR(INDEX(Roster!$A$2:$A$40,MATCH($B184,Roster!$A$2:$A$40,0)),IFERROR(IF(INDEX(MapTracker,MATCH($B184,MapNetSuite,0))=0,"",INDEX(MapTracker,MATCH($B184,MapNetSuite,0))),"")))</f>
        <v/>
      </c>
      <c r="G184" s="16">
        <f>IF($F184="","",IFERROR(INDEX(Roster!$B$2:$B$40,MATCH($F184,Roster!$A$2:$A$40,0)),""))</f>
        <v/>
      </c>
      <c r="H184" s="16">
        <f>IF($E184="","",IFERROR(IF(INDEX(Deals!$U$2:$U$355,MATCH($E184,Deals!$A$2:$A$355,0))=0,"",INDEX(Deals!$U$2:$U$355,MATCH($E184,Deals!$A$2:$A$355,0))),""))</f>
        <v/>
      </c>
      <c r="I184" s="18">
        <f>IF(OR($E184="",$F184=""),"",SUMIFS(Assignments!$I$2:$I$769,Assignments!$A$2:$A$769,$F184,Assignments!$C$2:$C$769,$E184))</f>
        <v/>
      </c>
      <c r="J184" s="61">
        <f>IF(OR($E184="",$F184=""),"",$D184-$I184)</f>
        <v/>
      </c>
      <c r="K184" s="20">
        <f>IF($A184="","",IF(AND($E184&lt;&gt;"",$F184&lt;&gt;""),"OK",TRIM(IF($E184="","unmatched code ","")&amp;IF($F184="","unmatched person",""))))</f>
        <v/>
      </c>
    </row>
    <row r="185">
      <c r="A185" s="31" t="n"/>
      <c r="B185" s="31" t="n"/>
      <c r="C185" s="31" t="n"/>
      <c r="D185" s="31" t="n"/>
      <c r="E185" s="16">
        <f>IF($A185="","",IF(COUNTIF(Deals!$A$2:$A$355,$A185)&gt;0,$A185,""))</f>
        <v/>
      </c>
      <c r="F185" s="16">
        <f>IF($B185="","",IFERROR(INDEX(Roster!$A$2:$A$40,MATCH($B185,Roster!$A$2:$A$40,0)),IFERROR(IF(INDEX(MapTracker,MATCH($B185,MapNetSuite,0))=0,"",INDEX(MapTracker,MATCH($B185,MapNetSuite,0))),"")))</f>
        <v/>
      </c>
      <c r="G185" s="16">
        <f>IF($F185="","",IFERROR(INDEX(Roster!$B$2:$B$40,MATCH($F185,Roster!$A$2:$A$40,0)),""))</f>
        <v/>
      </c>
      <c r="H185" s="16">
        <f>IF($E185="","",IFERROR(IF(INDEX(Deals!$U$2:$U$355,MATCH($E185,Deals!$A$2:$A$355,0))=0,"",INDEX(Deals!$U$2:$U$355,MATCH($E185,Deals!$A$2:$A$355,0))),""))</f>
        <v/>
      </c>
      <c r="I185" s="18">
        <f>IF(OR($E185="",$F185=""),"",SUMIFS(Assignments!$I$2:$I$769,Assignments!$A$2:$A$769,$F185,Assignments!$C$2:$C$769,$E185))</f>
        <v/>
      </c>
      <c r="J185" s="61">
        <f>IF(OR($E185="",$F185=""),"",$D185-$I185)</f>
        <v/>
      </c>
      <c r="K185" s="20">
        <f>IF($A185="","",IF(AND($E185&lt;&gt;"",$F185&lt;&gt;""),"OK",TRIM(IF($E185="","unmatched code ","")&amp;IF($F185="","unmatched person",""))))</f>
        <v/>
      </c>
    </row>
    <row r="186">
      <c r="A186" s="31" t="n"/>
      <c r="B186" s="31" t="n"/>
      <c r="C186" s="31" t="n"/>
      <c r="D186" s="31" t="n"/>
      <c r="E186" s="16">
        <f>IF($A186="","",IF(COUNTIF(Deals!$A$2:$A$355,$A186)&gt;0,$A186,""))</f>
        <v/>
      </c>
      <c r="F186" s="16">
        <f>IF($B186="","",IFERROR(INDEX(Roster!$A$2:$A$40,MATCH($B186,Roster!$A$2:$A$40,0)),IFERROR(IF(INDEX(MapTracker,MATCH($B186,MapNetSuite,0))=0,"",INDEX(MapTracker,MATCH($B186,MapNetSuite,0))),"")))</f>
        <v/>
      </c>
      <c r="G186" s="16">
        <f>IF($F186="","",IFERROR(INDEX(Roster!$B$2:$B$40,MATCH($F186,Roster!$A$2:$A$40,0)),""))</f>
        <v/>
      </c>
      <c r="H186" s="16">
        <f>IF($E186="","",IFERROR(IF(INDEX(Deals!$U$2:$U$355,MATCH($E186,Deals!$A$2:$A$355,0))=0,"",INDEX(Deals!$U$2:$U$355,MATCH($E186,Deals!$A$2:$A$355,0))),""))</f>
        <v/>
      </c>
      <c r="I186" s="18">
        <f>IF(OR($E186="",$F186=""),"",SUMIFS(Assignments!$I$2:$I$769,Assignments!$A$2:$A$769,$F186,Assignments!$C$2:$C$769,$E186))</f>
        <v/>
      </c>
      <c r="J186" s="61">
        <f>IF(OR($E186="",$F186=""),"",$D186-$I186)</f>
        <v/>
      </c>
      <c r="K186" s="20">
        <f>IF($A186="","",IF(AND($E186&lt;&gt;"",$F186&lt;&gt;""),"OK",TRIM(IF($E186="","unmatched code ","")&amp;IF($F186="","unmatched person",""))))</f>
        <v/>
      </c>
    </row>
    <row r="187">
      <c r="A187" s="31" t="n"/>
      <c r="B187" s="31" t="n"/>
      <c r="C187" s="31" t="n"/>
      <c r="D187" s="31" t="n"/>
      <c r="E187" s="16">
        <f>IF($A187="","",IF(COUNTIF(Deals!$A$2:$A$355,$A187)&gt;0,$A187,""))</f>
        <v/>
      </c>
      <c r="F187" s="16">
        <f>IF($B187="","",IFERROR(INDEX(Roster!$A$2:$A$40,MATCH($B187,Roster!$A$2:$A$40,0)),IFERROR(IF(INDEX(MapTracker,MATCH($B187,MapNetSuite,0))=0,"",INDEX(MapTracker,MATCH($B187,MapNetSuite,0))),"")))</f>
        <v/>
      </c>
      <c r="G187" s="16">
        <f>IF($F187="","",IFERROR(INDEX(Roster!$B$2:$B$40,MATCH($F187,Roster!$A$2:$A$40,0)),""))</f>
        <v/>
      </c>
      <c r="H187" s="16">
        <f>IF($E187="","",IFERROR(IF(INDEX(Deals!$U$2:$U$355,MATCH($E187,Deals!$A$2:$A$355,0))=0,"",INDEX(Deals!$U$2:$U$355,MATCH($E187,Deals!$A$2:$A$355,0))),""))</f>
        <v/>
      </c>
      <c r="I187" s="18">
        <f>IF(OR($E187="",$F187=""),"",SUMIFS(Assignments!$I$2:$I$769,Assignments!$A$2:$A$769,$F187,Assignments!$C$2:$C$769,$E187))</f>
        <v/>
      </c>
      <c r="J187" s="61">
        <f>IF(OR($E187="",$F187=""),"",$D187-$I187)</f>
        <v/>
      </c>
      <c r="K187" s="20">
        <f>IF($A187="","",IF(AND($E187&lt;&gt;"",$F187&lt;&gt;""),"OK",TRIM(IF($E187="","unmatched code ","")&amp;IF($F187="","unmatched person",""))))</f>
        <v/>
      </c>
    </row>
    <row r="188">
      <c r="A188" s="31" t="n"/>
      <c r="B188" s="31" t="n"/>
      <c r="C188" s="31" t="n"/>
      <c r="D188" s="31" t="n"/>
      <c r="E188" s="16">
        <f>IF($A188="","",IF(COUNTIF(Deals!$A$2:$A$355,$A188)&gt;0,$A188,""))</f>
        <v/>
      </c>
      <c r="F188" s="16">
        <f>IF($B188="","",IFERROR(INDEX(Roster!$A$2:$A$40,MATCH($B188,Roster!$A$2:$A$40,0)),IFERROR(IF(INDEX(MapTracker,MATCH($B188,MapNetSuite,0))=0,"",INDEX(MapTracker,MATCH($B188,MapNetSuite,0))),"")))</f>
        <v/>
      </c>
      <c r="G188" s="16">
        <f>IF($F188="","",IFERROR(INDEX(Roster!$B$2:$B$40,MATCH($F188,Roster!$A$2:$A$40,0)),""))</f>
        <v/>
      </c>
      <c r="H188" s="16">
        <f>IF($E188="","",IFERROR(IF(INDEX(Deals!$U$2:$U$355,MATCH($E188,Deals!$A$2:$A$355,0))=0,"",INDEX(Deals!$U$2:$U$355,MATCH($E188,Deals!$A$2:$A$355,0))),""))</f>
        <v/>
      </c>
      <c r="I188" s="18">
        <f>IF(OR($E188="",$F188=""),"",SUMIFS(Assignments!$I$2:$I$769,Assignments!$A$2:$A$769,$F188,Assignments!$C$2:$C$769,$E188))</f>
        <v/>
      </c>
      <c r="J188" s="61">
        <f>IF(OR($E188="",$F188=""),"",$D188-$I188)</f>
        <v/>
      </c>
      <c r="K188" s="20">
        <f>IF($A188="","",IF(AND($E188&lt;&gt;"",$F188&lt;&gt;""),"OK",TRIM(IF($E188="","unmatched code ","")&amp;IF($F188="","unmatched person",""))))</f>
        <v/>
      </c>
    </row>
    <row r="189">
      <c r="A189" s="31" t="n"/>
      <c r="B189" s="31" t="n"/>
      <c r="C189" s="31" t="n"/>
      <c r="D189" s="31" t="n"/>
      <c r="E189" s="16">
        <f>IF($A189="","",IF(COUNTIF(Deals!$A$2:$A$355,$A189)&gt;0,$A189,""))</f>
        <v/>
      </c>
      <c r="F189" s="16">
        <f>IF($B189="","",IFERROR(INDEX(Roster!$A$2:$A$40,MATCH($B189,Roster!$A$2:$A$40,0)),IFERROR(IF(INDEX(MapTracker,MATCH($B189,MapNetSuite,0))=0,"",INDEX(MapTracker,MATCH($B189,MapNetSuite,0))),"")))</f>
        <v/>
      </c>
      <c r="G189" s="16">
        <f>IF($F189="","",IFERROR(INDEX(Roster!$B$2:$B$40,MATCH($F189,Roster!$A$2:$A$40,0)),""))</f>
        <v/>
      </c>
      <c r="H189" s="16">
        <f>IF($E189="","",IFERROR(IF(INDEX(Deals!$U$2:$U$355,MATCH($E189,Deals!$A$2:$A$355,0))=0,"",INDEX(Deals!$U$2:$U$355,MATCH($E189,Deals!$A$2:$A$355,0))),""))</f>
        <v/>
      </c>
      <c r="I189" s="18">
        <f>IF(OR($E189="",$F189=""),"",SUMIFS(Assignments!$I$2:$I$769,Assignments!$A$2:$A$769,$F189,Assignments!$C$2:$C$769,$E189))</f>
        <v/>
      </c>
      <c r="J189" s="61">
        <f>IF(OR($E189="",$F189=""),"",$D189-$I189)</f>
        <v/>
      </c>
      <c r="K189" s="20">
        <f>IF($A189="","",IF(AND($E189&lt;&gt;"",$F189&lt;&gt;""),"OK",TRIM(IF($E189="","unmatched code ","")&amp;IF($F189="","unmatched person",""))))</f>
        <v/>
      </c>
    </row>
    <row r="190">
      <c r="A190" s="31" t="n"/>
      <c r="B190" s="31" t="n"/>
      <c r="C190" s="31" t="n"/>
      <c r="D190" s="31" t="n"/>
      <c r="E190" s="16">
        <f>IF($A190="","",IF(COUNTIF(Deals!$A$2:$A$355,$A190)&gt;0,$A190,""))</f>
        <v/>
      </c>
      <c r="F190" s="16">
        <f>IF($B190="","",IFERROR(INDEX(Roster!$A$2:$A$40,MATCH($B190,Roster!$A$2:$A$40,0)),IFERROR(IF(INDEX(MapTracker,MATCH($B190,MapNetSuite,0))=0,"",INDEX(MapTracker,MATCH($B190,MapNetSuite,0))),"")))</f>
        <v/>
      </c>
      <c r="G190" s="16">
        <f>IF($F190="","",IFERROR(INDEX(Roster!$B$2:$B$40,MATCH($F190,Roster!$A$2:$A$40,0)),""))</f>
        <v/>
      </c>
      <c r="H190" s="16">
        <f>IF($E190="","",IFERROR(IF(INDEX(Deals!$U$2:$U$355,MATCH($E190,Deals!$A$2:$A$355,0))=0,"",INDEX(Deals!$U$2:$U$355,MATCH($E190,Deals!$A$2:$A$355,0))),""))</f>
        <v/>
      </c>
      <c r="I190" s="18">
        <f>IF(OR($E190="",$F190=""),"",SUMIFS(Assignments!$I$2:$I$769,Assignments!$A$2:$A$769,$F190,Assignments!$C$2:$C$769,$E190))</f>
        <v/>
      </c>
      <c r="J190" s="61">
        <f>IF(OR($E190="",$F190=""),"",$D190-$I190)</f>
        <v/>
      </c>
      <c r="K190" s="20">
        <f>IF($A190="","",IF(AND($E190&lt;&gt;"",$F190&lt;&gt;""),"OK",TRIM(IF($E190="","unmatched code ","")&amp;IF($F190="","unmatched person",""))))</f>
        <v/>
      </c>
    </row>
    <row r="191">
      <c r="A191" s="31" t="n"/>
      <c r="B191" s="31" t="n"/>
      <c r="C191" s="31" t="n"/>
      <c r="D191" s="31" t="n"/>
      <c r="E191" s="16">
        <f>IF($A191="","",IF(COUNTIF(Deals!$A$2:$A$355,$A191)&gt;0,$A191,""))</f>
        <v/>
      </c>
      <c r="F191" s="16">
        <f>IF($B191="","",IFERROR(INDEX(Roster!$A$2:$A$40,MATCH($B191,Roster!$A$2:$A$40,0)),IFERROR(IF(INDEX(MapTracker,MATCH($B191,MapNetSuite,0))=0,"",INDEX(MapTracker,MATCH($B191,MapNetSuite,0))),"")))</f>
        <v/>
      </c>
      <c r="G191" s="16">
        <f>IF($F191="","",IFERROR(INDEX(Roster!$B$2:$B$40,MATCH($F191,Roster!$A$2:$A$40,0)),""))</f>
        <v/>
      </c>
      <c r="H191" s="16">
        <f>IF($E191="","",IFERROR(IF(INDEX(Deals!$U$2:$U$355,MATCH($E191,Deals!$A$2:$A$355,0))=0,"",INDEX(Deals!$U$2:$U$355,MATCH($E191,Deals!$A$2:$A$355,0))),""))</f>
        <v/>
      </c>
      <c r="I191" s="18">
        <f>IF(OR($E191="",$F191=""),"",SUMIFS(Assignments!$I$2:$I$769,Assignments!$A$2:$A$769,$F191,Assignments!$C$2:$C$769,$E191))</f>
        <v/>
      </c>
      <c r="J191" s="61">
        <f>IF(OR($E191="",$F191=""),"",$D191-$I191)</f>
        <v/>
      </c>
      <c r="K191" s="20">
        <f>IF($A191="","",IF(AND($E191&lt;&gt;"",$F191&lt;&gt;""),"OK",TRIM(IF($E191="","unmatched code ","")&amp;IF($F191="","unmatched person",""))))</f>
        <v/>
      </c>
    </row>
    <row r="192">
      <c r="A192" s="31" t="n"/>
      <c r="B192" s="31" t="n"/>
      <c r="C192" s="31" t="n"/>
      <c r="D192" s="31" t="n"/>
      <c r="E192" s="16">
        <f>IF($A192="","",IF(COUNTIF(Deals!$A$2:$A$355,$A192)&gt;0,$A192,""))</f>
        <v/>
      </c>
      <c r="F192" s="16">
        <f>IF($B192="","",IFERROR(INDEX(Roster!$A$2:$A$40,MATCH($B192,Roster!$A$2:$A$40,0)),IFERROR(IF(INDEX(MapTracker,MATCH($B192,MapNetSuite,0))=0,"",INDEX(MapTracker,MATCH($B192,MapNetSuite,0))),"")))</f>
        <v/>
      </c>
      <c r="G192" s="16">
        <f>IF($F192="","",IFERROR(INDEX(Roster!$B$2:$B$40,MATCH($F192,Roster!$A$2:$A$40,0)),""))</f>
        <v/>
      </c>
      <c r="H192" s="16">
        <f>IF($E192="","",IFERROR(IF(INDEX(Deals!$U$2:$U$355,MATCH($E192,Deals!$A$2:$A$355,0))=0,"",INDEX(Deals!$U$2:$U$355,MATCH($E192,Deals!$A$2:$A$355,0))),""))</f>
        <v/>
      </c>
      <c r="I192" s="18">
        <f>IF(OR($E192="",$F192=""),"",SUMIFS(Assignments!$I$2:$I$769,Assignments!$A$2:$A$769,$F192,Assignments!$C$2:$C$769,$E192))</f>
        <v/>
      </c>
      <c r="J192" s="61">
        <f>IF(OR($E192="",$F192=""),"",$D192-$I192)</f>
        <v/>
      </c>
      <c r="K192" s="20">
        <f>IF($A192="","",IF(AND($E192&lt;&gt;"",$F192&lt;&gt;""),"OK",TRIM(IF($E192="","unmatched code ","")&amp;IF($F192="","unmatched person",""))))</f>
        <v/>
      </c>
    </row>
    <row r="193">
      <c r="A193" s="31" t="n"/>
      <c r="B193" s="31" t="n"/>
      <c r="C193" s="31" t="n"/>
      <c r="D193" s="31" t="n"/>
      <c r="E193" s="16">
        <f>IF($A193="","",IF(COUNTIF(Deals!$A$2:$A$355,$A193)&gt;0,$A193,""))</f>
        <v/>
      </c>
      <c r="F193" s="16">
        <f>IF($B193="","",IFERROR(INDEX(Roster!$A$2:$A$40,MATCH($B193,Roster!$A$2:$A$40,0)),IFERROR(IF(INDEX(MapTracker,MATCH($B193,MapNetSuite,0))=0,"",INDEX(MapTracker,MATCH($B193,MapNetSuite,0))),"")))</f>
        <v/>
      </c>
      <c r="G193" s="16">
        <f>IF($F193="","",IFERROR(INDEX(Roster!$B$2:$B$40,MATCH($F193,Roster!$A$2:$A$40,0)),""))</f>
        <v/>
      </c>
      <c r="H193" s="16">
        <f>IF($E193="","",IFERROR(IF(INDEX(Deals!$U$2:$U$355,MATCH($E193,Deals!$A$2:$A$355,0))=0,"",INDEX(Deals!$U$2:$U$355,MATCH($E193,Deals!$A$2:$A$355,0))),""))</f>
        <v/>
      </c>
      <c r="I193" s="18">
        <f>IF(OR($E193="",$F193=""),"",SUMIFS(Assignments!$I$2:$I$769,Assignments!$A$2:$A$769,$F193,Assignments!$C$2:$C$769,$E193))</f>
        <v/>
      </c>
      <c r="J193" s="61">
        <f>IF(OR($E193="",$F193=""),"",$D193-$I193)</f>
        <v/>
      </c>
      <c r="K193" s="20">
        <f>IF($A193="","",IF(AND($E193&lt;&gt;"",$F193&lt;&gt;""),"OK",TRIM(IF($E193="","unmatched code ","")&amp;IF($F193="","unmatched person",""))))</f>
        <v/>
      </c>
    </row>
    <row r="194">
      <c r="A194" s="31" t="n"/>
      <c r="B194" s="31" t="n"/>
      <c r="C194" s="31" t="n"/>
      <c r="D194" s="31" t="n"/>
      <c r="E194" s="16">
        <f>IF($A194="","",IF(COUNTIF(Deals!$A$2:$A$355,$A194)&gt;0,$A194,""))</f>
        <v/>
      </c>
      <c r="F194" s="16">
        <f>IF($B194="","",IFERROR(INDEX(Roster!$A$2:$A$40,MATCH($B194,Roster!$A$2:$A$40,0)),IFERROR(IF(INDEX(MapTracker,MATCH($B194,MapNetSuite,0))=0,"",INDEX(MapTracker,MATCH($B194,MapNetSuite,0))),"")))</f>
        <v/>
      </c>
      <c r="G194" s="16">
        <f>IF($F194="","",IFERROR(INDEX(Roster!$B$2:$B$40,MATCH($F194,Roster!$A$2:$A$40,0)),""))</f>
        <v/>
      </c>
      <c r="H194" s="16">
        <f>IF($E194="","",IFERROR(IF(INDEX(Deals!$U$2:$U$355,MATCH($E194,Deals!$A$2:$A$355,0))=0,"",INDEX(Deals!$U$2:$U$355,MATCH($E194,Deals!$A$2:$A$355,0))),""))</f>
        <v/>
      </c>
      <c r="I194" s="18">
        <f>IF(OR($E194="",$F194=""),"",SUMIFS(Assignments!$I$2:$I$769,Assignments!$A$2:$A$769,$F194,Assignments!$C$2:$C$769,$E194))</f>
        <v/>
      </c>
      <c r="J194" s="61">
        <f>IF(OR($E194="",$F194=""),"",$D194-$I194)</f>
        <v/>
      </c>
      <c r="K194" s="20">
        <f>IF($A194="","",IF(AND($E194&lt;&gt;"",$F194&lt;&gt;""),"OK",TRIM(IF($E194="","unmatched code ","")&amp;IF($F194="","unmatched person",""))))</f>
        <v/>
      </c>
    </row>
    <row r="195">
      <c r="A195" s="31" t="n"/>
      <c r="B195" s="31" t="n"/>
      <c r="C195" s="31" t="n"/>
      <c r="D195" s="31" t="n"/>
      <c r="E195" s="16">
        <f>IF($A195="","",IF(COUNTIF(Deals!$A$2:$A$355,$A195)&gt;0,$A195,""))</f>
        <v/>
      </c>
      <c r="F195" s="16">
        <f>IF($B195="","",IFERROR(INDEX(Roster!$A$2:$A$40,MATCH($B195,Roster!$A$2:$A$40,0)),IFERROR(IF(INDEX(MapTracker,MATCH($B195,MapNetSuite,0))=0,"",INDEX(MapTracker,MATCH($B195,MapNetSuite,0))),"")))</f>
        <v/>
      </c>
      <c r="G195" s="16">
        <f>IF($F195="","",IFERROR(INDEX(Roster!$B$2:$B$40,MATCH($F195,Roster!$A$2:$A$40,0)),""))</f>
        <v/>
      </c>
      <c r="H195" s="16">
        <f>IF($E195="","",IFERROR(IF(INDEX(Deals!$U$2:$U$355,MATCH($E195,Deals!$A$2:$A$355,0))=0,"",INDEX(Deals!$U$2:$U$355,MATCH($E195,Deals!$A$2:$A$355,0))),""))</f>
        <v/>
      </c>
      <c r="I195" s="18">
        <f>IF(OR($E195="",$F195=""),"",SUMIFS(Assignments!$I$2:$I$769,Assignments!$A$2:$A$769,$F195,Assignments!$C$2:$C$769,$E195))</f>
        <v/>
      </c>
      <c r="J195" s="61">
        <f>IF(OR($E195="",$F195=""),"",$D195-$I195)</f>
        <v/>
      </c>
      <c r="K195" s="20">
        <f>IF($A195="","",IF(AND($E195&lt;&gt;"",$F195&lt;&gt;""),"OK",TRIM(IF($E195="","unmatched code ","")&amp;IF($F195="","unmatched person",""))))</f>
        <v/>
      </c>
    </row>
    <row r="196">
      <c r="A196" s="31" t="n"/>
      <c r="B196" s="31" t="n"/>
      <c r="C196" s="31" t="n"/>
      <c r="D196" s="31" t="n"/>
      <c r="E196" s="16">
        <f>IF($A196="","",IF(COUNTIF(Deals!$A$2:$A$355,$A196)&gt;0,$A196,""))</f>
        <v/>
      </c>
      <c r="F196" s="16">
        <f>IF($B196="","",IFERROR(INDEX(Roster!$A$2:$A$40,MATCH($B196,Roster!$A$2:$A$40,0)),IFERROR(IF(INDEX(MapTracker,MATCH($B196,MapNetSuite,0))=0,"",INDEX(MapTracker,MATCH($B196,MapNetSuite,0))),"")))</f>
        <v/>
      </c>
      <c r="G196" s="16">
        <f>IF($F196="","",IFERROR(INDEX(Roster!$B$2:$B$40,MATCH($F196,Roster!$A$2:$A$40,0)),""))</f>
        <v/>
      </c>
      <c r="H196" s="16">
        <f>IF($E196="","",IFERROR(IF(INDEX(Deals!$U$2:$U$355,MATCH($E196,Deals!$A$2:$A$355,0))=0,"",INDEX(Deals!$U$2:$U$355,MATCH($E196,Deals!$A$2:$A$355,0))),""))</f>
        <v/>
      </c>
      <c r="I196" s="18">
        <f>IF(OR($E196="",$F196=""),"",SUMIFS(Assignments!$I$2:$I$769,Assignments!$A$2:$A$769,$F196,Assignments!$C$2:$C$769,$E196))</f>
        <v/>
      </c>
      <c r="J196" s="61">
        <f>IF(OR($E196="",$F196=""),"",$D196-$I196)</f>
        <v/>
      </c>
      <c r="K196" s="20">
        <f>IF($A196="","",IF(AND($E196&lt;&gt;"",$F196&lt;&gt;""),"OK",TRIM(IF($E196="","unmatched code ","")&amp;IF($F196="","unmatched person",""))))</f>
        <v/>
      </c>
    </row>
    <row r="197">
      <c r="A197" s="31" t="n"/>
      <c r="B197" s="31" t="n"/>
      <c r="C197" s="31" t="n"/>
      <c r="D197" s="31" t="n"/>
      <c r="E197" s="16">
        <f>IF($A197="","",IF(COUNTIF(Deals!$A$2:$A$355,$A197)&gt;0,$A197,""))</f>
        <v/>
      </c>
      <c r="F197" s="16">
        <f>IF($B197="","",IFERROR(INDEX(Roster!$A$2:$A$40,MATCH($B197,Roster!$A$2:$A$40,0)),IFERROR(IF(INDEX(MapTracker,MATCH($B197,MapNetSuite,0))=0,"",INDEX(MapTracker,MATCH($B197,MapNetSuite,0))),"")))</f>
        <v/>
      </c>
      <c r="G197" s="16">
        <f>IF($F197="","",IFERROR(INDEX(Roster!$B$2:$B$40,MATCH($F197,Roster!$A$2:$A$40,0)),""))</f>
        <v/>
      </c>
      <c r="H197" s="16">
        <f>IF($E197="","",IFERROR(IF(INDEX(Deals!$U$2:$U$355,MATCH($E197,Deals!$A$2:$A$355,0))=0,"",INDEX(Deals!$U$2:$U$355,MATCH($E197,Deals!$A$2:$A$355,0))),""))</f>
        <v/>
      </c>
      <c r="I197" s="18">
        <f>IF(OR($E197="",$F197=""),"",SUMIFS(Assignments!$I$2:$I$769,Assignments!$A$2:$A$769,$F197,Assignments!$C$2:$C$769,$E197))</f>
        <v/>
      </c>
      <c r="J197" s="61">
        <f>IF(OR($E197="",$F197=""),"",$D197-$I197)</f>
        <v/>
      </c>
      <c r="K197" s="20">
        <f>IF($A197="","",IF(AND($E197&lt;&gt;"",$F197&lt;&gt;""),"OK",TRIM(IF($E197="","unmatched code ","")&amp;IF($F197="","unmatched person",""))))</f>
        <v/>
      </c>
    </row>
    <row r="198">
      <c r="A198" s="31" t="n"/>
      <c r="B198" s="31" t="n"/>
      <c r="C198" s="31" t="n"/>
      <c r="D198" s="31" t="n"/>
      <c r="E198" s="16">
        <f>IF($A198="","",IF(COUNTIF(Deals!$A$2:$A$355,$A198)&gt;0,$A198,""))</f>
        <v/>
      </c>
      <c r="F198" s="16">
        <f>IF($B198="","",IFERROR(INDEX(Roster!$A$2:$A$40,MATCH($B198,Roster!$A$2:$A$40,0)),IFERROR(IF(INDEX(MapTracker,MATCH($B198,MapNetSuite,0))=0,"",INDEX(MapTracker,MATCH($B198,MapNetSuite,0))),"")))</f>
        <v/>
      </c>
      <c r="G198" s="16">
        <f>IF($F198="","",IFERROR(INDEX(Roster!$B$2:$B$40,MATCH($F198,Roster!$A$2:$A$40,0)),""))</f>
        <v/>
      </c>
      <c r="H198" s="16">
        <f>IF($E198="","",IFERROR(IF(INDEX(Deals!$U$2:$U$355,MATCH($E198,Deals!$A$2:$A$355,0))=0,"",INDEX(Deals!$U$2:$U$355,MATCH($E198,Deals!$A$2:$A$355,0))),""))</f>
        <v/>
      </c>
      <c r="I198" s="18">
        <f>IF(OR($E198="",$F198=""),"",SUMIFS(Assignments!$I$2:$I$769,Assignments!$A$2:$A$769,$F198,Assignments!$C$2:$C$769,$E198))</f>
        <v/>
      </c>
      <c r="J198" s="61">
        <f>IF(OR($E198="",$F198=""),"",$D198-$I198)</f>
        <v/>
      </c>
      <c r="K198" s="20">
        <f>IF($A198="","",IF(AND($E198&lt;&gt;"",$F198&lt;&gt;""),"OK",TRIM(IF($E198="","unmatched code ","")&amp;IF($F198="","unmatched person",""))))</f>
        <v/>
      </c>
    </row>
    <row r="199">
      <c r="A199" s="31" t="n"/>
      <c r="B199" s="31" t="n"/>
      <c r="C199" s="31" t="n"/>
      <c r="D199" s="31" t="n"/>
      <c r="E199" s="16">
        <f>IF($A199="","",IF(COUNTIF(Deals!$A$2:$A$355,$A199)&gt;0,$A199,""))</f>
        <v/>
      </c>
      <c r="F199" s="16">
        <f>IF($B199="","",IFERROR(INDEX(Roster!$A$2:$A$40,MATCH($B199,Roster!$A$2:$A$40,0)),IFERROR(IF(INDEX(MapTracker,MATCH($B199,MapNetSuite,0))=0,"",INDEX(MapTracker,MATCH($B199,MapNetSuite,0))),"")))</f>
        <v/>
      </c>
      <c r="G199" s="16">
        <f>IF($F199="","",IFERROR(INDEX(Roster!$B$2:$B$40,MATCH($F199,Roster!$A$2:$A$40,0)),""))</f>
        <v/>
      </c>
      <c r="H199" s="16">
        <f>IF($E199="","",IFERROR(IF(INDEX(Deals!$U$2:$U$355,MATCH($E199,Deals!$A$2:$A$355,0))=0,"",INDEX(Deals!$U$2:$U$355,MATCH($E199,Deals!$A$2:$A$355,0))),""))</f>
        <v/>
      </c>
      <c r="I199" s="18">
        <f>IF(OR($E199="",$F199=""),"",SUMIFS(Assignments!$I$2:$I$769,Assignments!$A$2:$A$769,$F199,Assignments!$C$2:$C$769,$E199))</f>
        <v/>
      </c>
      <c r="J199" s="61">
        <f>IF(OR($E199="",$F199=""),"",$D199-$I199)</f>
        <v/>
      </c>
      <c r="K199" s="20">
        <f>IF($A199="","",IF(AND($E199&lt;&gt;"",$F199&lt;&gt;""),"OK",TRIM(IF($E199="","unmatched code ","")&amp;IF($F199="","unmatched person",""))))</f>
        <v/>
      </c>
    </row>
    <row r="200">
      <c r="A200" s="31" t="n"/>
      <c r="B200" s="31" t="n"/>
      <c r="C200" s="31" t="n"/>
      <c r="D200" s="31" t="n"/>
      <c r="E200" s="16">
        <f>IF($A200="","",IF(COUNTIF(Deals!$A$2:$A$355,$A200)&gt;0,$A200,""))</f>
        <v/>
      </c>
      <c r="F200" s="16">
        <f>IF($B200="","",IFERROR(INDEX(Roster!$A$2:$A$40,MATCH($B200,Roster!$A$2:$A$40,0)),IFERROR(IF(INDEX(MapTracker,MATCH($B200,MapNetSuite,0))=0,"",INDEX(MapTracker,MATCH($B200,MapNetSuite,0))),"")))</f>
        <v/>
      </c>
      <c r="G200" s="16">
        <f>IF($F200="","",IFERROR(INDEX(Roster!$B$2:$B$40,MATCH($F200,Roster!$A$2:$A$40,0)),""))</f>
        <v/>
      </c>
      <c r="H200" s="16">
        <f>IF($E200="","",IFERROR(IF(INDEX(Deals!$U$2:$U$355,MATCH($E200,Deals!$A$2:$A$355,0))=0,"",INDEX(Deals!$U$2:$U$355,MATCH($E200,Deals!$A$2:$A$355,0))),""))</f>
        <v/>
      </c>
      <c r="I200" s="18">
        <f>IF(OR($E200="",$F200=""),"",SUMIFS(Assignments!$I$2:$I$769,Assignments!$A$2:$A$769,$F200,Assignments!$C$2:$C$769,$E200))</f>
        <v/>
      </c>
      <c r="J200" s="61">
        <f>IF(OR($E200="",$F200=""),"",$D200-$I200)</f>
        <v/>
      </c>
      <c r="K200" s="20">
        <f>IF($A200="","",IF(AND($E200&lt;&gt;"",$F200&lt;&gt;""),"OK",TRIM(IF($E200="","unmatched code ","")&amp;IF($F200="","unmatched person",""))))</f>
        <v/>
      </c>
    </row>
    <row r="201">
      <c r="A201" s="31" t="n"/>
      <c r="B201" s="31" t="n"/>
      <c r="C201" s="31" t="n"/>
      <c r="D201" s="31" t="n"/>
      <c r="E201" s="16">
        <f>IF($A201="","",IF(COUNTIF(Deals!$A$2:$A$355,$A201)&gt;0,$A201,""))</f>
        <v/>
      </c>
      <c r="F201" s="16">
        <f>IF($B201="","",IFERROR(INDEX(Roster!$A$2:$A$40,MATCH($B201,Roster!$A$2:$A$40,0)),IFERROR(IF(INDEX(MapTracker,MATCH($B201,MapNetSuite,0))=0,"",INDEX(MapTracker,MATCH($B201,MapNetSuite,0))),"")))</f>
        <v/>
      </c>
      <c r="G201" s="16">
        <f>IF($F201="","",IFERROR(INDEX(Roster!$B$2:$B$40,MATCH($F201,Roster!$A$2:$A$40,0)),""))</f>
        <v/>
      </c>
      <c r="H201" s="16">
        <f>IF($E201="","",IFERROR(IF(INDEX(Deals!$U$2:$U$355,MATCH($E201,Deals!$A$2:$A$355,0))=0,"",INDEX(Deals!$U$2:$U$355,MATCH($E201,Deals!$A$2:$A$355,0))),""))</f>
        <v/>
      </c>
      <c r="I201" s="18">
        <f>IF(OR($E201="",$F201=""),"",SUMIFS(Assignments!$I$2:$I$769,Assignments!$A$2:$A$769,$F201,Assignments!$C$2:$C$769,$E201))</f>
        <v/>
      </c>
      <c r="J201" s="61">
        <f>IF(OR($E201="",$F201=""),"",$D201-$I201)</f>
        <v/>
      </c>
      <c r="K201" s="20">
        <f>IF($A201="","",IF(AND($E201&lt;&gt;"",$F201&lt;&gt;""),"OK",TRIM(IF($E201="","unmatched code ","")&amp;IF($F201="","unmatched person",""))))</f>
        <v/>
      </c>
    </row>
    <row r="202">
      <c r="A202" s="31" t="n"/>
      <c r="B202" s="31" t="n"/>
      <c r="C202" s="31" t="n"/>
      <c r="D202" s="31" t="n"/>
      <c r="E202" s="16">
        <f>IF($A202="","",IF(COUNTIF(Deals!$A$2:$A$355,$A202)&gt;0,$A202,""))</f>
        <v/>
      </c>
      <c r="F202" s="16">
        <f>IF($B202="","",IFERROR(INDEX(Roster!$A$2:$A$40,MATCH($B202,Roster!$A$2:$A$40,0)),IFERROR(IF(INDEX(MapTracker,MATCH($B202,MapNetSuite,0))=0,"",INDEX(MapTracker,MATCH($B202,MapNetSuite,0))),"")))</f>
        <v/>
      </c>
      <c r="G202" s="16">
        <f>IF($F202="","",IFERROR(INDEX(Roster!$B$2:$B$40,MATCH($F202,Roster!$A$2:$A$40,0)),""))</f>
        <v/>
      </c>
      <c r="H202" s="16">
        <f>IF($E202="","",IFERROR(IF(INDEX(Deals!$U$2:$U$355,MATCH($E202,Deals!$A$2:$A$355,0))=0,"",INDEX(Deals!$U$2:$U$355,MATCH($E202,Deals!$A$2:$A$355,0))),""))</f>
        <v/>
      </c>
      <c r="I202" s="18">
        <f>IF(OR($E202="",$F202=""),"",SUMIFS(Assignments!$I$2:$I$769,Assignments!$A$2:$A$769,$F202,Assignments!$C$2:$C$769,$E202))</f>
        <v/>
      </c>
      <c r="J202" s="61">
        <f>IF(OR($E202="",$F202=""),"",$D202-$I202)</f>
        <v/>
      </c>
      <c r="K202" s="20">
        <f>IF($A202="","",IF(AND($E202&lt;&gt;"",$F202&lt;&gt;""),"OK",TRIM(IF($E202="","unmatched code ","")&amp;IF($F202="","unmatched person",""))))</f>
        <v/>
      </c>
    </row>
    <row r="203">
      <c r="A203" s="31" t="n"/>
      <c r="B203" s="31" t="n"/>
      <c r="C203" s="31" t="n"/>
      <c r="D203" s="31" t="n"/>
      <c r="E203" s="16">
        <f>IF($A203="","",IF(COUNTIF(Deals!$A$2:$A$355,$A203)&gt;0,$A203,""))</f>
        <v/>
      </c>
      <c r="F203" s="16">
        <f>IF($B203="","",IFERROR(INDEX(Roster!$A$2:$A$40,MATCH($B203,Roster!$A$2:$A$40,0)),IFERROR(IF(INDEX(MapTracker,MATCH($B203,MapNetSuite,0))=0,"",INDEX(MapTracker,MATCH($B203,MapNetSuite,0))),"")))</f>
        <v/>
      </c>
      <c r="G203" s="16">
        <f>IF($F203="","",IFERROR(INDEX(Roster!$B$2:$B$40,MATCH($F203,Roster!$A$2:$A$40,0)),""))</f>
        <v/>
      </c>
      <c r="H203" s="16">
        <f>IF($E203="","",IFERROR(IF(INDEX(Deals!$U$2:$U$355,MATCH($E203,Deals!$A$2:$A$355,0))=0,"",INDEX(Deals!$U$2:$U$355,MATCH($E203,Deals!$A$2:$A$355,0))),""))</f>
        <v/>
      </c>
      <c r="I203" s="18">
        <f>IF(OR($E203="",$F203=""),"",SUMIFS(Assignments!$I$2:$I$769,Assignments!$A$2:$A$769,$F203,Assignments!$C$2:$C$769,$E203))</f>
        <v/>
      </c>
      <c r="J203" s="61">
        <f>IF(OR($E203="",$F203=""),"",$D203-$I203)</f>
        <v/>
      </c>
      <c r="K203" s="20">
        <f>IF($A203="","",IF(AND($E203&lt;&gt;"",$F203&lt;&gt;""),"OK",TRIM(IF($E203="","unmatched code ","")&amp;IF($F203="","unmatched person",""))))</f>
        <v/>
      </c>
    </row>
    <row r="204">
      <c r="A204" s="31" t="n"/>
      <c r="B204" s="31" t="n"/>
      <c r="C204" s="31" t="n"/>
      <c r="D204" s="31" t="n"/>
      <c r="E204" s="16">
        <f>IF($A204="","",IF(COUNTIF(Deals!$A$2:$A$355,$A204)&gt;0,$A204,""))</f>
        <v/>
      </c>
      <c r="F204" s="16">
        <f>IF($B204="","",IFERROR(INDEX(Roster!$A$2:$A$40,MATCH($B204,Roster!$A$2:$A$40,0)),IFERROR(IF(INDEX(MapTracker,MATCH($B204,MapNetSuite,0))=0,"",INDEX(MapTracker,MATCH($B204,MapNetSuite,0))),"")))</f>
        <v/>
      </c>
      <c r="G204" s="16">
        <f>IF($F204="","",IFERROR(INDEX(Roster!$B$2:$B$40,MATCH($F204,Roster!$A$2:$A$40,0)),""))</f>
        <v/>
      </c>
      <c r="H204" s="16">
        <f>IF($E204="","",IFERROR(IF(INDEX(Deals!$U$2:$U$355,MATCH($E204,Deals!$A$2:$A$355,0))=0,"",INDEX(Deals!$U$2:$U$355,MATCH($E204,Deals!$A$2:$A$355,0))),""))</f>
        <v/>
      </c>
      <c r="I204" s="18">
        <f>IF(OR($E204="",$F204=""),"",SUMIFS(Assignments!$I$2:$I$769,Assignments!$A$2:$A$769,$F204,Assignments!$C$2:$C$769,$E204))</f>
        <v/>
      </c>
      <c r="J204" s="61">
        <f>IF(OR($E204="",$F204=""),"",$D204-$I204)</f>
        <v/>
      </c>
      <c r="K204" s="20">
        <f>IF($A204="","",IF(AND($E204&lt;&gt;"",$F204&lt;&gt;""),"OK",TRIM(IF($E204="","unmatched code ","")&amp;IF($F204="","unmatched person",""))))</f>
        <v/>
      </c>
    </row>
    <row r="205">
      <c r="A205" s="31" t="n"/>
      <c r="B205" s="31" t="n"/>
      <c r="C205" s="31" t="n"/>
      <c r="D205" s="31" t="n"/>
      <c r="E205" s="16">
        <f>IF($A205="","",IF(COUNTIF(Deals!$A$2:$A$355,$A205)&gt;0,$A205,""))</f>
        <v/>
      </c>
      <c r="F205" s="16">
        <f>IF($B205="","",IFERROR(INDEX(Roster!$A$2:$A$40,MATCH($B205,Roster!$A$2:$A$40,0)),IFERROR(IF(INDEX(MapTracker,MATCH($B205,MapNetSuite,0))=0,"",INDEX(MapTracker,MATCH($B205,MapNetSuite,0))),"")))</f>
        <v/>
      </c>
      <c r="G205" s="16">
        <f>IF($F205="","",IFERROR(INDEX(Roster!$B$2:$B$40,MATCH($F205,Roster!$A$2:$A$40,0)),""))</f>
        <v/>
      </c>
      <c r="H205" s="16">
        <f>IF($E205="","",IFERROR(IF(INDEX(Deals!$U$2:$U$355,MATCH($E205,Deals!$A$2:$A$355,0))=0,"",INDEX(Deals!$U$2:$U$355,MATCH($E205,Deals!$A$2:$A$355,0))),""))</f>
        <v/>
      </c>
      <c r="I205" s="18">
        <f>IF(OR($E205="",$F205=""),"",SUMIFS(Assignments!$I$2:$I$769,Assignments!$A$2:$A$769,$F205,Assignments!$C$2:$C$769,$E205))</f>
        <v/>
      </c>
      <c r="J205" s="61">
        <f>IF(OR($E205="",$F205=""),"",$D205-$I205)</f>
        <v/>
      </c>
      <c r="K205" s="20">
        <f>IF($A205="","",IF(AND($E205&lt;&gt;"",$F205&lt;&gt;""),"OK",TRIM(IF($E205="","unmatched code ","")&amp;IF($F205="","unmatched person",""))))</f>
        <v/>
      </c>
    </row>
    <row r="206">
      <c r="A206" s="31" t="n"/>
      <c r="B206" s="31" t="n"/>
      <c r="C206" s="31" t="n"/>
      <c r="D206" s="31" t="n"/>
      <c r="E206" s="16">
        <f>IF($A206="","",IF(COUNTIF(Deals!$A$2:$A$355,$A206)&gt;0,$A206,""))</f>
        <v/>
      </c>
      <c r="F206" s="16">
        <f>IF($B206="","",IFERROR(INDEX(Roster!$A$2:$A$40,MATCH($B206,Roster!$A$2:$A$40,0)),IFERROR(IF(INDEX(MapTracker,MATCH($B206,MapNetSuite,0))=0,"",INDEX(MapTracker,MATCH($B206,MapNetSuite,0))),"")))</f>
        <v/>
      </c>
      <c r="G206" s="16">
        <f>IF($F206="","",IFERROR(INDEX(Roster!$B$2:$B$40,MATCH($F206,Roster!$A$2:$A$40,0)),""))</f>
        <v/>
      </c>
      <c r="H206" s="16">
        <f>IF($E206="","",IFERROR(IF(INDEX(Deals!$U$2:$U$355,MATCH($E206,Deals!$A$2:$A$355,0))=0,"",INDEX(Deals!$U$2:$U$355,MATCH($E206,Deals!$A$2:$A$355,0))),""))</f>
        <v/>
      </c>
      <c r="I206" s="18">
        <f>IF(OR($E206="",$F206=""),"",SUMIFS(Assignments!$I$2:$I$769,Assignments!$A$2:$A$769,$F206,Assignments!$C$2:$C$769,$E206))</f>
        <v/>
      </c>
      <c r="J206" s="61">
        <f>IF(OR($E206="",$F206=""),"",$D206-$I206)</f>
        <v/>
      </c>
      <c r="K206" s="20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5" t="inlineStr">
        <is>
          <t>Project code</t>
        </is>
      </c>
      <c r="B4" s="15" t="inlineStr">
        <is>
          <t>Planned hrs/wk (est)</t>
        </is>
      </c>
      <c r="C4" s="15" t="inlineStr">
        <is>
          <t>Actual hrs</t>
        </is>
      </c>
      <c r="D4" s="15" t="inlineStr">
        <is>
          <t>Planned (logged wks)</t>
        </is>
      </c>
      <c r="E4" s="15" t="inlineStr">
        <is>
          <t>Variance hrs</t>
        </is>
      </c>
      <c r="F4" s="15" t="inlineStr">
        <is>
          <t>Actual/Planned</t>
        </is>
      </c>
      <c r="H4" s="12" t="inlineStr">
        <is>
          <t>Calibration by level</t>
        </is>
      </c>
    </row>
    <row r="5">
      <c r="A5" s="16">
        <f>IF(Deals!$A2="","",Deals!$A2)</f>
        <v/>
      </c>
      <c r="B5" s="18">
        <f>IF($A5="","",Deals!$R2)</f>
        <v/>
      </c>
      <c r="C5" s="63">
        <f>IF($A5="","",SUMIFS(Actuals!$D$7:$D$206,Actuals!$E$7:$E$206,$A5,Actuals!$K$7:$K$206,"OK"))</f>
        <v/>
      </c>
      <c r="D5" s="63">
        <f>IF($A5="","",SUMIFS(Actuals!$I$7:$I$206,Actuals!$E$7:$E$206,$A5,Actuals!$K$7:$K$206,"OK"))</f>
        <v/>
      </c>
      <c r="E5" s="64">
        <f>IF($A5="","",$C5-$D5)</f>
        <v/>
      </c>
      <c r="F5" s="65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6">
        <f>IF(Deals!$A3="","",Deals!$A3)</f>
        <v/>
      </c>
      <c r="B6" s="18">
        <f>IF($A6="","",Deals!$R3)</f>
        <v/>
      </c>
      <c r="C6" s="63">
        <f>IF($A6="","",SUMIFS(Actuals!$D$7:$D$206,Actuals!$E$7:$E$206,$A6,Actuals!$K$7:$K$206,"OK"))</f>
        <v/>
      </c>
      <c r="D6" s="63">
        <f>IF($A6="","",SUMIFS(Actuals!$I$7:$I$206,Actuals!$E$7:$E$206,$A6,Actuals!$K$7:$K$206,"OK"))</f>
        <v/>
      </c>
      <c r="E6" s="64">
        <f>IF($A6="","",$C6-$D6)</f>
        <v/>
      </c>
      <c r="F6" s="65">
        <f>IF(OR($A6="",$D6=0),"",$C6/$D6)</f>
        <v/>
      </c>
      <c r="H6" s="52" t="inlineStr">
        <is>
          <t>Partner</t>
        </is>
      </c>
      <c r="I6" s="66">
        <f>SUMIFS(Actuals!$D$7:$D$206,Actuals!$G$7:$G$206,$H6,Actuals!$K$7:$K$206,"OK")</f>
        <v/>
      </c>
      <c r="J6" s="66">
        <f>SUMIFS(Actuals!$I$7:$I$206,Actuals!$G$7:$G$206,$H6,Actuals!$K$7:$K$206,"OK")</f>
        <v/>
      </c>
      <c r="K6" s="67">
        <f>IF($J6=0,"",$I6/$J6)</f>
        <v/>
      </c>
      <c r="L6" s="6">
        <f>IF($J6=0,"",IF($K6&gt;1.1,"under-est (raise)",IF($K6&lt;0.9,"over-est (lower)","about right")))</f>
        <v/>
      </c>
    </row>
    <row r="7">
      <c r="A7" s="16">
        <f>IF(Deals!$A4="","",Deals!$A4)</f>
        <v/>
      </c>
      <c r="B7" s="18">
        <f>IF($A7="","",Deals!$R4)</f>
        <v/>
      </c>
      <c r="C7" s="63">
        <f>IF($A7="","",SUMIFS(Actuals!$D$7:$D$206,Actuals!$E$7:$E$206,$A7,Actuals!$K$7:$K$206,"OK"))</f>
        <v/>
      </c>
      <c r="D7" s="63">
        <f>IF($A7="","",SUMIFS(Actuals!$I$7:$I$206,Actuals!$E$7:$E$206,$A7,Actuals!$K$7:$K$206,"OK"))</f>
        <v/>
      </c>
      <c r="E7" s="64">
        <f>IF($A7="","",$C7-$D7)</f>
        <v/>
      </c>
      <c r="F7" s="65">
        <f>IF(OR($A7="",$D7=0),"",$C7/$D7)</f>
        <v/>
      </c>
      <c r="H7" s="52" t="inlineStr">
        <is>
          <t>MD</t>
        </is>
      </c>
      <c r="I7" s="66">
        <f>SUMIFS(Actuals!$D$7:$D$206,Actuals!$G$7:$G$206,$H7,Actuals!$K$7:$K$206,"OK")</f>
        <v/>
      </c>
      <c r="J7" s="66">
        <f>SUMIFS(Actuals!$I$7:$I$206,Actuals!$G$7:$G$206,$H7,Actuals!$K$7:$K$206,"OK")</f>
        <v/>
      </c>
      <c r="K7" s="67">
        <f>IF($J7=0,"",$I7/$J7)</f>
        <v/>
      </c>
      <c r="L7" s="6">
        <f>IF($J7=0,"",IF($K7&gt;1.1,"under-est (raise)",IF($K7&lt;0.9,"over-est (lower)","about right")))</f>
        <v/>
      </c>
    </row>
    <row r="8">
      <c r="A8" s="16">
        <f>IF(Deals!$A5="","",Deals!$A5)</f>
        <v/>
      </c>
      <c r="B8" s="18">
        <f>IF($A8="","",Deals!$R5)</f>
        <v/>
      </c>
      <c r="C8" s="63">
        <f>IF($A8="","",SUMIFS(Actuals!$D$7:$D$206,Actuals!$E$7:$E$206,$A8,Actuals!$K$7:$K$206,"OK"))</f>
        <v/>
      </c>
      <c r="D8" s="63">
        <f>IF($A8="","",SUMIFS(Actuals!$I$7:$I$206,Actuals!$E$7:$E$206,$A8,Actuals!$K$7:$K$206,"OK"))</f>
        <v/>
      </c>
      <c r="E8" s="64">
        <f>IF($A8="","",$C8-$D8)</f>
        <v/>
      </c>
      <c r="F8" s="65">
        <f>IF(OR($A8="",$D8=0),"",$C8/$D8)</f>
        <v/>
      </c>
      <c r="H8" s="52" t="inlineStr">
        <is>
          <t>Director</t>
        </is>
      </c>
      <c r="I8" s="66">
        <f>SUMIFS(Actuals!$D$7:$D$206,Actuals!$G$7:$G$206,$H8,Actuals!$K$7:$K$206,"OK")</f>
        <v/>
      </c>
      <c r="J8" s="66">
        <f>SUMIFS(Actuals!$I$7:$I$206,Actuals!$G$7:$G$206,$H8,Actuals!$K$7:$K$206,"OK")</f>
        <v/>
      </c>
      <c r="K8" s="67">
        <f>IF($J8=0,"",$I8/$J8)</f>
        <v/>
      </c>
      <c r="L8" s="6">
        <f>IF($J8=0,"",IF($K8&gt;1.1,"under-est (raise)",IF($K8&lt;0.9,"over-est (lower)","about right")))</f>
        <v/>
      </c>
    </row>
    <row r="9">
      <c r="A9" s="16">
        <f>IF(Deals!$A6="","",Deals!$A6)</f>
        <v/>
      </c>
      <c r="B9" s="18">
        <f>IF($A9="","",Deals!$R6)</f>
        <v/>
      </c>
      <c r="C9" s="63">
        <f>IF($A9="","",SUMIFS(Actuals!$D$7:$D$206,Actuals!$E$7:$E$206,$A9,Actuals!$K$7:$K$206,"OK"))</f>
        <v/>
      </c>
      <c r="D9" s="63">
        <f>IF($A9="","",SUMIFS(Actuals!$I$7:$I$206,Actuals!$E$7:$E$206,$A9,Actuals!$K$7:$K$206,"OK"))</f>
        <v/>
      </c>
      <c r="E9" s="64">
        <f>IF($A9="","",$C9-$D9)</f>
        <v/>
      </c>
      <c r="F9" s="65">
        <f>IF(OR($A9="",$D9=0),"",$C9/$D9)</f>
        <v/>
      </c>
      <c r="H9" s="52" t="inlineStr">
        <is>
          <t>VP</t>
        </is>
      </c>
      <c r="I9" s="66">
        <f>SUMIFS(Actuals!$D$7:$D$206,Actuals!$G$7:$G$206,$H9,Actuals!$K$7:$K$206,"OK")</f>
        <v/>
      </c>
      <c r="J9" s="66">
        <f>SUMIFS(Actuals!$I$7:$I$206,Actuals!$G$7:$G$206,$H9,Actuals!$K$7:$K$206,"OK")</f>
        <v/>
      </c>
      <c r="K9" s="67">
        <f>IF($J9=0,"",$I9/$J9)</f>
        <v/>
      </c>
      <c r="L9" s="6">
        <f>IF($J9=0,"",IF($K9&gt;1.1,"under-est (raise)",IF($K9&lt;0.9,"over-est (lower)","about right")))</f>
        <v/>
      </c>
    </row>
    <row r="10">
      <c r="A10" s="16">
        <f>IF(Deals!$A7="","",Deals!$A7)</f>
        <v/>
      </c>
      <c r="B10" s="18">
        <f>IF($A10="","",Deals!$R7)</f>
        <v/>
      </c>
      <c r="C10" s="63">
        <f>IF($A10="","",SUMIFS(Actuals!$D$7:$D$206,Actuals!$E$7:$E$206,$A10,Actuals!$K$7:$K$206,"OK"))</f>
        <v/>
      </c>
      <c r="D10" s="63">
        <f>IF($A10="","",SUMIFS(Actuals!$I$7:$I$206,Actuals!$E$7:$E$206,$A10,Actuals!$K$7:$K$206,"OK"))</f>
        <v/>
      </c>
      <c r="E10" s="64">
        <f>IF($A10="","",$C10-$D10)</f>
        <v/>
      </c>
      <c r="F10" s="65">
        <f>IF(OR($A10="",$D10=0),"",$C10/$D10)</f>
        <v/>
      </c>
      <c r="H10" s="52" t="inlineStr">
        <is>
          <t>Senior Associate</t>
        </is>
      </c>
      <c r="I10" s="66">
        <f>SUMIFS(Actuals!$D$7:$D$206,Actuals!$G$7:$G$206,$H10,Actuals!$K$7:$K$206,"OK")</f>
        <v/>
      </c>
      <c r="J10" s="66">
        <f>SUMIFS(Actuals!$I$7:$I$206,Actuals!$G$7:$G$206,$H10,Actuals!$K$7:$K$206,"OK")</f>
        <v/>
      </c>
      <c r="K10" s="67">
        <f>IF($J10=0,"",$I10/$J10)</f>
        <v/>
      </c>
      <c r="L10" s="6">
        <f>IF($J10=0,"",IF($K10&gt;1.1,"under-est (raise)",IF($K10&lt;0.9,"over-est (lower)","about right")))</f>
        <v/>
      </c>
    </row>
    <row r="11">
      <c r="A11" s="16">
        <f>IF(Deals!$A8="","",Deals!$A8)</f>
        <v/>
      </c>
      <c r="B11" s="18">
        <f>IF($A11="","",Deals!$R8)</f>
        <v/>
      </c>
      <c r="C11" s="63">
        <f>IF($A11="","",SUMIFS(Actuals!$D$7:$D$206,Actuals!$E$7:$E$206,$A11,Actuals!$K$7:$K$206,"OK"))</f>
        <v/>
      </c>
      <c r="D11" s="63">
        <f>IF($A11="","",SUMIFS(Actuals!$I$7:$I$206,Actuals!$E$7:$E$206,$A11,Actuals!$K$7:$K$206,"OK"))</f>
        <v/>
      </c>
      <c r="E11" s="64">
        <f>IF($A11="","",$C11-$D11)</f>
        <v/>
      </c>
      <c r="F11" s="65">
        <f>IF(OR($A11="",$D11=0),"",$C11/$D11)</f>
        <v/>
      </c>
      <c r="H11" s="52" t="inlineStr">
        <is>
          <t>Renewable Specialist</t>
        </is>
      </c>
      <c r="I11" s="66">
        <f>SUMIFS(Actuals!$D$7:$D$206,Actuals!$G$7:$G$206,$H11,Actuals!$K$7:$K$206,"OK")</f>
        <v/>
      </c>
      <c r="J11" s="66">
        <f>SUMIFS(Actuals!$I$7:$I$206,Actuals!$G$7:$G$206,$H11,Actuals!$K$7:$K$206,"OK")</f>
        <v/>
      </c>
      <c r="K11" s="67">
        <f>IF($J11=0,"",$I11/$J11)</f>
        <v/>
      </c>
      <c r="L11" s="6">
        <f>IF($J11=0,"",IF($K11&gt;1.1,"under-est (raise)",IF($K11&lt;0.9,"over-est (lower)","about right")))</f>
        <v/>
      </c>
    </row>
    <row r="12">
      <c r="A12" s="16">
        <f>IF(Deals!$A9="","",Deals!$A9)</f>
        <v/>
      </c>
      <c r="B12" s="18">
        <f>IF($A12="","",Deals!$R9)</f>
        <v/>
      </c>
      <c r="C12" s="63">
        <f>IF($A12="","",SUMIFS(Actuals!$D$7:$D$206,Actuals!$E$7:$E$206,$A12,Actuals!$K$7:$K$206,"OK"))</f>
        <v/>
      </c>
      <c r="D12" s="63">
        <f>IF($A12="","",SUMIFS(Actuals!$I$7:$I$206,Actuals!$E$7:$E$206,$A12,Actuals!$K$7:$K$206,"OK"))</f>
        <v/>
      </c>
      <c r="E12" s="64">
        <f>IF($A12="","",$C12-$D12)</f>
        <v/>
      </c>
      <c r="F12" s="65">
        <f>IF(OR($A12="",$D12=0),"",$C12/$D12)</f>
        <v/>
      </c>
      <c r="H12" s="52" t="inlineStr">
        <is>
          <t>Associate</t>
        </is>
      </c>
      <c r="I12" s="66">
        <f>SUMIFS(Actuals!$D$7:$D$206,Actuals!$G$7:$G$206,$H12,Actuals!$K$7:$K$206,"OK")</f>
        <v/>
      </c>
      <c r="J12" s="66">
        <f>SUMIFS(Actuals!$I$7:$I$206,Actuals!$G$7:$G$206,$H12,Actuals!$K$7:$K$206,"OK")</f>
        <v/>
      </c>
      <c r="K12" s="67">
        <f>IF($J12=0,"",$I12/$J12)</f>
        <v/>
      </c>
      <c r="L12" s="6">
        <f>IF($J12=0,"",IF($K12&gt;1.1,"under-est (raise)",IF($K12&lt;0.9,"over-est (lower)","about right")))</f>
        <v/>
      </c>
    </row>
    <row r="13">
      <c r="A13" s="16">
        <f>IF(Deals!$A10="","",Deals!$A10)</f>
        <v/>
      </c>
      <c r="B13" s="18">
        <f>IF($A13="","",Deals!$R10)</f>
        <v/>
      </c>
      <c r="C13" s="63">
        <f>IF($A13="","",SUMIFS(Actuals!$D$7:$D$206,Actuals!$E$7:$E$206,$A13,Actuals!$K$7:$K$206,"OK"))</f>
        <v/>
      </c>
      <c r="D13" s="63">
        <f>IF($A13="","",SUMIFS(Actuals!$I$7:$I$206,Actuals!$E$7:$E$206,$A13,Actuals!$K$7:$K$206,"OK"))</f>
        <v/>
      </c>
      <c r="E13" s="64">
        <f>IF($A13="","",$C13-$D13)</f>
        <v/>
      </c>
      <c r="F13" s="65">
        <f>IF(OR($A13="",$D13=0),"",$C13/$D13)</f>
        <v/>
      </c>
    </row>
    <row r="14">
      <c r="A14" s="16">
        <f>IF(Deals!$A11="","",Deals!$A11)</f>
        <v/>
      </c>
      <c r="B14" s="18">
        <f>IF($A14="","",Deals!$R11)</f>
        <v/>
      </c>
      <c r="C14" s="63">
        <f>IF($A14="","",SUMIFS(Actuals!$D$7:$D$206,Actuals!$E$7:$E$206,$A14,Actuals!$K$7:$K$206,"OK"))</f>
        <v/>
      </c>
      <c r="D14" s="63">
        <f>IF($A14="","",SUMIFS(Actuals!$I$7:$I$206,Actuals!$E$7:$E$206,$A14,Actuals!$K$7:$K$206,"OK"))</f>
        <v/>
      </c>
      <c r="E14" s="64">
        <f>IF($A14="","",$C14-$D14)</f>
        <v/>
      </c>
      <c r="F14" s="65">
        <f>IF(OR($A14="",$D14=0),"",$C14/$D14)</f>
        <v/>
      </c>
      <c r="H14" s="12" t="inlineStr">
        <is>
          <t>Calibration by archetype</t>
        </is>
      </c>
    </row>
    <row r="15">
      <c r="A15" s="16">
        <f>IF(Deals!$A12="","",Deals!$A12)</f>
        <v/>
      </c>
      <c r="B15" s="18">
        <f>IF($A15="","",Deals!$R12)</f>
        <v/>
      </c>
      <c r="C15" s="63">
        <f>IF($A15="","",SUMIFS(Actuals!$D$7:$D$206,Actuals!$E$7:$E$206,$A15,Actuals!$K$7:$K$206,"OK"))</f>
        <v/>
      </c>
      <c r="D15" s="63">
        <f>IF($A15="","",SUMIFS(Actuals!$I$7:$I$206,Actuals!$E$7:$E$206,$A15,Actuals!$K$7:$K$206,"OK"))</f>
        <v/>
      </c>
      <c r="E15" s="64">
        <f>IF($A15="","",$C15-$D15)</f>
        <v/>
      </c>
      <c r="F15" s="65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6">
        <f>IF(Deals!$A13="","",Deals!$A13)</f>
        <v/>
      </c>
      <c r="B16" s="18">
        <f>IF($A16="","",Deals!$R13)</f>
        <v/>
      </c>
      <c r="C16" s="63">
        <f>IF($A16="","",SUMIFS(Actuals!$D$7:$D$206,Actuals!$E$7:$E$206,$A16,Actuals!$K$7:$K$206,"OK"))</f>
        <v/>
      </c>
      <c r="D16" s="63">
        <f>IF($A16="","",SUMIFS(Actuals!$I$7:$I$206,Actuals!$E$7:$E$206,$A16,Actuals!$K$7:$K$206,"OK"))</f>
        <v/>
      </c>
      <c r="E16" s="64">
        <f>IF($A16="","",$C16-$D16)</f>
        <v/>
      </c>
      <c r="F16" s="65">
        <f>IF(OR($A16="",$D16=0),"",$C16/$D16)</f>
        <v/>
      </c>
      <c r="H16" s="52" t="inlineStr">
        <is>
          <t>Buy-side TDD (corp / stock)</t>
        </is>
      </c>
      <c r="I16" s="66">
        <f>SUMIFS(Actuals!$D$7:$D$206,Actuals!$H$7:$H$206,$H16,Actuals!$K$7:$K$206,"OK")</f>
        <v/>
      </c>
      <c r="J16" s="66">
        <f>SUMIFS(Actuals!$I$7:$I$206,Actuals!$H$7:$H$206,$H16,Actuals!$K$7:$K$206,"OK")</f>
        <v/>
      </c>
      <c r="K16" s="67">
        <f>IF($J16=0,"",$I16/$J16)</f>
        <v/>
      </c>
    </row>
    <row r="17">
      <c r="A17" s="16">
        <f>IF(Deals!$A14="","",Deals!$A14)</f>
        <v/>
      </c>
      <c r="B17" s="18">
        <f>IF($A17="","",Deals!$R14)</f>
        <v/>
      </c>
      <c r="C17" s="63">
        <f>IF($A17="","",SUMIFS(Actuals!$D$7:$D$206,Actuals!$E$7:$E$206,$A17,Actuals!$K$7:$K$206,"OK"))</f>
        <v/>
      </c>
      <c r="D17" s="63">
        <f>IF($A17="","",SUMIFS(Actuals!$I$7:$I$206,Actuals!$E$7:$E$206,$A17,Actuals!$K$7:$K$206,"OK"))</f>
        <v/>
      </c>
      <c r="E17" s="64">
        <f>IF($A17="","",$C17-$D17)</f>
        <v/>
      </c>
      <c r="F17" s="65">
        <f>IF(OR($A17="",$D17=0),"",$C17/$D17)</f>
        <v/>
      </c>
      <c r="H17" s="52" t="inlineStr">
        <is>
          <t>Buy-side TDD + Structuring</t>
        </is>
      </c>
      <c r="I17" s="66">
        <f>SUMIFS(Actuals!$D$7:$D$206,Actuals!$H$7:$H$206,$H17,Actuals!$K$7:$K$206,"OK")</f>
        <v/>
      </c>
      <c r="J17" s="66">
        <f>SUMIFS(Actuals!$I$7:$I$206,Actuals!$H$7:$H$206,$H17,Actuals!$K$7:$K$206,"OK")</f>
        <v/>
      </c>
      <c r="K17" s="67">
        <f>IF($J17=0,"",$I17/$J17)</f>
        <v/>
      </c>
    </row>
    <row r="18">
      <c r="A18" s="16">
        <f>IF(Deals!$A15="","",Deals!$A15)</f>
        <v/>
      </c>
      <c r="B18" s="18">
        <f>IF($A18="","",Deals!$R15)</f>
        <v/>
      </c>
      <c r="C18" s="63">
        <f>IF($A18="","",SUMIFS(Actuals!$D$7:$D$206,Actuals!$E$7:$E$206,$A18,Actuals!$K$7:$K$206,"OK"))</f>
        <v/>
      </c>
      <c r="D18" s="63">
        <f>IF($A18="","",SUMIFS(Actuals!$I$7:$I$206,Actuals!$E$7:$E$206,$A18,Actuals!$K$7:$K$206,"OK"))</f>
        <v/>
      </c>
      <c r="E18" s="64">
        <f>IF($A18="","",$C18-$D18)</f>
        <v/>
      </c>
      <c r="F18" s="65">
        <f>IF(OR($A18="",$D18=0),"",$C18/$D18)</f>
        <v/>
      </c>
      <c r="H18" s="52" t="inlineStr">
        <is>
          <t>Sell-side / VDD</t>
        </is>
      </c>
      <c r="I18" s="66">
        <f>SUMIFS(Actuals!$D$7:$D$206,Actuals!$H$7:$H$206,$H18,Actuals!$K$7:$K$206,"OK")</f>
        <v/>
      </c>
      <c r="J18" s="66">
        <f>SUMIFS(Actuals!$I$7:$I$206,Actuals!$H$7:$H$206,$H18,Actuals!$K$7:$K$206,"OK")</f>
        <v/>
      </c>
      <c r="K18" s="67">
        <f>IF($J18=0,"",$I18/$J18)</f>
        <v/>
      </c>
    </row>
    <row r="19">
      <c r="A19" s="16">
        <f>IF(Deals!$A16="","",Deals!$A16)</f>
        <v/>
      </c>
      <c r="B19" s="18">
        <f>IF($A19="","",Deals!$R16)</f>
        <v/>
      </c>
      <c r="C19" s="63">
        <f>IF($A19="","",SUMIFS(Actuals!$D$7:$D$206,Actuals!$E$7:$E$206,$A19,Actuals!$K$7:$K$206,"OK"))</f>
        <v/>
      </c>
      <c r="D19" s="63">
        <f>IF($A19="","",SUMIFS(Actuals!$I$7:$I$206,Actuals!$E$7:$E$206,$A19,Actuals!$K$7:$K$206,"OK"))</f>
        <v/>
      </c>
      <c r="E19" s="64">
        <f>IF($A19="","",$C19-$D19)</f>
        <v/>
      </c>
      <c r="F19" s="65">
        <f>IF(OR($A19="",$D19=0),"",$C19/$D19)</f>
        <v/>
      </c>
      <c r="H19" s="52" t="inlineStr">
        <is>
          <t>Structuring only (back-loaded)</t>
        </is>
      </c>
      <c r="I19" s="66">
        <f>SUMIFS(Actuals!$D$7:$D$206,Actuals!$H$7:$H$206,$H19,Actuals!$K$7:$K$206,"OK")</f>
        <v/>
      </c>
      <c r="J19" s="66">
        <f>SUMIFS(Actuals!$I$7:$I$206,Actuals!$H$7:$H$206,$H19,Actuals!$K$7:$K$206,"OK")</f>
        <v/>
      </c>
      <c r="K19" s="67">
        <f>IF($J19=0,"",$I19/$J19)</f>
        <v/>
      </c>
    </row>
    <row r="20">
      <c r="A20" s="16">
        <f>IF(Deals!$A17="","",Deals!$A17)</f>
        <v/>
      </c>
      <c r="B20" s="18">
        <f>IF($A20="","",Deals!$R17)</f>
        <v/>
      </c>
      <c r="C20" s="63">
        <f>IF($A20="","",SUMIFS(Actuals!$D$7:$D$206,Actuals!$E$7:$E$206,$A20,Actuals!$K$7:$K$206,"OK"))</f>
        <v/>
      </c>
      <c r="D20" s="63">
        <f>IF($A20="","",SUMIFS(Actuals!$I$7:$I$206,Actuals!$E$7:$E$206,$A20,Actuals!$K$7:$K$206,"OK"))</f>
        <v/>
      </c>
      <c r="E20" s="64">
        <f>IF($A20="","",$C20-$D20)</f>
        <v/>
      </c>
      <c r="F20" s="65">
        <f>IF(OR($A20="",$D20=0),"",$C20/$D20)</f>
        <v/>
      </c>
      <c r="H20" s="52" t="inlineStr">
        <is>
          <t>Tax equity / PW&amp;A (renewable)</t>
        </is>
      </c>
      <c r="I20" s="66">
        <f>SUMIFS(Actuals!$D$7:$D$206,Actuals!$H$7:$H$206,$H20,Actuals!$K$7:$K$206,"OK")</f>
        <v/>
      </c>
      <c r="J20" s="66">
        <f>SUMIFS(Actuals!$I$7:$I$206,Actuals!$H$7:$H$206,$H20,Actuals!$K$7:$K$206,"OK")</f>
        <v/>
      </c>
      <c r="K20" s="67">
        <f>IF($J20=0,"",$I20/$J20)</f>
        <v/>
      </c>
    </row>
    <row r="21">
      <c r="A21" s="16">
        <f>IF(Deals!$A18="","",Deals!$A18)</f>
        <v/>
      </c>
      <c r="B21" s="18">
        <f>IF($A21="","",Deals!$R18)</f>
        <v/>
      </c>
      <c r="C21" s="63">
        <f>IF($A21="","",SUMIFS(Actuals!$D$7:$D$206,Actuals!$E$7:$E$206,$A21,Actuals!$K$7:$K$206,"OK"))</f>
        <v/>
      </c>
      <c r="D21" s="63">
        <f>IF($A21="","",SUMIFS(Actuals!$I$7:$I$206,Actuals!$E$7:$E$206,$A21,Actuals!$K$7:$K$206,"OK"))</f>
        <v/>
      </c>
      <c r="E21" s="64">
        <f>IF($A21="","",$C21-$D21)</f>
        <v/>
      </c>
      <c r="F21" s="65">
        <f>IF(OR($A21="",$D21=0),"",$C21/$D21)</f>
        <v/>
      </c>
      <c r="H21" s="52" t="inlineStr">
        <is>
          <t>FIRPTA / cross-border</t>
        </is>
      </c>
      <c r="I21" s="66">
        <f>SUMIFS(Actuals!$D$7:$D$206,Actuals!$H$7:$H$206,$H21,Actuals!$K$7:$K$206,"OK")</f>
        <v/>
      </c>
      <c r="J21" s="66">
        <f>SUMIFS(Actuals!$I$7:$I$206,Actuals!$H$7:$H$206,$H21,Actuals!$K$7:$K$206,"OK")</f>
        <v/>
      </c>
      <c r="K21" s="67">
        <f>IF($J21=0,"",$I21/$J21)</f>
        <v/>
      </c>
    </row>
    <row r="22">
      <c r="A22" s="16">
        <f>IF(Deals!$A19="","",Deals!$A19)</f>
        <v/>
      </c>
      <c r="B22" s="18">
        <f>IF($A22="","",Deals!$R19)</f>
        <v/>
      </c>
      <c r="C22" s="63">
        <f>IF($A22="","",SUMIFS(Actuals!$D$7:$D$206,Actuals!$E$7:$E$206,$A22,Actuals!$K$7:$K$206,"OK"))</f>
        <v/>
      </c>
      <c r="D22" s="63">
        <f>IF($A22="","",SUMIFS(Actuals!$I$7:$I$206,Actuals!$E$7:$E$206,$A22,Actuals!$K$7:$K$206,"OK"))</f>
        <v/>
      </c>
      <c r="E22" s="64">
        <f>IF($A22="","",$C22-$D22)</f>
        <v/>
      </c>
      <c r="F22" s="65">
        <f>IF(OR($A22="",$D22=0),"",$C22/$D22)</f>
        <v/>
      </c>
      <c r="H22" s="52" t="inlineStr">
        <is>
          <t>Modeling / QoT support</t>
        </is>
      </c>
      <c r="I22" s="66">
        <f>SUMIFS(Actuals!$D$7:$D$206,Actuals!$H$7:$H$206,$H22,Actuals!$K$7:$K$206,"OK")</f>
        <v/>
      </c>
      <c r="J22" s="66">
        <f>SUMIFS(Actuals!$I$7:$I$206,Actuals!$H$7:$H$206,$H22,Actuals!$K$7:$K$206,"OK")</f>
        <v/>
      </c>
      <c r="K22" s="67">
        <f>IF($J22=0,"",$I22/$J22)</f>
        <v/>
      </c>
    </row>
    <row r="23">
      <c r="A23" s="16">
        <f>IF(Deals!$A20="","",Deals!$A20)</f>
        <v/>
      </c>
      <c r="B23" s="18">
        <f>IF($A23="","",Deals!$R20)</f>
        <v/>
      </c>
      <c r="C23" s="63">
        <f>IF($A23="","",SUMIFS(Actuals!$D$7:$D$206,Actuals!$E$7:$E$206,$A23,Actuals!$K$7:$K$206,"OK"))</f>
        <v/>
      </c>
      <c r="D23" s="63">
        <f>IF($A23="","",SUMIFS(Actuals!$I$7:$I$206,Actuals!$E$7:$E$206,$A23,Actuals!$K$7:$K$206,"OK"))</f>
        <v/>
      </c>
      <c r="E23" s="64">
        <f>IF($A23="","",$C23-$D23)</f>
        <v/>
      </c>
      <c r="F23" s="65">
        <f>IF(OR($A23="",$D23=0),"",$C23/$D23)</f>
        <v/>
      </c>
      <c r="H23" s="52" t="inlineStr">
        <is>
          <t>Ad-hoc / advisory (light)</t>
        </is>
      </c>
      <c r="I23" s="66">
        <f>SUMIFS(Actuals!$D$7:$D$206,Actuals!$H$7:$H$206,$H23,Actuals!$K$7:$K$206,"OK")</f>
        <v/>
      </c>
      <c r="J23" s="66">
        <f>SUMIFS(Actuals!$I$7:$I$206,Actuals!$H$7:$H$206,$H23,Actuals!$K$7:$K$206,"OK")</f>
        <v/>
      </c>
      <c r="K23" s="67">
        <f>IF($J23=0,"",$I23/$J23)</f>
        <v/>
      </c>
    </row>
    <row r="24">
      <c r="A24" s="16">
        <f>IF(Deals!$A21="","",Deals!$A21)</f>
        <v/>
      </c>
      <c r="B24" s="18">
        <f>IF($A24="","",Deals!$R21)</f>
        <v/>
      </c>
      <c r="C24" s="63">
        <f>IF($A24="","",SUMIFS(Actuals!$D$7:$D$206,Actuals!$E$7:$E$206,$A24,Actuals!$K$7:$K$206,"OK"))</f>
        <v/>
      </c>
      <c r="D24" s="63">
        <f>IF($A24="","",SUMIFS(Actuals!$I$7:$I$206,Actuals!$E$7:$E$206,$A24,Actuals!$K$7:$K$206,"OK"))</f>
        <v/>
      </c>
      <c r="E24" s="64">
        <f>IF($A24="","",$C24-$D24)</f>
        <v/>
      </c>
      <c r="F24" s="65">
        <f>IF(OR($A24="",$D24=0),"",$C24/$D24)</f>
        <v/>
      </c>
    </row>
    <row r="25">
      <c r="A25" s="16">
        <f>IF(Deals!$A22="","",Deals!$A22)</f>
        <v/>
      </c>
      <c r="B25" s="18">
        <f>IF($A25="","",Deals!$R22)</f>
        <v/>
      </c>
      <c r="C25" s="63">
        <f>IF($A25="","",SUMIFS(Actuals!$D$7:$D$206,Actuals!$E$7:$E$206,$A25,Actuals!$K$7:$K$206,"OK"))</f>
        <v/>
      </c>
      <c r="D25" s="63">
        <f>IF($A25="","",SUMIFS(Actuals!$I$7:$I$206,Actuals!$E$7:$E$206,$A25,Actuals!$K$7:$K$206,"OK"))</f>
        <v/>
      </c>
      <c r="E25" s="64">
        <f>IF($A25="","",$C25-$D25)</f>
        <v/>
      </c>
      <c r="F25" s="65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16">
        <f>IF(Deals!$A23="","",Deals!$A23)</f>
        <v/>
      </c>
      <c r="B26" s="18">
        <f>IF($A26="","",Deals!$R23)</f>
        <v/>
      </c>
      <c r="C26" s="63">
        <f>IF($A26="","",SUMIFS(Actuals!$D$7:$D$206,Actuals!$E$7:$E$206,$A26,Actuals!$K$7:$K$206,"OK"))</f>
        <v/>
      </c>
      <c r="D26" s="63">
        <f>IF($A26="","",SUMIFS(Actuals!$I$7:$I$206,Actuals!$E$7:$E$206,$A26,Actuals!$K$7:$K$206,"OK"))</f>
        <v/>
      </c>
      <c r="E26" s="64">
        <f>IF($A26="","",$C26-$D26)</f>
        <v/>
      </c>
      <c r="F26" s="65">
        <f>IF(OR($A26="",$D26=0),"",$C26/$D26)</f>
        <v/>
      </c>
    </row>
    <row r="27">
      <c r="A27" s="16">
        <f>IF(Deals!$A24="","",Deals!$A24)</f>
        <v/>
      </c>
      <c r="B27" s="18">
        <f>IF($A27="","",Deals!$R24)</f>
        <v/>
      </c>
      <c r="C27" s="63">
        <f>IF($A27="","",SUMIFS(Actuals!$D$7:$D$206,Actuals!$E$7:$E$206,$A27,Actuals!$K$7:$K$206,"OK"))</f>
        <v/>
      </c>
      <c r="D27" s="63">
        <f>IF($A27="","",SUMIFS(Actuals!$I$7:$I$206,Actuals!$E$7:$E$206,$A27,Actuals!$K$7:$K$206,"OK"))</f>
        <v/>
      </c>
      <c r="E27" s="64">
        <f>IF($A27="","",$C27-$D27)</f>
        <v/>
      </c>
      <c r="F27" s="65">
        <f>IF(OR($A27="",$D27=0),"",$C27/$D27)</f>
        <v/>
      </c>
    </row>
    <row r="28">
      <c r="A28" s="16">
        <f>IF(Deals!$A25="","",Deals!$A25)</f>
        <v/>
      </c>
      <c r="B28" s="18">
        <f>IF($A28="","",Deals!$R25)</f>
        <v/>
      </c>
      <c r="C28" s="63">
        <f>IF($A28="","",SUMIFS(Actuals!$D$7:$D$206,Actuals!$E$7:$E$206,$A28,Actuals!$K$7:$K$206,"OK"))</f>
        <v/>
      </c>
      <c r="D28" s="63">
        <f>IF($A28="","",SUMIFS(Actuals!$I$7:$I$206,Actuals!$E$7:$E$206,$A28,Actuals!$K$7:$K$206,"OK"))</f>
        <v/>
      </c>
      <c r="E28" s="64">
        <f>IF($A28="","",$C28-$D28)</f>
        <v/>
      </c>
      <c r="F28" s="65">
        <f>IF(OR($A28="",$D28=0),"",$C28/$D28)</f>
        <v/>
      </c>
    </row>
    <row r="29">
      <c r="A29" s="16">
        <f>IF(Deals!$A26="","",Deals!$A26)</f>
        <v/>
      </c>
      <c r="B29" s="18">
        <f>IF($A29="","",Deals!$R26)</f>
        <v/>
      </c>
      <c r="C29" s="63">
        <f>IF($A29="","",SUMIFS(Actuals!$D$7:$D$206,Actuals!$E$7:$E$206,$A29,Actuals!$K$7:$K$206,"OK"))</f>
        <v/>
      </c>
      <c r="D29" s="63">
        <f>IF($A29="","",SUMIFS(Actuals!$I$7:$I$206,Actuals!$E$7:$E$206,$A29,Actuals!$K$7:$K$206,"OK"))</f>
        <v/>
      </c>
      <c r="E29" s="64">
        <f>IF($A29="","",$C29-$D29)</f>
        <v/>
      </c>
      <c r="F29" s="65">
        <f>IF(OR($A29="",$D29=0),"",$C29/$D29)</f>
        <v/>
      </c>
    </row>
    <row r="30">
      <c r="A30" s="16">
        <f>IF(Deals!$A27="","",Deals!$A27)</f>
        <v/>
      </c>
      <c r="B30" s="18">
        <f>IF($A30="","",Deals!$R27)</f>
        <v/>
      </c>
      <c r="C30" s="63">
        <f>IF($A30="","",SUMIFS(Actuals!$D$7:$D$206,Actuals!$E$7:$E$206,$A30,Actuals!$K$7:$K$206,"OK"))</f>
        <v/>
      </c>
      <c r="D30" s="63">
        <f>IF($A30="","",SUMIFS(Actuals!$I$7:$I$206,Actuals!$E$7:$E$206,$A30,Actuals!$K$7:$K$206,"OK"))</f>
        <v/>
      </c>
      <c r="E30" s="64">
        <f>IF($A30="","",$C30-$D30)</f>
        <v/>
      </c>
      <c r="F30" s="65">
        <f>IF(OR($A30="",$D30=0),"",$C30/$D30)</f>
        <v/>
      </c>
    </row>
    <row r="31">
      <c r="A31" s="16">
        <f>IF(Deals!$A28="","",Deals!$A28)</f>
        <v/>
      </c>
      <c r="B31" s="18">
        <f>IF($A31="","",Deals!$R28)</f>
        <v/>
      </c>
      <c r="C31" s="63">
        <f>IF($A31="","",SUMIFS(Actuals!$D$7:$D$206,Actuals!$E$7:$E$206,$A31,Actuals!$K$7:$K$206,"OK"))</f>
        <v/>
      </c>
      <c r="D31" s="63">
        <f>IF($A31="","",SUMIFS(Actuals!$I$7:$I$206,Actuals!$E$7:$E$206,$A31,Actuals!$K$7:$K$206,"OK"))</f>
        <v/>
      </c>
      <c r="E31" s="64">
        <f>IF($A31="","",$C31-$D31)</f>
        <v/>
      </c>
      <c r="F31" s="65">
        <f>IF(OR($A31="",$D31=0),"",$C31/$D31)</f>
        <v/>
      </c>
    </row>
    <row r="32">
      <c r="A32" s="16">
        <f>IF(Deals!$A29="","",Deals!$A29)</f>
        <v/>
      </c>
      <c r="B32" s="18">
        <f>IF($A32="","",Deals!$R29)</f>
        <v/>
      </c>
      <c r="C32" s="63">
        <f>IF($A32="","",SUMIFS(Actuals!$D$7:$D$206,Actuals!$E$7:$E$206,$A32,Actuals!$K$7:$K$206,"OK"))</f>
        <v/>
      </c>
      <c r="D32" s="63">
        <f>IF($A32="","",SUMIFS(Actuals!$I$7:$I$206,Actuals!$E$7:$E$206,$A32,Actuals!$K$7:$K$206,"OK"))</f>
        <v/>
      </c>
      <c r="E32" s="64">
        <f>IF($A32="","",$C32-$D32)</f>
        <v/>
      </c>
      <c r="F32" s="65">
        <f>IF(OR($A32="",$D32=0),"",$C32/$D32)</f>
        <v/>
      </c>
    </row>
    <row r="33">
      <c r="A33" s="16">
        <f>IF(Deals!$A30="","",Deals!$A30)</f>
        <v/>
      </c>
      <c r="B33" s="18">
        <f>IF($A33="","",Deals!$R30)</f>
        <v/>
      </c>
      <c r="C33" s="63">
        <f>IF($A33="","",SUMIFS(Actuals!$D$7:$D$206,Actuals!$E$7:$E$206,$A33,Actuals!$K$7:$K$206,"OK"))</f>
        <v/>
      </c>
      <c r="D33" s="63">
        <f>IF($A33="","",SUMIFS(Actuals!$I$7:$I$206,Actuals!$E$7:$E$206,$A33,Actuals!$K$7:$K$206,"OK"))</f>
        <v/>
      </c>
      <c r="E33" s="64">
        <f>IF($A33="","",$C33-$D33)</f>
        <v/>
      </c>
      <c r="F33" s="65">
        <f>IF(OR($A33="",$D33=0),"",$C33/$D33)</f>
        <v/>
      </c>
    </row>
    <row r="34">
      <c r="A34" s="16">
        <f>IF(Deals!$A31="","",Deals!$A31)</f>
        <v/>
      </c>
      <c r="B34" s="18">
        <f>IF($A34="","",Deals!$R31)</f>
        <v/>
      </c>
      <c r="C34" s="63">
        <f>IF($A34="","",SUMIFS(Actuals!$D$7:$D$206,Actuals!$E$7:$E$206,$A34,Actuals!$K$7:$K$206,"OK"))</f>
        <v/>
      </c>
      <c r="D34" s="63">
        <f>IF($A34="","",SUMIFS(Actuals!$I$7:$I$206,Actuals!$E$7:$E$206,$A34,Actuals!$K$7:$K$206,"OK"))</f>
        <v/>
      </c>
      <c r="E34" s="64">
        <f>IF($A34="","",$C34-$D34)</f>
        <v/>
      </c>
      <c r="F34" s="65">
        <f>IF(OR($A34="",$D34=0),"",$C34/$D34)</f>
        <v/>
      </c>
    </row>
    <row r="35">
      <c r="A35" s="16">
        <f>IF(Deals!$A32="","",Deals!$A32)</f>
        <v/>
      </c>
      <c r="B35" s="18">
        <f>IF($A35="","",Deals!$R32)</f>
        <v/>
      </c>
      <c r="C35" s="63">
        <f>IF($A35="","",SUMIFS(Actuals!$D$7:$D$206,Actuals!$E$7:$E$206,$A35,Actuals!$K$7:$K$206,"OK"))</f>
        <v/>
      </c>
      <c r="D35" s="63">
        <f>IF($A35="","",SUMIFS(Actuals!$I$7:$I$206,Actuals!$E$7:$E$206,$A35,Actuals!$K$7:$K$206,"OK"))</f>
        <v/>
      </c>
      <c r="E35" s="64">
        <f>IF($A35="","",$C35-$D35)</f>
        <v/>
      </c>
      <c r="F35" s="65">
        <f>IF(OR($A35="",$D35=0),"",$C35/$D35)</f>
        <v/>
      </c>
    </row>
    <row r="36">
      <c r="A36" s="16">
        <f>IF(Deals!$A33="","",Deals!$A33)</f>
        <v/>
      </c>
      <c r="B36" s="18">
        <f>IF($A36="","",Deals!$R33)</f>
        <v/>
      </c>
      <c r="C36" s="63">
        <f>IF($A36="","",SUMIFS(Actuals!$D$7:$D$206,Actuals!$E$7:$E$206,$A36,Actuals!$K$7:$K$206,"OK"))</f>
        <v/>
      </c>
      <c r="D36" s="63">
        <f>IF($A36="","",SUMIFS(Actuals!$I$7:$I$206,Actuals!$E$7:$E$206,$A36,Actuals!$K$7:$K$206,"OK"))</f>
        <v/>
      </c>
      <c r="E36" s="64">
        <f>IF($A36="","",$C36-$D36)</f>
        <v/>
      </c>
      <c r="F36" s="65">
        <f>IF(OR($A36="",$D36=0),"",$C36/$D36)</f>
        <v/>
      </c>
    </row>
    <row r="37">
      <c r="A37" s="16">
        <f>IF(Deals!$A34="","",Deals!$A34)</f>
        <v/>
      </c>
      <c r="B37" s="18">
        <f>IF($A37="","",Deals!$R34)</f>
        <v/>
      </c>
      <c r="C37" s="63">
        <f>IF($A37="","",SUMIFS(Actuals!$D$7:$D$206,Actuals!$E$7:$E$206,$A37,Actuals!$K$7:$K$206,"OK"))</f>
        <v/>
      </c>
      <c r="D37" s="63">
        <f>IF($A37="","",SUMIFS(Actuals!$I$7:$I$206,Actuals!$E$7:$E$206,$A37,Actuals!$K$7:$K$206,"OK"))</f>
        <v/>
      </c>
      <c r="E37" s="64">
        <f>IF($A37="","",$C37-$D37)</f>
        <v/>
      </c>
      <c r="F37" s="65">
        <f>IF(OR($A37="",$D37=0),"",$C37/$D37)</f>
        <v/>
      </c>
    </row>
    <row r="38">
      <c r="A38" s="16">
        <f>IF(Deals!$A35="","",Deals!$A35)</f>
        <v/>
      </c>
      <c r="B38" s="18">
        <f>IF($A38="","",Deals!$R35)</f>
        <v/>
      </c>
      <c r="C38" s="63">
        <f>IF($A38="","",SUMIFS(Actuals!$D$7:$D$206,Actuals!$E$7:$E$206,$A38,Actuals!$K$7:$K$206,"OK"))</f>
        <v/>
      </c>
      <c r="D38" s="63">
        <f>IF($A38="","",SUMIFS(Actuals!$I$7:$I$206,Actuals!$E$7:$E$206,$A38,Actuals!$K$7:$K$206,"OK"))</f>
        <v/>
      </c>
      <c r="E38" s="64">
        <f>IF($A38="","",$C38-$D38)</f>
        <v/>
      </c>
      <c r="F38" s="65">
        <f>IF(OR($A38="",$D38=0),"",$C38/$D38)</f>
        <v/>
      </c>
    </row>
    <row r="39">
      <c r="A39" s="16">
        <f>IF(Deals!$A36="","",Deals!$A36)</f>
        <v/>
      </c>
      <c r="B39" s="18">
        <f>IF($A39="","",Deals!$R36)</f>
        <v/>
      </c>
      <c r="C39" s="63">
        <f>IF($A39="","",SUMIFS(Actuals!$D$7:$D$206,Actuals!$E$7:$E$206,$A39,Actuals!$K$7:$K$206,"OK"))</f>
        <v/>
      </c>
      <c r="D39" s="63">
        <f>IF($A39="","",SUMIFS(Actuals!$I$7:$I$206,Actuals!$E$7:$E$206,$A39,Actuals!$K$7:$K$206,"OK"))</f>
        <v/>
      </c>
      <c r="E39" s="64">
        <f>IF($A39="","",$C39-$D39)</f>
        <v/>
      </c>
      <c r="F39" s="65">
        <f>IF(OR($A39="",$D39=0),"",$C39/$D39)</f>
        <v/>
      </c>
    </row>
    <row r="40">
      <c r="A40" s="16">
        <f>IF(Deals!$A37="","",Deals!$A37)</f>
        <v/>
      </c>
      <c r="B40" s="18">
        <f>IF($A40="","",Deals!$R37)</f>
        <v/>
      </c>
      <c r="C40" s="63">
        <f>IF($A40="","",SUMIFS(Actuals!$D$7:$D$206,Actuals!$E$7:$E$206,$A40,Actuals!$K$7:$K$206,"OK"))</f>
        <v/>
      </c>
      <c r="D40" s="63">
        <f>IF($A40="","",SUMIFS(Actuals!$I$7:$I$206,Actuals!$E$7:$E$206,$A40,Actuals!$K$7:$K$206,"OK"))</f>
        <v/>
      </c>
      <c r="E40" s="64">
        <f>IF($A40="","",$C40-$D40)</f>
        <v/>
      </c>
      <c r="F40" s="65">
        <f>IF(OR($A40="",$D40=0),"",$C40/$D40)</f>
        <v/>
      </c>
    </row>
    <row r="41">
      <c r="A41" s="16">
        <f>IF(Deals!$A38="","",Deals!$A38)</f>
        <v/>
      </c>
      <c r="B41" s="18">
        <f>IF($A41="","",Deals!$R38)</f>
        <v/>
      </c>
      <c r="C41" s="63">
        <f>IF($A41="","",SUMIFS(Actuals!$D$7:$D$206,Actuals!$E$7:$E$206,$A41,Actuals!$K$7:$K$206,"OK"))</f>
        <v/>
      </c>
      <c r="D41" s="63">
        <f>IF($A41="","",SUMIFS(Actuals!$I$7:$I$206,Actuals!$E$7:$E$206,$A41,Actuals!$K$7:$K$206,"OK"))</f>
        <v/>
      </c>
      <c r="E41" s="64">
        <f>IF($A41="","",$C41-$D41)</f>
        <v/>
      </c>
      <c r="F41" s="65">
        <f>IF(OR($A41="",$D41=0),"",$C41/$D41)</f>
        <v/>
      </c>
    </row>
    <row r="42">
      <c r="A42" s="16">
        <f>IF(Deals!$A39="","",Deals!$A39)</f>
        <v/>
      </c>
      <c r="B42" s="18">
        <f>IF($A42="","",Deals!$R39)</f>
        <v/>
      </c>
      <c r="C42" s="63">
        <f>IF($A42="","",SUMIFS(Actuals!$D$7:$D$206,Actuals!$E$7:$E$206,$A42,Actuals!$K$7:$K$206,"OK"))</f>
        <v/>
      </c>
      <c r="D42" s="63">
        <f>IF($A42="","",SUMIFS(Actuals!$I$7:$I$206,Actuals!$E$7:$E$206,$A42,Actuals!$K$7:$K$206,"OK"))</f>
        <v/>
      </c>
      <c r="E42" s="64">
        <f>IF($A42="","",$C42-$D42)</f>
        <v/>
      </c>
      <c r="F42" s="65">
        <f>IF(OR($A42="",$D42=0),"",$C42/$D42)</f>
        <v/>
      </c>
    </row>
    <row r="43">
      <c r="A43" s="16">
        <f>IF(Deals!$A40="","",Deals!$A40)</f>
        <v/>
      </c>
      <c r="B43" s="18">
        <f>IF($A43="","",Deals!$R40)</f>
        <v/>
      </c>
      <c r="C43" s="63">
        <f>IF($A43="","",SUMIFS(Actuals!$D$7:$D$206,Actuals!$E$7:$E$206,$A43,Actuals!$K$7:$K$206,"OK"))</f>
        <v/>
      </c>
      <c r="D43" s="63">
        <f>IF($A43="","",SUMIFS(Actuals!$I$7:$I$206,Actuals!$E$7:$E$206,$A43,Actuals!$K$7:$K$206,"OK"))</f>
        <v/>
      </c>
      <c r="E43" s="64">
        <f>IF($A43="","",$C43-$D43)</f>
        <v/>
      </c>
      <c r="F43" s="65">
        <f>IF(OR($A43="",$D43=0),"",$C43/$D43)</f>
        <v/>
      </c>
    </row>
    <row r="44">
      <c r="A44" s="16">
        <f>IF(Deals!$A41="","",Deals!$A41)</f>
        <v/>
      </c>
      <c r="B44" s="18">
        <f>IF($A44="","",Deals!$R41)</f>
        <v/>
      </c>
      <c r="C44" s="63">
        <f>IF($A44="","",SUMIFS(Actuals!$D$7:$D$206,Actuals!$E$7:$E$206,$A44,Actuals!$K$7:$K$206,"OK"))</f>
        <v/>
      </c>
      <c r="D44" s="63">
        <f>IF($A44="","",SUMIFS(Actuals!$I$7:$I$206,Actuals!$E$7:$E$206,$A44,Actuals!$K$7:$K$206,"OK"))</f>
        <v/>
      </c>
      <c r="E44" s="64">
        <f>IF($A44="","",$C44-$D44)</f>
        <v/>
      </c>
      <c r="F44" s="65">
        <f>IF(OR($A44="",$D44=0),"",$C44/$D44)</f>
        <v/>
      </c>
    </row>
    <row r="45">
      <c r="A45" s="16">
        <f>IF(Deals!$A42="","",Deals!$A42)</f>
        <v/>
      </c>
      <c r="B45" s="18">
        <f>IF($A45="","",Deals!$R42)</f>
        <v/>
      </c>
      <c r="C45" s="63">
        <f>IF($A45="","",SUMIFS(Actuals!$D$7:$D$206,Actuals!$E$7:$E$206,$A45,Actuals!$K$7:$K$206,"OK"))</f>
        <v/>
      </c>
      <c r="D45" s="63">
        <f>IF($A45="","",SUMIFS(Actuals!$I$7:$I$206,Actuals!$E$7:$E$206,$A45,Actuals!$K$7:$K$206,"OK"))</f>
        <v/>
      </c>
      <c r="E45" s="64">
        <f>IF($A45="","",$C45-$D45)</f>
        <v/>
      </c>
      <c r="F45" s="65">
        <f>IF(OR($A45="",$D45=0),"",$C45/$D45)</f>
        <v/>
      </c>
    </row>
    <row r="46">
      <c r="A46" s="16">
        <f>IF(Deals!$A43="","",Deals!$A43)</f>
        <v/>
      </c>
      <c r="B46" s="18">
        <f>IF($A46="","",Deals!$R43)</f>
        <v/>
      </c>
      <c r="C46" s="63">
        <f>IF($A46="","",SUMIFS(Actuals!$D$7:$D$206,Actuals!$E$7:$E$206,$A46,Actuals!$K$7:$K$206,"OK"))</f>
        <v/>
      </c>
      <c r="D46" s="63">
        <f>IF($A46="","",SUMIFS(Actuals!$I$7:$I$206,Actuals!$E$7:$E$206,$A46,Actuals!$K$7:$K$206,"OK"))</f>
        <v/>
      </c>
      <c r="E46" s="64">
        <f>IF($A46="","",$C46-$D46)</f>
        <v/>
      </c>
      <c r="F46" s="65">
        <f>IF(OR($A46="",$D46=0),"",$C46/$D46)</f>
        <v/>
      </c>
    </row>
    <row r="47">
      <c r="A47" s="16">
        <f>IF(Deals!$A44="","",Deals!$A44)</f>
        <v/>
      </c>
      <c r="B47" s="18">
        <f>IF($A47="","",Deals!$R44)</f>
        <v/>
      </c>
      <c r="C47" s="63">
        <f>IF($A47="","",SUMIFS(Actuals!$D$7:$D$206,Actuals!$E$7:$E$206,$A47,Actuals!$K$7:$K$206,"OK"))</f>
        <v/>
      </c>
      <c r="D47" s="63">
        <f>IF($A47="","",SUMIFS(Actuals!$I$7:$I$206,Actuals!$E$7:$E$206,$A47,Actuals!$K$7:$K$206,"OK"))</f>
        <v/>
      </c>
      <c r="E47" s="64">
        <f>IF($A47="","",$C47-$D47)</f>
        <v/>
      </c>
      <c r="F47" s="65">
        <f>IF(OR($A47="",$D47=0),"",$C47/$D47)</f>
        <v/>
      </c>
    </row>
    <row r="48">
      <c r="A48" s="16">
        <f>IF(Deals!$A45="","",Deals!$A45)</f>
        <v/>
      </c>
      <c r="B48" s="18">
        <f>IF($A48="","",Deals!$R45)</f>
        <v/>
      </c>
      <c r="C48" s="63">
        <f>IF($A48="","",SUMIFS(Actuals!$D$7:$D$206,Actuals!$E$7:$E$206,$A48,Actuals!$K$7:$K$206,"OK"))</f>
        <v/>
      </c>
      <c r="D48" s="63">
        <f>IF($A48="","",SUMIFS(Actuals!$I$7:$I$206,Actuals!$E$7:$E$206,$A48,Actuals!$K$7:$K$206,"OK"))</f>
        <v/>
      </c>
      <c r="E48" s="64">
        <f>IF($A48="","",$C48-$D48)</f>
        <v/>
      </c>
      <c r="F48" s="65">
        <f>IF(OR($A48="",$D48=0),"",$C48/$D48)</f>
        <v/>
      </c>
    </row>
    <row r="49">
      <c r="A49" s="16">
        <f>IF(Deals!$A46="","",Deals!$A46)</f>
        <v/>
      </c>
      <c r="B49" s="18">
        <f>IF($A49="","",Deals!$R46)</f>
        <v/>
      </c>
      <c r="C49" s="63">
        <f>IF($A49="","",SUMIFS(Actuals!$D$7:$D$206,Actuals!$E$7:$E$206,$A49,Actuals!$K$7:$K$206,"OK"))</f>
        <v/>
      </c>
      <c r="D49" s="63">
        <f>IF($A49="","",SUMIFS(Actuals!$I$7:$I$206,Actuals!$E$7:$E$206,$A49,Actuals!$K$7:$K$206,"OK"))</f>
        <v/>
      </c>
      <c r="E49" s="64">
        <f>IF($A49="","",$C49-$D49)</f>
        <v/>
      </c>
      <c r="F49" s="65">
        <f>IF(OR($A49="",$D49=0),"",$C49/$D49)</f>
        <v/>
      </c>
    </row>
    <row r="50">
      <c r="A50" s="16">
        <f>IF(Deals!$A47="","",Deals!$A47)</f>
        <v/>
      </c>
      <c r="B50" s="18">
        <f>IF($A50="","",Deals!$R47)</f>
        <v/>
      </c>
      <c r="C50" s="63">
        <f>IF($A50="","",SUMIFS(Actuals!$D$7:$D$206,Actuals!$E$7:$E$206,$A50,Actuals!$K$7:$K$206,"OK"))</f>
        <v/>
      </c>
      <c r="D50" s="63">
        <f>IF($A50="","",SUMIFS(Actuals!$I$7:$I$206,Actuals!$E$7:$E$206,$A50,Actuals!$K$7:$K$206,"OK"))</f>
        <v/>
      </c>
      <c r="E50" s="64">
        <f>IF($A50="","",$C50-$D50)</f>
        <v/>
      </c>
      <c r="F50" s="65">
        <f>IF(OR($A50="",$D50=0),"",$C50/$D50)</f>
        <v/>
      </c>
    </row>
    <row r="51">
      <c r="A51" s="16">
        <f>IF(Deals!$A48="","",Deals!$A48)</f>
        <v/>
      </c>
      <c r="B51" s="18">
        <f>IF($A51="","",Deals!$R48)</f>
        <v/>
      </c>
      <c r="C51" s="63">
        <f>IF($A51="","",SUMIFS(Actuals!$D$7:$D$206,Actuals!$E$7:$E$206,$A51,Actuals!$K$7:$K$206,"OK"))</f>
        <v/>
      </c>
      <c r="D51" s="63">
        <f>IF($A51="","",SUMIFS(Actuals!$I$7:$I$206,Actuals!$E$7:$E$206,$A51,Actuals!$K$7:$K$206,"OK"))</f>
        <v/>
      </c>
      <c r="E51" s="64">
        <f>IF($A51="","",$C51-$D51)</f>
        <v/>
      </c>
      <c r="F51" s="65">
        <f>IF(OR($A51="",$D51=0),"",$C51/$D51)</f>
        <v/>
      </c>
    </row>
    <row r="52">
      <c r="A52" s="16">
        <f>IF(Deals!$A49="","",Deals!$A49)</f>
        <v/>
      </c>
      <c r="B52" s="18">
        <f>IF($A52="","",Deals!$R49)</f>
        <v/>
      </c>
      <c r="C52" s="63">
        <f>IF($A52="","",SUMIFS(Actuals!$D$7:$D$206,Actuals!$E$7:$E$206,$A52,Actuals!$K$7:$K$206,"OK"))</f>
        <v/>
      </c>
      <c r="D52" s="63">
        <f>IF($A52="","",SUMIFS(Actuals!$I$7:$I$206,Actuals!$E$7:$E$206,$A52,Actuals!$K$7:$K$206,"OK"))</f>
        <v/>
      </c>
      <c r="E52" s="64">
        <f>IF($A52="","",$C52-$D52)</f>
        <v/>
      </c>
      <c r="F52" s="65">
        <f>IF(OR($A52="",$D52=0),"",$C52/$D52)</f>
        <v/>
      </c>
    </row>
    <row r="53">
      <c r="A53" s="16">
        <f>IF(Deals!$A50="","",Deals!$A50)</f>
        <v/>
      </c>
      <c r="B53" s="18">
        <f>IF($A53="","",Deals!$R50)</f>
        <v/>
      </c>
      <c r="C53" s="63">
        <f>IF($A53="","",SUMIFS(Actuals!$D$7:$D$206,Actuals!$E$7:$E$206,$A53,Actuals!$K$7:$K$206,"OK"))</f>
        <v/>
      </c>
      <c r="D53" s="63">
        <f>IF($A53="","",SUMIFS(Actuals!$I$7:$I$206,Actuals!$E$7:$E$206,$A53,Actuals!$K$7:$K$206,"OK"))</f>
        <v/>
      </c>
      <c r="E53" s="64">
        <f>IF($A53="","",$C53-$D53)</f>
        <v/>
      </c>
      <c r="F53" s="65">
        <f>IF(OR($A53="",$D53=0),"",$C53/$D53)</f>
        <v/>
      </c>
    </row>
    <row r="54">
      <c r="A54" s="16">
        <f>IF(Deals!$A51="","",Deals!$A51)</f>
        <v/>
      </c>
      <c r="B54" s="18">
        <f>IF($A54="","",Deals!$R51)</f>
        <v/>
      </c>
      <c r="C54" s="63">
        <f>IF($A54="","",SUMIFS(Actuals!$D$7:$D$206,Actuals!$E$7:$E$206,$A54,Actuals!$K$7:$K$206,"OK"))</f>
        <v/>
      </c>
      <c r="D54" s="63">
        <f>IF($A54="","",SUMIFS(Actuals!$I$7:$I$206,Actuals!$E$7:$E$206,$A54,Actuals!$K$7:$K$206,"OK"))</f>
        <v/>
      </c>
      <c r="E54" s="64">
        <f>IF($A54="","",$C54-$D54)</f>
        <v/>
      </c>
      <c r="F54" s="65">
        <f>IF(OR($A54="",$D54=0),"",$C54/$D54)</f>
        <v/>
      </c>
    </row>
    <row r="55">
      <c r="A55" s="16">
        <f>IF(Deals!$A52="","",Deals!$A52)</f>
        <v/>
      </c>
      <c r="B55" s="18">
        <f>IF($A55="","",Deals!$R52)</f>
        <v/>
      </c>
      <c r="C55" s="63">
        <f>IF($A55="","",SUMIFS(Actuals!$D$7:$D$206,Actuals!$E$7:$E$206,$A55,Actuals!$K$7:$K$206,"OK"))</f>
        <v/>
      </c>
      <c r="D55" s="63">
        <f>IF($A55="","",SUMIFS(Actuals!$I$7:$I$206,Actuals!$E$7:$E$206,$A55,Actuals!$K$7:$K$206,"OK"))</f>
        <v/>
      </c>
      <c r="E55" s="64">
        <f>IF($A55="","",$C55-$D55)</f>
        <v/>
      </c>
      <c r="F55" s="65">
        <f>IF(OR($A55="",$D55=0),"",$C55/$D55)</f>
        <v/>
      </c>
    </row>
    <row r="56">
      <c r="A56" s="16">
        <f>IF(Deals!$A53="","",Deals!$A53)</f>
        <v/>
      </c>
      <c r="B56" s="18">
        <f>IF($A56="","",Deals!$R53)</f>
        <v/>
      </c>
      <c r="C56" s="63">
        <f>IF($A56="","",SUMIFS(Actuals!$D$7:$D$206,Actuals!$E$7:$E$206,$A56,Actuals!$K$7:$K$206,"OK"))</f>
        <v/>
      </c>
      <c r="D56" s="63">
        <f>IF($A56="","",SUMIFS(Actuals!$I$7:$I$206,Actuals!$E$7:$E$206,$A56,Actuals!$K$7:$K$206,"OK"))</f>
        <v/>
      </c>
      <c r="E56" s="64">
        <f>IF($A56="","",$C56-$D56)</f>
        <v/>
      </c>
      <c r="F56" s="65">
        <f>IF(OR($A56="",$D56=0),"",$C56/$D56)</f>
        <v/>
      </c>
    </row>
    <row r="57">
      <c r="A57" s="16">
        <f>IF(Deals!$A54="","",Deals!$A54)</f>
        <v/>
      </c>
      <c r="B57" s="18">
        <f>IF($A57="","",Deals!$R54)</f>
        <v/>
      </c>
      <c r="C57" s="63">
        <f>IF($A57="","",SUMIFS(Actuals!$D$7:$D$206,Actuals!$E$7:$E$206,$A57,Actuals!$K$7:$K$206,"OK"))</f>
        <v/>
      </c>
      <c r="D57" s="63">
        <f>IF($A57="","",SUMIFS(Actuals!$I$7:$I$206,Actuals!$E$7:$E$206,$A57,Actuals!$K$7:$K$206,"OK"))</f>
        <v/>
      </c>
      <c r="E57" s="64">
        <f>IF($A57="","",$C57-$D57)</f>
        <v/>
      </c>
      <c r="F57" s="65">
        <f>IF(OR($A57="",$D57=0),"",$C57/$D57)</f>
        <v/>
      </c>
    </row>
    <row r="58">
      <c r="A58" s="16">
        <f>IF(Deals!$A55="","",Deals!$A55)</f>
        <v/>
      </c>
      <c r="B58" s="18">
        <f>IF($A58="","",Deals!$R55)</f>
        <v/>
      </c>
      <c r="C58" s="63">
        <f>IF($A58="","",SUMIFS(Actuals!$D$7:$D$206,Actuals!$E$7:$E$206,$A58,Actuals!$K$7:$K$206,"OK"))</f>
        <v/>
      </c>
      <c r="D58" s="63">
        <f>IF($A58="","",SUMIFS(Actuals!$I$7:$I$206,Actuals!$E$7:$E$206,$A58,Actuals!$K$7:$K$206,"OK"))</f>
        <v/>
      </c>
      <c r="E58" s="64">
        <f>IF($A58="","",$C58-$D58)</f>
        <v/>
      </c>
      <c r="F58" s="65">
        <f>IF(OR($A58="",$D58=0),"",$C58/$D58)</f>
        <v/>
      </c>
    </row>
    <row r="59">
      <c r="A59" s="16">
        <f>IF(Deals!$A56="","",Deals!$A56)</f>
        <v/>
      </c>
      <c r="B59" s="18">
        <f>IF($A59="","",Deals!$R56)</f>
        <v/>
      </c>
      <c r="C59" s="63">
        <f>IF($A59="","",SUMIFS(Actuals!$D$7:$D$206,Actuals!$E$7:$E$206,$A59,Actuals!$K$7:$K$206,"OK"))</f>
        <v/>
      </c>
      <c r="D59" s="63">
        <f>IF($A59="","",SUMIFS(Actuals!$I$7:$I$206,Actuals!$E$7:$E$206,$A59,Actuals!$K$7:$K$206,"OK"))</f>
        <v/>
      </c>
      <c r="E59" s="64">
        <f>IF($A59="","",$C59-$D59)</f>
        <v/>
      </c>
      <c r="F59" s="65">
        <f>IF(OR($A59="",$D59=0),"",$C59/$D59)</f>
        <v/>
      </c>
    </row>
    <row r="60">
      <c r="A60" s="16">
        <f>IF(Deals!$A57="","",Deals!$A57)</f>
        <v/>
      </c>
      <c r="B60" s="18">
        <f>IF($A60="","",Deals!$R57)</f>
        <v/>
      </c>
      <c r="C60" s="63">
        <f>IF($A60="","",SUMIFS(Actuals!$D$7:$D$206,Actuals!$E$7:$E$206,$A60,Actuals!$K$7:$K$206,"OK"))</f>
        <v/>
      </c>
      <c r="D60" s="63">
        <f>IF($A60="","",SUMIFS(Actuals!$I$7:$I$206,Actuals!$E$7:$E$206,$A60,Actuals!$K$7:$K$206,"OK"))</f>
        <v/>
      </c>
      <c r="E60" s="64">
        <f>IF($A60="","",$C60-$D60)</f>
        <v/>
      </c>
      <c r="F60" s="65">
        <f>IF(OR($A60="",$D60=0),"",$C60/$D60)</f>
        <v/>
      </c>
    </row>
    <row r="61">
      <c r="A61" s="16">
        <f>IF(Deals!$A58="","",Deals!$A58)</f>
        <v/>
      </c>
      <c r="B61" s="18">
        <f>IF($A61="","",Deals!$R58)</f>
        <v/>
      </c>
      <c r="C61" s="63">
        <f>IF($A61="","",SUMIFS(Actuals!$D$7:$D$206,Actuals!$E$7:$E$206,$A61,Actuals!$K$7:$K$206,"OK"))</f>
        <v/>
      </c>
      <c r="D61" s="63">
        <f>IF($A61="","",SUMIFS(Actuals!$I$7:$I$206,Actuals!$E$7:$E$206,$A61,Actuals!$K$7:$K$206,"OK"))</f>
        <v/>
      </c>
      <c r="E61" s="64">
        <f>IF($A61="","",$C61-$D61)</f>
        <v/>
      </c>
      <c r="F61" s="65">
        <f>IF(OR($A61="",$D61=0),"",$C61/$D61)</f>
        <v/>
      </c>
    </row>
    <row r="62">
      <c r="A62" s="16">
        <f>IF(Deals!$A59="","",Deals!$A59)</f>
        <v/>
      </c>
      <c r="B62" s="18">
        <f>IF($A62="","",Deals!$R59)</f>
        <v/>
      </c>
      <c r="C62" s="63">
        <f>IF($A62="","",SUMIFS(Actuals!$D$7:$D$206,Actuals!$E$7:$E$206,$A62,Actuals!$K$7:$K$206,"OK"))</f>
        <v/>
      </c>
      <c r="D62" s="63">
        <f>IF($A62="","",SUMIFS(Actuals!$I$7:$I$206,Actuals!$E$7:$E$206,$A62,Actuals!$K$7:$K$206,"OK"))</f>
        <v/>
      </c>
      <c r="E62" s="64">
        <f>IF($A62="","",$C62-$D62)</f>
        <v/>
      </c>
      <c r="F62" s="65">
        <f>IF(OR($A62="",$D62=0),"",$C62/$D62)</f>
        <v/>
      </c>
    </row>
    <row r="63">
      <c r="A63" s="16">
        <f>IF(Deals!$A60="","",Deals!$A60)</f>
        <v/>
      </c>
      <c r="B63" s="18">
        <f>IF($A63="","",Deals!$R60)</f>
        <v/>
      </c>
      <c r="C63" s="63">
        <f>IF($A63="","",SUMIFS(Actuals!$D$7:$D$206,Actuals!$E$7:$E$206,$A63,Actuals!$K$7:$K$206,"OK"))</f>
        <v/>
      </c>
      <c r="D63" s="63">
        <f>IF($A63="","",SUMIFS(Actuals!$I$7:$I$206,Actuals!$E$7:$E$206,$A63,Actuals!$K$7:$K$206,"OK"))</f>
        <v/>
      </c>
      <c r="E63" s="64">
        <f>IF($A63="","",$C63-$D63)</f>
        <v/>
      </c>
      <c r="F63" s="65">
        <f>IF(OR($A63="",$D63=0),"",$C63/$D63)</f>
        <v/>
      </c>
    </row>
    <row r="64">
      <c r="A64" s="16">
        <f>IF(Deals!$A61="","",Deals!$A61)</f>
        <v/>
      </c>
      <c r="B64" s="18">
        <f>IF($A64="","",Deals!$R61)</f>
        <v/>
      </c>
      <c r="C64" s="63">
        <f>IF($A64="","",SUMIFS(Actuals!$D$7:$D$206,Actuals!$E$7:$E$206,$A64,Actuals!$K$7:$K$206,"OK"))</f>
        <v/>
      </c>
      <c r="D64" s="63">
        <f>IF($A64="","",SUMIFS(Actuals!$I$7:$I$206,Actuals!$E$7:$E$206,$A64,Actuals!$K$7:$K$206,"OK"))</f>
        <v/>
      </c>
      <c r="E64" s="64">
        <f>IF($A64="","",$C64-$D64)</f>
        <v/>
      </c>
      <c r="F64" s="65">
        <f>IF(OR($A64="",$D64=0),"",$C64/$D64)</f>
        <v/>
      </c>
    </row>
    <row r="65">
      <c r="A65" s="16">
        <f>IF(Deals!$A62="","",Deals!$A62)</f>
        <v/>
      </c>
      <c r="B65" s="18">
        <f>IF($A65="","",Deals!$R62)</f>
        <v/>
      </c>
      <c r="C65" s="63">
        <f>IF($A65="","",SUMIFS(Actuals!$D$7:$D$206,Actuals!$E$7:$E$206,$A65,Actuals!$K$7:$K$206,"OK"))</f>
        <v/>
      </c>
      <c r="D65" s="63">
        <f>IF($A65="","",SUMIFS(Actuals!$I$7:$I$206,Actuals!$E$7:$E$206,$A65,Actuals!$K$7:$K$206,"OK"))</f>
        <v/>
      </c>
      <c r="E65" s="64">
        <f>IF($A65="","",$C65-$D65)</f>
        <v/>
      </c>
      <c r="F65" s="65">
        <f>IF(OR($A65="",$D65=0),"",$C65/$D65)</f>
        <v/>
      </c>
    </row>
    <row r="66">
      <c r="A66" s="16">
        <f>IF(Deals!$A63="","",Deals!$A63)</f>
        <v/>
      </c>
      <c r="B66" s="18">
        <f>IF($A66="","",Deals!$R63)</f>
        <v/>
      </c>
      <c r="C66" s="63">
        <f>IF($A66="","",SUMIFS(Actuals!$D$7:$D$206,Actuals!$E$7:$E$206,$A66,Actuals!$K$7:$K$206,"OK"))</f>
        <v/>
      </c>
      <c r="D66" s="63">
        <f>IF($A66="","",SUMIFS(Actuals!$I$7:$I$206,Actuals!$E$7:$E$206,$A66,Actuals!$K$7:$K$206,"OK"))</f>
        <v/>
      </c>
      <c r="E66" s="64">
        <f>IF($A66="","",$C66-$D66)</f>
        <v/>
      </c>
      <c r="F66" s="65">
        <f>IF(OR($A66="",$D66=0),"",$C66/$D66)</f>
        <v/>
      </c>
    </row>
    <row r="67">
      <c r="A67" s="16">
        <f>IF(Deals!$A64="","",Deals!$A64)</f>
        <v/>
      </c>
      <c r="B67" s="18">
        <f>IF($A67="","",Deals!$R64)</f>
        <v/>
      </c>
      <c r="C67" s="63">
        <f>IF($A67="","",SUMIFS(Actuals!$D$7:$D$206,Actuals!$E$7:$E$206,$A67,Actuals!$K$7:$K$206,"OK"))</f>
        <v/>
      </c>
      <c r="D67" s="63">
        <f>IF($A67="","",SUMIFS(Actuals!$I$7:$I$206,Actuals!$E$7:$E$206,$A67,Actuals!$K$7:$K$206,"OK"))</f>
        <v/>
      </c>
      <c r="E67" s="64">
        <f>IF($A67="","",$C67-$D67)</f>
        <v/>
      </c>
      <c r="F67" s="65">
        <f>IF(OR($A67="",$D67=0),"",$C67/$D67)</f>
        <v/>
      </c>
    </row>
    <row r="68">
      <c r="A68" s="16">
        <f>IF(Deals!$A65="","",Deals!$A65)</f>
        <v/>
      </c>
      <c r="B68" s="18">
        <f>IF($A68="","",Deals!$R65)</f>
        <v/>
      </c>
      <c r="C68" s="63">
        <f>IF($A68="","",SUMIFS(Actuals!$D$7:$D$206,Actuals!$E$7:$E$206,$A68,Actuals!$K$7:$K$206,"OK"))</f>
        <v/>
      </c>
      <c r="D68" s="63">
        <f>IF($A68="","",SUMIFS(Actuals!$I$7:$I$206,Actuals!$E$7:$E$206,$A68,Actuals!$K$7:$K$206,"OK"))</f>
        <v/>
      </c>
      <c r="E68" s="64">
        <f>IF($A68="","",$C68-$D68)</f>
        <v/>
      </c>
      <c r="F68" s="65">
        <f>IF(OR($A68="",$D68=0),"",$C68/$D68)</f>
        <v/>
      </c>
    </row>
    <row r="69">
      <c r="A69" s="16">
        <f>IF(Deals!$A66="","",Deals!$A66)</f>
        <v/>
      </c>
      <c r="B69" s="18">
        <f>IF($A69="","",Deals!$R66)</f>
        <v/>
      </c>
      <c r="C69" s="63">
        <f>IF($A69="","",SUMIFS(Actuals!$D$7:$D$206,Actuals!$E$7:$E$206,$A69,Actuals!$K$7:$K$206,"OK"))</f>
        <v/>
      </c>
      <c r="D69" s="63">
        <f>IF($A69="","",SUMIFS(Actuals!$I$7:$I$206,Actuals!$E$7:$E$206,$A69,Actuals!$K$7:$K$206,"OK"))</f>
        <v/>
      </c>
      <c r="E69" s="64">
        <f>IF($A69="","",$C69-$D69)</f>
        <v/>
      </c>
      <c r="F69" s="65">
        <f>IF(OR($A69="",$D69=0),"",$C69/$D69)</f>
        <v/>
      </c>
    </row>
    <row r="70">
      <c r="A70" s="16">
        <f>IF(Deals!$A67="","",Deals!$A67)</f>
        <v/>
      </c>
      <c r="B70" s="18">
        <f>IF($A70="","",Deals!$R67)</f>
        <v/>
      </c>
      <c r="C70" s="63">
        <f>IF($A70="","",SUMIFS(Actuals!$D$7:$D$206,Actuals!$E$7:$E$206,$A70,Actuals!$K$7:$K$206,"OK"))</f>
        <v/>
      </c>
      <c r="D70" s="63">
        <f>IF($A70="","",SUMIFS(Actuals!$I$7:$I$206,Actuals!$E$7:$E$206,$A70,Actuals!$K$7:$K$206,"OK"))</f>
        <v/>
      </c>
      <c r="E70" s="64">
        <f>IF($A70="","",$C70-$D70)</f>
        <v/>
      </c>
      <c r="F70" s="65">
        <f>IF(OR($A70="",$D70=0),"",$C70/$D70)</f>
        <v/>
      </c>
    </row>
    <row r="71">
      <c r="A71" s="16">
        <f>IF(Deals!$A68="","",Deals!$A68)</f>
        <v/>
      </c>
      <c r="B71" s="18">
        <f>IF($A71="","",Deals!$R68)</f>
        <v/>
      </c>
      <c r="C71" s="63">
        <f>IF($A71="","",SUMIFS(Actuals!$D$7:$D$206,Actuals!$E$7:$E$206,$A71,Actuals!$K$7:$K$206,"OK"))</f>
        <v/>
      </c>
      <c r="D71" s="63">
        <f>IF($A71="","",SUMIFS(Actuals!$I$7:$I$206,Actuals!$E$7:$E$206,$A71,Actuals!$K$7:$K$206,"OK"))</f>
        <v/>
      </c>
      <c r="E71" s="64">
        <f>IF($A71="","",$C71-$D71)</f>
        <v/>
      </c>
      <c r="F71" s="65">
        <f>IF(OR($A71="",$D71=0),"",$C71/$D71)</f>
        <v/>
      </c>
    </row>
    <row r="72">
      <c r="A72" s="16">
        <f>IF(Deals!$A69="","",Deals!$A69)</f>
        <v/>
      </c>
      <c r="B72" s="18">
        <f>IF($A72="","",Deals!$R69)</f>
        <v/>
      </c>
      <c r="C72" s="63">
        <f>IF($A72="","",SUMIFS(Actuals!$D$7:$D$206,Actuals!$E$7:$E$206,$A72,Actuals!$K$7:$K$206,"OK"))</f>
        <v/>
      </c>
      <c r="D72" s="63">
        <f>IF($A72="","",SUMIFS(Actuals!$I$7:$I$206,Actuals!$E$7:$E$206,$A72,Actuals!$K$7:$K$206,"OK"))</f>
        <v/>
      </c>
      <c r="E72" s="64">
        <f>IF($A72="","",$C72-$D72)</f>
        <v/>
      </c>
      <c r="F72" s="65">
        <f>IF(OR($A72="",$D72=0),"",$C72/$D72)</f>
        <v/>
      </c>
    </row>
    <row r="73">
      <c r="A73" s="16">
        <f>IF(Deals!$A70="","",Deals!$A70)</f>
        <v/>
      </c>
      <c r="B73" s="18">
        <f>IF($A73="","",Deals!$R70)</f>
        <v/>
      </c>
      <c r="C73" s="63">
        <f>IF($A73="","",SUMIFS(Actuals!$D$7:$D$206,Actuals!$E$7:$E$206,$A73,Actuals!$K$7:$K$206,"OK"))</f>
        <v/>
      </c>
      <c r="D73" s="63">
        <f>IF($A73="","",SUMIFS(Actuals!$I$7:$I$206,Actuals!$E$7:$E$206,$A73,Actuals!$K$7:$K$206,"OK"))</f>
        <v/>
      </c>
      <c r="E73" s="64">
        <f>IF($A73="","",$C73-$D73)</f>
        <v/>
      </c>
      <c r="F73" s="65">
        <f>IF(OR($A73="",$D73=0),"",$C73/$D73)</f>
        <v/>
      </c>
    </row>
    <row r="74">
      <c r="A74" s="16">
        <f>IF(Deals!$A71="","",Deals!$A71)</f>
        <v/>
      </c>
      <c r="B74" s="18">
        <f>IF($A74="","",Deals!$R71)</f>
        <v/>
      </c>
      <c r="C74" s="63">
        <f>IF($A74="","",SUMIFS(Actuals!$D$7:$D$206,Actuals!$E$7:$E$206,$A74,Actuals!$K$7:$K$206,"OK"))</f>
        <v/>
      </c>
      <c r="D74" s="63">
        <f>IF($A74="","",SUMIFS(Actuals!$I$7:$I$206,Actuals!$E$7:$E$206,$A74,Actuals!$K$7:$K$206,"OK"))</f>
        <v/>
      </c>
      <c r="E74" s="64">
        <f>IF($A74="","",$C74-$D74)</f>
        <v/>
      </c>
      <c r="F74" s="65">
        <f>IF(OR($A74="",$D74=0),"",$C74/$D74)</f>
        <v/>
      </c>
    </row>
    <row r="75">
      <c r="A75" s="16">
        <f>IF(Deals!$A72="","",Deals!$A72)</f>
        <v/>
      </c>
      <c r="B75" s="18">
        <f>IF($A75="","",Deals!$R72)</f>
        <v/>
      </c>
      <c r="C75" s="63">
        <f>IF($A75="","",SUMIFS(Actuals!$D$7:$D$206,Actuals!$E$7:$E$206,$A75,Actuals!$K$7:$K$206,"OK"))</f>
        <v/>
      </c>
      <c r="D75" s="63">
        <f>IF($A75="","",SUMIFS(Actuals!$I$7:$I$206,Actuals!$E$7:$E$206,$A75,Actuals!$K$7:$K$206,"OK"))</f>
        <v/>
      </c>
      <c r="E75" s="64">
        <f>IF($A75="","",$C75-$D75)</f>
        <v/>
      </c>
      <c r="F75" s="65">
        <f>IF(OR($A75="",$D75=0),"",$C75/$D75)</f>
        <v/>
      </c>
    </row>
    <row r="76">
      <c r="A76" s="16">
        <f>IF(Deals!$A73="","",Deals!$A73)</f>
        <v/>
      </c>
      <c r="B76" s="18">
        <f>IF($A76="","",Deals!$R73)</f>
        <v/>
      </c>
      <c r="C76" s="63">
        <f>IF($A76="","",SUMIFS(Actuals!$D$7:$D$206,Actuals!$E$7:$E$206,$A76,Actuals!$K$7:$K$206,"OK"))</f>
        <v/>
      </c>
      <c r="D76" s="63">
        <f>IF($A76="","",SUMIFS(Actuals!$I$7:$I$206,Actuals!$E$7:$E$206,$A76,Actuals!$K$7:$K$206,"OK"))</f>
        <v/>
      </c>
      <c r="E76" s="64">
        <f>IF($A76="","",$C76-$D76)</f>
        <v/>
      </c>
      <c r="F76" s="65">
        <f>IF(OR($A76="",$D76=0),"",$C76/$D76)</f>
        <v/>
      </c>
    </row>
    <row r="77">
      <c r="A77" s="16">
        <f>IF(Deals!$A74="","",Deals!$A74)</f>
        <v/>
      </c>
      <c r="B77" s="18">
        <f>IF($A77="","",Deals!$R74)</f>
        <v/>
      </c>
      <c r="C77" s="63">
        <f>IF($A77="","",SUMIFS(Actuals!$D$7:$D$206,Actuals!$E$7:$E$206,$A77,Actuals!$K$7:$K$206,"OK"))</f>
        <v/>
      </c>
      <c r="D77" s="63">
        <f>IF($A77="","",SUMIFS(Actuals!$I$7:$I$206,Actuals!$E$7:$E$206,$A77,Actuals!$K$7:$K$206,"OK"))</f>
        <v/>
      </c>
      <c r="E77" s="64">
        <f>IF($A77="","",$C77-$D77)</f>
        <v/>
      </c>
      <c r="F77" s="65">
        <f>IF(OR($A77="",$D77=0),"",$C77/$D77)</f>
        <v/>
      </c>
    </row>
    <row r="78">
      <c r="A78" s="16">
        <f>IF(Deals!$A75="","",Deals!$A75)</f>
        <v/>
      </c>
      <c r="B78" s="18">
        <f>IF($A78="","",Deals!$R75)</f>
        <v/>
      </c>
      <c r="C78" s="63">
        <f>IF($A78="","",SUMIFS(Actuals!$D$7:$D$206,Actuals!$E$7:$E$206,$A78,Actuals!$K$7:$K$206,"OK"))</f>
        <v/>
      </c>
      <c r="D78" s="63">
        <f>IF($A78="","",SUMIFS(Actuals!$I$7:$I$206,Actuals!$E$7:$E$206,$A78,Actuals!$K$7:$K$206,"OK"))</f>
        <v/>
      </c>
      <c r="E78" s="64">
        <f>IF($A78="","",$C78-$D78)</f>
        <v/>
      </c>
      <c r="F78" s="65">
        <f>IF(OR($A78="",$D78=0),"",$C78/$D78)</f>
        <v/>
      </c>
    </row>
    <row r="79">
      <c r="A79" s="16">
        <f>IF(Deals!$A76="","",Deals!$A76)</f>
        <v/>
      </c>
      <c r="B79" s="18">
        <f>IF($A79="","",Deals!$R76)</f>
        <v/>
      </c>
      <c r="C79" s="63">
        <f>IF($A79="","",SUMIFS(Actuals!$D$7:$D$206,Actuals!$E$7:$E$206,$A79,Actuals!$K$7:$K$206,"OK"))</f>
        <v/>
      </c>
      <c r="D79" s="63">
        <f>IF($A79="","",SUMIFS(Actuals!$I$7:$I$206,Actuals!$E$7:$E$206,$A79,Actuals!$K$7:$K$206,"OK"))</f>
        <v/>
      </c>
      <c r="E79" s="64">
        <f>IF($A79="","",$C79-$D79)</f>
        <v/>
      </c>
      <c r="F79" s="65">
        <f>IF(OR($A79="",$D79=0),"",$C79/$D79)</f>
        <v/>
      </c>
    </row>
    <row r="80">
      <c r="A80" s="16">
        <f>IF(Deals!$A77="","",Deals!$A77)</f>
        <v/>
      </c>
      <c r="B80" s="18">
        <f>IF($A80="","",Deals!$R77)</f>
        <v/>
      </c>
      <c r="C80" s="63">
        <f>IF($A80="","",SUMIFS(Actuals!$D$7:$D$206,Actuals!$E$7:$E$206,$A80,Actuals!$K$7:$K$206,"OK"))</f>
        <v/>
      </c>
      <c r="D80" s="63">
        <f>IF($A80="","",SUMIFS(Actuals!$I$7:$I$206,Actuals!$E$7:$E$206,$A80,Actuals!$K$7:$K$206,"OK"))</f>
        <v/>
      </c>
      <c r="E80" s="64">
        <f>IF($A80="","",$C80-$D80)</f>
        <v/>
      </c>
      <c r="F80" s="65">
        <f>IF(OR($A80="",$D80=0),"",$C80/$D80)</f>
        <v/>
      </c>
    </row>
    <row r="81">
      <c r="A81" s="16">
        <f>IF(Deals!$A78="","",Deals!$A78)</f>
        <v/>
      </c>
      <c r="B81" s="18">
        <f>IF($A81="","",Deals!$R78)</f>
        <v/>
      </c>
      <c r="C81" s="63">
        <f>IF($A81="","",SUMIFS(Actuals!$D$7:$D$206,Actuals!$E$7:$E$206,$A81,Actuals!$K$7:$K$206,"OK"))</f>
        <v/>
      </c>
      <c r="D81" s="63">
        <f>IF($A81="","",SUMIFS(Actuals!$I$7:$I$206,Actuals!$E$7:$E$206,$A81,Actuals!$K$7:$K$206,"OK"))</f>
        <v/>
      </c>
      <c r="E81" s="64">
        <f>IF($A81="","",$C81-$D81)</f>
        <v/>
      </c>
      <c r="F81" s="65">
        <f>IF(OR($A81="",$D81=0),"",$C81/$D81)</f>
        <v/>
      </c>
    </row>
    <row r="82">
      <c r="A82" s="16">
        <f>IF(Deals!$A79="","",Deals!$A79)</f>
        <v/>
      </c>
      <c r="B82" s="18">
        <f>IF($A82="","",Deals!$R79)</f>
        <v/>
      </c>
      <c r="C82" s="63">
        <f>IF($A82="","",SUMIFS(Actuals!$D$7:$D$206,Actuals!$E$7:$E$206,$A82,Actuals!$K$7:$K$206,"OK"))</f>
        <v/>
      </c>
      <c r="D82" s="63">
        <f>IF($A82="","",SUMIFS(Actuals!$I$7:$I$206,Actuals!$E$7:$E$206,$A82,Actuals!$K$7:$K$206,"OK"))</f>
        <v/>
      </c>
      <c r="E82" s="64">
        <f>IF($A82="","",$C82-$D82)</f>
        <v/>
      </c>
      <c r="F82" s="65">
        <f>IF(OR($A82="",$D82=0),"",$C82/$D82)</f>
        <v/>
      </c>
    </row>
    <row r="83">
      <c r="A83" s="16">
        <f>IF(Deals!$A80="","",Deals!$A80)</f>
        <v/>
      </c>
      <c r="B83" s="18">
        <f>IF($A83="","",Deals!$R80)</f>
        <v/>
      </c>
      <c r="C83" s="63">
        <f>IF($A83="","",SUMIFS(Actuals!$D$7:$D$206,Actuals!$E$7:$E$206,$A83,Actuals!$K$7:$K$206,"OK"))</f>
        <v/>
      </c>
      <c r="D83" s="63">
        <f>IF($A83="","",SUMIFS(Actuals!$I$7:$I$206,Actuals!$E$7:$E$206,$A83,Actuals!$K$7:$K$206,"OK"))</f>
        <v/>
      </c>
      <c r="E83" s="64">
        <f>IF($A83="","",$C83-$D83)</f>
        <v/>
      </c>
      <c r="F83" s="65">
        <f>IF(OR($A83="",$D83=0),"",$C83/$D83)</f>
        <v/>
      </c>
    </row>
    <row r="84">
      <c r="A84" s="16">
        <f>IF(Deals!$A81="","",Deals!$A81)</f>
        <v/>
      </c>
      <c r="B84" s="18">
        <f>IF($A84="","",Deals!$R81)</f>
        <v/>
      </c>
      <c r="C84" s="63">
        <f>IF($A84="","",SUMIFS(Actuals!$D$7:$D$206,Actuals!$E$7:$E$206,$A84,Actuals!$K$7:$K$206,"OK"))</f>
        <v/>
      </c>
      <c r="D84" s="63">
        <f>IF($A84="","",SUMIFS(Actuals!$I$7:$I$206,Actuals!$E$7:$E$206,$A84,Actuals!$K$7:$K$206,"OK"))</f>
        <v/>
      </c>
      <c r="E84" s="64">
        <f>IF($A84="","",$C84-$D84)</f>
        <v/>
      </c>
      <c r="F84" s="65">
        <f>IF(OR($A84="",$D84=0),"",$C84/$D84)</f>
        <v/>
      </c>
    </row>
    <row r="85">
      <c r="A85" s="16">
        <f>IF(Deals!$A82="","",Deals!$A82)</f>
        <v/>
      </c>
      <c r="B85" s="18">
        <f>IF($A85="","",Deals!$R82)</f>
        <v/>
      </c>
      <c r="C85" s="63">
        <f>IF($A85="","",SUMIFS(Actuals!$D$7:$D$206,Actuals!$E$7:$E$206,$A85,Actuals!$K$7:$K$206,"OK"))</f>
        <v/>
      </c>
      <c r="D85" s="63">
        <f>IF($A85="","",SUMIFS(Actuals!$I$7:$I$206,Actuals!$E$7:$E$206,$A85,Actuals!$K$7:$K$206,"OK"))</f>
        <v/>
      </c>
      <c r="E85" s="64">
        <f>IF($A85="","",$C85-$D85)</f>
        <v/>
      </c>
      <c r="F85" s="65">
        <f>IF(OR($A85="",$D85=0),"",$C85/$D85)</f>
        <v/>
      </c>
    </row>
    <row r="86">
      <c r="A86" s="16">
        <f>IF(Deals!$A83="","",Deals!$A83)</f>
        <v/>
      </c>
      <c r="B86" s="18">
        <f>IF($A86="","",Deals!$R83)</f>
        <v/>
      </c>
      <c r="C86" s="63">
        <f>IF($A86="","",SUMIFS(Actuals!$D$7:$D$206,Actuals!$E$7:$E$206,$A86,Actuals!$K$7:$K$206,"OK"))</f>
        <v/>
      </c>
      <c r="D86" s="63">
        <f>IF($A86="","",SUMIFS(Actuals!$I$7:$I$206,Actuals!$E$7:$E$206,$A86,Actuals!$K$7:$K$206,"OK"))</f>
        <v/>
      </c>
      <c r="E86" s="64">
        <f>IF($A86="","",$C86-$D86)</f>
        <v/>
      </c>
      <c r="F86" s="65">
        <f>IF(OR($A86="",$D86=0),"",$C86/$D86)</f>
        <v/>
      </c>
    </row>
    <row r="87">
      <c r="A87" s="16">
        <f>IF(Deals!$A84="","",Deals!$A84)</f>
        <v/>
      </c>
      <c r="B87" s="18">
        <f>IF($A87="","",Deals!$R84)</f>
        <v/>
      </c>
      <c r="C87" s="63">
        <f>IF($A87="","",SUMIFS(Actuals!$D$7:$D$206,Actuals!$E$7:$E$206,$A87,Actuals!$K$7:$K$206,"OK"))</f>
        <v/>
      </c>
      <c r="D87" s="63">
        <f>IF($A87="","",SUMIFS(Actuals!$I$7:$I$206,Actuals!$E$7:$E$206,$A87,Actuals!$K$7:$K$206,"OK"))</f>
        <v/>
      </c>
      <c r="E87" s="64">
        <f>IF($A87="","",$C87-$D87)</f>
        <v/>
      </c>
      <c r="F87" s="65">
        <f>IF(OR($A87="",$D87=0),"",$C87/$D87)</f>
        <v/>
      </c>
    </row>
    <row r="88">
      <c r="A88" s="16">
        <f>IF(Deals!$A85="","",Deals!$A85)</f>
        <v/>
      </c>
      <c r="B88" s="18">
        <f>IF($A88="","",Deals!$R85)</f>
        <v/>
      </c>
      <c r="C88" s="63">
        <f>IF($A88="","",SUMIFS(Actuals!$D$7:$D$206,Actuals!$E$7:$E$206,$A88,Actuals!$K$7:$K$206,"OK"))</f>
        <v/>
      </c>
      <c r="D88" s="63">
        <f>IF($A88="","",SUMIFS(Actuals!$I$7:$I$206,Actuals!$E$7:$E$206,$A88,Actuals!$K$7:$K$206,"OK"))</f>
        <v/>
      </c>
      <c r="E88" s="64">
        <f>IF($A88="","",$C88-$D88)</f>
        <v/>
      </c>
      <c r="F88" s="65">
        <f>IF(OR($A88="",$D88=0),"",$C88/$D88)</f>
        <v/>
      </c>
    </row>
    <row r="89">
      <c r="A89" s="16">
        <f>IF(Deals!$A86="","",Deals!$A86)</f>
        <v/>
      </c>
      <c r="B89" s="18">
        <f>IF($A89="","",Deals!$R86)</f>
        <v/>
      </c>
      <c r="C89" s="63">
        <f>IF($A89="","",SUMIFS(Actuals!$D$7:$D$206,Actuals!$E$7:$E$206,$A89,Actuals!$K$7:$K$206,"OK"))</f>
        <v/>
      </c>
      <c r="D89" s="63">
        <f>IF($A89="","",SUMIFS(Actuals!$I$7:$I$206,Actuals!$E$7:$E$206,$A89,Actuals!$K$7:$K$206,"OK"))</f>
        <v/>
      </c>
      <c r="E89" s="64">
        <f>IF($A89="","",$C89-$D89)</f>
        <v/>
      </c>
      <c r="F89" s="65">
        <f>IF(OR($A89="",$D89=0),"",$C89/$D89)</f>
        <v/>
      </c>
    </row>
    <row r="90">
      <c r="A90" s="16">
        <f>IF(Deals!$A87="","",Deals!$A87)</f>
        <v/>
      </c>
      <c r="B90" s="18">
        <f>IF($A90="","",Deals!$R87)</f>
        <v/>
      </c>
      <c r="C90" s="63">
        <f>IF($A90="","",SUMIFS(Actuals!$D$7:$D$206,Actuals!$E$7:$E$206,$A90,Actuals!$K$7:$K$206,"OK"))</f>
        <v/>
      </c>
      <c r="D90" s="63">
        <f>IF($A90="","",SUMIFS(Actuals!$I$7:$I$206,Actuals!$E$7:$E$206,$A90,Actuals!$K$7:$K$206,"OK"))</f>
        <v/>
      </c>
      <c r="E90" s="64">
        <f>IF($A90="","",$C90-$D90)</f>
        <v/>
      </c>
      <c r="F90" s="65">
        <f>IF(OR($A90="",$D90=0),"",$C90/$D90)</f>
        <v/>
      </c>
    </row>
    <row r="91">
      <c r="A91" s="16">
        <f>IF(Deals!$A88="","",Deals!$A88)</f>
        <v/>
      </c>
      <c r="B91" s="18">
        <f>IF($A91="","",Deals!$R88)</f>
        <v/>
      </c>
      <c r="C91" s="63">
        <f>IF($A91="","",SUMIFS(Actuals!$D$7:$D$206,Actuals!$E$7:$E$206,$A91,Actuals!$K$7:$K$206,"OK"))</f>
        <v/>
      </c>
      <c r="D91" s="63">
        <f>IF($A91="","",SUMIFS(Actuals!$I$7:$I$206,Actuals!$E$7:$E$206,$A91,Actuals!$K$7:$K$206,"OK"))</f>
        <v/>
      </c>
      <c r="E91" s="64">
        <f>IF($A91="","",$C91-$D91)</f>
        <v/>
      </c>
      <c r="F91" s="65">
        <f>IF(OR($A91="",$D91=0),"",$C91/$D91)</f>
        <v/>
      </c>
    </row>
    <row r="92">
      <c r="A92" s="16">
        <f>IF(Deals!$A89="","",Deals!$A89)</f>
        <v/>
      </c>
      <c r="B92" s="18">
        <f>IF($A92="","",Deals!$R89)</f>
        <v/>
      </c>
      <c r="C92" s="63">
        <f>IF($A92="","",SUMIFS(Actuals!$D$7:$D$206,Actuals!$E$7:$E$206,$A92,Actuals!$K$7:$K$206,"OK"))</f>
        <v/>
      </c>
      <c r="D92" s="63">
        <f>IF($A92="","",SUMIFS(Actuals!$I$7:$I$206,Actuals!$E$7:$E$206,$A92,Actuals!$K$7:$K$206,"OK"))</f>
        <v/>
      </c>
      <c r="E92" s="64">
        <f>IF($A92="","",$C92-$D92)</f>
        <v/>
      </c>
      <c r="F92" s="65">
        <f>IF(OR($A92="",$D92=0),"",$C92/$D92)</f>
        <v/>
      </c>
    </row>
    <row r="93">
      <c r="A93" s="16">
        <f>IF(Deals!$A90="","",Deals!$A90)</f>
        <v/>
      </c>
      <c r="B93" s="18">
        <f>IF($A93="","",Deals!$R90)</f>
        <v/>
      </c>
      <c r="C93" s="63">
        <f>IF($A93="","",SUMIFS(Actuals!$D$7:$D$206,Actuals!$E$7:$E$206,$A93,Actuals!$K$7:$K$206,"OK"))</f>
        <v/>
      </c>
      <c r="D93" s="63">
        <f>IF($A93="","",SUMIFS(Actuals!$I$7:$I$206,Actuals!$E$7:$E$206,$A93,Actuals!$K$7:$K$206,"OK"))</f>
        <v/>
      </c>
      <c r="E93" s="64">
        <f>IF($A93="","",$C93-$D93)</f>
        <v/>
      </c>
      <c r="F93" s="65">
        <f>IF(OR($A93="",$D93=0),"",$C93/$D93)</f>
        <v/>
      </c>
    </row>
    <row r="94">
      <c r="A94" s="16">
        <f>IF(Deals!$A91="","",Deals!$A91)</f>
        <v/>
      </c>
      <c r="B94" s="18">
        <f>IF($A94="","",Deals!$R91)</f>
        <v/>
      </c>
      <c r="C94" s="63">
        <f>IF($A94="","",SUMIFS(Actuals!$D$7:$D$206,Actuals!$E$7:$E$206,$A94,Actuals!$K$7:$K$206,"OK"))</f>
        <v/>
      </c>
      <c r="D94" s="63">
        <f>IF($A94="","",SUMIFS(Actuals!$I$7:$I$206,Actuals!$E$7:$E$206,$A94,Actuals!$K$7:$K$206,"OK"))</f>
        <v/>
      </c>
      <c r="E94" s="64">
        <f>IF($A94="","",$C94-$D94)</f>
        <v/>
      </c>
      <c r="F94" s="65">
        <f>IF(OR($A94="",$D94=0),"",$C94/$D94)</f>
        <v/>
      </c>
    </row>
    <row r="95">
      <c r="A95" s="16">
        <f>IF(Deals!$A92="","",Deals!$A92)</f>
        <v/>
      </c>
      <c r="B95" s="18">
        <f>IF($A95="","",Deals!$R92)</f>
        <v/>
      </c>
      <c r="C95" s="63">
        <f>IF($A95="","",SUMIFS(Actuals!$D$7:$D$206,Actuals!$E$7:$E$206,$A95,Actuals!$K$7:$K$206,"OK"))</f>
        <v/>
      </c>
      <c r="D95" s="63">
        <f>IF($A95="","",SUMIFS(Actuals!$I$7:$I$206,Actuals!$E$7:$E$206,$A95,Actuals!$K$7:$K$206,"OK"))</f>
        <v/>
      </c>
      <c r="E95" s="64">
        <f>IF($A95="","",$C95-$D95)</f>
        <v/>
      </c>
      <c r="F95" s="65">
        <f>IF(OR($A95="",$D95=0),"",$C95/$D95)</f>
        <v/>
      </c>
    </row>
    <row r="96">
      <c r="A96" s="16">
        <f>IF(Deals!$A93="","",Deals!$A93)</f>
        <v/>
      </c>
      <c r="B96" s="18">
        <f>IF($A96="","",Deals!$R93)</f>
        <v/>
      </c>
      <c r="C96" s="63">
        <f>IF($A96="","",SUMIFS(Actuals!$D$7:$D$206,Actuals!$E$7:$E$206,$A96,Actuals!$K$7:$K$206,"OK"))</f>
        <v/>
      </c>
      <c r="D96" s="63">
        <f>IF($A96="","",SUMIFS(Actuals!$I$7:$I$206,Actuals!$E$7:$E$206,$A96,Actuals!$K$7:$K$206,"OK"))</f>
        <v/>
      </c>
      <c r="E96" s="64">
        <f>IF($A96="","",$C96-$D96)</f>
        <v/>
      </c>
      <c r="F96" s="65">
        <f>IF(OR($A96="",$D96=0),"",$C96/$D96)</f>
        <v/>
      </c>
    </row>
    <row r="97">
      <c r="A97" s="16">
        <f>IF(Deals!$A94="","",Deals!$A94)</f>
        <v/>
      </c>
      <c r="B97" s="18">
        <f>IF($A97="","",Deals!$R94)</f>
        <v/>
      </c>
      <c r="C97" s="63">
        <f>IF($A97="","",SUMIFS(Actuals!$D$7:$D$206,Actuals!$E$7:$E$206,$A97,Actuals!$K$7:$K$206,"OK"))</f>
        <v/>
      </c>
      <c r="D97" s="63">
        <f>IF($A97="","",SUMIFS(Actuals!$I$7:$I$206,Actuals!$E$7:$E$206,$A97,Actuals!$K$7:$K$206,"OK"))</f>
        <v/>
      </c>
      <c r="E97" s="64">
        <f>IF($A97="","",$C97-$D97)</f>
        <v/>
      </c>
      <c r="F97" s="65">
        <f>IF(OR($A97="",$D97=0),"",$C97/$D97)</f>
        <v/>
      </c>
    </row>
    <row r="98">
      <c r="A98" s="16">
        <f>IF(Deals!$A95="","",Deals!$A95)</f>
        <v/>
      </c>
      <c r="B98" s="18">
        <f>IF($A98="","",Deals!$R95)</f>
        <v/>
      </c>
      <c r="C98" s="63">
        <f>IF($A98="","",SUMIFS(Actuals!$D$7:$D$206,Actuals!$E$7:$E$206,$A98,Actuals!$K$7:$K$206,"OK"))</f>
        <v/>
      </c>
      <c r="D98" s="63">
        <f>IF($A98="","",SUMIFS(Actuals!$I$7:$I$206,Actuals!$E$7:$E$206,$A98,Actuals!$K$7:$K$206,"OK"))</f>
        <v/>
      </c>
      <c r="E98" s="64">
        <f>IF($A98="","",$C98-$D98)</f>
        <v/>
      </c>
      <c r="F98" s="65">
        <f>IF(OR($A98="",$D98=0),"",$C98/$D98)</f>
        <v/>
      </c>
    </row>
    <row r="99">
      <c r="A99" s="16">
        <f>IF(Deals!$A96="","",Deals!$A96)</f>
        <v/>
      </c>
      <c r="B99" s="18">
        <f>IF($A99="","",Deals!$R96)</f>
        <v/>
      </c>
      <c r="C99" s="63">
        <f>IF($A99="","",SUMIFS(Actuals!$D$7:$D$206,Actuals!$E$7:$E$206,$A99,Actuals!$K$7:$K$206,"OK"))</f>
        <v/>
      </c>
      <c r="D99" s="63">
        <f>IF($A99="","",SUMIFS(Actuals!$I$7:$I$206,Actuals!$E$7:$E$206,$A99,Actuals!$K$7:$K$206,"OK"))</f>
        <v/>
      </c>
      <c r="E99" s="64">
        <f>IF($A99="","",$C99-$D99)</f>
        <v/>
      </c>
      <c r="F99" s="65">
        <f>IF(OR($A99="",$D99=0),"",$C99/$D99)</f>
        <v/>
      </c>
    </row>
    <row r="100">
      <c r="A100" s="16">
        <f>IF(Deals!$A97="","",Deals!$A97)</f>
        <v/>
      </c>
      <c r="B100" s="18">
        <f>IF($A100="","",Deals!$R97)</f>
        <v/>
      </c>
      <c r="C100" s="63">
        <f>IF($A100="","",SUMIFS(Actuals!$D$7:$D$206,Actuals!$E$7:$E$206,$A100,Actuals!$K$7:$K$206,"OK"))</f>
        <v/>
      </c>
      <c r="D100" s="63">
        <f>IF($A100="","",SUMIFS(Actuals!$I$7:$I$206,Actuals!$E$7:$E$206,$A100,Actuals!$K$7:$K$206,"OK"))</f>
        <v/>
      </c>
      <c r="E100" s="64">
        <f>IF($A100="","",$C100-$D100)</f>
        <v/>
      </c>
      <c r="F100" s="65">
        <f>IF(OR($A100="",$D100=0),"",$C100/$D100)</f>
        <v/>
      </c>
    </row>
    <row r="101">
      <c r="A101" s="16">
        <f>IF(Deals!$A98="","",Deals!$A98)</f>
        <v/>
      </c>
      <c r="B101" s="18">
        <f>IF($A101="","",Deals!$R98)</f>
        <v/>
      </c>
      <c r="C101" s="63">
        <f>IF($A101="","",SUMIFS(Actuals!$D$7:$D$206,Actuals!$E$7:$E$206,$A101,Actuals!$K$7:$K$206,"OK"))</f>
        <v/>
      </c>
      <c r="D101" s="63">
        <f>IF($A101="","",SUMIFS(Actuals!$I$7:$I$206,Actuals!$E$7:$E$206,$A101,Actuals!$K$7:$K$206,"OK"))</f>
        <v/>
      </c>
      <c r="E101" s="64">
        <f>IF($A101="","",$C101-$D101)</f>
        <v/>
      </c>
      <c r="F101" s="65">
        <f>IF(OR($A101="",$D101=0),"",$C101/$D101)</f>
        <v/>
      </c>
    </row>
    <row r="102">
      <c r="A102" s="16">
        <f>IF(Deals!$A99="","",Deals!$A99)</f>
        <v/>
      </c>
      <c r="B102" s="18">
        <f>IF($A102="","",Deals!$R99)</f>
        <v/>
      </c>
      <c r="C102" s="63">
        <f>IF($A102="","",SUMIFS(Actuals!$D$7:$D$206,Actuals!$E$7:$E$206,$A102,Actuals!$K$7:$K$206,"OK"))</f>
        <v/>
      </c>
      <c r="D102" s="63">
        <f>IF($A102="","",SUMIFS(Actuals!$I$7:$I$206,Actuals!$E$7:$E$206,$A102,Actuals!$K$7:$K$206,"OK"))</f>
        <v/>
      </c>
      <c r="E102" s="64">
        <f>IF($A102="","",$C102-$D102)</f>
        <v/>
      </c>
      <c r="F102" s="65">
        <f>IF(OR($A102="",$D102=0),"",$C102/$D102)</f>
        <v/>
      </c>
    </row>
    <row r="103">
      <c r="A103" s="16">
        <f>IF(Deals!$A100="","",Deals!$A100)</f>
        <v/>
      </c>
      <c r="B103" s="18">
        <f>IF($A103="","",Deals!$R100)</f>
        <v/>
      </c>
      <c r="C103" s="63">
        <f>IF($A103="","",SUMIFS(Actuals!$D$7:$D$206,Actuals!$E$7:$E$206,$A103,Actuals!$K$7:$K$206,"OK"))</f>
        <v/>
      </c>
      <c r="D103" s="63">
        <f>IF($A103="","",SUMIFS(Actuals!$I$7:$I$206,Actuals!$E$7:$E$206,$A103,Actuals!$K$7:$K$206,"OK"))</f>
        <v/>
      </c>
      <c r="E103" s="64">
        <f>IF($A103="","",$C103-$D103)</f>
        <v/>
      </c>
      <c r="F103" s="65">
        <f>IF(OR($A103="",$D103=0),"",$C103/$D103)</f>
        <v/>
      </c>
    </row>
    <row r="104">
      <c r="A104" s="16">
        <f>IF(Deals!$A101="","",Deals!$A101)</f>
        <v/>
      </c>
      <c r="B104" s="18">
        <f>IF($A104="","",Deals!$R101)</f>
        <v/>
      </c>
      <c r="C104" s="63">
        <f>IF($A104="","",SUMIFS(Actuals!$D$7:$D$206,Actuals!$E$7:$E$206,$A104,Actuals!$K$7:$K$206,"OK"))</f>
        <v/>
      </c>
      <c r="D104" s="63">
        <f>IF($A104="","",SUMIFS(Actuals!$I$7:$I$206,Actuals!$E$7:$E$206,$A104,Actuals!$K$7:$K$206,"OK"))</f>
        <v/>
      </c>
      <c r="E104" s="64">
        <f>IF($A104="","",$C104-$D104)</f>
        <v/>
      </c>
      <c r="F104" s="65">
        <f>IF(OR($A104="",$D104=0),"",$C104/$D104)</f>
        <v/>
      </c>
    </row>
    <row r="105">
      <c r="A105" s="16">
        <f>IF(Deals!$A102="","",Deals!$A102)</f>
        <v/>
      </c>
      <c r="B105" s="18">
        <f>IF($A105="","",Deals!$R102)</f>
        <v/>
      </c>
      <c r="C105" s="63">
        <f>IF($A105="","",SUMIFS(Actuals!$D$7:$D$206,Actuals!$E$7:$E$206,$A105,Actuals!$K$7:$K$206,"OK"))</f>
        <v/>
      </c>
      <c r="D105" s="63">
        <f>IF($A105="","",SUMIFS(Actuals!$I$7:$I$206,Actuals!$E$7:$E$206,$A105,Actuals!$K$7:$K$206,"OK"))</f>
        <v/>
      </c>
      <c r="E105" s="64">
        <f>IF($A105="","",$C105-$D105)</f>
        <v/>
      </c>
      <c r="F105" s="65">
        <f>IF(OR($A105="",$D105=0),"",$C105/$D105)</f>
        <v/>
      </c>
    </row>
    <row r="106">
      <c r="A106" s="16">
        <f>IF(Deals!$A103="","",Deals!$A103)</f>
        <v/>
      </c>
      <c r="B106" s="18">
        <f>IF($A106="","",Deals!$R103)</f>
        <v/>
      </c>
      <c r="C106" s="63">
        <f>IF($A106="","",SUMIFS(Actuals!$D$7:$D$206,Actuals!$E$7:$E$206,$A106,Actuals!$K$7:$K$206,"OK"))</f>
        <v/>
      </c>
      <c r="D106" s="63">
        <f>IF($A106="","",SUMIFS(Actuals!$I$7:$I$206,Actuals!$E$7:$E$206,$A106,Actuals!$K$7:$K$206,"OK"))</f>
        <v/>
      </c>
      <c r="E106" s="64">
        <f>IF($A106="","",$C106-$D106)</f>
        <v/>
      </c>
      <c r="F106" s="65">
        <f>IF(OR($A106="",$D106=0),"",$C106/$D106)</f>
        <v/>
      </c>
    </row>
    <row r="107">
      <c r="A107" s="16">
        <f>IF(Deals!$A104="","",Deals!$A104)</f>
        <v/>
      </c>
      <c r="B107" s="18">
        <f>IF($A107="","",Deals!$R104)</f>
        <v/>
      </c>
      <c r="C107" s="63">
        <f>IF($A107="","",SUMIFS(Actuals!$D$7:$D$206,Actuals!$E$7:$E$206,$A107,Actuals!$K$7:$K$206,"OK"))</f>
        <v/>
      </c>
      <c r="D107" s="63">
        <f>IF($A107="","",SUMIFS(Actuals!$I$7:$I$206,Actuals!$E$7:$E$206,$A107,Actuals!$K$7:$K$206,"OK"))</f>
        <v/>
      </c>
      <c r="E107" s="64">
        <f>IF($A107="","",$C107-$D107)</f>
        <v/>
      </c>
      <c r="F107" s="65">
        <f>IF(OR($A107="",$D107=0),"",$C107/$D107)</f>
        <v/>
      </c>
    </row>
    <row r="108">
      <c r="A108" s="16">
        <f>IF(Deals!$A105="","",Deals!$A105)</f>
        <v/>
      </c>
      <c r="B108" s="18">
        <f>IF($A108="","",Deals!$R105)</f>
        <v/>
      </c>
      <c r="C108" s="63">
        <f>IF($A108="","",SUMIFS(Actuals!$D$7:$D$206,Actuals!$E$7:$E$206,$A108,Actuals!$K$7:$K$206,"OK"))</f>
        <v/>
      </c>
      <c r="D108" s="63">
        <f>IF($A108="","",SUMIFS(Actuals!$I$7:$I$206,Actuals!$E$7:$E$206,$A108,Actuals!$K$7:$K$206,"OK"))</f>
        <v/>
      </c>
      <c r="E108" s="64">
        <f>IF($A108="","",$C108-$D108)</f>
        <v/>
      </c>
      <c r="F108" s="65">
        <f>IF(OR($A108="",$D108=0),"",$C108/$D108)</f>
        <v/>
      </c>
    </row>
    <row r="109">
      <c r="A109" s="16">
        <f>IF(Deals!$A106="","",Deals!$A106)</f>
        <v/>
      </c>
      <c r="B109" s="18">
        <f>IF($A109="","",Deals!$R106)</f>
        <v/>
      </c>
      <c r="C109" s="63">
        <f>IF($A109="","",SUMIFS(Actuals!$D$7:$D$206,Actuals!$E$7:$E$206,$A109,Actuals!$K$7:$K$206,"OK"))</f>
        <v/>
      </c>
      <c r="D109" s="63">
        <f>IF($A109="","",SUMIFS(Actuals!$I$7:$I$206,Actuals!$E$7:$E$206,$A109,Actuals!$K$7:$K$206,"OK"))</f>
        <v/>
      </c>
      <c r="E109" s="64">
        <f>IF($A109="","",$C109-$D109)</f>
        <v/>
      </c>
      <c r="F109" s="65">
        <f>IF(OR($A109="",$D109=0),"",$C109/$D109)</f>
        <v/>
      </c>
    </row>
    <row r="110">
      <c r="A110" s="16">
        <f>IF(Deals!$A107="","",Deals!$A107)</f>
        <v/>
      </c>
      <c r="B110" s="18">
        <f>IF($A110="","",Deals!$R107)</f>
        <v/>
      </c>
      <c r="C110" s="63">
        <f>IF($A110="","",SUMIFS(Actuals!$D$7:$D$206,Actuals!$E$7:$E$206,$A110,Actuals!$K$7:$K$206,"OK"))</f>
        <v/>
      </c>
      <c r="D110" s="63">
        <f>IF($A110="","",SUMIFS(Actuals!$I$7:$I$206,Actuals!$E$7:$E$206,$A110,Actuals!$K$7:$K$206,"OK"))</f>
        <v/>
      </c>
      <c r="E110" s="64">
        <f>IF($A110="","",$C110-$D110)</f>
        <v/>
      </c>
      <c r="F110" s="65">
        <f>IF(OR($A110="",$D110=0),"",$C110/$D110)</f>
        <v/>
      </c>
    </row>
    <row r="111">
      <c r="A111" s="16">
        <f>IF(Deals!$A108="","",Deals!$A108)</f>
        <v/>
      </c>
      <c r="B111" s="18">
        <f>IF($A111="","",Deals!$R108)</f>
        <v/>
      </c>
      <c r="C111" s="63">
        <f>IF($A111="","",SUMIFS(Actuals!$D$7:$D$206,Actuals!$E$7:$E$206,$A111,Actuals!$K$7:$K$206,"OK"))</f>
        <v/>
      </c>
      <c r="D111" s="63">
        <f>IF($A111="","",SUMIFS(Actuals!$I$7:$I$206,Actuals!$E$7:$E$206,$A111,Actuals!$K$7:$K$206,"OK"))</f>
        <v/>
      </c>
      <c r="E111" s="64">
        <f>IF($A111="","",$C111-$D111)</f>
        <v/>
      </c>
      <c r="F111" s="65">
        <f>IF(OR($A111="",$D111=0),"",$C111/$D111)</f>
        <v/>
      </c>
    </row>
    <row r="112">
      <c r="A112" s="16">
        <f>IF(Deals!$A109="","",Deals!$A109)</f>
        <v/>
      </c>
      <c r="B112" s="18">
        <f>IF($A112="","",Deals!$R109)</f>
        <v/>
      </c>
      <c r="C112" s="63">
        <f>IF($A112="","",SUMIFS(Actuals!$D$7:$D$206,Actuals!$E$7:$E$206,$A112,Actuals!$K$7:$K$206,"OK"))</f>
        <v/>
      </c>
      <c r="D112" s="63">
        <f>IF($A112="","",SUMIFS(Actuals!$I$7:$I$206,Actuals!$E$7:$E$206,$A112,Actuals!$K$7:$K$206,"OK"))</f>
        <v/>
      </c>
      <c r="E112" s="64">
        <f>IF($A112="","",$C112-$D112)</f>
        <v/>
      </c>
      <c r="F112" s="65">
        <f>IF(OR($A112="",$D112=0),"",$C112/$D112)</f>
        <v/>
      </c>
    </row>
    <row r="113">
      <c r="A113" s="16">
        <f>IF(Deals!$A110="","",Deals!$A110)</f>
        <v/>
      </c>
      <c r="B113" s="18">
        <f>IF($A113="","",Deals!$R110)</f>
        <v/>
      </c>
      <c r="C113" s="63">
        <f>IF($A113="","",SUMIFS(Actuals!$D$7:$D$206,Actuals!$E$7:$E$206,$A113,Actuals!$K$7:$K$206,"OK"))</f>
        <v/>
      </c>
      <c r="D113" s="63">
        <f>IF($A113="","",SUMIFS(Actuals!$I$7:$I$206,Actuals!$E$7:$E$206,$A113,Actuals!$K$7:$K$206,"OK"))</f>
        <v/>
      </c>
      <c r="E113" s="64">
        <f>IF($A113="","",$C113-$D113)</f>
        <v/>
      </c>
      <c r="F113" s="65">
        <f>IF(OR($A113="",$D113=0),"",$C113/$D113)</f>
        <v/>
      </c>
    </row>
    <row r="114">
      <c r="A114" s="16">
        <f>IF(Deals!$A111="","",Deals!$A111)</f>
        <v/>
      </c>
      <c r="B114" s="18">
        <f>IF($A114="","",Deals!$R111)</f>
        <v/>
      </c>
      <c r="C114" s="63">
        <f>IF($A114="","",SUMIFS(Actuals!$D$7:$D$206,Actuals!$E$7:$E$206,$A114,Actuals!$K$7:$K$206,"OK"))</f>
        <v/>
      </c>
      <c r="D114" s="63">
        <f>IF($A114="","",SUMIFS(Actuals!$I$7:$I$206,Actuals!$E$7:$E$206,$A114,Actuals!$K$7:$K$206,"OK"))</f>
        <v/>
      </c>
      <c r="E114" s="64">
        <f>IF($A114="","",$C114-$D114)</f>
        <v/>
      </c>
      <c r="F114" s="65">
        <f>IF(OR($A114="",$D114=0),"",$C114/$D114)</f>
        <v/>
      </c>
    </row>
    <row r="115">
      <c r="A115" s="16">
        <f>IF(Deals!$A112="","",Deals!$A112)</f>
        <v/>
      </c>
      <c r="B115" s="18">
        <f>IF($A115="","",Deals!$R112)</f>
        <v/>
      </c>
      <c r="C115" s="63">
        <f>IF($A115="","",SUMIFS(Actuals!$D$7:$D$206,Actuals!$E$7:$E$206,$A115,Actuals!$K$7:$K$206,"OK"))</f>
        <v/>
      </c>
      <c r="D115" s="63">
        <f>IF($A115="","",SUMIFS(Actuals!$I$7:$I$206,Actuals!$E$7:$E$206,$A115,Actuals!$K$7:$K$206,"OK"))</f>
        <v/>
      </c>
      <c r="E115" s="64">
        <f>IF($A115="","",$C115-$D115)</f>
        <v/>
      </c>
      <c r="F115" s="65">
        <f>IF(OR($A115="",$D115=0),"",$C115/$D115)</f>
        <v/>
      </c>
    </row>
    <row r="116">
      <c r="A116" s="16">
        <f>IF(Deals!$A113="","",Deals!$A113)</f>
        <v/>
      </c>
      <c r="B116" s="18">
        <f>IF($A116="","",Deals!$R113)</f>
        <v/>
      </c>
      <c r="C116" s="63">
        <f>IF($A116="","",SUMIFS(Actuals!$D$7:$D$206,Actuals!$E$7:$E$206,$A116,Actuals!$K$7:$K$206,"OK"))</f>
        <v/>
      </c>
      <c r="D116" s="63">
        <f>IF($A116="","",SUMIFS(Actuals!$I$7:$I$206,Actuals!$E$7:$E$206,$A116,Actuals!$K$7:$K$206,"OK"))</f>
        <v/>
      </c>
      <c r="E116" s="64">
        <f>IF($A116="","",$C116-$D116)</f>
        <v/>
      </c>
      <c r="F116" s="65">
        <f>IF(OR($A116="",$D116=0),"",$C116/$D116)</f>
        <v/>
      </c>
    </row>
    <row r="117">
      <c r="A117" s="16">
        <f>IF(Deals!$A114="","",Deals!$A114)</f>
        <v/>
      </c>
      <c r="B117" s="18">
        <f>IF($A117="","",Deals!$R114)</f>
        <v/>
      </c>
      <c r="C117" s="63">
        <f>IF($A117="","",SUMIFS(Actuals!$D$7:$D$206,Actuals!$E$7:$E$206,$A117,Actuals!$K$7:$K$206,"OK"))</f>
        <v/>
      </c>
      <c r="D117" s="63">
        <f>IF($A117="","",SUMIFS(Actuals!$I$7:$I$206,Actuals!$E$7:$E$206,$A117,Actuals!$K$7:$K$206,"OK"))</f>
        <v/>
      </c>
      <c r="E117" s="64">
        <f>IF($A117="","",$C117-$D117)</f>
        <v/>
      </c>
      <c r="F117" s="65">
        <f>IF(OR($A117="",$D117=0),"",$C117/$D117)</f>
        <v/>
      </c>
    </row>
    <row r="118">
      <c r="A118" s="16">
        <f>IF(Deals!$A115="","",Deals!$A115)</f>
        <v/>
      </c>
      <c r="B118" s="18">
        <f>IF($A118="","",Deals!$R115)</f>
        <v/>
      </c>
      <c r="C118" s="63">
        <f>IF($A118="","",SUMIFS(Actuals!$D$7:$D$206,Actuals!$E$7:$E$206,$A118,Actuals!$K$7:$K$206,"OK"))</f>
        <v/>
      </c>
      <c r="D118" s="63">
        <f>IF($A118="","",SUMIFS(Actuals!$I$7:$I$206,Actuals!$E$7:$E$206,$A118,Actuals!$K$7:$K$206,"OK"))</f>
        <v/>
      </c>
      <c r="E118" s="64">
        <f>IF($A118="","",$C118-$D118)</f>
        <v/>
      </c>
      <c r="F118" s="65">
        <f>IF(OR($A118="",$D118=0),"",$C118/$D118)</f>
        <v/>
      </c>
    </row>
    <row r="119">
      <c r="A119" s="16">
        <f>IF(Deals!$A116="","",Deals!$A116)</f>
        <v/>
      </c>
      <c r="B119" s="18">
        <f>IF($A119="","",Deals!$R116)</f>
        <v/>
      </c>
      <c r="C119" s="63">
        <f>IF($A119="","",SUMIFS(Actuals!$D$7:$D$206,Actuals!$E$7:$E$206,$A119,Actuals!$K$7:$K$206,"OK"))</f>
        <v/>
      </c>
      <c r="D119" s="63">
        <f>IF($A119="","",SUMIFS(Actuals!$I$7:$I$206,Actuals!$E$7:$E$206,$A119,Actuals!$K$7:$K$206,"OK"))</f>
        <v/>
      </c>
      <c r="E119" s="64">
        <f>IF($A119="","",$C119-$D119)</f>
        <v/>
      </c>
      <c r="F119" s="65">
        <f>IF(OR($A119="",$D119=0),"",$C119/$D119)</f>
        <v/>
      </c>
    </row>
    <row r="120">
      <c r="A120" s="16">
        <f>IF(Deals!$A117="","",Deals!$A117)</f>
        <v/>
      </c>
      <c r="B120" s="18">
        <f>IF($A120="","",Deals!$R117)</f>
        <v/>
      </c>
      <c r="C120" s="63">
        <f>IF($A120="","",SUMIFS(Actuals!$D$7:$D$206,Actuals!$E$7:$E$206,$A120,Actuals!$K$7:$K$206,"OK"))</f>
        <v/>
      </c>
      <c r="D120" s="63">
        <f>IF($A120="","",SUMIFS(Actuals!$I$7:$I$206,Actuals!$E$7:$E$206,$A120,Actuals!$K$7:$K$206,"OK"))</f>
        <v/>
      </c>
      <c r="E120" s="64">
        <f>IF($A120="","",$C120-$D120)</f>
        <v/>
      </c>
      <c r="F120" s="65">
        <f>IF(OR($A120="",$D120=0),"",$C120/$D120)</f>
        <v/>
      </c>
    </row>
    <row r="121">
      <c r="A121" s="16">
        <f>IF(Deals!$A118="","",Deals!$A118)</f>
        <v/>
      </c>
      <c r="B121" s="18">
        <f>IF($A121="","",Deals!$R118)</f>
        <v/>
      </c>
      <c r="C121" s="63">
        <f>IF($A121="","",SUMIFS(Actuals!$D$7:$D$206,Actuals!$E$7:$E$206,$A121,Actuals!$K$7:$K$206,"OK"))</f>
        <v/>
      </c>
      <c r="D121" s="63">
        <f>IF($A121="","",SUMIFS(Actuals!$I$7:$I$206,Actuals!$E$7:$E$206,$A121,Actuals!$K$7:$K$206,"OK"))</f>
        <v/>
      </c>
      <c r="E121" s="64">
        <f>IF($A121="","",$C121-$D121)</f>
        <v/>
      </c>
      <c r="F121" s="65">
        <f>IF(OR($A121="",$D121=0),"",$C121/$D121)</f>
        <v/>
      </c>
    </row>
    <row r="122">
      <c r="A122" s="16">
        <f>IF(Deals!$A119="","",Deals!$A119)</f>
        <v/>
      </c>
      <c r="B122" s="18">
        <f>IF($A122="","",Deals!$R119)</f>
        <v/>
      </c>
      <c r="C122" s="63">
        <f>IF($A122="","",SUMIFS(Actuals!$D$7:$D$206,Actuals!$E$7:$E$206,$A122,Actuals!$K$7:$K$206,"OK"))</f>
        <v/>
      </c>
      <c r="D122" s="63">
        <f>IF($A122="","",SUMIFS(Actuals!$I$7:$I$206,Actuals!$E$7:$E$206,$A122,Actuals!$K$7:$K$206,"OK"))</f>
        <v/>
      </c>
      <c r="E122" s="64">
        <f>IF($A122="","",$C122-$D122)</f>
        <v/>
      </c>
      <c r="F122" s="65">
        <f>IF(OR($A122="",$D122=0),"",$C122/$D122)</f>
        <v/>
      </c>
    </row>
    <row r="123">
      <c r="A123" s="16">
        <f>IF(Deals!$A120="","",Deals!$A120)</f>
        <v/>
      </c>
      <c r="B123" s="18">
        <f>IF($A123="","",Deals!$R120)</f>
        <v/>
      </c>
      <c r="C123" s="63">
        <f>IF($A123="","",SUMIFS(Actuals!$D$7:$D$206,Actuals!$E$7:$E$206,$A123,Actuals!$K$7:$K$206,"OK"))</f>
        <v/>
      </c>
      <c r="D123" s="63">
        <f>IF($A123="","",SUMIFS(Actuals!$I$7:$I$206,Actuals!$E$7:$E$206,$A123,Actuals!$K$7:$K$206,"OK"))</f>
        <v/>
      </c>
      <c r="E123" s="64">
        <f>IF($A123="","",$C123-$D123)</f>
        <v/>
      </c>
      <c r="F123" s="65">
        <f>IF(OR($A123="",$D123=0),"",$C123/$D123)</f>
        <v/>
      </c>
    </row>
    <row r="124">
      <c r="A124" s="16">
        <f>IF(Deals!$A121="","",Deals!$A121)</f>
        <v/>
      </c>
      <c r="B124" s="18">
        <f>IF($A124="","",Deals!$R121)</f>
        <v/>
      </c>
      <c r="C124" s="63">
        <f>IF($A124="","",SUMIFS(Actuals!$D$7:$D$206,Actuals!$E$7:$E$206,$A124,Actuals!$K$7:$K$206,"OK"))</f>
        <v/>
      </c>
      <c r="D124" s="63">
        <f>IF($A124="","",SUMIFS(Actuals!$I$7:$I$206,Actuals!$E$7:$E$206,$A124,Actuals!$K$7:$K$206,"OK"))</f>
        <v/>
      </c>
      <c r="E124" s="64">
        <f>IF($A124="","",$C124-$D124)</f>
        <v/>
      </c>
      <c r="F124" s="65">
        <f>IF(OR($A124="",$D124=0),"",$C124/$D124)</f>
        <v/>
      </c>
    </row>
    <row r="125">
      <c r="A125" s="16">
        <f>IF(Deals!$A122="","",Deals!$A122)</f>
        <v/>
      </c>
      <c r="B125" s="18">
        <f>IF($A125="","",Deals!$R122)</f>
        <v/>
      </c>
      <c r="C125" s="63">
        <f>IF($A125="","",SUMIFS(Actuals!$D$7:$D$206,Actuals!$E$7:$E$206,$A125,Actuals!$K$7:$K$206,"OK"))</f>
        <v/>
      </c>
      <c r="D125" s="63">
        <f>IF($A125="","",SUMIFS(Actuals!$I$7:$I$206,Actuals!$E$7:$E$206,$A125,Actuals!$K$7:$K$206,"OK"))</f>
        <v/>
      </c>
      <c r="E125" s="64">
        <f>IF($A125="","",$C125-$D125)</f>
        <v/>
      </c>
      <c r="F125" s="65">
        <f>IF(OR($A125="",$D125=0),"",$C125/$D125)</f>
        <v/>
      </c>
    </row>
    <row r="126">
      <c r="A126" s="16">
        <f>IF(Deals!$A123="","",Deals!$A123)</f>
        <v/>
      </c>
      <c r="B126" s="18">
        <f>IF($A126="","",Deals!$R123)</f>
        <v/>
      </c>
      <c r="C126" s="63">
        <f>IF($A126="","",SUMIFS(Actuals!$D$7:$D$206,Actuals!$E$7:$E$206,$A126,Actuals!$K$7:$K$206,"OK"))</f>
        <v/>
      </c>
      <c r="D126" s="63">
        <f>IF($A126="","",SUMIFS(Actuals!$I$7:$I$206,Actuals!$E$7:$E$206,$A126,Actuals!$K$7:$K$206,"OK"))</f>
        <v/>
      </c>
      <c r="E126" s="64">
        <f>IF($A126="","",$C126-$D126)</f>
        <v/>
      </c>
      <c r="F126" s="65">
        <f>IF(OR($A126="",$D126=0),"",$C126/$D126)</f>
        <v/>
      </c>
    </row>
    <row r="127">
      <c r="A127" s="16">
        <f>IF(Deals!$A124="","",Deals!$A124)</f>
        <v/>
      </c>
      <c r="B127" s="18">
        <f>IF($A127="","",Deals!$R124)</f>
        <v/>
      </c>
      <c r="C127" s="63">
        <f>IF($A127="","",SUMIFS(Actuals!$D$7:$D$206,Actuals!$E$7:$E$206,$A127,Actuals!$K$7:$K$206,"OK"))</f>
        <v/>
      </c>
      <c r="D127" s="63">
        <f>IF($A127="","",SUMIFS(Actuals!$I$7:$I$206,Actuals!$E$7:$E$206,$A127,Actuals!$K$7:$K$206,"OK"))</f>
        <v/>
      </c>
      <c r="E127" s="64">
        <f>IF($A127="","",$C127-$D127)</f>
        <v/>
      </c>
      <c r="F127" s="65">
        <f>IF(OR($A127="",$D127=0),"",$C127/$D127)</f>
        <v/>
      </c>
    </row>
    <row r="128">
      <c r="A128" s="16">
        <f>IF(Deals!$A125="","",Deals!$A125)</f>
        <v/>
      </c>
      <c r="B128" s="18">
        <f>IF($A128="","",Deals!$R125)</f>
        <v/>
      </c>
      <c r="C128" s="63">
        <f>IF($A128="","",SUMIFS(Actuals!$D$7:$D$206,Actuals!$E$7:$E$206,$A128,Actuals!$K$7:$K$206,"OK"))</f>
        <v/>
      </c>
      <c r="D128" s="63">
        <f>IF($A128="","",SUMIFS(Actuals!$I$7:$I$206,Actuals!$E$7:$E$206,$A128,Actuals!$K$7:$K$206,"OK"))</f>
        <v/>
      </c>
      <c r="E128" s="64">
        <f>IF($A128="","",$C128-$D128)</f>
        <v/>
      </c>
      <c r="F128" s="65">
        <f>IF(OR($A128="",$D128=0),"",$C128/$D128)</f>
        <v/>
      </c>
    </row>
    <row r="129">
      <c r="A129" s="16">
        <f>IF(Deals!$A126="","",Deals!$A126)</f>
        <v/>
      </c>
      <c r="B129" s="18">
        <f>IF($A129="","",Deals!$R126)</f>
        <v/>
      </c>
      <c r="C129" s="63">
        <f>IF($A129="","",SUMIFS(Actuals!$D$7:$D$206,Actuals!$E$7:$E$206,$A129,Actuals!$K$7:$K$206,"OK"))</f>
        <v/>
      </c>
      <c r="D129" s="63">
        <f>IF($A129="","",SUMIFS(Actuals!$I$7:$I$206,Actuals!$E$7:$E$206,$A129,Actuals!$K$7:$K$206,"OK"))</f>
        <v/>
      </c>
      <c r="E129" s="64">
        <f>IF($A129="","",$C129-$D129)</f>
        <v/>
      </c>
      <c r="F129" s="65">
        <f>IF(OR($A129="",$D129=0),"",$C129/$D129)</f>
        <v/>
      </c>
    </row>
    <row r="130">
      <c r="A130" s="16">
        <f>IF(Deals!$A127="","",Deals!$A127)</f>
        <v/>
      </c>
      <c r="B130" s="18">
        <f>IF($A130="","",Deals!$R127)</f>
        <v/>
      </c>
      <c r="C130" s="63">
        <f>IF($A130="","",SUMIFS(Actuals!$D$7:$D$206,Actuals!$E$7:$E$206,$A130,Actuals!$K$7:$K$206,"OK"))</f>
        <v/>
      </c>
      <c r="D130" s="63">
        <f>IF($A130="","",SUMIFS(Actuals!$I$7:$I$206,Actuals!$E$7:$E$206,$A130,Actuals!$K$7:$K$206,"OK"))</f>
        <v/>
      </c>
      <c r="E130" s="64">
        <f>IF($A130="","",$C130-$D130)</f>
        <v/>
      </c>
      <c r="F130" s="65">
        <f>IF(OR($A130="",$D130=0),"",$C130/$D130)</f>
        <v/>
      </c>
    </row>
    <row r="131">
      <c r="A131" s="16">
        <f>IF(Deals!$A128="","",Deals!$A128)</f>
        <v/>
      </c>
      <c r="B131" s="18">
        <f>IF($A131="","",Deals!$R128)</f>
        <v/>
      </c>
      <c r="C131" s="63">
        <f>IF($A131="","",SUMIFS(Actuals!$D$7:$D$206,Actuals!$E$7:$E$206,$A131,Actuals!$K$7:$K$206,"OK"))</f>
        <v/>
      </c>
      <c r="D131" s="63">
        <f>IF($A131="","",SUMIFS(Actuals!$I$7:$I$206,Actuals!$E$7:$E$206,$A131,Actuals!$K$7:$K$206,"OK"))</f>
        <v/>
      </c>
      <c r="E131" s="64">
        <f>IF($A131="","",$C131-$D131)</f>
        <v/>
      </c>
      <c r="F131" s="65">
        <f>IF(OR($A131="",$D131=0),"",$C131/$D131)</f>
        <v/>
      </c>
    </row>
    <row r="132">
      <c r="A132" s="16">
        <f>IF(Deals!$A129="","",Deals!$A129)</f>
        <v/>
      </c>
      <c r="B132" s="18">
        <f>IF($A132="","",Deals!$R129)</f>
        <v/>
      </c>
      <c r="C132" s="63">
        <f>IF($A132="","",SUMIFS(Actuals!$D$7:$D$206,Actuals!$E$7:$E$206,$A132,Actuals!$K$7:$K$206,"OK"))</f>
        <v/>
      </c>
      <c r="D132" s="63">
        <f>IF($A132="","",SUMIFS(Actuals!$I$7:$I$206,Actuals!$E$7:$E$206,$A132,Actuals!$K$7:$K$206,"OK"))</f>
        <v/>
      </c>
      <c r="E132" s="64">
        <f>IF($A132="","",$C132-$D132)</f>
        <v/>
      </c>
      <c r="F132" s="65">
        <f>IF(OR($A132="",$D132=0),"",$C132/$D132)</f>
        <v/>
      </c>
    </row>
    <row r="133">
      <c r="A133" s="16">
        <f>IF(Deals!$A130="","",Deals!$A130)</f>
        <v/>
      </c>
      <c r="B133" s="18">
        <f>IF($A133="","",Deals!$R130)</f>
        <v/>
      </c>
      <c r="C133" s="63">
        <f>IF($A133="","",SUMIFS(Actuals!$D$7:$D$206,Actuals!$E$7:$E$206,$A133,Actuals!$K$7:$K$206,"OK"))</f>
        <v/>
      </c>
      <c r="D133" s="63">
        <f>IF($A133="","",SUMIFS(Actuals!$I$7:$I$206,Actuals!$E$7:$E$206,$A133,Actuals!$K$7:$K$206,"OK"))</f>
        <v/>
      </c>
      <c r="E133" s="64">
        <f>IF($A133="","",$C133-$D133)</f>
        <v/>
      </c>
      <c r="F133" s="65">
        <f>IF(OR($A133="",$D133=0),"",$C133/$D133)</f>
        <v/>
      </c>
    </row>
    <row r="134">
      <c r="A134" s="16">
        <f>IF(Deals!$A131="","",Deals!$A131)</f>
        <v/>
      </c>
      <c r="B134" s="18">
        <f>IF($A134="","",Deals!$R131)</f>
        <v/>
      </c>
      <c r="C134" s="63">
        <f>IF($A134="","",SUMIFS(Actuals!$D$7:$D$206,Actuals!$E$7:$E$206,$A134,Actuals!$K$7:$K$206,"OK"))</f>
        <v/>
      </c>
      <c r="D134" s="63">
        <f>IF($A134="","",SUMIFS(Actuals!$I$7:$I$206,Actuals!$E$7:$E$206,$A134,Actuals!$K$7:$K$206,"OK"))</f>
        <v/>
      </c>
      <c r="E134" s="64">
        <f>IF($A134="","",$C134-$D134)</f>
        <v/>
      </c>
      <c r="F134" s="65">
        <f>IF(OR($A134="",$D134=0),"",$C134/$D134)</f>
        <v/>
      </c>
    </row>
    <row r="135">
      <c r="A135" s="16">
        <f>IF(Deals!$A132="","",Deals!$A132)</f>
        <v/>
      </c>
      <c r="B135" s="18">
        <f>IF($A135="","",Deals!$R132)</f>
        <v/>
      </c>
      <c r="C135" s="63">
        <f>IF($A135="","",SUMIFS(Actuals!$D$7:$D$206,Actuals!$E$7:$E$206,$A135,Actuals!$K$7:$K$206,"OK"))</f>
        <v/>
      </c>
      <c r="D135" s="63">
        <f>IF($A135="","",SUMIFS(Actuals!$I$7:$I$206,Actuals!$E$7:$E$206,$A135,Actuals!$K$7:$K$206,"OK"))</f>
        <v/>
      </c>
      <c r="E135" s="64">
        <f>IF($A135="","",$C135-$D135)</f>
        <v/>
      </c>
      <c r="F135" s="65">
        <f>IF(OR($A135="",$D135=0),"",$C135/$D135)</f>
        <v/>
      </c>
    </row>
    <row r="136">
      <c r="A136" s="16">
        <f>IF(Deals!$A133="","",Deals!$A133)</f>
        <v/>
      </c>
      <c r="B136" s="18">
        <f>IF($A136="","",Deals!$R133)</f>
        <v/>
      </c>
      <c r="C136" s="63">
        <f>IF($A136="","",SUMIFS(Actuals!$D$7:$D$206,Actuals!$E$7:$E$206,$A136,Actuals!$K$7:$K$206,"OK"))</f>
        <v/>
      </c>
      <c r="D136" s="63">
        <f>IF($A136="","",SUMIFS(Actuals!$I$7:$I$206,Actuals!$E$7:$E$206,$A136,Actuals!$K$7:$K$206,"OK"))</f>
        <v/>
      </c>
      <c r="E136" s="64">
        <f>IF($A136="","",$C136-$D136)</f>
        <v/>
      </c>
      <c r="F136" s="65">
        <f>IF(OR($A136="",$D136=0),"",$C136/$D136)</f>
        <v/>
      </c>
    </row>
    <row r="137">
      <c r="A137" s="16">
        <f>IF(Deals!$A134="","",Deals!$A134)</f>
        <v/>
      </c>
      <c r="B137" s="18">
        <f>IF($A137="","",Deals!$R134)</f>
        <v/>
      </c>
      <c r="C137" s="63">
        <f>IF($A137="","",SUMIFS(Actuals!$D$7:$D$206,Actuals!$E$7:$E$206,$A137,Actuals!$K$7:$K$206,"OK"))</f>
        <v/>
      </c>
      <c r="D137" s="63">
        <f>IF($A137="","",SUMIFS(Actuals!$I$7:$I$206,Actuals!$E$7:$E$206,$A137,Actuals!$K$7:$K$206,"OK"))</f>
        <v/>
      </c>
      <c r="E137" s="64">
        <f>IF($A137="","",$C137-$D137)</f>
        <v/>
      </c>
      <c r="F137" s="65">
        <f>IF(OR($A137="",$D137=0),"",$C137/$D137)</f>
        <v/>
      </c>
    </row>
    <row r="138">
      <c r="A138" s="16">
        <f>IF(Deals!$A135="","",Deals!$A135)</f>
        <v/>
      </c>
      <c r="B138" s="18">
        <f>IF($A138="","",Deals!$R135)</f>
        <v/>
      </c>
      <c r="C138" s="63">
        <f>IF($A138="","",SUMIFS(Actuals!$D$7:$D$206,Actuals!$E$7:$E$206,$A138,Actuals!$K$7:$K$206,"OK"))</f>
        <v/>
      </c>
      <c r="D138" s="63">
        <f>IF($A138="","",SUMIFS(Actuals!$I$7:$I$206,Actuals!$E$7:$E$206,$A138,Actuals!$K$7:$K$206,"OK"))</f>
        <v/>
      </c>
      <c r="E138" s="64">
        <f>IF($A138="","",$C138-$D138)</f>
        <v/>
      </c>
      <c r="F138" s="65">
        <f>IF(OR($A138="",$D138=0),"",$C138/$D138)</f>
        <v/>
      </c>
    </row>
    <row r="139">
      <c r="A139" s="16">
        <f>IF(Deals!$A136="","",Deals!$A136)</f>
        <v/>
      </c>
      <c r="B139" s="18">
        <f>IF($A139="","",Deals!$R136)</f>
        <v/>
      </c>
      <c r="C139" s="63">
        <f>IF($A139="","",SUMIFS(Actuals!$D$7:$D$206,Actuals!$E$7:$E$206,$A139,Actuals!$K$7:$K$206,"OK"))</f>
        <v/>
      </c>
      <c r="D139" s="63">
        <f>IF($A139="","",SUMIFS(Actuals!$I$7:$I$206,Actuals!$E$7:$E$206,$A139,Actuals!$K$7:$K$206,"OK"))</f>
        <v/>
      </c>
      <c r="E139" s="64">
        <f>IF($A139="","",$C139-$D139)</f>
        <v/>
      </c>
      <c r="F139" s="65">
        <f>IF(OR($A139="",$D139=0),"",$C139/$D139)</f>
        <v/>
      </c>
    </row>
    <row r="140">
      <c r="A140" s="16">
        <f>IF(Deals!$A137="","",Deals!$A137)</f>
        <v/>
      </c>
      <c r="B140" s="18">
        <f>IF($A140="","",Deals!$R137)</f>
        <v/>
      </c>
      <c r="C140" s="63">
        <f>IF($A140="","",SUMIFS(Actuals!$D$7:$D$206,Actuals!$E$7:$E$206,$A140,Actuals!$K$7:$K$206,"OK"))</f>
        <v/>
      </c>
      <c r="D140" s="63">
        <f>IF($A140="","",SUMIFS(Actuals!$I$7:$I$206,Actuals!$E$7:$E$206,$A140,Actuals!$K$7:$K$206,"OK"))</f>
        <v/>
      </c>
      <c r="E140" s="64">
        <f>IF($A140="","",$C140-$D140)</f>
        <v/>
      </c>
      <c r="F140" s="65">
        <f>IF(OR($A140="",$D140=0),"",$C140/$D140)</f>
        <v/>
      </c>
    </row>
    <row r="141">
      <c r="A141" s="16">
        <f>IF(Deals!$A138="","",Deals!$A138)</f>
        <v/>
      </c>
      <c r="B141" s="18">
        <f>IF($A141="","",Deals!$R138)</f>
        <v/>
      </c>
      <c r="C141" s="63">
        <f>IF($A141="","",SUMIFS(Actuals!$D$7:$D$206,Actuals!$E$7:$E$206,$A141,Actuals!$K$7:$K$206,"OK"))</f>
        <v/>
      </c>
      <c r="D141" s="63">
        <f>IF($A141="","",SUMIFS(Actuals!$I$7:$I$206,Actuals!$E$7:$E$206,$A141,Actuals!$K$7:$K$206,"OK"))</f>
        <v/>
      </c>
      <c r="E141" s="64">
        <f>IF($A141="","",$C141-$D141)</f>
        <v/>
      </c>
      <c r="F141" s="65">
        <f>IF(OR($A141="",$D141=0),"",$C141/$D141)</f>
        <v/>
      </c>
    </row>
    <row r="142">
      <c r="A142" s="16">
        <f>IF(Deals!$A139="","",Deals!$A139)</f>
        <v/>
      </c>
      <c r="B142" s="18">
        <f>IF($A142="","",Deals!$R139)</f>
        <v/>
      </c>
      <c r="C142" s="63">
        <f>IF($A142="","",SUMIFS(Actuals!$D$7:$D$206,Actuals!$E$7:$E$206,$A142,Actuals!$K$7:$K$206,"OK"))</f>
        <v/>
      </c>
      <c r="D142" s="63">
        <f>IF($A142="","",SUMIFS(Actuals!$I$7:$I$206,Actuals!$E$7:$E$206,$A142,Actuals!$K$7:$K$206,"OK"))</f>
        <v/>
      </c>
      <c r="E142" s="64">
        <f>IF($A142="","",$C142-$D142)</f>
        <v/>
      </c>
      <c r="F142" s="65">
        <f>IF(OR($A142="",$D142=0),"",$C142/$D142)</f>
        <v/>
      </c>
    </row>
    <row r="143">
      <c r="A143" s="16">
        <f>IF(Deals!$A140="","",Deals!$A140)</f>
        <v/>
      </c>
      <c r="B143" s="18">
        <f>IF($A143="","",Deals!$R140)</f>
        <v/>
      </c>
      <c r="C143" s="63">
        <f>IF($A143="","",SUMIFS(Actuals!$D$7:$D$206,Actuals!$E$7:$E$206,$A143,Actuals!$K$7:$K$206,"OK"))</f>
        <v/>
      </c>
      <c r="D143" s="63">
        <f>IF($A143="","",SUMIFS(Actuals!$I$7:$I$206,Actuals!$E$7:$E$206,$A143,Actuals!$K$7:$K$206,"OK"))</f>
        <v/>
      </c>
      <c r="E143" s="64">
        <f>IF($A143="","",$C143-$D143)</f>
        <v/>
      </c>
      <c r="F143" s="65">
        <f>IF(OR($A143="",$D143=0),"",$C143/$D143)</f>
        <v/>
      </c>
    </row>
    <row r="144">
      <c r="A144" s="16">
        <f>IF(Deals!$A141="","",Deals!$A141)</f>
        <v/>
      </c>
      <c r="B144" s="18">
        <f>IF($A144="","",Deals!$R141)</f>
        <v/>
      </c>
      <c r="C144" s="63">
        <f>IF($A144="","",SUMIFS(Actuals!$D$7:$D$206,Actuals!$E$7:$E$206,$A144,Actuals!$K$7:$K$206,"OK"))</f>
        <v/>
      </c>
      <c r="D144" s="63">
        <f>IF($A144="","",SUMIFS(Actuals!$I$7:$I$206,Actuals!$E$7:$E$206,$A144,Actuals!$K$7:$K$206,"OK"))</f>
        <v/>
      </c>
      <c r="E144" s="64">
        <f>IF($A144="","",$C144-$D144)</f>
        <v/>
      </c>
      <c r="F144" s="65">
        <f>IF(OR($A144="",$D144=0),"",$C144/$D144)</f>
        <v/>
      </c>
    </row>
    <row r="145">
      <c r="A145" s="16">
        <f>IF(Deals!$A142="","",Deals!$A142)</f>
        <v/>
      </c>
      <c r="B145" s="18">
        <f>IF($A145="","",Deals!$R142)</f>
        <v/>
      </c>
      <c r="C145" s="63">
        <f>IF($A145="","",SUMIFS(Actuals!$D$7:$D$206,Actuals!$E$7:$E$206,$A145,Actuals!$K$7:$K$206,"OK"))</f>
        <v/>
      </c>
      <c r="D145" s="63">
        <f>IF($A145="","",SUMIFS(Actuals!$I$7:$I$206,Actuals!$E$7:$E$206,$A145,Actuals!$K$7:$K$206,"OK"))</f>
        <v/>
      </c>
      <c r="E145" s="64">
        <f>IF($A145="","",$C145-$D145)</f>
        <v/>
      </c>
      <c r="F145" s="65">
        <f>IF(OR($A145="",$D145=0),"",$C145/$D145)</f>
        <v/>
      </c>
    </row>
    <row r="146">
      <c r="A146" s="16">
        <f>IF(Deals!$A143="","",Deals!$A143)</f>
        <v/>
      </c>
      <c r="B146" s="18">
        <f>IF($A146="","",Deals!$R143)</f>
        <v/>
      </c>
      <c r="C146" s="63">
        <f>IF($A146="","",SUMIFS(Actuals!$D$7:$D$206,Actuals!$E$7:$E$206,$A146,Actuals!$K$7:$K$206,"OK"))</f>
        <v/>
      </c>
      <c r="D146" s="63">
        <f>IF($A146="","",SUMIFS(Actuals!$I$7:$I$206,Actuals!$E$7:$E$206,$A146,Actuals!$K$7:$K$206,"OK"))</f>
        <v/>
      </c>
      <c r="E146" s="64">
        <f>IF($A146="","",$C146-$D146)</f>
        <v/>
      </c>
      <c r="F146" s="65">
        <f>IF(OR($A146="",$D146=0),"",$C146/$D146)</f>
        <v/>
      </c>
    </row>
    <row r="147">
      <c r="A147" s="16">
        <f>IF(Deals!$A144="","",Deals!$A144)</f>
        <v/>
      </c>
      <c r="B147" s="18">
        <f>IF($A147="","",Deals!$R144)</f>
        <v/>
      </c>
      <c r="C147" s="63">
        <f>IF($A147="","",SUMIFS(Actuals!$D$7:$D$206,Actuals!$E$7:$E$206,$A147,Actuals!$K$7:$K$206,"OK"))</f>
        <v/>
      </c>
      <c r="D147" s="63">
        <f>IF($A147="","",SUMIFS(Actuals!$I$7:$I$206,Actuals!$E$7:$E$206,$A147,Actuals!$K$7:$K$206,"OK"))</f>
        <v/>
      </c>
      <c r="E147" s="64">
        <f>IF($A147="","",$C147-$D147)</f>
        <v/>
      </c>
      <c r="F147" s="65">
        <f>IF(OR($A147="",$D147=0),"",$C147/$D147)</f>
        <v/>
      </c>
    </row>
    <row r="148">
      <c r="A148" s="16">
        <f>IF(Deals!$A145="","",Deals!$A145)</f>
        <v/>
      </c>
      <c r="B148" s="18">
        <f>IF($A148="","",Deals!$R145)</f>
        <v/>
      </c>
      <c r="C148" s="63">
        <f>IF($A148="","",SUMIFS(Actuals!$D$7:$D$206,Actuals!$E$7:$E$206,$A148,Actuals!$K$7:$K$206,"OK"))</f>
        <v/>
      </c>
      <c r="D148" s="63">
        <f>IF($A148="","",SUMIFS(Actuals!$I$7:$I$206,Actuals!$E$7:$E$206,$A148,Actuals!$K$7:$K$206,"OK"))</f>
        <v/>
      </c>
      <c r="E148" s="64">
        <f>IF($A148="","",$C148-$D148)</f>
        <v/>
      </c>
      <c r="F148" s="65">
        <f>IF(OR($A148="",$D148=0),"",$C148/$D148)</f>
        <v/>
      </c>
    </row>
    <row r="149">
      <c r="A149" s="16">
        <f>IF(Deals!$A146="","",Deals!$A146)</f>
        <v/>
      </c>
      <c r="B149" s="18">
        <f>IF($A149="","",Deals!$R146)</f>
        <v/>
      </c>
      <c r="C149" s="63">
        <f>IF($A149="","",SUMIFS(Actuals!$D$7:$D$206,Actuals!$E$7:$E$206,$A149,Actuals!$K$7:$K$206,"OK"))</f>
        <v/>
      </c>
      <c r="D149" s="63">
        <f>IF($A149="","",SUMIFS(Actuals!$I$7:$I$206,Actuals!$E$7:$E$206,$A149,Actuals!$K$7:$K$206,"OK"))</f>
        <v/>
      </c>
      <c r="E149" s="64">
        <f>IF($A149="","",$C149-$D149)</f>
        <v/>
      </c>
      <c r="F149" s="65">
        <f>IF(OR($A149="",$D149=0),"",$C149/$D149)</f>
        <v/>
      </c>
    </row>
    <row r="150">
      <c r="A150" s="16">
        <f>IF(Deals!$A147="","",Deals!$A147)</f>
        <v/>
      </c>
      <c r="B150" s="18">
        <f>IF($A150="","",Deals!$R147)</f>
        <v/>
      </c>
      <c r="C150" s="63">
        <f>IF($A150="","",SUMIFS(Actuals!$D$7:$D$206,Actuals!$E$7:$E$206,$A150,Actuals!$K$7:$K$206,"OK"))</f>
        <v/>
      </c>
      <c r="D150" s="63">
        <f>IF($A150="","",SUMIFS(Actuals!$I$7:$I$206,Actuals!$E$7:$E$206,$A150,Actuals!$K$7:$K$206,"OK"))</f>
        <v/>
      </c>
      <c r="E150" s="64">
        <f>IF($A150="","",$C150-$D150)</f>
        <v/>
      </c>
      <c r="F150" s="65">
        <f>IF(OR($A150="",$D150=0),"",$C150/$D150)</f>
        <v/>
      </c>
    </row>
    <row r="151">
      <c r="A151" s="16">
        <f>IF(Deals!$A148="","",Deals!$A148)</f>
        <v/>
      </c>
      <c r="B151" s="18">
        <f>IF($A151="","",Deals!$R148)</f>
        <v/>
      </c>
      <c r="C151" s="63">
        <f>IF($A151="","",SUMIFS(Actuals!$D$7:$D$206,Actuals!$E$7:$E$206,$A151,Actuals!$K$7:$K$206,"OK"))</f>
        <v/>
      </c>
      <c r="D151" s="63">
        <f>IF($A151="","",SUMIFS(Actuals!$I$7:$I$206,Actuals!$E$7:$E$206,$A151,Actuals!$K$7:$K$206,"OK"))</f>
        <v/>
      </c>
      <c r="E151" s="64">
        <f>IF($A151="","",$C151-$D151)</f>
        <v/>
      </c>
      <c r="F151" s="65">
        <f>IF(OR($A151="",$D151=0),"",$C151/$D151)</f>
        <v/>
      </c>
    </row>
    <row r="152">
      <c r="A152" s="16">
        <f>IF(Deals!$A149="","",Deals!$A149)</f>
        <v/>
      </c>
      <c r="B152" s="18">
        <f>IF($A152="","",Deals!$R149)</f>
        <v/>
      </c>
      <c r="C152" s="63">
        <f>IF($A152="","",SUMIFS(Actuals!$D$7:$D$206,Actuals!$E$7:$E$206,$A152,Actuals!$K$7:$K$206,"OK"))</f>
        <v/>
      </c>
      <c r="D152" s="63">
        <f>IF($A152="","",SUMIFS(Actuals!$I$7:$I$206,Actuals!$E$7:$E$206,$A152,Actuals!$K$7:$K$206,"OK"))</f>
        <v/>
      </c>
      <c r="E152" s="64">
        <f>IF($A152="","",$C152-$D152)</f>
        <v/>
      </c>
      <c r="F152" s="65">
        <f>IF(OR($A152="",$D152=0),"",$C152/$D152)</f>
        <v/>
      </c>
    </row>
    <row r="153">
      <c r="A153" s="16">
        <f>IF(Deals!$A150="","",Deals!$A150)</f>
        <v/>
      </c>
      <c r="B153" s="18">
        <f>IF($A153="","",Deals!$R150)</f>
        <v/>
      </c>
      <c r="C153" s="63">
        <f>IF($A153="","",SUMIFS(Actuals!$D$7:$D$206,Actuals!$E$7:$E$206,$A153,Actuals!$K$7:$K$206,"OK"))</f>
        <v/>
      </c>
      <c r="D153" s="63">
        <f>IF($A153="","",SUMIFS(Actuals!$I$7:$I$206,Actuals!$E$7:$E$206,$A153,Actuals!$K$7:$K$206,"OK"))</f>
        <v/>
      </c>
      <c r="E153" s="64">
        <f>IF($A153="","",$C153-$D153)</f>
        <v/>
      </c>
      <c r="F153" s="65">
        <f>IF(OR($A153="",$D153=0),"",$C153/$D153)</f>
        <v/>
      </c>
    </row>
    <row r="154">
      <c r="A154" s="16">
        <f>IF(Deals!$A151="","",Deals!$A151)</f>
        <v/>
      </c>
      <c r="B154" s="18">
        <f>IF($A154="","",Deals!$R151)</f>
        <v/>
      </c>
      <c r="C154" s="63">
        <f>IF($A154="","",SUMIFS(Actuals!$D$7:$D$206,Actuals!$E$7:$E$206,$A154,Actuals!$K$7:$K$206,"OK"))</f>
        <v/>
      </c>
      <c r="D154" s="63">
        <f>IF($A154="","",SUMIFS(Actuals!$I$7:$I$206,Actuals!$E$7:$E$206,$A154,Actuals!$K$7:$K$206,"OK"))</f>
        <v/>
      </c>
      <c r="E154" s="64">
        <f>IF($A154="","",$C154-$D154)</f>
        <v/>
      </c>
      <c r="F154" s="65">
        <f>IF(OR($A154="",$D154=0),"",$C154/$D154)</f>
        <v/>
      </c>
    </row>
    <row r="155">
      <c r="A155" s="16">
        <f>IF(Deals!$A152="","",Deals!$A152)</f>
        <v/>
      </c>
      <c r="B155" s="18">
        <f>IF($A155="","",Deals!$R152)</f>
        <v/>
      </c>
      <c r="C155" s="63">
        <f>IF($A155="","",SUMIFS(Actuals!$D$7:$D$206,Actuals!$E$7:$E$206,$A155,Actuals!$K$7:$K$206,"OK"))</f>
        <v/>
      </c>
      <c r="D155" s="63">
        <f>IF($A155="","",SUMIFS(Actuals!$I$7:$I$206,Actuals!$E$7:$E$206,$A155,Actuals!$K$7:$K$206,"OK"))</f>
        <v/>
      </c>
      <c r="E155" s="64">
        <f>IF($A155="","",$C155-$D155)</f>
        <v/>
      </c>
      <c r="F155" s="65">
        <f>IF(OR($A155="",$D155=0),"",$C155/$D155)</f>
        <v/>
      </c>
    </row>
    <row r="156">
      <c r="A156" s="16">
        <f>IF(Deals!$A153="","",Deals!$A153)</f>
        <v/>
      </c>
      <c r="B156" s="18">
        <f>IF($A156="","",Deals!$R153)</f>
        <v/>
      </c>
      <c r="C156" s="63">
        <f>IF($A156="","",SUMIFS(Actuals!$D$7:$D$206,Actuals!$E$7:$E$206,$A156,Actuals!$K$7:$K$206,"OK"))</f>
        <v/>
      </c>
      <c r="D156" s="63">
        <f>IF($A156="","",SUMIFS(Actuals!$I$7:$I$206,Actuals!$E$7:$E$206,$A156,Actuals!$K$7:$K$206,"OK"))</f>
        <v/>
      </c>
      <c r="E156" s="64">
        <f>IF($A156="","",$C156-$D156)</f>
        <v/>
      </c>
      <c r="F156" s="65">
        <f>IF(OR($A156="",$D156=0),"",$C156/$D156)</f>
        <v/>
      </c>
    </row>
    <row r="157">
      <c r="A157" s="16">
        <f>IF(Deals!$A154="","",Deals!$A154)</f>
        <v/>
      </c>
      <c r="B157" s="18">
        <f>IF($A157="","",Deals!$R154)</f>
        <v/>
      </c>
      <c r="C157" s="63">
        <f>IF($A157="","",SUMIFS(Actuals!$D$7:$D$206,Actuals!$E$7:$E$206,$A157,Actuals!$K$7:$K$206,"OK"))</f>
        <v/>
      </c>
      <c r="D157" s="63">
        <f>IF($A157="","",SUMIFS(Actuals!$I$7:$I$206,Actuals!$E$7:$E$206,$A157,Actuals!$K$7:$K$206,"OK"))</f>
        <v/>
      </c>
      <c r="E157" s="64">
        <f>IF($A157="","",$C157-$D157)</f>
        <v/>
      </c>
      <c r="F157" s="65">
        <f>IF(OR($A157="",$D157=0),"",$C157/$D157)</f>
        <v/>
      </c>
    </row>
    <row r="158">
      <c r="A158" s="16">
        <f>IF(Deals!$A155="","",Deals!$A155)</f>
        <v/>
      </c>
      <c r="B158" s="18">
        <f>IF($A158="","",Deals!$R155)</f>
        <v/>
      </c>
      <c r="C158" s="63">
        <f>IF($A158="","",SUMIFS(Actuals!$D$7:$D$206,Actuals!$E$7:$E$206,$A158,Actuals!$K$7:$K$206,"OK"))</f>
        <v/>
      </c>
      <c r="D158" s="63">
        <f>IF($A158="","",SUMIFS(Actuals!$I$7:$I$206,Actuals!$E$7:$E$206,$A158,Actuals!$K$7:$K$206,"OK"))</f>
        <v/>
      </c>
      <c r="E158" s="64">
        <f>IF($A158="","",$C158-$D158)</f>
        <v/>
      </c>
      <c r="F158" s="65">
        <f>IF(OR($A158="",$D158=0),"",$C158/$D158)</f>
        <v/>
      </c>
    </row>
    <row r="159">
      <c r="A159" s="16">
        <f>IF(Deals!$A156="","",Deals!$A156)</f>
        <v/>
      </c>
      <c r="B159" s="18">
        <f>IF($A159="","",Deals!$R156)</f>
        <v/>
      </c>
      <c r="C159" s="63">
        <f>IF($A159="","",SUMIFS(Actuals!$D$7:$D$206,Actuals!$E$7:$E$206,$A159,Actuals!$K$7:$K$206,"OK"))</f>
        <v/>
      </c>
      <c r="D159" s="63">
        <f>IF($A159="","",SUMIFS(Actuals!$I$7:$I$206,Actuals!$E$7:$E$206,$A159,Actuals!$K$7:$K$206,"OK"))</f>
        <v/>
      </c>
      <c r="E159" s="64">
        <f>IF($A159="","",$C159-$D159)</f>
        <v/>
      </c>
      <c r="F159" s="65">
        <f>IF(OR($A159="",$D159=0),"",$C159/$D159)</f>
        <v/>
      </c>
    </row>
    <row r="160">
      <c r="A160" s="16">
        <f>IF(Deals!$A157="","",Deals!$A157)</f>
        <v/>
      </c>
      <c r="B160" s="18">
        <f>IF($A160="","",Deals!$R157)</f>
        <v/>
      </c>
      <c r="C160" s="63">
        <f>IF($A160="","",SUMIFS(Actuals!$D$7:$D$206,Actuals!$E$7:$E$206,$A160,Actuals!$K$7:$K$206,"OK"))</f>
        <v/>
      </c>
      <c r="D160" s="63">
        <f>IF($A160="","",SUMIFS(Actuals!$I$7:$I$206,Actuals!$E$7:$E$206,$A160,Actuals!$K$7:$K$206,"OK"))</f>
        <v/>
      </c>
      <c r="E160" s="64">
        <f>IF($A160="","",$C160-$D160)</f>
        <v/>
      </c>
      <c r="F160" s="65">
        <f>IF(OR($A160="",$D160=0),"",$C160/$D160)</f>
        <v/>
      </c>
    </row>
    <row r="161">
      <c r="A161" s="16">
        <f>IF(Deals!$A158="","",Deals!$A158)</f>
        <v/>
      </c>
      <c r="B161" s="18">
        <f>IF($A161="","",Deals!$R158)</f>
        <v/>
      </c>
      <c r="C161" s="63">
        <f>IF($A161="","",SUMIFS(Actuals!$D$7:$D$206,Actuals!$E$7:$E$206,$A161,Actuals!$K$7:$K$206,"OK"))</f>
        <v/>
      </c>
      <c r="D161" s="63">
        <f>IF($A161="","",SUMIFS(Actuals!$I$7:$I$206,Actuals!$E$7:$E$206,$A161,Actuals!$K$7:$K$206,"OK"))</f>
        <v/>
      </c>
      <c r="E161" s="64">
        <f>IF($A161="","",$C161-$D161)</f>
        <v/>
      </c>
      <c r="F161" s="65">
        <f>IF(OR($A161="",$D161=0),"",$C161/$D161)</f>
        <v/>
      </c>
    </row>
    <row r="162">
      <c r="A162" s="16">
        <f>IF(Deals!$A159="","",Deals!$A159)</f>
        <v/>
      </c>
      <c r="B162" s="18">
        <f>IF($A162="","",Deals!$R159)</f>
        <v/>
      </c>
      <c r="C162" s="63">
        <f>IF($A162="","",SUMIFS(Actuals!$D$7:$D$206,Actuals!$E$7:$E$206,$A162,Actuals!$K$7:$K$206,"OK"))</f>
        <v/>
      </c>
      <c r="D162" s="63">
        <f>IF($A162="","",SUMIFS(Actuals!$I$7:$I$206,Actuals!$E$7:$E$206,$A162,Actuals!$K$7:$K$206,"OK"))</f>
        <v/>
      </c>
      <c r="E162" s="64">
        <f>IF($A162="","",$C162-$D162)</f>
        <v/>
      </c>
      <c r="F162" s="65">
        <f>IF(OR($A162="",$D162=0),"",$C162/$D162)</f>
        <v/>
      </c>
    </row>
    <row r="163">
      <c r="A163" s="16">
        <f>IF(Deals!$A160="","",Deals!$A160)</f>
        <v/>
      </c>
      <c r="B163" s="18">
        <f>IF($A163="","",Deals!$R160)</f>
        <v/>
      </c>
      <c r="C163" s="63">
        <f>IF($A163="","",SUMIFS(Actuals!$D$7:$D$206,Actuals!$E$7:$E$206,$A163,Actuals!$K$7:$K$206,"OK"))</f>
        <v/>
      </c>
      <c r="D163" s="63">
        <f>IF($A163="","",SUMIFS(Actuals!$I$7:$I$206,Actuals!$E$7:$E$206,$A163,Actuals!$K$7:$K$206,"OK"))</f>
        <v/>
      </c>
      <c r="E163" s="64">
        <f>IF($A163="","",$C163-$D163)</f>
        <v/>
      </c>
      <c r="F163" s="65">
        <f>IF(OR($A163="",$D163=0),"",$C163/$D163)</f>
        <v/>
      </c>
    </row>
    <row r="164">
      <c r="A164" s="16">
        <f>IF(Deals!$A161="","",Deals!$A161)</f>
        <v/>
      </c>
      <c r="B164" s="18">
        <f>IF($A164="","",Deals!$R161)</f>
        <v/>
      </c>
      <c r="C164" s="63">
        <f>IF($A164="","",SUMIFS(Actuals!$D$7:$D$206,Actuals!$E$7:$E$206,$A164,Actuals!$K$7:$K$206,"OK"))</f>
        <v/>
      </c>
      <c r="D164" s="63">
        <f>IF($A164="","",SUMIFS(Actuals!$I$7:$I$206,Actuals!$E$7:$E$206,$A164,Actuals!$K$7:$K$206,"OK"))</f>
        <v/>
      </c>
      <c r="E164" s="64">
        <f>IF($A164="","",$C164-$D164)</f>
        <v/>
      </c>
      <c r="F164" s="65">
        <f>IF(OR($A164="",$D164=0),"",$C164/$D164)</f>
        <v/>
      </c>
    </row>
    <row r="165">
      <c r="A165" s="16">
        <f>IF(Deals!$A162="","",Deals!$A162)</f>
        <v/>
      </c>
      <c r="B165" s="18">
        <f>IF($A165="","",Deals!$R162)</f>
        <v/>
      </c>
      <c r="C165" s="63">
        <f>IF($A165="","",SUMIFS(Actuals!$D$7:$D$206,Actuals!$E$7:$E$206,$A165,Actuals!$K$7:$K$206,"OK"))</f>
        <v/>
      </c>
      <c r="D165" s="63">
        <f>IF($A165="","",SUMIFS(Actuals!$I$7:$I$206,Actuals!$E$7:$E$206,$A165,Actuals!$K$7:$K$206,"OK"))</f>
        <v/>
      </c>
      <c r="E165" s="64">
        <f>IF($A165="","",$C165-$D165)</f>
        <v/>
      </c>
      <c r="F165" s="65">
        <f>IF(OR($A165="",$D165=0),"",$C165/$D165)</f>
        <v/>
      </c>
    </row>
    <row r="166">
      <c r="A166" s="16">
        <f>IF(Deals!$A163="","",Deals!$A163)</f>
        <v/>
      </c>
      <c r="B166" s="18">
        <f>IF($A166="","",Deals!$R163)</f>
        <v/>
      </c>
      <c r="C166" s="63">
        <f>IF($A166="","",SUMIFS(Actuals!$D$7:$D$206,Actuals!$E$7:$E$206,$A166,Actuals!$K$7:$K$206,"OK"))</f>
        <v/>
      </c>
      <c r="D166" s="63">
        <f>IF($A166="","",SUMIFS(Actuals!$I$7:$I$206,Actuals!$E$7:$E$206,$A166,Actuals!$K$7:$K$206,"OK"))</f>
        <v/>
      </c>
      <c r="E166" s="64">
        <f>IF($A166="","",$C166-$D166)</f>
        <v/>
      </c>
      <c r="F166" s="65">
        <f>IF(OR($A166="",$D166=0),"",$C166/$D166)</f>
        <v/>
      </c>
    </row>
    <row r="167">
      <c r="A167" s="16">
        <f>IF(Deals!$A164="","",Deals!$A164)</f>
        <v/>
      </c>
      <c r="B167" s="18">
        <f>IF($A167="","",Deals!$R164)</f>
        <v/>
      </c>
      <c r="C167" s="63">
        <f>IF($A167="","",SUMIFS(Actuals!$D$7:$D$206,Actuals!$E$7:$E$206,$A167,Actuals!$K$7:$K$206,"OK"))</f>
        <v/>
      </c>
      <c r="D167" s="63">
        <f>IF($A167="","",SUMIFS(Actuals!$I$7:$I$206,Actuals!$E$7:$E$206,$A167,Actuals!$K$7:$K$206,"OK"))</f>
        <v/>
      </c>
      <c r="E167" s="64">
        <f>IF($A167="","",$C167-$D167)</f>
        <v/>
      </c>
      <c r="F167" s="65">
        <f>IF(OR($A167="",$D167=0),"",$C167/$D167)</f>
        <v/>
      </c>
    </row>
    <row r="168">
      <c r="A168" s="16">
        <f>IF(Deals!$A165="","",Deals!$A165)</f>
        <v/>
      </c>
      <c r="B168" s="18">
        <f>IF($A168="","",Deals!$R165)</f>
        <v/>
      </c>
      <c r="C168" s="63">
        <f>IF($A168="","",SUMIFS(Actuals!$D$7:$D$206,Actuals!$E$7:$E$206,$A168,Actuals!$K$7:$K$206,"OK"))</f>
        <v/>
      </c>
      <c r="D168" s="63">
        <f>IF($A168="","",SUMIFS(Actuals!$I$7:$I$206,Actuals!$E$7:$E$206,$A168,Actuals!$K$7:$K$206,"OK"))</f>
        <v/>
      </c>
      <c r="E168" s="64">
        <f>IF($A168="","",$C168-$D168)</f>
        <v/>
      </c>
      <c r="F168" s="65">
        <f>IF(OR($A168="",$D168=0),"",$C168/$D168)</f>
        <v/>
      </c>
    </row>
    <row r="169">
      <c r="A169" s="16">
        <f>IF(Deals!$A166="","",Deals!$A166)</f>
        <v/>
      </c>
      <c r="B169" s="18">
        <f>IF($A169="","",Deals!$R166)</f>
        <v/>
      </c>
      <c r="C169" s="63">
        <f>IF($A169="","",SUMIFS(Actuals!$D$7:$D$206,Actuals!$E$7:$E$206,$A169,Actuals!$K$7:$K$206,"OK"))</f>
        <v/>
      </c>
      <c r="D169" s="63">
        <f>IF($A169="","",SUMIFS(Actuals!$I$7:$I$206,Actuals!$E$7:$E$206,$A169,Actuals!$K$7:$K$206,"OK"))</f>
        <v/>
      </c>
      <c r="E169" s="64">
        <f>IF($A169="","",$C169-$D169)</f>
        <v/>
      </c>
      <c r="F169" s="65">
        <f>IF(OR($A169="",$D169=0),"",$C169/$D169)</f>
        <v/>
      </c>
    </row>
    <row r="170">
      <c r="A170" s="16">
        <f>IF(Deals!$A167="","",Deals!$A167)</f>
        <v/>
      </c>
      <c r="B170" s="18">
        <f>IF($A170="","",Deals!$R167)</f>
        <v/>
      </c>
      <c r="C170" s="63">
        <f>IF($A170="","",SUMIFS(Actuals!$D$7:$D$206,Actuals!$E$7:$E$206,$A170,Actuals!$K$7:$K$206,"OK"))</f>
        <v/>
      </c>
      <c r="D170" s="63">
        <f>IF($A170="","",SUMIFS(Actuals!$I$7:$I$206,Actuals!$E$7:$E$206,$A170,Actuals!$K$7:$K$206,"OK"))</f>
        <v/>
      </c>
      <c r="E170" s="64">
        <f>IF($A170="","",$C170-$D170)</f>
        <v/>
      </c>
      <c r="F170" s="65">
        <f>IF(OR($A170="",$D170=0),"",$C170/$D170)</f>
        <v/>
      </c>
    </row>
    <row r="171">
      <c r="A171" s="16">
        <f>IF(Deals!$A168="","",Deals!$A168)</f>
        <v/>
      </c>
      <c r="B171" s="18">
        <f>IF($A171="","",Deals!$R168)</f>
        <v/>
      </c>
      <c r="C171" s="63">
        <f>IF($A171="","",SUMIFS(Actuals!$D$7:$D$206,Actuals!$E$7:$E$206,$A171,Actuals!$K$7:$K$206,"OK"))</f>
        <v/>
      </c>
      <c r="D171" s="63">
        <f>IF($A171="","",SUMIFS(Actuals!$I$7:$I$206,Actuals!$E$7:$E$206,$A171,Actuals!$K$7:$K$206,"OK"))</f>
        <v/>
      </c>
      <c r="E171" s="64">
        <f>IF($A171="","",$C171-$D171)</f>
        <v/>
      </c>
      <c r="F171" s="65">
        <f>IF(OR($A171="",$D171=0),"",$C171/$D171)</f>
        <v/>
      </c>
    </row>
    <row r="172">
      <c r="A172" s="16">
        <f>IF(Deals!$A169="","",Deals!$A169)</f>
        <v/>
      </c>
      <c r="B172" s="18">
        <f>IF($A172="","",Deals!$R169)</f>
        <v/>
      </c>
      <c r="C172" s="63">
        <f>IF($A172="","",SUMIFS(Actuals!$D$7:$D$206,Actuals!$E$7:$E$206,$A172,Actuals!$K$7:$K$206,"OK"))</f>
        <v/>
      </c>
      <c r="D172" s="63">
        <f>IF($A172="","",SUMIFS(Actuals!$I$7:$I$206,Actuals!$E$7:$E$206,$A172,Actuals!$K$7:$K$206,"OK"))</f>
        <v/>
      </c>
      <c r="E172" s="64">
        <f>IF($A172="","",$C172-$D172)</f>
        <v/>
      </c>
      <c r="F172" s="65">
        <f>IF(OR($A172="",$D172=0),"",$C172/$D172)</f>
        <v/>
      </c>
    </row>
    <row r="173">
      <c r="A173" s="16">
        <f>IF(Deals!$A170="","",Deals!$A170)</f>
        <v/>
      </c>
      <c r="B173" s="18">
        <f>IF($A173="","",Deals!$R170)</f>
        <v/>
      </c>
      <c r="C173" s="63">
        <f>IF($A173="","",SUMIFS(Actuals!$D$7:$D$206,Actuals!$E$7:$E$206,$A173,Actuals!$K$7:$K$206,"OK"))</f>
        <v/>
      </c>
      <c r="D173" s="63">
        <f>IF($A173="","",SUMIFS(Actuals!$I$7:$I$206,Actuals!$E$7:$E$206,$A173,Actuals!$K$7:$K$206,"OK"))</f>
        <v/>
      </c>
      <c r="E173" s="64">
        <f>IF($A173="","",$C173-$D173)</f>
        <v/>
      </c>
      <c r="F173" s="65">
        <f>IF(OR($A173="",$D173=0),"",$C173/$D173)</f>
        <v/>
      </c>
    </row>
    <row r="174">
      <c r="A174" s="16">
        <f>IF(Deals!$A171="","",Deals!$A171)</f>
        <v/>
      </c>
      <c r="B174" s="18">
        <f>IF($A174="","",Deals!$R171)</f>
        <v/>
      </c>
      <c r="C174" s="63">
        <f>IF($A174="","",SUMIFS(Actuals!$D$7:$D$206,Actuals!$E$7:$E$206,$A174,Actuals!$K$7:$K$206,"OK"))</f>
        <v/>
      </c>
      <c r="D174" s="63">
        <f>IF($A174="","",SUMIFS(Actuals!$I$7:$I$206,Actuals!$E$7:$E$206,$A174,Actuals!$K$7:$K$206,"OK"))</f>
        <v/>
      </c>
      <c r="E174" s="64">
        <f>IF($A174="","",$C174-$D174)</f>
        <v/>
      </c>
      <c r="F174" s="65">
        <f>IF(OR($A174="",$D174=0),"",$C174/$D174)</f>
        <v/>
      </c>
    </row>
    <row r="175">
      <c r="A175" s="16">
        <f>IF(Deals!$A172="","",Deals!$A172)</f>
        <v/>
      </c>
      <c r="B175" s="18">
        <f>IF($A175="","",Deals!$R172)</f>
        <v/>
      </c>
      <c r="C175" s="63">
        <f>IF($A175="","",SUMIFS(Actuals!$D$7:$D$206,Actuals!$E$7:$E$206,$A175,Actuals!$K$7:$K$206,"OK"))</f>
        <v/>
      </c>
      <c r="D175" s="63">
        <f>IF($A175="","",SUMIFS(Actuals!$I$7:$I$206,Actuals!$E$7:$E$206,$A175,Actuals!$K$7:$K$206,"OK"))</f>
        <v/>
      </c>
      <c r="E175" s="64">
        <f>IF($A175="","",$C175-$D175)</f>
        <v/>
      </c>
      <c r="F175" s="65">
        <f>IF(OR($A175="",$D175=0),"",$C175/$D175)</f>
        <v/>
      </c>
    </row>
    <row r="176">
      <c r="A176" s="16">
        <f>IF(Deals!$A173="","",Deals!$A173)</f>
        <v/>
      </c>
      <c r="B176" s="18">
        <f>IF($A176="","",Deals!$R173)</f>
        <v/>
      </c>
      <c r="C176" s="63">
        <f>IF($A176="","",SUMIFS(Actuals!$D$7:$D$206,Actuals!$E$7:$E$206,$A176,Actuals!$K$7:$K$206,"OK"))</f>
        <v/>
      </c>
      <c r="D176" s="63">
        <f>IF($A176="","",SUMIFS(Actuals!$I$7:$I$206,Actuals!$E$7:$E$206,$A176,Actuals!$K$7:$K$206,"OK"))</f>
        <v/>
      </c>
      <c r="E176" s="64">
        <f>IF($A176="","",$C176-$D176)</f>
        <v/>
      </c>
      <c r="F176" s="65">
        <f>IF(OR($A176="",$D176=0),"",$C176/$D176)</f>
        <v/>
      </c>
    </row>
    <row r="177">
      <c r="A177" s="16">
        <f>IF(Deals!$A174="","",Deals!$A174)</f>
        <v/>
      </c>
      <c r="B177" s="18">
        <f>IF($A177="","",Deals!$R174)</f>
        <v/>
      </c>
      <c r="C177" s="63">
        <f>IF($A177="","",SUMIFS(Actuals!$D$7:$D$206,Actuals!$E$7:$E$206,$A177,Actuals!$K$7:$K$206,"OK"))</f>
        <v/>
      </c>
      <c r="D177" s="63">
        <f>IF($A177="","",SUMIFS(Actuals!$I$7:$I$206,Actuals!$E$7:$E$206,$A177,Actuals!$K$7:$K$206,"OK"))</f>
        <v/>
      </c>
      <c r="E177" s="64">
        <f>IF($A177="","",$C177-$D177)</f>
        <v/>
      </c>
      <c r="F177" s="65">
        <f>IF(OR($A177="",$D177=0),"",$C177/$D177)</f>
        <v/>
      </c>
    </row>
    <row r="178">
      <c r="A178" s="16">
        <f>IF(Deals!$A175="","",Deals!$A175)</f>
        <v/>
      </c>
      <c r="B178" s="18">
        <f>IF($A178="","",Deals!$R175)</f>
        <v/>
      </c>
      <c r="C178" s="63">
        <f>IF($A178="","",SUMIFS(Actuals!$D$7:$D$206,Actuals!$E$7:$E$206,$A178,Actuals!$K$7:$K$206,"OK"))</f>
        <v/>
      </c>
      <c r="D178" s="63">
        <f>IF($A178="","",SUMIFS(Actuals!$I$7:$I$206,Actuals!$E$7:$E$206,$A178,Actuals!$K$7:$K$206,"OK"))</f>
        <v/>
      </c>
      <c r="E178" s="64">
        <f>IF($A178="","",$C178-$D178)</f>
        <v/>
      </c>
      <c r="F178" s="65">
        <f>IF(OR($A178="",$D178=0),"",$C178/$D178)</f>
        <v/>
      </c>
    </row>
    <row r="179">
      <c r="A179" s="16">
        <f>IF(Deals!$A176="","",Deals!$A176)</f>
        <v/>
      </c>
      <c r="B179" s="18">
        <f>IF($A179="","",Deals!$R176)</f>
        <v/>
      </c>
      <c r="C179" s="63">
        <f>IF($A179="","",SUMIFS(Actuals!$D$7:$D$206,Actuals!$E$7:$E$206,$A179,Actuals!$K$7:$K$206,"OK"))</f>
        <v/>
      </c>
      <c r="D179" s="63">
        <f>IF($A179="","",SUMIFS(Actuals!$I$7:$I$206,Actuals!$E$7:$E$206,$A179,Actuals!$K$7:$K$206,"OK"))</f>
        <v/>
      </c>
      <c r="E179" s="64">
        <f>IF($A179="","",$C179-$D179)</f>
        <v/>
      </c>
      <c r="F179" s="65">
        <f>IF(OR($A179="",$D179=0),"",$C179/$D179)</f>
        <v/>
      </c>
    </row>
    <row r="180">
      <c r="A180" s="16">
        <f>IF(Deals!$A177="","",Deals!$A177)</f>
        <v/>
      </c>
      <c r="B180" s="18">
        <f>IF($A180="","",Deals!$R177)</f>
        <v/>
      </c>
      <c r="C180" s="63">
        <f>IF($A180="","",SUMIFS(Actuals!$D$7:$D$206,Actuals!$E$7:$E$206,$A180,Actuals!$K$7:$K$206,"OK"))</f>
        <v/>
      </c>
      <c r="D180" s="63">
        <f>IF($A180="","",SUMIFS(Actuals!$I$7:$I$206,Actuals!$E$7:$E$206,$A180,Actuals!$K$7:$K$206,"OK"))</f>
        <v/>
      </c>
      <c r="E180" s="64">
        <f>IF($A180="","",$C180-$D180)</f>
        <v/>
      </c>
      <c r="F180" s="65">
        <f>IF(OR($A180="",$D180=0),"",$C180/$D180)</f>
        <v/>
      </c>
    </row>
    <row r="181">
      <c r="A181" s="16">
        <f>IF(Deals!$A178="","",Deals!$A178)</f>
        <v/>
      </c>
      <c r="B181" s="18">
        <f>IF($A181="","",Deals!$R178)</f>
        <v/>
      </c>
      <c r="C181" s="63">
        <f>IF($A181="","",SUMIFS(Actuals!$D$7:$D$206,Actuals!$E$7:$E$206,$A181,Actuals!$K$7:$K$206,"OK"))</f>
        <v/>
      </c>
      <c r="D181" s="63">
        <f>IF($A181="","",SUMIFS(Actuals!$I$7:$I$206,Actuals!$E$7:$E$206,$A181,Actuals!$K$7:$K$206,"OK"))</f>
        <v/>
      </c>
      <c r="E181" s="64">
        <f>IF($A181="","",$C181-$D181)</f>
        <v/>
      </c>
      <c r="F181" s="65">
        <f>IF(OR($A181="",$D181=0),"",$C181/$D181)</f>
        <v/>
      </c>
    </row>
    <row r="182">
      <c r="A182" s="16">
        <f>IF(Deals!$A179="","",Deals!$A179)</f>
        <v/>
      </c>
      <c r="B182" s="18">
        <f>IF($A182="","",Deals!$R179)</f>
        <v/>
      </c>
      <c r="C182" s="63">
        <f>IF($A182="","",SUMIFS(Actuals!$D$7:$D$206,Actuals!$E$7:$E$206,$A182,Actuals!$K$7:$K$206,"OK"))</f>
        <v/>
      </c>
      <c r="D182" s="63">
        <f>IF($A182="","",SUMIFS(Actuals!$I$7:$I$206,Actuals!$E$7:$E$206,$A182,Actuals!$K$7:$K$206,"OK"))</f>
        <v/>
      </c>
      <c r="E182" s="64">
        <f>IF($A182="","",$C182-$D182)</f>
        <v/>
      </c>
      <c r="F182" s="65">
        <f>IF(OR($A182="",$D182=0),"",$C182/$D182)</f>
        <v/>
      </c>
    </row>
    <row r="183">
      <c r="A183" s="16">
        <f>IF(Deals!$A180="","",Deals!$A180)</f>
        <v/>
      </c>
      <c r="B183" s="18">
        <f>IF($A183="","",Deals!$R180)</f>
        <v/>
      </c>
      <c r="C183" s="63">
        <f>IF($A183="","",SUMIFS(Actuals!$D$7:$D$206,Actuals!$E$7:$E$206,$A183,Actuals!$K$7:$K$206,"OK"))</f>
        <v/>
      </c>
      <c r="D183" s="63">
        <f>IF($A183="","",SUMIFS(Actuals!$I$7:$I$206,Actuals!$E$7:$E$206,$A183,Actuals!$K$7:$K$206,"OK"))</f>
        <v/>
      </c>
      <c r="E183" s="64">
        <f>IF($A183="","",$C183-$D183)</f>
        <v/>
      </c>
      <c r="F183" s="65">
        <f>IF(OR($A183="",$D183=0),"",$C183/$D183)</f>
        <v/>
      </c>
    </row>
    <row r="184">
      <c r="A184" s="16">
        <f>IF(Deals!$A181="","",Deals!$A181)</f>
        <v/>
      </c>
      <c r="B184" s="18">
        <f>IF($A184="","",Deals!$R181)</f>
        <v/>
      </c>
      <c r="C184" s="63">
        <f>IF($A184="","",SUMIFS(Actuals!$D$7:$D$206,Actuals!$E$7:$E$206,$A184,Actuals!$K$7:$K$206,"OK"))</f>
        <v/>
      </c>
      <c r="D184" s="63">
        <f>IF($A184="","",SUMIFS(Actuals!$I$7:$I$206,Actuals!$E$7:$E$206,$A184,Actuals!$K$7:$K$206,"OK"))</f>
        <v/>
      </c>
      <c r="E184" s="64">
        <f>IF($A184="","",$C184-$D184)</f>
        <v/>
      </c>
      <c r="F184" s="65">
        <f>IF(OR($A184="",$D184=0),"",$C184/$D184)</f>
        <v/>
      </c>
    </row>
    <row r="185">
      <c r="A185" s="16">
        <f>IF(Deals!$A182="","",Deals!$A182)</f>
        <v/>
      </c>
      <c r="B185" s="18">
        <f>IF($A185="","",Deals!$R182)</f>
        <v/>
      </c>
      <c r="C185" s="63">
        <f>IF($A185="","",SUMIFS(Actuals!$D$7:$D$206,Actuals!$E$7:$E$206,$A185,Actuals!$K$7:$K$206,"OK"))</f>
        <v/>
      </c>
      <c r="D185" s="63">
        <f>IF($A185="","",SUMIFS(Actuals!$I$7:$I$206,Actuals!$E$7:$E$206,$A185,Actuals!$K$7:$K$206,"OK"))</f>
        <v/>
      </c>
      <c r="E185" s="64">
        <f>IF($A185="","",$C185-$D185)</f>
        <v/>
      </c>
      <c r="F185" s="65">
        <f>IF(OR($A185="",$D185=0),"",$C185/$D185)</f>
        <v/>
      </c>
    </row>
    <row r="186">
      <c r="A186" s="16">
        <f>IF(Deals!$A183="","",Deals!$A183)</f>
        <v/>
      </c>
      <c r="B186" s="18">
        <f>IF($A186="","",Deals!$R183)</f>
        <v/>
      </c>
      <c r="C186" s="63">
        <f>IF($A186="","",SUMIFS(Actuals!$D$7:$D$206,Actuals!$E$7:$E$206,$A186,Actuals!$K$7:$K$206,"OK"))</f>
        <v/>
      </c>
      <c r="D186" s="63">
        <f>IF($A186="","",SUMIFS(Actuals!$I$7:$I$206,Actuals!$E$7:$E$206,$A186,Actuals!$K$7:$K$206,"OK"))</f>
        <v/>
      </c>
      <c r="E186" s="64">
        <f>IF($A186="","",$C186-$D186)</f>
        <v/>
      </c>
      <c r="F186" s="65">
        <f>IF(OR($A186="",$D186=0),"",$C186/$D186)</f>
        <v/>
      </c>
    </row>
    <row r="187">
      <c r="A187" s="16">
        <f>IF(Deals!$A184="","",Deals!$A184)</f>
        <v/>
      </c>
      <c r="B187" s="18">
        <f>IF($A187="","",Deals!$R184)</f>
        <v/>
      </c>
      <c r="C187" s="63">
        <f>IF($A187="","",SUMIFS(Actuals!$D$7:$D$206,Actuals!$E$7:$E$206,$A187,Actuals!$K$7:$K$206,"OK"))</f>
        <v/>
      </c>
      <c r="D187" s="63">
        <f>IF($A187="","",SUMIFS(Actuals!$I$7:$I$206,Actuals!$E$7:$E$206,$A187,Actuals!$K$7:$K$206,"OK"))</f>
        <v/>
      </c>
      <c r="E187" s="64">
        <f>IF($A187="","",$C187-$D187)</f>
        <v/>
      </c>
      <c r="F187" s="65">
        <f>IF(OR($A187="",$D187=0),"",$C187/$D187)</f>
        <v/>
      </c>
    </row>
    <row r="188">
      <c r="A188" s="16">
        <f>IF(Deals!$A185="","",Deals!$A185)</f>
        <v/>
      </c>
      <c r="B188" s="18">
        <f>IF($A188="","",Deals!$R185)</f>
        <v/>
      </c>
      <c r="C188" s="63">
        <f>IF($A188="","",SUMIFS(Actuals!$D$7:$D$206,Actuals!$E$7:$E$206,$A188,Actuals!$K$7:$K$206,"OK"))</f>
        <v/>
      </c>
      <c r="D188" s="63">
        <f>IF($A188="","",SUMIFS(Actuals!$I$7:$I$206,Actuals!$E$7:$E$206,$A188,Actuals!$K$7:$K$206,"OK"))</f>
        <v/>
      </c>
      <c r="E188" s="64">
        <f>IF($A188="","",$C188-$D188)</f>
        <v/>
      </c>
      <c r="F188" s="65">
        <f>IF(OR($A188="",$D188=0),"",$C188/$D188)</f>
        <v/>
      </c>
    </row>
    <row r="189">
      <c r="A189" s="16">
        <f>IF(Deals!$A186="","",Deals!$A186)</f>
        <v/>
      </c>
      <c r="B189" s="18">
        <f>IF($A189="","",Deals!$R186)</f>
        <v/>
      </c>
      <c r="C189" s="63">
        <f>IF($A189="","",SUMIFS(Actuals!$D$7:$D$206,Actuals!$E$7:$E$206,$A189,Actuals!$K$7:$K$206,"OK"))</f>
        <v/>
      </c>
      <c r="D189" s="63">
        <f>IF($A189="","",SUMIFS(Actuals!$I$7:$I$206,Actuals!$E$7:$E$206,$A189,Actuals!$K$7:$K$206,"OK"))</f>
        <v/>
      </c>
      <c r="E189" s="64">
        <f>IF($A189="","",$C189-$D189)</f>
        <v/>
      </c>
      <c r="F189" s="65">
        <f>IF(OR($A189="",$D189=0),"",$C189/$D189)</f>
        <v/>
      </c>
    </row>
    <row r="190">
      <c r="A190" s="16">
        <f>IF(Deals!$A187="","",Deals!$A187)</f>
        <v/>
      </c>
      <c r="B190" s="18">
        <f>IF($A190="","",Deals!$R187)</f>
        <v/>
      </c>
      <c r="C190" s="63">
        <f>IF($A190="","",SUMIFS(Actuals!$D$7:$D$206,Actuals!$E$7:$E$206,$A190,Actuals!$K$7:$K$206,"OK"))</f>
        <v/>
      </c>
      <c r="D190" s="63">
        <f>IF($A190="","",SUMIFS(Actuals!$I$7:$I$206,Actuals!$E$7:$E$206,$A190,Actuals!$K$7:$K$206,"OK"))</f>
        <v/>
      </c>
      <c r="E190" s="64">
        <f>IF($A190="","",$C190-$D190)</f>
        <v/>
      </c>
      <c r="F190" s="65">
        <f>IF(OR($A190="",$D190=0),"",$C190/$D190)</f>
        <v/>
      </c>
    </row>
    <row r="191">
      <c r="A191" s="16">
        <f>IF(Deals!$A188="","",Deals!$A188)</f>
        <v/>
      </c>
      <c r="B191" s="18">
        <f>IF($A191="","",Deals!$R188)</f>
        <v/>
      </c>
      <c r="C191" s="63">
        <f>IF($A191="","",SUMIFS(Actuals!$D$7:$D$206,Actuals!$E$7:$E$206,$A191,Actuals!$K$7:$K$206,"OK"))</f>
        <v/>
      </c>
      <c r="D191" s="63">
        <f>IF($A191="","",SUMIFS(Actuals!$I$7:$I$206,Actuals!$E$7:$E$206,$A191,Actuals!$K$7:$K$206,"OK"))</f>
        <v/>
      </c>
      <c r="E191" s="64">
        <f>IF($A191="","",$C191-$D191)</f>
        <v/>
      </c>
      <c r="F191" s="65">
        <f>IF(OR($A191="",$D191=0),"",$C191/$D191)</f>
        <v/>
      </c>
    </row>
    <row r="192">
      <c r="A192" s="16">
        <f>IF(Deals!$A189="","",Deals!$A189)</f>
        <v/>
      </c>
      <c r="B192" s="18">
        <f>IF($A192="","",Deals!$R189)</f>
        <v/>
      </c>
      <c r="C192" s="63">
        <f>IF($A192="","",SUMIFS(Actuals!$D$7:$D$206,Actuals!$E$7:$E$206,$A192,Actuals!$K$7:$K$206,"OK"))</f>
        <v/>
      </c>
      <c r="D192" s="63">
        <f>IF($A192="","",SUMIFS(Actuals!$I$7:$I$206,Actuals!$E$7:$E$206,$A192,Actuals!$K$7:$K$206,"OK"))</f>
        <v/>
      </c>
      <c r="E192" s="64">
        <f>IF($A192="","",$C192-$D192)</f>
        <v/>
      </c>
      <c r="F192" s="65">
        <f>IF(OR($A192="",$D192=0),"",$C192/$D192)</f>
        <v/>
      </c>
    </row>
    <row r="193">
      <c r="A193" s="16">
        <f>IF(Deals!$A190="","",Deals!$A190)</f>
        <v/>
      </c>
      <c r="B193" s="18">
        <f>IF($A193="","",Deals!$R190)</f>
        <v/>
      </c>
      <c r="C193" s="63">
        <f>IF($A193="","",SUMIFS(Actuals!$D$7:$D$206,Actuals!$E$7:$E$206,$A193,Actuals!$K$7:$K$206,"OK"))</f>
        <v/>
      </c>
      <c r="D193" s="63">
        <f>IF($A193="","",SUMIFS(Actuals!$I$7:$I$206,Actuals!$E$7:$E$206,$A193,Actuals!$K$7:$K$206,"OK"))</f>
        <v/>
      </c>
      <c r="E193" s="64">
        <f>IF($A193="","",$C193-$D193)</f>
        <v/>
      </c>
      <c r="F193" s="65">
        <f>IF(OR($A193="",$D193=0),"",$C193/$D193)</f>
        <v/>
      </c>
    </row>
    <row r="194">
      <c r="A194" s="16">
        <f>IF(Deals!$A191="","",Deals!$A191)</f>
        <v/>
      </c>
      <c r="B194" s="18">
        <f>IF($A194="","",Deals!$R191)</f>
        <v/>
      </c>
      <c r="C194" s="63">
        <f>IF($A194="","",SUMIFS(Actuals!$D$7:$D$206,Actuals!$E$7:$E$206,$A194,Actuals!$K$7:$K$206,"OK"))</f>
        <v/>
      </c>
      <c r="D194" s="63">
        <f>IF($A194="","",SUMIFS(Actuals!$I$7:$I$206,Actuals!$E$7:$E$206,$A194,Actuals!$K$7:$K$206,"OK"))</f>
        <v/>
      </c>
      <c r="E194" s="64">
        <f>IF($A194="","",$C194-$D194)</f>
        <v/>
      </c>
      <c r="F194" s="65">
        <f>IF(OR($A194="",$D194=0),"",$C194/$D194)</f>
        <v/>
      </c>
    </row>
    <row r="195">
      <c r="A195" s="16">
        <f>IF(Deals!$A192="","",Deals!$A192)</f>
        <v/>
      </c>
      <c r="B195" s="18">
        <f>IF($A195="","",Deals!$R192)</f>
        <v/>
      </c>
      <c r="C195" s="63">
        <f>IF($A195="","",SUMIFS(Actuals!$D$7:$D$206,Actuals!$E$7:$E$206,$A195,Actuals!$K$7:$K$206,"OK"))</f>
        <v/>
      </c>
      <c r="D195" s="63">
        <f>IF($A195="","",SUMIFS(Actuals!$I$7:$I$206,Actuals!$E$7:$E$206,$A195,Actuals!$K$7:$K$206,"OK"))</f>
        <v/>
      </c>
      <c r="E195" s="64">
        <f>IF($A195="","",$C195-$D195)</f>
        <v/>
      </c>
      <c r="F195" s="65">
        <f>IF(OR($A195="",$D195=0),"",$C195/$D195)</f>
        <v/>
      </c>
    </row>
    <row r="196">
      <c r="A196" s="16">
        <f>IF(Deals!$A193="","",Deals!$A193)</f>
        <v/>
      </c>
      <c r="B196" s="18">
        <f>IF($A196="","",Deals!$R193)</f>
        <v/>
      </c>
      <c r="C196" s="63">
        <f>IF($A196="","",SUMIFS(Actuals!$D$7:$D$206,Actuals!$E$7:$E$206,$A196,Actuals!$K$7:$K$206,"OK"))</f>
        <v/>
      </c>
      <c r="D196" s="63">
        <f>IF($A196="","",SUMIFS(Actuals!$I$7:$I$206,Actuals!$E$7:$E$206,$A196,Actuals!$K$7:$K$206,"OK"))</f>
        <v/>
      </c>
      <c r="E196" s="64">
        <f>IF($A196="","",$C196-$D196)</f>
        <v/>
      </c>
      <c r="F196" s="65">
        <f>IF(OR($A196="",$D196=0),"",$C196/$D196)</f>
        <v/>
      </c>
    </row>
    <row r="197">
      <c r="A197" s="16">
        <f>IF(Deals!$A194="","",Deals!$A194)</f>
        <v/>
      </c>
      <c r="B197" s="18">
        <f>IF($A197="","",Deals!$R194)</f>
        <v/>
      </c>
      <c r="C197" s="63">
        <f>IF($A197="","",SUMIFS(Actuals!$D$7:$D$206,Actuals!$E$7:$E$206,$A197,Actuals!$K$7:$K$206,"OK"))</f>
        <v/>
      </c>
      <c r="D197" s="63">
        <f>IF($A197="","",SUMIFS(Actuals!$I$7:$I$206,Actuals!$E$7:$E$206,$A197,Actuals!$K$7:$K$206,"OK"))</f>
        <v/>
      </c>
      <c r="E197" s="64">
        <f>IF($A197="","",$C197-$D197)</f>
        <v/>
      </c>
      <c r="F197" s="65">
        <f>IF(OR($A197="",$D197=0),"",$C197/$D197)</f>
        <v/>
      </c>
    </row>
    <row r="198">
      <c r="A198" s="16">
        <f>IF(Deals!$A195="","",Deals!$A195)</f>
        <v/>
      </c>
      <c r="B198" s="18">
        <f>IF($A198="","",Deals!$R195)</f>
        <v/>
      </c>
      <c r="C198" s="63">
        <f>IF($A198="","",SUMIFS(Actuals!$D$7:$D$206,Actuals!$E$7:$E$206,$A198,Actuals!$K$7:$K$206,"OK"))</f>
        <v/>
      </c>
      <c r="D198" s="63">
        <f>IF($A198="","",SUMIFS(Actuals!$I$7:$I$206,Actuals!$E$7:$E$206,$A198,Actuals!$K$7:$K$206,"OK"))</f>
        <v/>
      </c>
      <c r="E198" s="64">
        <f>IF($A198="","",$C198-$D198)</f>
        <v/>
      </c>
      <c r="F198" s="65">
        <f>IF(OR($A198="",$D198=0),"",$C198/$D198)</f>
        <v/>
      </c>
    </row>
    <row r="199">
      <c r="A199" s="16">
        <f>IF(Deals!$A196="","",Deals!$A196)</f>
        <v/>
      </c>
      <c r="B199" s="18">
        <f>IF($A199="","",Deals!$R196)</f>
        <v/>
      </c>
      <c r="C199" s="63">
        <f>IF($A199="","",SUMIFS(Actuals!$D$7:$D$206,Actuals!$E$7:$E$206,$A199,Actuals!$K$7:$K$206,"OK"))</f>
        <v/>
      </c>
      <c r="D199" s="63">
        <f>IF($A199="","",SUMIFS(Actuals!$I$7:$I$206,Actuals!$E$7:$E$206,$A199,Actuals!$K$7:$K$206,"OK"))</f>
        <v/>
      </c>
      <c r="E199" s="64">
        <f>IF($A199="","",$C199-$D199)</f>
        <v/>
      </c>
      <c r="F199" s="65">
        <f>IF(OR($A199="",$D199=0),"",$C199/$D199)</f>
        <v/>
      </c>
    </row>
    <row r="200">
      <c r="A200" s="16">
        <f>IF(Deals!$A197="","",Deals!$A197)</f>
        <v/>
      </c>
      <c r="B200" s="18">
        <f>IF($A200="","",Deals!$R197)</f>
        <v/>
      </c>
      <c r="C200" s="63">
        <f>IF($A200="","",SUMIFS(Actuals!$D$7:$D$206,Actuals!$E$7:$E$206,$A200,Actuals!$K$7:$K$206,"OK"))</f>
        <v/>
      </c>
      <c r="D200" s="63">
        <f>IF($A200="","",SUMIFS(Actuals!$I$7:$I$206,Actuals!$E$7:$E$206,$A200,Actuals!$K$7:$K$206,"OK"))</f>
        <v/>
      </c>
      <c r="E200" s="64">
        <f>IF($A200="","",$C200-$D200)</f>
        <v/>
      </c>
      <c r="F200" s="65">
        <f>IF(OR($A200="",$D200=0),"",$C200/$D200)</f>
        <v/>
      </c>
    </row>
    <row r="201">
      <c r="A201" s="16">
        <f>IF(Deals!$A198="","",Deals!$A198)</f>
        <v/>
      </c>
      <c r="B201" s="18">
        <f>IF($A201="","",Deals!$R198)</f>
        <v/>
      </c>
      <c r="C201" s="63">
        <f>IF($A201="","",SUMIFS(Actuals!$D$7:$D$206,Actuals!$E$7:$E$206,$A201,Actuals!$K$7:$K$206,"OK"))</f>
        <v/>
      </c>
      <c r="D201" s="63">
        <f>IF($A201="","",SUMIFS(Actuals!$I$7:$I$206,Actuals!$E$7:$E$206,$A201,Actuals!$K$7:$K$206,"OK"))</f>
        <v/>
      </c>
      <c r="E201" s="64">
        <f>IF($A201="","",$C201-$D201)</f>
        <v/>
      </c>
      <c r="F201" s="65">
        <f>IF(OR($A201="",$D201=0),"",$C201/$D201)</f>
        <v/>
      </c>
    </row>
    <row r="202">
      <c r="A202" s="16">
        <f>IF(Deals!$A199="","",Deals!$A199)</f>
        <v/>
      </c>
      <c r="B202" s="18">
        <f>IF($A202="","",Deals!$R199)</f>
        <v/>
      </c>
      <c r="C202" s="63">
        <f>IF($A202="","",SUMIFS(Actuals!$D$7:$D$206,Actuals!$E$7:$E$206,$A202,Actuals!$K$7:$K$206,"OK"))</f>
        <v/>
      </c>
      <c r="D202" s="63">
        <f>IF($A202="","",SUMIFS(Actuals!$I$7:$I$206,Actuals!$E$7:$E$206,$A202,Actuals!$K$7:$K$206,"OK"))</f>
        <v/>
      </c>
      <c r="E202" s="64">
        <f>IF($A202="","",$C202-$D202)</f>
        <v/>
      </c>
      <c r="F202" s="65">
        <f>IF(OR($A202="",$D202=0),"",$C202/$D202)</f>
        <v/>
      </c>
    </row>
    <row r="203">
      <c r="A203" s="16">
        <f>IF(Deals!$A200="","",Deals!$A200)</f>
        <v/>
      </c>
      <c r="B203" s="18">
        <f>IF($A203="","",Deals!$R200)</f>
        <v/>
      </c>
      <c r="C203" s="63">
        <f>IF($A203="","",SUMIFS(Actuals!$D$7:$D$206,Actuals!$E$7:$E$206,$A203,Actuals!$K$7:$K$206,"OK"))</f>
        <v/>
      </c>
      <c r="D203" s="63">
        <f>IF($A203="","",SUMIFS(Actuals!$I$7:$I$206,Actuals!$E$7:$E$206,$A203,Actuals!$K$7:$K$206,"OK"))</f>
        <v/>
      </c>
      <c r="E203" s="64">
        <f>IF($A203="","",$C203-$D203)</f>
        <v/>
      </c>
      <c r="F203" s="65">
        <f>IF(OR($A203="",$D203=0),"",$C203/$D203)</f>
        <v/>
      </c>
    </row>
    <row r="204">
      <c r="A204" s="16">
        <f>IF(Deals!$A201="","",Deals!$A201)</f>
        <v/>
      </c>
      <c r="B204" s="18">
        <f>IF($A204="","",Deals!$R201)</f>
        <v/>
      </c>
      <c r="C204" s="63">
        <f>IF($A204="","",SUMIFS(Actuals!$D$7:$D$206,Actuals!$E$7:$E$206,$A204,Actuals!$K$7:$K$206,"OK"))</f>
        <v/>
      </c>
      <c r="D204" s="63">
        <f>IF($A204="","",SUMIFS(Actuals!$I$7:$I$206,Actuals!$E$7:$E$206,$A204,Actuals!$K$7:$K$206,"OK"))</f>
        <v/>
      </c>
      <c r="E204" s="64">
        <f>IF($A204="","",$C204-$D204)</f>
        <v/>
      </c>
      <c r="F204" s="65">
        <f>IF(OR($A204="",$D204=0),"",$C204/$D204)</f>
        <v/>
      </c>
    </row>
    <row r="205">
      <c r="A205" s="16">
        <f>IF(Deals!$A202="","",Deals!$A202)</f>
        <v/>
      </c>
      <c r="B205" s="18">
        <f>IF($A205="","",Deals!$R202)</f>
        <v/>
      </c>
      <c r="C205" s="63">
        <f>IF($A205="","",SUMIFS(Actuals!$D$7:$D$206,Actuals!$E$7:$E$206,$A205,Actuals!$K$7:$K$206,"OK"))</f>
        <v/>
      </c>
      <c r="D205" s="63">
        <f>IF($A205="","",SUMIFS(Actuals!$I$7:$I$206,Actuals!$E$7:$E$206,$A205,Actuals!$K$7:$K$206,"OK"))</f>
        <v/>
      </c>
      <c r="E205" s="64">
        <f>IF($A205="","",$C205-$D205)</f>
        <v/>
      </c>
      <c r="F205" s="65">
        <f>IF(OR($A205="",$D205=0),"",$C205/$D205)</f>
        <v/>
      </c>
    </row>
    <row r="206">
      <c r="A206" s="16">
        <f>IF(Deals!$A203="","",Deals!$A203)</f>
        <v/>
      </c>
      <c r="B206" s="18">
        <f>IF($A206="","",Deals!$R203)</f>
        <v/>
      </c>
      <c r="C206" s="63">
        <f>IF($A206="","",SUMIFS(Actuals!$D$7:$D$206,Actuals!$E$7:$E$206,$A206,Actuals!$K$7:$K$206,"OK"))</f>
        <v/>
      </c>
      <c r="D206" s="63">
        <f>IF($A206="","",SUMIFS(Actuals!$I$7:$I$206,Actuals!$E$7:$E$206,$A206,Actuals!$K$7:$K$206,"OK"))</f>
        <v/>
      </c>
      <c r="E206" s="64">
        <f>IF($A206="","",$C206-$D206)</f>
        <v/>
      </c>
      <c r="F206" s="65">
        <f>IF(OR($A206="",$D206=0),"",$C206/$D206)</f>
        <v/>
      </c>
    </row>
    <row r="207">
      <c r="A207" s="16">
        <f>IF(Deals!$A204="","",Deals!$A204)</f>
        <v/>
      </c>
      <c r="B207" s="18">
        <f>IF($A207="","",Deals!$R204)</f>
        <v/>
      </c>
      <c r="C207" s="63">
        <f>IF($A207="","",SUMIFS(Actuals!$D$7:$D$206,Actuals!$E$7:$E$206,$A207,Actuals!$K$7:$K$206,"OK"))</f>
        <v/>
      </c>
      <c r="D207" s="63">
        <f>IF($A207="","",SUMIFS(Actuals!$I$7:$I$206,Actuals!$E$7:$E$206,$A207,Actuals!$K$7:$K$206,"OK"))</f>
        <v/>
      </c>
      <c r="E207" s="64">
        <f>IF($A207="","",$C207-$D207)</f>
        <v/>
      </c>
      <c r="F207" s="65">
        <f>IF(OR($A207="",$D207=0),"",$C207/$D207)</f>
        <v/>
      </c>
    </row>
    <row r="208">
      <c r="A208" s="16">
        <f>IF(Deals!$A205="","",Deals!$A205)</f>
        <v/>
      </c>
      <c r="B208" s="18">
        <f>IF($A208="","",Deals!$R205)</f>
        <v/>
      </c>
      <c r="C208" s="63">
        <f>IF($A208="","",SUMIFS(Actuals!$D$7:$D$206,Actuals!$E$7:$E$206,$A208,Actuals!$K$7:$K$206,"OK"))</f>
        <v/>
      </c>
      <c r="D208" s="63">
        <f>IF($A208="","",SUMIFS(Actuals!$I$7:$I$206,Actuals!$E$7:$E$206,$A208,Actuals!$K$7:$K$206,"OK"))</f>
        <v/>
      </c>
      <c r="E208" s="64">
        <f>IF($A208="","",$C208-$D208)</f>
        <v/>
      </c>
      <c r="F208" s="65">
        <f>IF(OR($A208="",$D208=0),"",$C208/$D208)</f>
        <v/>
      </c>
    </row>
    <row r="209">
      <c r="A209" s="16">
        <f>IF(Deals!$A206="","",Deals!$A206)</f>
        <v/>
      </c>
      <c r="B209" s="18">
        <f>IF($A209="","",Deals!$R206)</f>
        <v/>
      </c>
      <c r="C209" s="63">
        <f>IF($A209="","",SUMIFS(Actuals!$D$7:$D$206,Actuals!$E$7:$E$206,$A209,Actuals!$K$7:$K$206,"OK"))</f>
        <v/>
      </c>
      <c r="D209" s="63">
        <f>IF($A209="","",SUMIFS(Actuals!$I$7:$I$206,Actuals!$E$7:$E$206,$A209,Actuals!$K$7:$K$206,"OK"))</f>
        <v/>
      </c>
      <c r="E209" s="64">
        <f>IF($A209="","",$C209-$D209)</f>
        <v/>
      </c>
      <c r="F209" s="65">
        <f>IF(OR($A209="",$D209=0),"",$C209/$D209)</f>
        <v/>
      </c>
    </row>
    <row r="210">
      <c r="A210" s="16">
        <f>IF(Deals!$A207="","",Deals!$A207)</f>
        <v/>
      </c>
      <c r="B210" s="18">
        <f>IF($A210="","",Deals!$R207)</f>
        <v/>
      </c>
      <c r="C210" s="63">
        <f>IF($A210="","",SUMIFS(Actuals!$D$7:$D$206,Actuals!$E$7:$E$206,$A210,Actuals!$K$7:$K$206,"OK"))</f>
        <v/>
      </c>
      <c r="D210" s="63">
        <f>IF($A210="","",SUMIFS(Actuals!$I$7:$I$206,Actuals!$E$7:$E$206,$A210,Actuals!$K$7:$K$206,"OK"))</f>
        <v/>
      </c>
      <c r="E210" s="64">
        <f>IF($A210="","",$C210-$D210)</f>
        <v/>
      </c>
      <c r="F210" s="65">
        <f>IF(OR($A210="",$D210=0),"",$C210/$D210)</f>
        <v/>
      </c>
    </row>
    <row r="211">
      <c r="A211" s="16">
        <f>IF(Deals!$A208="","",Deals!$A208)</f>
        <v/>
      </c>
      <c r="B211" s="18">
        <f>IF($A211="","",Deals!$R208)</f>
        <v/>
      </c>
      <c r="C211" s="63">
        <f>IF($A211="","",SUMIFS(Actuals!$D$7:$D$206,Actuals!$E$7:$E$206,$A211,Actuals!$K$7:$K$206,"OK"))</f>
        <v/>
      </c>
      <c r="D211" s="63">
        <f>IF($A211="","",SUMIFS(Actuals!$I$7:$I$206,Actuals!$E$7:$E$206,$A211,Actuals!$K$7:$K$206,"OK"))</f>
        <v/>
      </c>
      <c r="E211" s="64">
        <f>IF($A211="","",$C211-$D211)</f>
        <v/>
      </c>
      <c r="F211" s="65">
        <f>IF(OR($A211="",$D211=0),"",$C211/$D211)</f>
        <v/>
      </c>
    </row>
    <row r="212">
      <c r="A212" s="16">
        <f>IF(Deals!$A209="","",Deals!$A209)</f>
        <v/>
      </c>
      <c r="B212" s="18">
        <f>IF($A212="","",Deals!$R209)</f>
        <v/>
      </c>
      <c r="C212" s="63">
        <f>IF($A212="","",SUMIFS(Actuals!$D$7:$D$206,Actuals!$E$7:$E$206,$A212,Actuals!$K$7:$K$206,"OK"))</f>
        <v/>
      </c>
      <c r="D212" s="63">
        <f>IF($A212="","",SUMIFS(Actuals!$I$7:$I$206,Actuals!$E$7:$E$206,$A212,Actuals!$K$7:$K$206,"OK"))</f>
        <v/>
      </c>
      <c r="E212" s="64">
        <f>IF($A212="","",$C212-$D212)</f>
        <v/>
      </c>
      <c r="F212" s="65">
        <f>IF(OR($A212="",$D212=0),"",$C212/$D212)</f>
        <v/>
      </c>
    </row>
    <row r="213">
      <c r="A213" s="16">
        <f>IF(Deals!$A210="","",Deals!$A210)</f>
        <v/>
      </c>
      <c r="B213" s="18">
        <f>IF($A213="","",Deals!$R210)</f>
        <v/>
      </c>
      <c r="C213" s="63">
        <f>IF($A213="","",SUMIFS(Actuals!$D$7:$D$206,Actuals!$E$7:$E$206,$A213,Actuals!$K$7:$K$206,"OK"))</f>
        <v/>
      </c>
      <c r="D213" s="63">
        <f>IF($A213="","",SUMIFS(Actuals!$I$7:$I$206,Actuals!$E$7:$E$206,$A213,Actuals!$K$7:$K$206,"OK"))</f>
        <v/>
      </c>
      <c r="E213" s="64">
        <f>IF($A213="","",$C213-$D213)</f>
        <v/>
      </c>
      <c r="F213" s="65">
        <f>IF(OR($A213="",$D213=0),"",$C213/$D213)</f>
        <v/>
      </c>
    </row>
    <row r="214">
      <c r="A214" s="16">
        <f>IF(Deals!$A211="","",Deals!$A211)</f>
        <v/>
      </c>
      <c r="B214" s="18">
        <f>IF($A214="","",Deals!$R211)</f>
        <v/>
      </c>
      <c r="C214" s="63">
        <f>IF($A214="","",SUMIFS(Actuals!$D$7:$D$206,Actuals!$E$7:$E$206,$A214,Actuals!$K$7:$K$206,"OK"))</f>
        <v/>
      </c>
      <c r="D214" s="63">
        <f>IF($A214="","",SUMIFS(Actuals!$I$7:$I$206,Actuals!$E$7:$E$206,$A214,Actuals!$K$7:$K$206,"OK"))</f>
        <v/>
      </c>
      <c r="E214" s="64">
        <f>IF($A214="","",$C214-$D214)</f>
        <v/>
      </c>
      <c r="F214" s="65">
        <f>IF(OR($A214="",$D214=0),"",$C214/$D214)</f>
        <v/>
      </c>
    </row>
    <row r="215">
      <c r="A215" s="16">
        <f>IF(Deals!$A212="","",Deals!$A212)</f>
        <v/>
      </c>
      <c r="B215" s="18">
        <f>IF($A215="","",Deals!$R212)</f>
        <v/>
      </c>
      <c r="C215" s="63">
        <f>IF($A215="","",SUMIFS(Actuals!$D$7:$D$206,Actuals!$E$7:$E$206,$A215,Actuals!$K$7:$K$206,"OK"))</f>
        <v/>
      </c>
      <c r="D215" s="63">
        <f>IF($A215="","",SUMIFS(Actuals!$I$7:$I$206,Actuals!$E$7:$E$206,$A215,Actuals!$K$7:$K$206,"OK"))</f>
        <v/>
      </c>
      <c r="E215" s="64">
        <f>IF($A215="","",$C215-$D215)</f>
        <v/>
      </c>
      <c r="F215" s="65">
        <f>IF(OR($A215="",$D215=0),"",$C215/$D215)</f>
        <v/>
      </c>
    </row>
    <row r="216">
      <c r="A216" s="16">
        <f>IF(Deals!$A213="","",Deals!$A213)</f>
        <v/>
      </c>
      <c r="B216" s="18">
        <f>IF($A216="","",Deals!$R213)</f>
        <v/>
      </c>
      <c r="C216" s="63">
        <f>IF($A216="","",SUMIFS(Actuals!$D$7:$D$206,Actuals!$E$7:$E$206,$A216,Actuals!$K$7:$K$206,"OK"))</f>
        <v/>
      </c>
      <c r="D216" s="63">
        <f>IF($A216="","",SUMIFS(Actuals!$I$7:$I$206,Actuals!$E$7:$E$206,$A216,Actuals!$K$7:$K$206,"OK"))</f>
        <v/>
      </c>
      <c r="E216" s="64">
        <f>IF($A216="","",$C216-$D216)</f>
        <v/>
      </c>
      <c r="F216" s="65">
        <f>IF(OR($A216="",$D216=0),"",$C216/$D216)</f>
        <v/>
      </c>
    </row>
    <row r="217">
      <c r="A217" s="16">
        <f>IF(Deals!$A214="","",Deals!$A214)</f>
        <v/>
      </c>
      <c r="B217" s="18">
        <f>IF($A217="","",Deals!$R214)</f>
        <v/>
      </c>
      <c r="C217" s="63">
        <f>IF($A217="","",SUMIFS(Actuals!$D$7:$D$206,Actuals!$E$7:$E$206,$A217,Actuals!$K$7:$K$206,"OK"))</f>
        <v/>
      </c>
      <c r="D217" s="63">
        <f>IF($A217="","",SUMIFS(Actuals!$I$7:$I$206,Actuals!$E$7:$E$206,$A217,Actuals!$K$7:$K$206,"OK"))</f>
        <v/>
      </c>
      <c r="E217" s="64">
        <f>IF($A217="","",$C217-$D217)</f>
        <v/>
      </c>
      <c r="F217" s="65">
        <f>IF(OR($A217="",$D217=0),"",$C217/$D217)</f>
        <v/>
      </c>
    </row>
    <row r="218">
      <c r="A218" s="16">
        <f>IF(Deals!$A215="","",Deals!$A215)</f>
        <v/>
      </c>
      <c r="B218" s="18">
        <f>IF($A218="","",Deals!$R215)</f>
        <v/>
      </c>
      <c r="C218" s="63">
        <f>IF($A218="","",SUMIFS(Actuals!$D$7:$D$206,Actuals!$E$7:$E$206,$A218,Actuals!$K$7:$K$206,"OK"))</f>
        <v/>
      </c>
      <c r="D218" s="63">
        <f>IF($A218="","",SUMIFS(Actuals!$I$7:$I$206,Actuals!$E$7:$E$206,$A218,Actuals!$K$7:$K$206,"OK"))</f>
        <v/>
      </c>
      <c r="E218" s="64">
        <f>IF($A218="","",$C218-$D218)</f>
        <v/>
      </c>
      <c r="F218" s="65">
        <f>IF(OR($A218="",$D218=0),"",$C218/$D218)</f>
        <v/>
      </c>
    </row>
    <row r="219">
      <c r="A219" s="16">
        <f>IF(Deals!$A216="","",Deals!$A216)</f>
        <v/>
      </c>
      <c r="B219" s="18">
        <f>IF($A219="","",Deals!$R216)</f>
        <v/>
      </c>
      <c r="C219" s="63">
        <f>IF($A219="","",SUMIFS(Actuals!$D$7:$D$206,Actuals!$E$7:$E$206,$A219,Actuals!$K$7:$K$206,"OK"))</f>
        <v/>
      </c>
      <c r="D219" s="63">
        <f>IF($A219="","",SUMIFS(Actuals!$I$7:$I$206,Actuals!$E$7:$E$206,$A219,Actuals!$K$7:$K$206,"OK"))</f>
        <v/>
      </c>
      <c r="E219" s="64">
        <f>IF($A219="","",$C219-$D219)</f>
        <v/>
      </c>
      <c r="F219" s="65">
        <f>IF(OR($A219="",$D219=0),"",$C219/$D219)</f>
        <v/>
      </c>
    </row>
    <row r="220">
      <c r="A220" s="16">
        <f>IF(Deals!$A217="","",Deals!$A217)</f>
        <v/>
      </c>
      <c r="B220" s="18">
        <f>IF($A220="","",Deals!$R217)</f>
        <v/>
      </c>
      <c r="C220" s="63">
        <f>IF($A220="","",SUMIFS(Actuals!$D$7:$D$206,Actuals!$E$7:$E$206,$A220,Actuals!$K$7:$K$206,"OK"))</f>
        <v/>
      </c>
      <c r="D220" s="63">
        <f>IF($A220="","",SUMIFS(Actuals!$I$7:$I$206,Actuals!$E$7:$E$206,$A220,Actuals!$K$7:$K$206,"OK"))</f>
        <v/>
      </c>
      <c r="E220" s="64">
        <f>IF($A220="","",$C220-$D220)</f>
        <v/>
      </c>
      <c r="F220" s="65">
        <f>IF(OR($A220="",$D220=0),"",$C220/$D220)</f>
        <v/>
      </c>
    </row>
    <row r="221">
      <c r="A221" s="16">
        <f>IF(Deals!$A218="","",Deals!$A218)</f>
        <v/>
      </c>
      <c r="B221" s="18">
        <f>IF($A221="","",Deals!$R218)</f>
        <v/>
      </c>
      <c r="C221" s="63">
        <f>IF($A221="","",SUMIFS(Actuals!$D$7:$D$206,Actuals!$E$7:$E$206,$A221,Actuals!$K$7:$K$206,"OK"))</f>
        <v/>
      </c>
      <c r="D221" s="63">
        <f>IF($A221="","",SUMIFS(Actuals!$I$7:$I$206,Actuals!$E$7:$E$206,$A221,Actuals!$K$7:$K$206,"OK"))</f>
        <v/>
      </c>
      <c r="E221" s="64">
        <f>IF($A221="","",$C221-$D221)</f>
        <v/>
      </c>
      <c r="F221" s="65">
        <f>IF(OR($A221="",$D221=0),"",$C221/$D221)</f>
        <v/>
      </c>
    </row>
    <row r="222">
      <c r="A222" s="16">
        <f>IF(Deals!$A219="","",Deals!$A219)</f>
        <v/>
      </c>
      <c r="B222" s="18">
        <f>IF($A222="","",Deals!$R219)</f>
        <v/>
      </c>
      <c r="C222" s="63">
        <f>IF($A222="","",SUMIFS(Actuals!$D$7:$D$206,Actuals!$E$7:$E$206,$A222,Actuals!$K$7:$K$206,"OK"))</f>
        <v/>
      </c>
      <c r="D222" s="63">
        <f>IF($A222="","",SUMIFS(Actuals!$I$7:$I$206,Actuals!$E$7:$E$206,$A222,Actuals!$K$7:$K$206,"OK"))</f>
        <v/>
      </c>
      <c r="E222" s="64">
        <f>IF($A222="","",$C222-$D222)</f>
        <v/>
      </c>
      <c r="F222" s="65">
        <f>IF(OR($A222="",$D222=0),"",$C222/$D222)</f>
        <v/>
      </c>
    </row>
    <row r="223">
      <c r="A223" s="16">
        <f>IF(Deals!$A220="","",Deals!$A220)</f>
        <v/>
      </c>
      <c r="B223" s="18">
        <f>IF($A223="","",Deals!$R220)</f>
        <v/>
      </c>
      <c r="C223" s="63">
        <f>IF($A223="","",SUMIFS(Actuals!$D$7:$D$206,Actuals!$E$7:$E$206,$A223,Actuals!$K$7:$K$206,"OK"))</f>
        <v/>
      </c>
      <c r="D223" s="63">
        <f>IF($A223="","",SUMIFS(Actuals!$I$7:$I$206,Actuals!$E$7:$E$206,$A223,Actuals!$K$7:$K$206,"OK"))</f>
        <v/>
      </c>
      <c r="E223" s="64">
        <f>IF($A223="","",$C223-$D223)</f>
        <v/>
      </c>
      <c r="F223" s="65">
        <f>IF(OR($A223="",$D223=0),"",$C223/$D223)</f>
        <v/>
      </c>
    </row>
    <row r="224">
      <c r="A224" s="16">
        <f>IF(Deals!$A221="","",Deals!$A221)</f>
        <v/>
      </c>
      <c r="B224" s="18">
        <f>IF($A224="","",Deals!$R221)</f>
        <v/>
      </c>
      <c r="C224" s="63">
        <f>IF($A224="","",SUMIFS(Actuals!$D$7:$D$206,Actuals!$E$7:$E$206,$A224,Actuals!$K$7:$K$206,"OK"))</f>
        <v/>
      </c>
      <c r="D224" s="63">
        <f>IF($A224="","",SUMIFS(Actuals!$I$7:$I$206,Actuals!$E$7:$E$206,$A224,Actuals!$K$7:$K$206,"OK"))</f>
        <v/>
      </c>
      <c r="E224" s="64">
        <f>IF($A224="","",$C224-$D224)</f>
        <v/>
      </c>
      <c r="F224" s="65">
        <f>IF(OR($A224="",$D224=0),"",$C224/$D224)</f>
        <v/>
      </c>
    </row>
    <row r="225">
      <c r="A225" s="16">
        <f>IF(Deals!$A222="","",Deals!$A222)</f>
        <v/>
      </c>
      <c r="B225" s="18">
        <f>IF($A225="","",Deals!$R222)</f>
        <v/>
      </c>
      <c r="C225" s="63">
        <f>IF($A225="","",SUMIFS(Actuals!$D$7:$D$206,Actuals!$E$7:$E$206,$A225,Actuals!$K$7:$K$206,"OK"))</f>
        <v/>
      </c>
      <c r="D225" s="63">
        <f>IF($A225="","",SUMIFS(Actuals!$I$7:$I$206,Actuals!$E$7:$E$206,$A225,Actuals!$K$7:$K$206,"OK"))</f>
        <v/>
      </c>
      <c r="E225" s="64">
        <f>IF($A225="","",$C225-$D225)</f>
        <v/>
      </c>
      <c r="F225" s="65">
        <f>IF(OR($A225="",$D225=0),"",$C225/$D225)</f>
        <v/>
      </c>
    </row>
    <row r="226">
      <c r="A226" s="16">
        <f>IF(Deals!$A223="","",Deals!$A223)</f>
        <v/>
      </c>
      <c r="B226" s="18">
        <f>IF($A226="","",Deals!$R223)</f>
        <v/>
      </c>
      <c r="C226" s="63">
        <f>IF($A226="","",SUMIFS(Actuals!$D$7:$D$206,Actuals!$E$7:$E$206,$A226,Actuals!$K$7:$K$206,"OK"))</f>
        <v/>
      </c>
      <c r="D226" s="63">
        <f>IF($A226="","",SUMIFS(Actuals!$I$7:$I$206,Actuals!$E$7:$E$206,$A226,Actuals!$K$7:$K$206,"OK"))</f>
        <v/>
      </c>
      <c r="E226" s="64">
        <f>IF($A226="","",$C226-$D226)</f>
        <v/>
      </c>
      <c r="F226" s="65">
        <f>IF(OR($A226="",$D226=0),"",$C226/$D226)</f>
        <v/>
      </c>
    </row>
    <row r="227">
      <c r="A227" s="16">
        <f>IF(Deals!$A224="","",Deals!$A224)</f>
        <v/>
      </c>
      <c r="B227" s="18">
        <f>IF($A227="","",Deals!$R224)</f>
        <v/>
      </c>
      <c r="C227" s="63">
        <f>IF($A227="","",SUMIFS(Actuals!$D$7:$D$206,Actuals!$E$7:$E$206,$A227,Actuals!$K$7:$K$206,"OK"))</f>
        <v/>
      </c>
      <c r="D227" s="63">
        <f>IF($A227="","",SUMIFS(Actuals!$I$7:$I$206,Actuals!$E$7:$E$206,$A227,Actuals!$K$7:$K$206,"OK"))</f>
        <v/>
      </c>
      <c r="E227" s="64">
        <f>IF($A227="","",$C227-$D227)</f>
        <v/>
      </c>
      <c r="F227" s="65">
        <f>IF(OR($A227="",$D227=0),"",$C227/$D227)</f>
        <v/>
      </c>
    </row>
    <row r="228">
      <c r="A228" s="16">
        <f>IF(Deals!$A225="","",Deals!$A225)</f>
        <v/>
      </c>
      <c r="B228" s="18">
        <f>IF($A228="","",Deals!$R225)</f>
        <v/>
      </c>
      <c r="C228" s="63">
        <f>IF($A228="","",SUMIFS(Actuals!$D$7:$D$206,Actuals!$E$7:$E$206,$A228,Actuals!$K$7:$K$206,"OK"))</f>
        <v/>
      </c>
      <c r="D228" s="63">
        <f>IF($A228="","",SUMIFS(Actuals!$I$7:$I$206,Actuals!$E$7:$E$206,$A228,Actuals!$K$7:$K$206,"OK"))</f>
        <v/>
      </c>
      <c r="E228" s="64">
        <f>IF($A228="","",$C228-$D228)</f>
        <v/>
      </c>
      <c r="F228" s="65">
        <f>IF(OR($A228="",$D228=0),"",$C228/$D228)</f>
        <v/>
      </c>
    </row>
    <row r="229">
      <c r="A229" s="16">
        <f>IF(Deals!$A226="","",Deals!$A226)</f>
        <v/>
      </c>
      <c r="B229" s="18">
        <f>IF($A229="","",Deals!$R226)</f>
        <v/>
      </c>
      <c r="C229" s="63">
        <f>IF($A229="","",SUMIFS(Actuals!$D$7:$D$206,Actuals!$E$7:$E$206,$A229,Actuals!$K$7:$K$206,"OK"))</f>
        <v/>
      </c>
      <c r="D229" s="63">
        <f>IF($A229="","",SUMIFS(Actuals!$I$7:$I$206,Actuals!$E$7:$E$206,$A229,Actuals!$K$7:$K$206,"OK"))</f>
        <v/>
      </c>
      <c r="E229" s="64">
        <f>IF($A229="","",$C229-$D229)</f>
        <v/>
      </c>
      <c r="F229" s="65">
        <f>IF(OR($A229="",$D229=0),"",$C229/$D229)</f>
        <v/>
      </c>
    </row>
    <row r="230">
      <c r="A230" s="16">
        <f>IF(Deals!$A227="","",Deals!$A227)</f>
        <v/>
      </c>
      <c r="B230" s="18">
        <f>IF($A230="","",Deals!$R227)</f>
        <v/>
      </c>
      <c r="C230" s="63">
        <f>IF($A230="","",SUMIFS(Actuals!$D$7:$D$206,Actuals!$E$7:$E$206,$A230,Actuals!$K$7:$K$206,"OK"))</f>
        <v/>
      </c>
      <c r="D230" s="63">
        <f>IF($A230="","",SUMIFS(Actuals!$I$7:$I$206,Actuals!$E$7:$E$206,$A230,Actuals!$K$7:$K$206,"OK"))</f>
        <v/>
      </c>
      <c r="E230" s="64">
        <f>IF($A230="","",$C230-$D230)</f>
        <v/>
      </c>
      <c r="F230" s="65">
        <f>IF(OR($A230="",$D230=0),"",$C230/$D230)</f>
        <v/>
      </c>
    </row>
    <row r="231">
      <c r="A231" s="16">
        <f>IF(Deals!$A228="","",Deals!$A228)</f>
        <v/>
      </c>
      <c r="B231" s="18">
        <f>IF($A231="","",Deals!$R228)</f>
        <v/>
      </c>
      <c r="C231" s="63">
        <f>IF($A231="","",SUMIFS(Actuals!$D$7:$D$206,Actuals!$E$7:$E$206,$A231,Actuals!$K$7:$K$206,"OK"))</f>
        <v/>
      </c>
      <c r="D231" s="63">
        <f>IF($A231="","",SUMIFS(Actuals!$I$7:$I$206,Actuals!$E$7:$E$206,$A231,Actuals!$K$7:$K$206,"OK"))</f>
        <v/>
      </c>
      <c r="E231" s="64">
        <f>IF($A231="","",$C231-$D231)</f>
        <v/>
      </c>
      <c r="F231" s="65">
        <f>IF(OR($A231="",$D231=0),"",$C231/$D231)</f>
        <v/>
      </c>
    </row>
    <row r="232">
      <c r="A232" s="16">
        <f>IF(Deals!$A229="","",Deals!$A229)</f>
        <v/>
      </c>
      <c r="B232" s="18">
        <f>IF($A232="","",Deals!$R229)</f>
        <v/>
      </c>
      <c r="C232" s="63">
        <f>IF($A232="","",SUMIFS(Actuals!$D$7:$D$206,Actuals!$E$7:$E$206,$A232,Actuals!$K$7:$K$206,"OK"))</f>
        <v/>
      </c>
      <c r="D232" s="63">
        <f>IF($A232="","",SUMIFS(Actuals!$I$7:$I$206,Actuals!$E$7:$E$206,$A232,Actuals!$K$7:$K$206,"OK"))</f>
        <v/>
      </c>
      <c r="E232" s="64">
        <f>IF($A232="","",$C232-$D232)</f>
        <v/>
      </c>
      <c r="F232" s="65">
        <f>IF(OR($A232="",$D232=0),"",$C232/$D232)</f>
        <v/>
      </c>
    </row>
    <row r="233">
      <c r="A233" s="16">
        <f>IF(Deals!$A230="","",Deals!$A230)</f>
        <v/>
      </c>
      <c r="B233" s="18">
        <f>IF($A233="","",Deals!$R230)</f>
        <v/>
      </c>
      <c r="C233" s="63">
        <f>IF($A233="","",SUMIFS(Actuals!$D$7:$D$206,Actuals!$E$7:$E$206,$A233,Actuals!$K$7:$K$206,"OK"))</f>
        <v/>
      </c>
      <c r="D233" s="63">
        <f>IF($A233="","",SUMIFS(Actuals!$I$7:$I$206,Actuals!$E$7:$E$206,$A233,Actuals!$K$7:$K$206,"OK"))</f>
        <v/>
      </c>
      <c r="E233" s="64">
        <f>IF($A233="","",$C233-$D233)</f>
        <v/>
      </c>
      <c r="F233" s="65">
        <f>IF(OR($A233="",$D233=0),"",$C233/$D233)</f>
        <v/>
      </c>
    </row>
    <row r="234">
      <c r="A234" s="16">
        <f>IF(Deals!$A231="","",Deals!$A231)</f>
        <v/>
      </c>
      <c r="B234" s="18">
        <f>IF($A234="","",Deals!$R231)</f>
        <v/>
      </c>
      <c r="C234" s="63">
        <f>IF($A234="","",SUMIFS(Actuals!$D$7:$D$206,Actuals!$E$7:$E$206,$A234,Actuals!$K$7:$K$206,"OK"))</f>
        <v/>
      </c>
      <c r="D234" s="63">
        <f>IF($A234="","",SUMIFS(Actuals!$I$7:$I$206,Actuals!$E$7:$E$206,$A234,Actuals!$K$7:$K$206,"OK"))</f>
        <v/>
      </c>
      <c r="E234" s="64">
        <f>IF($A234="","",$C234-$D234)</f>
        <v/>
      </c>
      <c r="F234" s="65">
        <f>IF(OR($A234="",$D234=0),"",$C234/$D234)</f>
        <v/>
      </c>
    </row>
    <row r="235">
      <c r="A235" s="16">
        <f>IF(Deals!$A232="","",Deals!$A232)</f>
        <v/>
      </c>
      <c r="B235" s="18">
        <f>IF($A235="","",Deals!$R232)</f>
        <v/>
      </c>
      <c r="C235" s="63">
        <f>IF($A235="","",SUMIFS(Actuals!$D$7:$D$206,Actuals!$E$7:$E$206,$A235,Actuals!$K$7:$K$206,"OK"))</f>
        <v/>
      </c>
      <c r="D235" s="63">
        <f>IF($A235="","",SUMIFS(Actuals!$I$7:$I$206,Actuals!$E$7:$E$206,$A235,Actuals!$K$7:$K$206,"OK"))</f>
        <v/>
      </c>
      <c r="E235" s="64">
        <f>IF($A235="","",$C235-$D235)</f>
        <v/>
      </c>
      <c r="F235" s="65">
        <f>IF(OR($A235="",$D235=0),"",$C235/$D235)</f>
        <v/>
      </c>
    </row>
    <row r="236">
      <c r="A236" s="16">
        <f>IF(Deals!$A233="","",Deals!$A233)</f>
        <v/>
      </c>
      <c r="B236" s="18">
        <f>IF($A236="","",Deals!$R233)</f>
        <v/>
      </c>
      <c r="C236" s="63">
        <f>IF($A236="","",SUMIFS(Actuals!$D$7:$D$206,Actuals!$E$7:$E$206,$A236,Actuals!$K$7:$K$206,"OK"))</f>
        <v/>
      </c>
      <c r="D236" s="63">
        <f>IF($A236="","",SUMIFS(Actuals!$I$7:$I$206,Actuals!$E$7:$E$206,$A236,Actuals!$K$7:$K$206,"OK"))</f>
        <v/>
      </c>
      <c r="E236" s="64">
        <f>IF($A236="","",$C236-$D236)</f>
        <v/>
      </c>
      <c r="F236" s="65">
        <f>IF(OR($A236="",$D236=0),"",$C236/$D236)</f>
        <v/>
      </c>
    </row>
    <row r="237">
      <c r="A237" s="16">
        <f>IF(Deals!$A234="","",Deals!$A234)</f>
        <v/>
      </c>
      <c r="B237" s="18">
        <f>IF($A237="","",Deals!$R234)</f>
        <v/>
      </c>
      <c r="C237" s="63">
        <f>IF($A237="","",SUMIFS(Actuals!$D$7:$D$206,Actuals!$E$7:$E$206,$A237,Actuals!$K$7:$K$206,"OK"))</f>
        <v/>
      </c>
      <c r="D237" s="63">
        <f>IF($A237="","",SUMIFS(Actuals!$I$7:$I$206,Actuals!$E$7:$E$206,$A237,Actuals!$K$7:$K$206,"OK"))</f>
        <v/>
      </c>
      <c r="E237" s="64">
        <f>IF($A237="","",$C237-$D237)</f>
        <v/>
      </c>
      <c r="F237" s="65">
        <f>IF(OR($A237="",$D237=0),"",$C237/$D237)</f>
        <v/>
      </c>
    </row>
    <row r="238">
      <c r="A238" s="16">
        <f>IF(Deals!$A235="","",Deals!$A235)</f>
        <v/>
      </c>
      <c r="B238" s="18">
        <f>IF($A238="","",Deals!$R235)</f>
        <v/>
      </c>
      <c r="C238" s="63">
        <f>IF($A238="","",SUMIFS(Actuals!$D$7:$D$206,Actuals!$E$7:$E$206,$A238,Actuals!$K$7:$K$206,"OK"))</f>
        <v/>
      </c>
      <c r="D238" s="63">
        <f>IF($A238="","",SUMIFS(Actuals!$I$7:$I$206,Actuals!$E$7:$E$206,$A238,Actuals!$K$7:$K$206,"OK"))</f>
        <v/>
      </c>
      <c r="E238" s="64">
        <f>IF($A238="","",$C238-$D238)</f>
        <v/>
      </c>
      <c r="F238" s="65">
        <f>IF(OR($A238="",$D238=0),"",$C238/$D238)</f>
        <v/>
      </c>
    </row>
    <row r="239">
      <c r="A239" s="16">
        <f>IF(Deals!$A236="","",Deals!$A236)</f>
        <v/>
      </c>
      <c r="B239" s="18">
        <f>IF($A239="","",Deals!$R236)</f>
        <v/>
      </c>
      <c r="C239" s="63">
        <f>IF($A239="","",SUMIFS(Actuals!$D$7:$D$206,Actuals!$E$7:$E$206,$A239,Actuals!$K$7:$K$206,"OK"))</f>
        <v/>
      </c>
      <c r="D239" s="63">
        <f>IF($A239="","",SUMIFS(Actuals!$I$7:$I$206,Actuals!$E$7:$E$206,$A239,Actuals!$K$7:$K$206,"OK"))</f>
        <v/>
      </c>
      <c r="E239" s="64">
        <f>IF($A239="","",$C239-$D239)</f>
        <v/>
      </c>
      <c r="F239" s="65">
        <f>IF(OR($A239="",$D239=0),"",$C239/$D239)</f>
        <v/>
      </c>
    </row>
    <row r="240">
      <c r="A240" s="16">
        <f>IF(Deals!$A237="","",Deals!$A237)</f>
        <v/>
      </c>
      <c r="B240" s="18">
        <f>IF($A240="","",Deals!$R237)</f>
        <v/>
      </c>
      <c r="C240" s="63">
        <f>IF($A240="","",SUMIFS(Actuals!$D$7:$D$206,Actuals!$E$7:$E$206,$A240,Actuals!$K$7:$K$206,"OK"))</f>
        <v/>
      </c>
      <c r="D240" s="63">
        <f>IF($A240="","",SUMIFS(Actuals!$I$7:$I$206,Actuals!$E$7:$E$206,$A240,Actuals!$K$7:$K$206,"OK"))</f>
        <v/>
      </c>
      <c r="E240" s="64">
        <f>IF($A240="","",$C240-$D240)</f>
        <v/>
      </c>
      <c r="F240" s="65">
        <f>IF(OR($A240="",$D240=0),"",$C240/$D240)</f>
        <v/>
      </c>
    </row>
    <row r="241">
      <c r="A241" s="16">
        <f>IF(Deals!$A238="","",Deals!$A238)</f>
        <v/>
      </c>
      <c r="B241" s="18">
        <f>IF($A241="","",Deals!$R238)</f>
        <v/>
      </c>
      <c r="C241" s="63">
        <f>IF($A241="","",SUMIFS(Actuals!$D$7:$D$206,Actuals!$E$7:$E$206,$A241,Actuals!$K$7:$K$206,"OK"))</f>
        <v/>
      </c>
      <c r="D241" s="63">
        <f>IF($A241="","",SUMIFS(Actuals!$I$7:$I$206,Actuals!$E$7:$E$206,$A241,Actuals!$K$7:$K$206,"OK"))</f>
        <v/>
      </c>
      <c r="E241" s="64">
        <f>IF($A241="","",$C241-$D241)</f>
        <v/>
      </c>
      <c r="F241" s="65">
        <f>IF(OR($A241="",$D241=0),"",$C241/$D241)</f>
        <v/>
      </c>
    </row>
    <row r="242">
      <c r="A242" s="16">
        <f>IF(Deals!$A239="","",Deals!$A239)</f>
        <v/>
      </c>
      <c r="B242" s="18">
        <f>IF($A242="","",Deals!$R239)</f>
        <v/>
      </c>
      <c r="C242" s="63">
        <f>IF($A242="","",SUMIFS(Actuals!$D$7:$D$206,Actuals!$E$7:$E$206,$A242,Actuals!$K$7:$K$206,"OK"))</f>
        <v/>
      </c>
      <c r="D242" s="63">
        <f>IF($A242="","",SUMIFS(Actuals!$I$7:$I$206,Actuals!$E$7:$E$206,$A242,Actuals!$K$7:$K$206,"OK"))</f>
        <v/>
      </c>
      <c r="E242" s="64">
        <f>IF($A242="","",$C242-$D242)</f>
        <v/>
      </c>
      <c r="F242" s="65">
        <f>IF(OR($A242="",$D242=0),"",$C242/$D242)</f>
        <v/>
      </c>
    </row>
    <row r="243">
      <c r="A243" s="16">
        <f>IF(Deals!$A240="","",Deals!$A240)</f>
        <v/>
      </c>
      <c r="B243" s="18">
        <f>IF($A243="","",Deals!$R240)</f>
        <v/>
      </c>
      <c r="C243" s="63">
        <f>IF($A243="","",SUMIFS(Actuals!$D$7:$D$206,Actuals!$E$7:$E$206,$A243,Actuals!$K$7:$K$206,"OK"))</f>
        <v/>
      </c>
      <c r="D243" s="63">
        <f>IF($A243="","",SUMIFS(Actuals!$I$7:$I$206,Actuals!$E$7:$E$206,$A243,Actuals!$K$7:$K$206,"OK"))</f>
        <v/>
      </c>
      <c r="E243" s="64">
        <f>IF($A243="","",$C243-$D243)</f>
        <v/>
      </c>
      <c r="F243" s="65">
        <f>IF(OR($A243="",$D243=0),"",$C243/$D243)</f>
        <v/>
      </c>
    </row>
    <row r="244">
      <c r="A244" s="16">
        <f>IF(Deals!$A241="","",Deals!$A241)</f>
        <v/>
      </c>
      <c r="B244" s="18">
        <f>IF($A244="","",Deals!$R241)</f>
        <v/>
      </c>
      <c r="C244" s="63">
        <f>IF($A244="","",SUMIFS(Actuals!$D$7:$D$206,Actuals!$E$7:$E$206,$A244,Actuals!$K$7:$K$206,"OK"))</f>
        <v/>
      </c>
      <c r="D244" s="63">
        <f>IF($A244="","",SUMIFS(Actuals!$I$7:$I$206,Actuals!$E$7:$E$206,$A244,Actuals!$K$7:$K$206,"OK"))</f>
        <v/>
      </c>
      <c r="E244" s="64">
        <f>IF($A244="","",$C244-$D244)</f>
        <v/>
      </c>
      <c r="F244" s="65">
        <f>IF(OR($A244="",$D244=0),"",$C244/$D244)</f>
        <v/>
      </c>
    </row>
    <row r="245">
      <c r="A245" s="16">
        <f>IF(Deals!$A242="","",Deals!$A242)</f>
        <v/>
      </c>
      <c r="B245" s="18">
        <f>IF($A245="","",Deals!$R242)</f>
        <v/>
      </c>
      <c r="C245" s="63">
        <f>IF($A245="","",SUMIFS(Actuals!$D$7:$D$206,Actuals!$E$7:$E$206,$A245,Actuals!$K$7:$K$206,"OK"))</f>
        <v/>
      </c>
      <c r="D245" s="63">
        <f>IF($A245="","",SUMIFS(Actuals!$I$7:$I$206,Actuals!$E$7:$E$206,$A245,Actuals!$K$7:$K$206,"OK"))</f>
        <v/>
      </c>
      <c r="E245" s="64">
        <f>IF($A245="","",$C245-$D245)</f>
        <v/>
      </c>
      <c r="F245" s="65">
        <f>IF(OR($A245="",$D245=0),"",$C245/$D245)</f>
        <v/>
      </c>
    </row>
    <row r="246">
      <c r="A246" s="16">
        <f>IF(Deals!$A243="","",Deals!$A243)</f>
        <v/>
      </c>
      <c r="B246" s="18">
        <f>IF($A246="","",Deals!$R243)</f>
        <v/>
      </c>
      <c r="C246" s="63">
        <f>IF($A246="","",SUMIFS(Actuals!$D$7:$D$206,Actuals!$E$7:$E$206,$A246,Actuals!$K$7:$K$206,"OK"))</f>
        <v/>
      </c>
      <c r="D246" s="63">
        <f>IF($A246="","",SUMIFS(Actuals!$I$7:$I$206,Actuals!$E$7:$E$206,$A246,Actuals!$K$7:$K$206,"OK"))</f>
        <v/>
      </c>
      <c r="E246" s="64">
        <f>IF($A246="","",$C246-$D246)</f>
        <v/>
      </c>
      <c r="F246" s="65">
        <f>IF(OR($A246="",$D246=0),"",$C246/$D246)</f>
        <v/>
      </c>
    </row>
    <row r="247">
      <c r="A247" s="16">
        <f>IF(Deals!$A244="","",Deals!$A244)</f>
        <v/>
      </c>
      <c r="B247" s="18">
        <f>IF($A247="","",Deals!$R244)</f>
        <v/>
      </c>
      <c r="C247" s="63">
        <f>IF($A247="","",SUMIFS(Actuals!$D$7:$D$206,Actuals!$E$7:$E$206,$A247,Actuals!$K$7:$K$206,"OK"))</f>
        <v/>
      </c>
      <c r="D247" s="63">
        <f>IF($A247="","",SUMIFS(Actuals!$I$7:$I$206,Actuals!$E$7:$E$206,$A247,Actuals!$K$7:$K$206,"OK"))</f>
        <v/>
      </c>
      <c r="E247" s="64">
        <f>IF($A247="","",$C247-$D247)</f>
        <v/>
      </c>
      <c r="F247" s="65">
        <f>IF(OR($A247="",$D247=0),"",$C247/$D247)</f>
        <v/>
      </c>
    </row>
    <row r="248">
      <c r="A248" s="16">
        <f>IF(Deals!$A245="","",Deals!$A245)</f>
        <v/>
      </c>
      <c r="B248" s="18">
        <f>IF($A248="","",Deals!$R245)</f>
        <v/>
      </c>
      <c r="C248" s="63">
        <f>IF($A248="","",SUMIFS(Actuals!$D$7:$D$206,Actuals!$E$7:$E$206,$A248,Actuals!$K$7:$K$206,"OK"))</f>
        <v/>
      </c>
      <c r="D248" s="63">
        <f>IF($A248="","",SUMIFS(Actuals!$I$7:$I$206,Actuals!$E$7:$E$206,$A248,Actuals!$K$7:$K$206,"OK"))</f>
        <v/>
      </c>
      <c r="E248" s="64">
        <f>IF($A248="","",$C248-$D248)</f>
        <v/>
      </c>
      <c r="F248" s="65">
        <f>IF(OR($A248="",$D248=0),"",$C248/$D248)</f>
        <v/>
      </c>
    </row>
    <row r="249">
      <c r="A249" s="16">
        <f>IF(Deals!$A246="","",Deals!$A246)</f>
        <v/>
      </c>
      <c r="B249" s="18">
        <f>IF($A249="","",Deals!$R246)</f>
        <v/>
      </c>
      <c r="C249" s="63">
        <f>IF($A249="","",SUMIFS(Actuals!$D$7:$D$206,Actuals!$E$7:$E$206,$A249,Actuals!$K$7:$K$206,"OK"))</f>
        <v/>
      </c>
      <c r="D249" s="63">
        <f>IF($A249="","",SUMIFS(Actuals!$I$7:$I$206,Actuals!$E$7:$E$206,$A249,Actuals!$K$7:$K$206,"OK"))</f>
        <v/>
      </c>
      <c r="E249" s="64">
        <f>IF($A249="","",$C249-$D249)</f>
        <v/>
      </c>
      <c r="F249" s="65">
        <f>IF(OR($A249="",$D249=0),"",$C249/$D249)</f>
        <v/>
      </c>
    </row>
    <row r="250">
      <c r="A250" s="16">
        <f>IF(Deals!$A247="","",Deals!$A247)</f>
        <v/>
      </c>
      <c r="B250" s="18">
        <f>IF($A250="","",Deals!$R247)</f>
        <v/>
      </c>
      <c r="C250" s="63">
        <f>IF($A250="","",SUMIFS(Actuals!$D$7:$D$206,Actuals!$E$7:$E$206,$A250,Actuals!$K$7:$K$206,"OK"))</f>
        <v/>
      </c>
      <c r="D250" s="63">
        <f>IF($A250="","",SUMIFS(Actuals!$I$7:$I$206,Actuals!$E$7:$E$206,$A250,Actuals!$K$7:$K$206,"OK"))</f>
        <v/>
      </c>
      <c r="E250" s="64">
        <f>IF($A250="","",$C250-$D250)</f>
        <v/>
      </c>
      <c r="F250" s="65">
        <f>IF(OR($A250="",$D250=0),"",$C250/$D250)</f>
        <v/>
      </c>
    </row>
    <row r="251">
      <c r="A251" s="16">
        <f>IF(Deals!$A248="","",Deals!$A248)</f>
        <v/>
      </c>
      <c r="B251" s="18">
        <f>IF($A251="","",Deals!$R248)</f>
        <v/>
      </c>
      <c r="C251" s="63">
        <f>IF($A251="","",SUMIFS(Actuals!$D$7:$D$206,Actuals!$E$7:$E$206,$A251,Actuals!$K$7:$K$206,"OK"))</f>
        <v/>
      </c>
      <c r="D251" s="63">
        <f>IF($A251="","",SUMIFS(Actuals!$I$7:$I$206,Actuals!$E$7:$E$206,$A251,Actuals!$K$7:$K$206,"OK"))</f>
        <v/>
      </c>
      <c r="E251" s="64">
        <f>IF($A251="","",$C251-$D251)</f>
        <v/>
      </c>
      <c r="F251" s="65">
        <f>IF(OR($A251="",$D251=0),"",$C251/$D251)</f>
        <v/>
      </c>
    </row>
    <row r="252">
      <c r="A252" s="16">
        <f>IF(Deals!$A249="","",Deals!$A249)</f>
        <v/>
      </c>
      <c r="B252" s="18">
        <f>IF($A252="","",Deals!$R249)</f>
        <v/>
      </c>
      <c r="C252" s="63">
        <f>IF($A252="","",SUMIFS(Actuals!$D$7:$D$206,Actuals!$E$7:$E$206,$A252,Actuals!$K$7:$K$206,"OK"))</f>
        <v/>
      </c>
      <c r="D252" s="63">
        <f>IF($A252="","",SUMIFS(Actuals!$I$7:$I$206,Actuals!$E$7:$E$206,$A252,Actuals!$K$7:$K$206,"OK"))</f>
        <v/>
      </c>
      <c r="E252" s="64">
        <f>IF($A252="","",$C252-$D252)</f>
        <v/>
      </c>
      <c r="F252" s="65">
        <f>IF(OR($A252="",$D252=0),"",$C252/$D252)</f>
        <v/>
      </c>
    </row>
    <row r="253">
      <c r="A253" s="16">
        <f>IF(Deals!$A250="","",Deals!$A250)</f>
        <v/>
      </c>
      <c r="B253" s="18">
        <f>IF($A253="","",Deals!$R250)</f>
        <v/>
      </c>
      <c r="C253" s="63">
        <f>IF($A253="","",SUMIFS(Actuals!$D$7:$D$206,Actuals!$E$7:$E$206,$A253,Actuals!$K$7:$K$206,"OK"))</f>
        <v/>
      </c>
      <c r="D253" s="63">
        <f>IF($A253="","",SUMIFS(Actuals!$I$7:$I$206,Actuals!$E$7:$E$206,$A253,Actuals!$K$7:$K$206,"OK"))</f>
        <v/>
      </c>
      <c r="E253" s="64">
        <f>IF($A253="","",$C253-$D253)</f>
        <v/>
      </c>
      <c r="F253" s="65">
        <f>IF(OR($A253="",$D253=0),"",$C253/$D253)</f>
        <v/>
      </c>
    </row>
    <row r="254">
      <c r="A254" s="16">
        <f>IF(Deals!$A251="","",Deals!$A251)</f>
        <v/>
      </c>
      <c r="B254" s="18">
        <f>IF($A254="","",Deals!$R251)</f>
        <v/>
      </c>
      <c r="C254" s="63">
        <f>IF($A254="","",SUMIFS(Actuals!$D$7:$D$206,Actuals!$E$7:$E$206,$A254,Actuals!$K$7:$K$206,"OK"))</f>
        <v/>
      </c>
      <c r="D254" s="63">
        <f>IF($A254="","",SUMIFS(Actuals!$I$7:$I$206,Actuals!$E$7:$E$206,$A254,Actuals!$K$7:$K$206,"OK"))</f>
        <v/>
      </c>
      <c r="E254" s="64">
        <f>IF($A254="","",$C254-$D254)</f>
        <v/>
      </c>
      <c r="F254" s="65">
        <f>IF(OR($A254="",$D254=0),"",$C254/$D254)</f>
        <v/>
      </c>
    </row>
    <row r="255">
      <c r="A255" s="16">
        <f>IF(Deals!$A252="","",Deals!$A252)</f>
        <v/>
      </c>
      <c r="B255" s="18">
        <f>IF($A255="","",Deals!$R252)</f>
        <v/>
      </c>
      <c r="C255" s="63">
        <f>IF($A255="","",SUMIFS(Actuals!$D$7:$D$206,Actuals!$E$7:$E$206,$A255,Actuals!$K$7:$K$206,"OK"))</f>
        <v/>
      </c>
      <c r="D255" s="63">
        <f>IF($A255="","",SUMIFS(Actuals!$I$7:$I$206,Actuals!$E$7:$E$206,$A255,Actuals!$K$7:$K$206,"OK"))</f>
        <v/>
      </c>
      <c r="E255" s="64">
        <f>IF($A255="","",$C255-$D255)</f>
        <v/>
      </c>
      <c r="F255" s="65">
        <f>IF(OR($A255="",$D255=0),"",$C255/$D255)</f>
        <v/>
      </c>
    </row>
    <row r="256">
      <c r="A256" s="16">
        <f>IF(Deals!$A253="","",Deals!$A253)</f>
        <v/>
      </c>
      <c r="B256" s="18">
        <f>IF($A256="","",Deals!$R253)</f>
        <v/>
      </c>
      <c r="C256" s="63">
        <f>IF($A256="","",SUMIFS(Actuals!$D$7:$D$206,Actuals!$E$7:$E$206,$A256,Actuals!$K$7:$K$206,"OK"))</f>
        <v/>
      </c>
      <c r="D256" s="63">
        <f>IF($A256="","",SUMIFS(Actuals!$I$7:$I$206,Actuals!$E$7:$E$206,$A256,Actuals!$K$7:$K$206,"OK"))</f>
        <v/>
      </c>
      <c r="E256" s="64">
        <f>IF($A256="","",$C256-$D256)</f>
        <v/>
      </c>
      <c r="F256" s="65">
        <f>IF(OR($A256="",$D256=0),"",$C256/$D256)</f>
        <v/>
      </c>
    </row>
    <row r="257">
      <c r="A257" s="16">
        <f>IF(Deals!$A254="","",Deals!$A254)</f>
        <v/>
      </c>
      <c r="B257" s="18">
        <f>IF($A257="","",Deals!$R254)</f>
        <v/>
      </c>
      <c r="C257" s="63">
        <f>IF($A257="","",SUMIFS(Actuals!$D$7:$D$206,Actuals!$E$7:$E$206,$A257,Actuals!$K$7:$K$206,"OK"))</f>
        <v/>
      </c>
      <c r="D257" s="63">
        <f>IF($A257="","",SUMIFS(Actuals!$I$7:$I$206,Actuals!$E$7:$E$206,$A257,Actuals!$K$7:$K$206,"OK"))</f>
        <v/>
      </c>
      <c r="E257" s="64">
        <f>IF($A257="","",$C257-$D257)</f>
        <v/>
      </c>
      <c r="F257" s="65">
        <f>IF(OR($A257="",$D257=0),"",$C257/$D257)</f>
        <v/>
      </c>
    </row>
    <row r="258">
      <c r="A258" s="16">
        <f>IF(Deals!$A255="","",Deals!$A255)</f>
        <v/>
      </c>
      <c r="B258" s="18">
        <f>IF($A258="","",Deals!$R255)</f>
        <v/>
      </c>
      <c r="C258" s="63">
        <f>IF($A258="","",SUMIFS(Actuals!$D$7:$D$206,Actuals!$E$7:$E$206,$A258,Actuals!$K$7:$K$206,"OK"))</f>
        <v/>
      </c>
      <c r="D258" s="63">
        <f>IF($A258="","",SUMIFS(Actuals!$I$7:$I$206,Actuals!$E$7:$E$206,$A258,Actuals!$K$7:$K$206,"OK"))</f>
        <v/>
      </c>
      <c r="E258" s="64">
        <f>IF($A258="","",$C258-$D258)</f>
        <v/>
      </c>
      <c r="F258" s="65">
        <f>IF(OR($A258="",$D258=0),"",$C258/$D258)</f>
        <v/>
      </c>
    </row>
    <row r="259">
      <c r="A259" s="16">
        <f>IF(Deals!$A256="","",Deals!$A256)</f>
        <v/>
      </c>
      <c r="B259" s="18">
        <f>IF($A259="","",Deals!$R256)</f>
        <v/>
      </c>
      <c r="C259" s="63">
        <f>IF($A259="","",SUMIFS(Actuals!$D$7:$D$206,Actuals!$E$7:$E$206,$A259,Actuals!$K$7:$K$206,"OK"))</f>
        <v/>
      </c>
      <c r="D259" s="63">
        <f>IF($A259="","",SUMIFS(Actuals!$I$7:$I$206,Actuals!$E$7:$E$206,$A259,Actuals!$K$7:$K$206,"OK"))</f>
        <v/>
      </c>
      <c r="E259" s="64">
        <f>IF($A259="","",$C259-$D259)</f>
        <v/>
      </c>
      <c r="F259" s="65">
        <f>IF(OR($A259="",$D259=0),"",$C259/$D259)</f>
        <v/>
      </c>
    </row>
    <row r="260">
      <c r="A260" s="16">
        <f>IF(Deals!$A257="","",Deals!$A257)</f>
        <v/>
      </c>
      <c r="B260" s="18">
        <f>IF($A260="","",Deals!$R257)</f>
        <v/>
      </c>
      <c r="C260" s="63">
        <f>IF($A260="","",SUMIFS(Actuals!$D$7:$D$206,Actuals!$E$7:$E$206,$A260,Actuals!$K$7:$K$206,"OK"))</f>
        <v/>
      </c>
      <c r="D260" s="63">
        <f>IF($A260="","",SUMIFS(Actuals!$I$7:$I$206,Actuals!$E$7:$E$206,$A260,Actuals!$K$7:$K$206,"OK"))</f>
        <v/>
      </c>
      <c r="E260" s="64">
        <f>IF($A260="","",$C260-$D260)</f>
        <v/>
      </c>
      <c r="F260" s="65">
        <f>IF(OR($A260="",$D260=0),"",$C260/$D260)</f>
        <v/>
      </c>
    </row>
    <row r="261">
      <c r="A261" s="16">
        <f>IF(Deals!$A258="","",Deals!$A258)</f>
        <v/>
      </c>
      <c r="B261" s="18">
        <f>IF($A261="","",Deals!$R258)</f>
        <v/>
      </c>
      <c r="C261" s="63">
        <f>IF($A261="","",SUMIFS(Actuals!$D$7:$D$206,Actuals!$E$7:$E$206,$A261,Actuals!$K$7:$K$206,"OK"))</f>
        <v/>
      </c>
      <c r="D261" s="63">
        <f>IF($A261="","",SUMIFS(Actuals!$I$7:$I$206,Actuals!$E$7:$E$206,$A261,Actuals!$K$7:$K$206,"OK"))</f>
        <v/>
      </c>
      <c r="E261" s="64">
        <f>IF($A261="","",$C261-$D261)</f>
        <v/>
      </c>
      <c r="F261" s="65">
        <f>IF(OR($A261="",$D261=0),"",$C261/$D261)</f>
        <v/>
      </c>
    </row>
    <row r="262">
      <c r="A262" s="16">
        <f>IF(Deals!$A259="","",Deals!$A259)</f>
        <v/>
      </c>
      <c r="B262" s="18">
        <f>IF($A262="","",Deals!$R259)</f>
        <v/>
      </c>
      <c r="C262" s="63">
        <f>IF($A262="","",SUMIFS(Actuals!$D$7:$D$206,Actuals!$E$7:$E$206,$A262,Actuals!$K$7:$K$206,"OK"))</f>
        <v/>
      </c>
      <c r="D262" s="63">
        <f>IF($A262="","",SUMIFS(Actuals!$I$7:$I$206,Actuals!$E$7:$E$206,$A262,Actuals!$K$7:$K$206,"OK"))</f>
        <v/>
      </c>
      <c r="E262" s="64">
        <f>IF($A262="","",$C262-$D262)</f>
        <v/>
      </c>
      <c r="F262" s="65">
        <f>IF(OR($A262="",$D262=0),"",$C262/$D262)</f>
        <v/>
      </c>
    </row>
    <row r="263">
      <c r="A263" s="16">
        <f>IF(Deals!$A260="","",Deals!$A260)</f>
        <v/>
      </c>
      <c r="B263" s="18">
        <f>IF($A263="","",Deals!$R260)</f>
        <v/>
      </c>
      <c r="C263" s="63">
        <f>IF($A263="","",SUMIFS(Actuals!$D$7:$D$206,Actuals!$E$7:$E$206,$A263,Actuals!$K$7:$K$206,"OK"))</f>
        <v/>
      </c>
      <c r="D263" s="63">
        <f>IF($A263="","",SUMIFS(Actuals!$I$7:$I$206,Actuals!$E$7:$E$206,$A263,Actuals!$K$7:$K$206,"OK"))</f>
        <v/>
      </c>
      <c r="E263" s="64">
        <f>IF($A263="","",$C263-$D263)</f>
        <v/>
      </c>
      <c r="F263" s="65">
        <f>IF(OR($A263="",$D263=0),"",$C263/$D263)</f>
        <v/>
      </c>
    </row>
    <row r="264">
      <c r="A264" s="16">
        <f>IF(Deals!$A261="","",Deals!$A261)</f>
        <v/>
      </c>
      <c r="B264" s="18">
        <f>IF($A264="","",Deals!$R261)</f>
        <v/>
      </c>
      <c r="C264" s="63">
        <f>IF($A264="","",SUMIFS(Actuals!$D$7:$D$206,Actuals!$E$7:$E$206,$A264,Actuals!$K$7:$K$206,"OK"))</f>
        <v/>
      </c>
      <c r="D264" s="63">
        <f>IF($A264="","",SUMIFS(Actuals!$I$7:$I$206,Actuals!$E$7:$E$206,$A264,Actuals!$K$7:$K$206,"OK"))</f>
        <v/>
      </c>
      <c r="E264" s="64">
        <f>IF($A264="","",$C264-$D264)</f>
        <v/>
      </c>
      <c r="F264" s="65">
        <f>IF(OR($A264="",$D264=0),"",$C264/$D264)</f>
        <v/>
      </c>
    </row>
    <row r="265">
      <c r="A265" s="16">
        <f>IF(Deals!$A262="","",Deals!$A262)</f>
        <v/>
      </c>
      <c r="B265" s="18">
        <f>IF($A265="","",Deals!$R262)</f>
        <v/>
      </c>
      <c r="C265" s="63">
        <f>IF($A265="","",SUMIFS(Actuals!$D$7:$D$206,Actuals!$E$7:$E$206,$A265,Actuals!$K$7:$K$206,"OK"))</f>
        <v/>
      </c>
      <c r="D265" s="63">
        <f>IF($A265="","",SUMIFS(Actuals!$I$7:$I$206,Actuals!$E$7:$E$206,$A265,Actuals!$K$7:$K$206,"OK"))</f>
        <v/>
      </c>
      <c r="E265" s="64">
        <f>IF($A265="","",$C265-$D265)</f>
        <v/>
      </c>
      <c r="F265" s="65">
        <f>IF(OR($A265="",$D265=0),"",$C265/$D265)</f>
        <v/>
      </c>
    </row>
    <row r="266">
      <c r="A266" s="16">
        <f>IF(Deals!$A263="","",Deals!$A263)</f>
        <v/>
      </c>
      <c r="B266" s="18">
        <f>IF($A266="","",Deals!$R263)</f>
        <v/>
      </c>
      <c r="C266" s="63">
        <f>IF($A266="","",SUMIFS(Actuals!$D$7:$D$206,Actuals!$E$7:$E$206,$A266,Actuals!$K$7:$K$206,"OK"))</f>
        <v/>
      </c>
      <c r="D266" s="63">
        <f>IF($A266="","",SUMIFS(Actuals!$I$7:$I$206,Actuals!$E$7:$E$206,$A266,Actuals!$K$7:$K$206,"OK"))</f>
        <v/>
      </c>
      <c r="E266" s="64">
        <f>IF($A266="","",$C266-$D266)</f>
        <v/>
      </c>
      <c r="F266" s="65">
        <f>IF(OR($A266="",$D266=0),"",$C266/$D266)</f>
        <v/>
      </c>
    </row>
    <row r="267">
      <c r="A267" s="16">
        <f>IF(Deals!$A264="","",Deals!$A264)</f>
        <v/>
      </c>
      <c r="B267" s="18">
        <f>IF($A267="","",Deals!$R264)</f>
        <v/>
      </c>
      <c r="C267" s="63">
        <f>IF($A267="","",SUMIFS(Actuals!$D$7:$D$206,Actuals!$E$7:$E$206,$A267,Actuals!$K$7:$K$206,"OK"))</f>
        <v/>
      </c>
      <c r="D267" s="63">
        <f>IF($A267="","",SUMIFS(Actuals!$I$7:$I$206,Actuals!$E$7:$E$206,$A267,Actuals!$K$7:$K$206,"OK"))</f>
        <v/>
      </c>
      <c r="E267" s="64">
        <f>IF($A267="","",$C267-$D267)</f>
        <v/>
      </c>
      <c r="F267" s="65">
        <f>IF(OR($A267="",$D267=0),"",$C267/$D267)</f>
        <v/>
      </c>
    </row>
    <row r="268">
      <c r="A268" s="16">
        <f>IF(Deals!$A265="","",Deals!$A265)</f>
        <v/>
      </c>
      <c r="B268" s="18">
        <f>IF($A268="","",Deals!$R265)</f>
        <v/>
      </c>
      <c r="C268" s="63">
        <f>IF($A268="","",SUMIFS(Actuals!$D$7:$D$206,Actuals!$E$7:$E$206,$A268,Actuals!$K$7:$K$206,"OK"))</f>
        <v/>
      </c>
      <c r="D268" s="63">
        <f>IF($A268="","",SUMIFS(Actuals!$I$7:$I$206,Actuals!$E$7:$E$206,$A268,Actuals!$K$7:$K$206,"OK"))</f>
        <v/>
      </c>
      <c r="E268" s="64">
        <f>IF($A268="","",$C268-$D268)</f>
        <v/>
      </c>
      <c r="F268" s="65">
        <f>IF(OR($A268="",$D268=0),"",$C268/$D268)</f>
        <v/>
      </c>
    </row>
    <row r="269">
      <c r="A269" s="16">
        <f>IF(Deals!$A266="","",Deals!$A266)</f>
        <v/>
      </c>
      <c r="B269" s="18">
        <f>IF($A269="","",Deals!$R266)</f>
        <v/>
      </c>
      <c r="C269" s="63">
        <f>IF($A269="","",SUMIFS(Actuals!$D$7:$D$206,Actuals!$E$7:$E$206,$A269,Actuals!$K$7:$K$206,"OK"))</f>
        <v/>
      </c>
      <c r="D269" s="63">
        <f>IF($A269="","",SUMIFS(Actuals!$I$7:$I$206,Actuals!$E$7:$E$206,$A269,Actuals!$K$7:$K$206,"OK"))</f>
        <v/>
      </c>
      <c r="E269" s="64">
        <f>IF($A269="","",$C269-$D269)</f>
        <v/>
      </c>
      <c r="F269" s="65">
        <f>IF(OR($A269="",$D269=0),"",$C269/$D269)</f>
        <v/>
      </c>
    </row>
    <row r="270">
      <c r="A270" s="16">
        <f>IF(Deals!$A267="","",Deals!$A267)</f>
        <v/>
      </c>
      <c r="B270" s="18">
        <f>IF($A270="","",Deals!$R267)</f>
        <v/>
      </c>
      <c r="C270" s="63">
        <f>IF($A270="","",SUMIFS(Actuals!$D$7:$D$206,Actuals!$E$7:$E$206,$A270,Actuals!$K$7:$K$206,"OK"))</f>
        <v/>
      </c>
      <c r="D270" s="63">
        <f>IF($A270="","",SUMIFS(Actuals!$I$7:$I$206,Actuals!$E$7:$E$206,$A270,Actuals!$K$7:$K$206,"OK"))</f>
        <v/>
      </c>
      <c r="E270" s="64">
        <f>IF($A270="","",$C270-$D270)</f>
        <v/>
      </c>
      <c r="F270" s="65">
        <f>IF(OR($A270="",$D270=0),"",$C270/$D270)</f>
        <v/>
      </c>
    </row>
    <row r="271">
      <c r="A271" s="16">
        <f>IF(Deals!$A268="","",Deals!$A268)</f>
        <v/>
      </c>
      <c r="B271" s="18">
        <f>IF($A271="","",Deals!$R268)</f>
        <v/>
      </c>
      <c r="C271" s="63">
        <f>IF($A271="","",SUMIFS(Actuals!$D$7:$D$206,Actuals!$E$7:$E$206,$A271,Actuals!$K$7:$K$206,"OK"))</f>
        <v/>
      </c>
      <c r="D271" s="63">
        <f>IF($A271="","",SUMIFS(Actuals!$I$7:$I$206,Actuals!$E$7:$E$206,$A271,Actuals!$K$7:$K$206,"OK"))</f>
        <v/>
      </c>
      <c r="E271" s="64">
        <f>IF($A271="","",$C271-$D271)</f>
        <v/>
      </c>
      <c r="F271" s="65">
        <f>IF(OR($A271="",$D271=0),"",$C271/$D271)</f>
        <v/>
      </c>
    </row>
    <row r="272">
      <c r="A272" s="16">
        <f>IF(Deals!$A269="","",Deals!$A269)</f>
        <v/>
      </c>
      <c r="B272" s="18">
        <f>IF($A272="","",Deals!$R269)</f>
        <v/>
      </c>
      <c r="C272" s="63">
        <f>IF($A272="","",SUMIFS(Actuals!$D$7:$D$206,Actuals!$E$7:$E$206,$A272,Actuals!$K$7:$K$206,"OK"))</f>
        <v/>
      </c>
      <c r="D272" s="63">
        <f>IF($A272="","",SUMIFS(Actuals!$I$7:$I$206,Actuals!$E$7:$E$206,$A272,Actuals!$K$7:$K$206,"OK"))</f>
        <v/>
      </c>
      <c r="E272" s="64">
        <f>IF($A272="","",$C272-$D272)</f>
        <v/>
      </c>
      <c r="F272" s="65">
        <f>IF(OR($A272="",$D272=0),"",$C272/$D272)</f>
        <v/>
      </c>
    </row>
    <row r="273">
      <c r="A273" s="16">
        <f>IF(Deals!$A270="","",Deals!$A270)</f>
        <v/>
      </c>
      <c r="B273" s="18">
        <f>IF($A273="","",Deals!$R270)</f>
        <v/>
      </c>
      <c r="C273" s="63">
        <f>IF($A273="","",SUMIFS(Actuals!$D$7:$D$206,Actuals!$E$7:$E$206,$A273,Actuals!$K$7:$K$206,"OK"))</f>
        <v/>
      </c>
      <c r="D273" s="63">
        <f>IF($A273="","",SUMIFS(Actuals!$I$7:$I$206,Actuals!$E$7:$E$206,$A273,Actuals!$K$7:$K$206,"OK"))</f>
        <v/>
      </c>
      <c r="E273" s="64">
        <f>IF($A273="","",$C273-$D273)</f>
        <v/>
      </c>
      <c r="F273" s="65">
        <f>IF(OR($A273="",$D273=0),"",$C273/$D273)</f>
        <v/>
      </c>
    </row>
    <row r="274">
      <c r="A274" s="16">
        <f>IF(Deals!$A271="","",Deals!$A271)</f>
        <v/>
      </c>
      <c r="B274" s="18">
        <f>IF($A274="","",Deals!$R271)</f>
        <v/>
      </c>
      <c r="C274" s="63">
        <f>IF($A274="","",SUMIFS(Actuals!$D$7:$D$206,Actuals!$E$7:$E$206,$A274,Actuals!$K$7:$K$206,"OK"))</f>
        <v/>
      </c>
      <c r="D274" s="63">
        <f>IF($A274="","",SUMIFS(Actuals!$I$7:$I$206,Actuals!$E$7:$E$206,$A274,Actuals!$K$7:$K$206,"OK"))</f>
        <v/>
      </c>
      <c r="E274" s="64">
        <f>IF($A274="","",$C274-$D274)</f>
        <v/>
      </c>
      <c r="F274" s="65">
        <f>IF(OR($A274="",$D274=0),"",$C274/$D274)</f>
        <v/>
      </c>
    </row>
    <row r="275">
      <c r="A275" s="16">
        <f>IF(Deals!$A272="","",Deals!$A272)</f>
        <v/>
      </c>
      <c r="B275" s="18">
        <f>IF($A275="","",Deals!$R272)</f>
        <v/>
      </c>
      <c r="C275" s="63">
        <f>IF($A275="","",SUMIFS(Actuals!$D$7:$D$206,Actuals!$E$7:$E$206,$A275,Actuals!$K$7:$K$206,"OK"))</f>
        <v/>
      </c>
      <c r="D275" s="63">
        <f>IF($A275="","",SUMIFS(Actuals!$I$7:$I$206,Actuals!$E$7:$E$206,$A275,Actuals!$K$7:$K$206,"OK"))</f>
        <v/>
      </c>
      <c r="E275" s="64">
        <f>IF($A275="","",$C275-$D275)</f>
        <v/>
      </c>
      <c r="F275" s="65">
        <f>IF(OR($A275="",$D275=0),"",$C275/$D275)</f>
        <v/>
      </c>
    </row>
    <row r="276">
      <c r="A276" s="16">
        <f>IF(Deals!$A273="","",Deals!$A273)</f>
        <v/>
      </c>
      <c r="B276" s="18">
        <f>IF($A276="","",Deals!$R273)</f>
        <v/>
      </c>
      <c r="C276" s="63">
        <f>IF($A276="","",SUMIFS(Actuals!$D$7:$D$206,Actuals!$E$7:$E$206,$A276,Actuals!$K$7:$K$206,"OK"))</f>
        <v/>
      </c>
      <c r="D276" s="63">
        <f>IF($A276="","",SUMIFS(Actuals!$I$7:$I$206,Actuals!$E$7:$E$206,$A276,Actuals!$K$7:$K$206,"OK"))</f>
        <v/>
      </c>
      <c r="E276" s="64">
        <f>IF($A276="","",$C276-$D276)</f>
        <v/>
      </c>
      <c r="F276" s="65">
        <f>IF(OR($A276="",$D276=0),"",$C276/$D276)</f>
        <v/>
      </c>
    </row>
    <row r="277">
      <c r="A277" s="16">
        <f>IF(Deals!$A274="","",Deals!$A274)</f>
        <v/>
      </c>
      <c r="B277" s="18">
        <f>IF($A277="","",Deals!$R274)</f>
        <v/>
      </c>
      <c r="C277" s="63">
        <f>IF($A277="","",SUMIFS(Actuals!$D$7:$D$206,Actuals!$E$7:$E$206,$A277,Actuals!$K$7:$K$206,"OK"))</f>
        <v/>
      </c>
      <c r="D277" s="63">
        <f>IF($A277="","",SUMIFS(Actuals!$I$7:$I$206,Actuals!$E$7:$E$206,$A277,Actuals!$K$7:$K$206,"OK"))</f>
        <v/>
      </c>
      <c r="E277" s="64">
        <f>IF($A277="","",$C277-$D277)</f>
        <v/>
      </c>
      <c r="F277" s="65">
        <f>IF(OR($A277="",$D277=0),"",$C277/$D277)</f>
        <v/>
      </c>
    </row>
    <row r="278">
      <c r="A278" s="16">
        <f>IF(Deals!$A275="","",Deals!$A275)</f>
        <v/>
      </c>
      <c r="B278" s="18">
        <f>IF($A278="","",Deals!$R275)</f>
        <v/>
      </c>
      <c r="C278" s="63">
        <f>IF($A278="","",SUMIFS(Actuals!$D$7:$D$206,Actuals!$E$7:$E$206,$A278,Actuals!$K$7:$K$206,"OK"))</f>
        <v/>
      </c>
      <c r="D278" s="63">
        <f>IF($A278="","",SUMIFS(Actuals!$I$7:$I$206,Actuals!$E$7:$E$206,$A278,Actuals!$K$7:$K$206,"OK"))</f>
        <v/>
      </c>
      <c r="E278" s="64">
        <f>IF($A278="","",$C278-$D278)</f>
        <v/>
      </c>
      <c r="F278" s="65">
        <f>IF(OR($A278="",$D278=0),"",$C278/$D278)</f>
        <v/>
      </c>
    </row>
    <row r="279">
      <c r="A279" s="16">
        <f>IF(Deals!$A276="","",Deals!$A276)</f>
        <v/>
      </c>
      <c r="B279" s="18">
        <f>IF($A279="","",Deals!$R276)</f>
        <v/>
      </c>
      <c r="C279" s="63">
        <f>IF($A279="","",SUMIFS(Actuals!$D$7:$D$206,Actuals!$E$7:$E$206,$A279,Actuals!$K$7:$K$206,"OK"))</f>
        <v/>
      </c>
      <c r="D279" s="63">
        <f>IF($A279="","",SUMIFS(Actuals!$I$7:$I$206,Actuals!$E$7:$E$206,$A279,Actuals!$K$7:$K$206,"OK"))</f>
        <v/>
      </c>
      <c r="E279" s="64">
        <f>IF($A279="","",$C279-$D279)</f>
        <v/>
      </c>
      <c r="F279" s="65">
        <f>IF(OR($A279="",$D279=0),"",$C279/$D279)</f>
        <v/>
      </c>
    </row>
    <row r="280">
      <c r="A280" s="16">
        <f>IF(Deals!$A277="","",Deals!$A277)</f>
        <v/>
      </c>
      <c r="B280" s="18">
        <f>IF($A280="","",Deals!$R277)</f>
        <v/>
      </c>
      <c r="C280" s="63">
        <f>IF($A280="","",SUMIFS(Actuals!$D$7:$D$206,Actuals!$E$7:$E$206,$A280,Actuals!$K$7:$K$206,"OK"))</f>
        <v/>
      </c>
      <c r="D280" s="63">
        <f>IF($A280="","",SUMIFS(Actuals!$I$7:$I$206,Actuals!$E$7:$E$206,$A280,Actuals!$K$7:$K$206,"OK"))</f>
        <v/>
      </c>
      <c r="E280" s="64">
        <f>IF($A280="","",$C280-$D280)</f>
        <v/>
      </c>
      <c r="F280" s="65">
        <f>IF(OR($A280="",$D280=0),"",$C280/$D280)</f>
        <v/>
      </c>
    </row>
    <row r="281">
      <c r="A281" s="16">
        <f>IF(Deals!$A278="","",Deals!$A278)</f>
        <v/>
      </c>
      <c r="B281" s="18">
        <f>IF($A281="","",Deals!$R278)</f>
        <v/>
      </c>
      <c r="C281" s="63">
        <f>IF($A281="","",SUMIFS(Actuals!$D$7:$D$206,Actuals!$E$7:$E$206,$A281,Actuals!$K$7:$K$206,"OK"))</f>
        <v/>
      </c>
      <c r="D281" s="63">
        <f>IF($A281="","",SUMIFS(Actuals!$I$7:$I$206,Actuals!$E$7:$E$206,$A281,Actuals!$K$7:$K$206,"OK"))</f>
        <v/>
      </c>
      <c r="E281" s="64">
        <f>IF($A281="","",$C281-$D281)</f>
        <v/>
      </c>
      <c r="F281" s="65">
        <f>IF(OR($A281="",$D281=0),"",$C281/$D281)</f>
        <v/>
      </c>
    </row>
    <row r="282">
      <c r="A282" s="16">
        <f>IF(Deals!$A279="","",Deals!$A279)</f>
        <v/>
      </c>
      <c r="B282" s="18">
        <f>IF($A282="","",Deals!$R279)</f>
        <v/>
      </c>
      <c r="C282" s="63">
        <f>IF($A282="","",SUMIFS(Actuals!$D$7:$D$206,Actuals!$E$7:$E$206,$A282,Actuals!$K$7:$K$206,"OK"))</f>
        <v/>
      </c>
      <c r="D282" s="63">
        <f>IF($A282="","",SUMIFS(Actuals!$I$7:$I$206,Actuals!$E$7:$E$206,$A282,Actuals!$K$7:$K$206,"OK"))</f>
        <v/>
      </c>
      <c r="E282" s="64">
        <f>IF($A282="","",$C282-$D282)</f>
        <v/>
      </c>
      <c r="F282" s="65">
        <f>IF(OR($A282="",$D282=0),"",$C282/$D282)</f>
        <v/>
      </c>
    </row>
    <row r="283">
      <c r="A283" s="16">
        <f>IF(Deals!$A280="","",Deals!$A280)</f>
        <v/>
      </c>
      <c r="B283" s="18">
        <f>IF($A283="","",Deals!$R280)</f>
        <v/>
      </c>
      <c r="C283" s="63">
        <f>IF($A283="","",SUMIFS(Actuals!$D$7:$D$206,Actuals!$E$7:$E$206,$A283,Actuals!$K$7:$K$206,"OK"))</f>
        <v/>
      </c>
      <c r="D283" s="63">
        <f>IF($A283="","",SUMIFS(Actuals!$I$7:$I$206,Actuals!$E$7:$E$206,$A283,Actuals!$K$7:$K$206,"OK"))</f>
        <v/>
      </c>
      <c r="E283" s="64">
        <f>IF($A283="","",$C283-$D283)</f>
        <v/>
      </c>
      <c r="F283" s="65">
        <f>IF(OR($A283="",$D283=0),"",$C283/$D283)</f>
        <v/>
      </c>
    </row>
    <row r="284">
      <c r="A284" s="16">
        <f>IF(Deals!$A281="","",Deals!$A281)</f>
        <v/>
      </c>
      <c r="B284" s="18">
        <f>IF($A284="","",Deals!$R281)</f>
        <v/>
      </c>
      <c r="C284" s="63">
        <f>IF($A284="","",SUMIFS(Actuals!$D$7:$D$206,Actuals!$E$7:$E$206,$A284,Actuals!$K$7:$K$206,"OK"))</f>
        <v/>
      </c>
      <c r="D284" s="63">
        <f>IF($A284="","",SUMIFS(Actuals!$I$7:$I$206,Actuals!$E$7:$E$206,$A284,Actuals!$K$7:$K$206,"OK"))</f>
        <v/>
      </c>
      <c r="E284" s="64">
        <f>IF($A284="","",$C284-$D284)</f>
        <v/>
      </c>
      <c r="F284" s="65">
        <f>IF(OR($A284="",$D284=0),"",$C284/$D284)</f>
        <v/>
      </c>
    </row>
    <row r="285">
      <c r="A285" s="16">
        <f>IF(Deals!$A282="","",Deals!$A282)</f>
        <v/>
      </c>
      <c r="B285" s="18">
        <f>IF($A285="","",Deals!$R282)</f>
        <v/>
      </c>
      <c r="C285" s="63">
        <f>IF($A285="","",SUMIFS(Actuals!$D$7:$D$206,Actuals!$E$7:$E$206,$A285,Actuals!$K$7:$K$206,"OK"))</f>
        <v/>
      </c>
      <c r="D285" s="63">
        <f>IF($A285="","",SUMIFS(Actuals!$I$7:$I$206,Actuals!$E$7:$E$206,$A285,Actuals!$K$7:$K$206,"OK"))</f>
        <v/>
      </c>
      <c r="E285" s="64">
        <f>IF($A285="","",$C285-$D285)</f>
        <v/>
      </c>
      <c r="F285" s="65">
        <f>IF(OR($A285="",$D285=0),"",$C285/$D285)</f>
        <v/>
      </c>
    </row>
    <row r="286">
      <c r="A286" s="16">
        <f>IF(Deals!$A283="","",Deals!$A283)</f>
        <v/>
      </c>
      <c r="B286" s="18">
        <f>IF($A286="","",Deals!$R283)</f>
        <v/>
      </c>
      <c r="C286" s="63">
        <f>IF($A286="","",SUMIFS(Actuals!$D$7:$D$206,Actuals!$E$7:$E$206,$A286,Actuals!$K$7:$K$206,"OK"))</f>
        <v/>
      </c>
      <c r="D286" s="63">
        <f>IF($A286="","",SUMIFS(Actuals!$I$7:$I$206,Actuals!$E$7:$E$206,$A286,Actuals!$K$7:$K$206,"OK"))</f>
        <v/>
      </c>
      <c r="E286" s="64">
        <f>IF($A286="","",$C286-$D286)</f>
        <v/>
      </c>
      <c r="F286" s="65">
        <f>IF(OR($A286="",$D286=0),"",$C286/$D286)</f>
        <v/>
      </c>
    </row>
    <row r="287">
      <c r="A287" s="16">
        <f>IF(Deals!$A284="","",Deals!$A284)</f>
        <v/>
      </c>
      <c r="B287" s="18">
        <f>IF($A287="","",Deals!$R284)</f>
        <v/>
      </c>
      <c r="C287" s="63">
        <f>IF($A287="","",SUMIFS(Actuals!$D$7:$D$206,Actuals!$E$7:$E$206,$A287,Actuals!$K$7:$K$206,"OK"))</f>
        <v/>
      </c>
      <c r="D287" s="63">
        <f>IF($A287="","",SUMIFS(Actuals!$I$7:$I$206,Actuals!$E$7:$E$206,$A287,Actuals!$K$7:$K$206,"OK"))</f>
        <v/>
      </c>
      <c r="E287" s="64">
        <f>IF($A287="","",$C287-$D287)</f>
        <v/>
      </c>
      <c r="F287" s="65">
        <f>IF(OR($A287="",$D287=0),"",$C287/$D287)</f>
        <v/>
      </c>
    </row>
    <row r="288">
      <c r="A288" s="16">
        <f>IF(Deals!$A285="","",Deals!$A285)</f>
        <v/>
      </c>
      <c r="B288" s="18">
        <f>IF($A288="","",Deals!$R285)</f>
        <v/>
      </c>
      <c r="C288" s="63">
        <f>IF($A288="","",SUMIFS(Actuals!$D$7:$D$206,Actuals!$E$7:$E$206,$A288,Actuals!$K$7:$K$206,"OK"))</f>
        <v/>
      </c>
      <c r="D288" s="63">
        <f>IF($A288="","",SUMIFS(Actuals!$I$7:$I$206,Actuals!$E$7:$E$206,$A288,Actuals!$K$7:$K$206,"OK"))</f>
        <v/>
      </c>
      <c r="E288" s="64">
        <f>IF($A288="","",$C288-$D288)</f>
        <v/>
      </c>
      <c r="F288" s="65">
        <f>IF(OR($A288="",$D288=0),"",$C288/$D288)</f>
        <v/>
      </c>
    </row>
    <row r="289">
      <c r="A289" s="16">
        <f>IF(Deals!$A286="","",Deals!$A286)</f>
        <v/>
      </c>
      <c r="B289" s="18">
        <f>IF($A289="","",Deals!$R286)</f>
        <v/>
      </c>
      <c r="C289" s="63">
        <f>IF($A289="","",SUMIFS(Actuals!$D$7:$D$206,Actuals!$E$7:$E$206,$A289,Actuals!$K$7:$K$206,"OK"))</f>
        <v/>
      </c>
      <c r="D289" s="63">
        <f>IF($A289="","",SUMIFS(Actuals!$I$7:$I$206,Actuals!$E$7:$E$206,$A289,Actuals!$K$7:$K$206,"OK"))</f>
        <v/>
      </c>
      <c r="E289" s="64">
        <f>IF($A289="","",$C289-$D289)</f>
        <v/>
      </c>
      <c r="F289" s="65">
        <f>IF(OR($A289="",$D289=0),"",$C289/$D289)</f>
        <v/>
      </c>
    </row>
    <row r="290">
      <c r="A290" s="16">
        <f>IF(Deals!$A287="","",Deals!$A287)</f>
        <v/>
      </c>
      <c r="B290" s="18">
        <f>IF($A290="","",Deals!$R287)</f>
        <v/>
      </c>
      <c r="C290" s="63">
        <f>IF($A290="","",SUMIFS(Actuals!$D$7:$D$206,Actuals!$E$7:$E$206,$A290,Actuals!$K$7:$K$206,"OK"))</f>
        <v/>
      </c>
      <c r="D290" s="63">
        <f>IF($A290="","",SUMIFS(Actuals!$I$7:$I$206,Actuals!$E$7:$E$206,$A290,Actuals!$K$7:$K$206,"OK"))</f>
        <v/>
      </c>
      <c r="E290" s="64">
        <f>IF($A290="","",$C290-$D290)</f>
        <v/>
      </c>
      <c r="F290" s="65">
        <f>IF(OR($A290="",$D290=0),"",$C290/$D290)</f>
        <v/>
      </c>
    </row>
    <row r="291">
      <c r="A291" s="16">
        <f>IF(Deals!$A288="","",Deals!$A288)</f>
        <v/>
      </c>
      <c r="B291" s="18">
        <f>IF($A291="","",Deals!$R288)</f>
        <v/>
      </c>
      <c r="C291" s="63">
        <f>IF($A291="","",SUMIFS(Actuals!$D$7:$D$206,Actuals!$E$7:$E$206,$A291,Actuals!$K$7:$K$206,"OK"))</f>
        <v/>
      </c>
      <c r="D291" s="63">
        <f>IF($A291="","",SUMIFS(Actuals!$I$7:$I$206,Actuals!$E$7:$E$206,$A291,Actuals!$K$7:$K$206,"OK"))</f>
        <v/>
      </c>
      <c r="E291" s="64">
        <f>IF($A291="","",$C291-$D291)</f>
        <v/>
      </c>
      <c r="F291" s="65">
        <f>IF(OR($A291="",$D291=0),"",$C291/$D291)</f>
        <v/>
      </c>
    </row>
    <row r="292">
      <c r="A292" s="16">
        <f>IF(Deals!$A289="","",Deals!$A289)</f>
        <v/>
      </c>
      <c r="B292" s="18">
        <f>IF($A292="","",Deals!$R289)</f>
        <v/>
      </c>
      <c r="C292" s="63">
        <f>IF($A292="","",SUMIFS(Actuals!$D$7:$D$206,Actuals!$E$7:$E$206,$A292,Actuals!$K$7:$K$206,"OK"))</f>
        <v/>
      </c>
      <c r="D292" s="63">
        <f>IF($A292="","",SUMIFS(Actuals!$I$7:$I$206,Actuals!$E$7:$E$206,$A292,Actuals!$K$7:$K$206,"OK"))</f>
        <v/>
      </c>
      <c r="E292" s="64">
        <f>IF($A292="","",$C292-$D292)</f>
        <v/>
      </c>
      <c r="F292" s="65">
        <f>IF(OR($A292="",$D292=0),"",$C292/$D292)</f>
        <v/>
      </c>
    </row>
    <row r="293">
      <c r="A293" s="16">
        <f>IF(Deals!$A290="","",Deals!$A290)</f>
        <v/>
      </c>
      <c r="B293" s="18">
        <f>IF($A293="","",Deals!$R290)</f>
        <v/>
      </c>
      <c r="C293" s="63">
        <f>IF($A293="","",SUMIFS(Actuals!$D$7:$D$206,Actuals!$E$7:$E$206,$A293,Actuals!$K$7:$K$206,"OK"))</f>
        <v/>
      </c>
      <c r="D293" s="63">
        <f>IF($A293="","",SUMIFS(Actuals!$I$7:$I$206,Actuals!$E$7:$E$206,$A293,Actuals!$K$7:$K$206,"OK"))</f>
        <v/>
      </c>
      <c r="E293" s="64">
        <f>IF($A293="","",$C293-$D293)</f>
        <v/>
      </c>
      <c r="F293" s="65">
        <f>IF(OR($A293="",$D293=0),"",$C293/$D293)</f>
        <v/>
      </c>
    </row>
    <row r="294">
      <c r="A294" s="16">
        <f>IF(Deals!$A291="","",Deals!$A291)</f>
        <v/>
      </c>
      <c r="B294" s="18">
        <f>IF($A294="","",Deals!$R291)</f>
        <v/>
      </c>
      <c r="C294" s="63">
        <f>IF($A294="","",SUMIFS(Actuals!$D$7:$D$206,Actuals!$E$7:$E$206,$A294,Actuals!$K$7:$K$206,"OK"))</f>
        <v/>
      </c>
      <c r="D294" s="63">
        <f>IF($A294="","",SUMIFS(Actuals!$I$7:$I$206,Actuals!$E$7:$E$206,$A294,Actuals!$K$7:$K$206,"OK"))</f>
        <v/>
      </c>
      <c r="E294" s="64">
        <f>IF($A294="","",$C294-$D294)</f>
        <v/>
      </c>
      <c r="F294" s="65">
        <f>IF(OR($A294="",$D294=0),"",$C294/$D294)</f>
        <v/>
      </c>
    </row>
    <row r="295">
      <c r="A295" s="16">
        <f>IF(Deals!$A292="","",Deals!$A292)</f>
        <v/>
      </c>
      <c r="B295" s="18">
        <f>IF($A295="","",Deals!$R292)</f>
        <v/>
      </c>
      <c r="C295" s="63">
        <f>IF($A295="","",SUMIFS(Actuals!$D$7:$D$206,Actuals!$E$7:$E$206,$A295,Actuals!$K$7:$K$206,"OK"))</f>
        <v/>
      </c>
      <c r="D295" s="63">
        <f>IF($A295="","",SUMIFS(Actuals!$I$7:$I$206,Actuals!$E$7:$E$206,$A295,Actuals!$K$7:$K$206,"OK"))</f>
        <v/>
      </c>
      <c r="E295" s="64">
        <f>IF($A295="","",$C295-$D295)</f>
        <v/>
      </c>
      <c r="F295" s="65">
        <f>IF(OR($A295="",$D295=0),"",$C295/$D295)</f>
        <v/>
      </c>
    </row>
    <row r="296">
      <c r="A296" s="16">
        <f>IF(Deals!$A293="","",Deals!$A293)</f>
        <v/>
      </c>
      <c r="B296" s="18">
        <f>IF($A296="","",Deals!$R293)</f>
        <v/>
      </c>
      <c r="C296" s="63">
        <f>IF($A296="","",SUMIFS(Actuals!$D$7:$D$206,Actuals!$E$7:$E$206,$A296,Actuals!$K$7:$K$206,"OK"))</f>
        <v/>
      </c>
      <c r="D296" s="63">
        <f>IF($A296="","",SUMIFS(Actuals!$I$7:$I$206,Actuals!$E$7:$E$206,$A296,Actuals!$K$7:$K$206,"OK"))</f>
        <v/>
      </c>
      <c r="E296" s="64">
        <f>IF($A296="","",$C296-$D296)</f>
        <v/>
      </c>
      <c r="F296" s="65">
        <f>IF(OR($A296="",$D296=0),"",$C296/$D296)</f>
        <v/>
      </c>
    </row>
    <row r="297">
      <c r="A297" s="16">
        <f>IF(Deals!$A294="","",Deals!$A294)</f>
        <v/>
      </c>
      <c r="B297" s="18">
        <f>IF($A297="","",Deals!$R294)</f>
        <v/>
      </c>
      <c r="C297" s="63">
        <f>IF($A297="","",SUMIFS(Actuals!$D$7:$D$206,Actuals!$E$7:$E$206,$A297,Actuals!$K$7:$K$206,"OK"))</f>
        <v/>
      </c>
      <c r="D297" s="63">
        <f>IF($A297="","",SUMIFS(Actuals!$I$7:$I$206,Actuals!$E$7:$E$206,$A297,Actuals!$K$7:$K$206,"OK"))</f>
        <v/>
      </c>
      <c r="E297" s="64">
        <f>IF($A297="","",$C297-$D297)</f>
        <v/>
      </c>
      <c r="F297" s="65">
        <f>IF(OR($A297="",$D297=0),"",$C297/$D297)</f>
        <v/>
      </c>
    </row>
    <row r="298">
      <c r="A298" s="16">
        <f>IF(Deals!$A295="","",Deals!$A295)</f>
        <v/>
      </c>
      <c r="B298" s="18">
        <f>IF($A298="","",Deals!$R295)</f>
        <v/>
      </c>
      <c r="C298" s="63">
        <f>IF($A298="","",SUMIFS(Actuals!$D$7:$D$206,Actuals!$E$7:$E$206,$A298,Actuals!$K$7:$K$206,"OK"))</f>
        <v/>
      </c>
      <c r="D298" s="63">
        <f>IF($A298="","",SUMIFS(Actuals!$I$7:$I$206,Actuals!$E$7:$E$206,$A298,Actuals!$K$7:$K$206,"OK"))</f>
        <v/>
      </c>
      <c r="E298" s="64">
        <f>IF($A298="","",$C298-$D298)</f>
        <v/>
      </c>
      <c r="F298" s="65">
        <f>IF(OR($A298="",$D298=0),"",$C298/$D298)</f>
        <v/>
      </c>
    </row>
    <row r="299">
      <c r="A299" s="16">
        <f>IF(Deals!$A296="","",Deals!$A296)</f>
        <v/>
      </c>
      <c r="B299" s="18">
        <f>IF($A299="","",Deals!$R296)</f>
        <v/>
      </c>
      <c r="C299" s="63">
        <f>IF($A299="","",SUMIFS(Actuals!$D$7:$D$206,Actuals!$E$7:$E$206,$A299,Actuals!$K$7:$K$206,"OK"))</f>
        <v/>
      </c>
      <c r="D299" s="63">
        <f>IF($A299="","",SUMIFS(Actuals!$I$7:$I$206,Actuals!$E$7:$E$206,$A299,Actuals!$K$7:$K$206,"OK"))</f>
        <v/>
      </c>
      <c r="E299" s="64">
        <f>IF($A299="","",$C299-$D299)</f>
        <v/>
      </c>
      <c r="F299" s="65">
        <f>IF(OR($A299="",$D299=0),"",$C299/$D299)</f>
        <v/>
      </c>
    </row>
    <row r="300">
      <c r="A300" s="16">
        <f>IF(Deals!$A297="","",Deals!$A297)</f>
        <v/>
      </c>
      <c r="B300" s="18">
        <f>IF($A300="","",Deals!$R297)</f>
        <v/>
      </c>
      <c r="C300" s="63">
        <f>IF($A300="","",SUMIFS(Actuals!$D$7:$D$206,Actuals!$E$7:$E$206,$A300,Actuals!$K$7:$K$206,"OK"))</f>
        <v/>
      </c>
      <c r="D300" s="63">
        <f>IF($A300="","",SUMIFS(Actuals!$I$7:$I$206,Actuals!$E$7:$E$206,$A300,Actuals!$K$7:$K$206,"OK"))</f>
        <v/>
      </c>
      <c r="E300" s="64">
        <f>IF($A300="","",$C300-$D300)</f>
        <v/>
      </c>
      <c r="F300" s="65">
        <f>IF(OR($A300="",$D300=0),"",$C300/$D300)</f>
        <v/>
      </c>
    </row>
    <row r="301">
      <c r="A301" s="16">
        <f>IF(Deals!$A298="","",Deals!$A298)</f>
        <v/>
      </c>
      <c r="B301" s="18">
        <f>IF($A301="","",Deals!$R298)</f>
        <v/>
      </c>
      <c r="C301" s="63">
        <f>IF($A301="","",SUMIFS(Actuals!$D$7:$D$206,Actuals!$E$7:$E$206,$A301,Actuals!$K$7:$K$206,"OK"))</f>
        <v/>
      </c>
      <c r="D301" s="63">
        <f>IF($A301="","",SUMIFS(Actuals!$I$7:$I$206,Actuals!$E$7:$E$206,$A301,Actuals!$K$7:$K$206,"OK"))</f>
        <v/>
      </c>
      <c r="E301" s="64">
        <f>IF($A301="","",$C301-$D301)</f>
        <v/>
      </c>
      <c r="F301" s="65">
        <f>IF(OR($A301="",$D301=0),"",$C301/$D301)</f>
        <v/>
      </c>
    </row>
    <row r="302">
      <c r="A302" s="16">
        <f>IF(Deals!$A299="","",Deals!$A299)</f>
        <v/>
      </c>
      <c r="B302" s="18">
        <f>IF($A302="","",Deals!$R299)</f>
        <v/>
      </c>
      <c r="C302" s="63">
        <f>IF($A302="","",SUMIFS(Actuals!$D$7:$D$206,Actuals!$E$7:$E$206,$A302,Actuals!$K$7:$K$206,"OK"))</f>
        <v/>
      </c>
      <c r="D302" s="63">
        <f>IF($A302="","",SUMIFS(Actuals!$I$7:$I$206,Actuals!$E$7:$E$206,$A302,Actuals!$K$7:$K$206,"OK"))</f>
        <v/>
      </c>
      <c r="E302" s="64">
        <f>IF($A302="","",$C302-$D302)</f>
        <v/>
      </c>
      <c r="F302" s="65">
        <f>IF(OR($A302="",$D302=0),"",$C302/$D302)</f>
        <v/>
      </c>
    </row>
    <row r="303">
      <c r="A303" s="16">
        <f>IF(Deals!$A300="","",Deals!$A300)</f>
        <v/>
      </c>
      <c r="B303" s="18">
        <f>IF($A303="","",Deals!$R300)</f>
        <v/>
      </c>
      <c r="C303" s="63">
        <f>IF($A303="","",SUMIFS(Actuals!$D$7:$D$206,Actuals!$E$7:$E$206,$A303,Actuals!$K$7:$K$206,"OK"))</f>
        <v/>
      </c>
      <c r="D303" s="63">
        <f>IF($A303="","",SUMIFS(Actuals!$I$7:$I$206,Actuals!$E$7:$E$206,$A303,Actuals!$K$7:$K$206,"OK"))</f>
        <v/>
      </c>
      <c r="E303" s="64">
        <f>IF($A303="","",$C303-$D303)</f>
        <v/>
      </c>
      <c r="F303" s="65">
        <f>IF(OR($A303="",$D303=0),"",$C303/$D303)</f>
        <v/>
      </c>
    </row>
    <row r="304">
      <c r="A304" s="16">
        <f>IF(Deals!$A301="","",Deals!$A301)</f>
        <v/>
      </c>
      <c r="B304" s="18">
        <f>IF($A304="","",Deals!$R301)</f>
        <v/>
      </c>
      <c r="C304" s="63">
        <f>IF($A304="","",SUMIFS(Actuals!$D$7:$D$206,Actuals!$E$7:$E$206,$A304,Actuals!$K$7:$K$206,"OK"))</f>
        <v/>
      </c>
      <c r="D304" s="63">
        <f>IF($A304="","",SUMIFS(Actuals!$I$7:$I$206,Actuals!$E$7:$E$206,$A304,Actuals!$K$7:$K$206,"OK"))</f>
        <v/>
      </c>
      <c r="E304" s="64">
        <f>IF($A304="","",$C304-$D304)</f>
        <v/>
      </c>
      <c r="F304" s="65">
        <f>IF(OR($A304="",$D304=0),"",$C304/$D304)</f>
        <v/>
      </c>
    </row>
    <row r="305">
      <c r="A305" s="16">
        <f>IF(Deals!$A302="","",Deals!$A302)</f>
        <v/>
      </c>
      <c r="B305" s="18">
        <f>IF($A305="","",Deals!$R302)</f>
        <v/>
      </c>
      <c r="C305" s="63">
        <f>IF($A305="","",SUMIFS(Actuals!$D$7:$D$206,Actuals!$E$7:$E$206,$A305,Actuals!$K$7:$K$206,"OK"))</f>
        <v/>
      </c>
      <c r="D305" s="63">
        <f>IF($A305="","",SUMIFS(Actuals!$I$7:$I$206,Actuals!$E$7:$E$206,$A305,Actuals!$K$7:$K$206,"OK"))</f>
        <v/>
      </c>
      <c r="E305" s="64">
        <f>IF($A305="","",$C305-$D305)</f>
        <v/>
      </c>
      <c r="F305" s="65">
        <f>IF(OR($A305="",$D305=0),"",$C305/$D305)</f>
        <v/>
      </c>
    </row>
    <row r="306">
      <c r="A306" s="16">
        <f>IF(Deals!$A303="","",Deals!$A303)</f>
        <v/>
      </c>
      <c r="B306" s="18">
        <f>IF($A306="","",Deals!$R303)</f>
        <v/>
      </c>
      <c r="C306" s="63">
        <f>IF($A306="","",SUMIFS(Actuals!$D$7:$D$206,Actuals!$E$7:$E$206,$A306,Actuals!$K$7:$K$206,"OK"))</f>
        <v/>
      </c>
      <c r="D306" s="63">
        <f>IF($A306="","",SUMIFS(Actuals!$I$7:$I$206,Actuals!$E$7:$E$206,$A306,Actuals!$K$7:$K$206,"OK"))</f>
        <v/>
      </c>
      <c r="E306" s="64">
        <f>IF($A306="","",$C306-$D306)</f>
        <v/>
      </c>
      <c r="F306" s="65">
        <f>IF(OR($A306="",$D306=0),"",$C306/$D306)</f>
        <v/>
      </c>
    </row>
    <row r="307">
      <c r="A307" s="16">
        <f>IF(Deals!$A304="","",Deals!$A304)</f>
        <v/>
      </c>
      <c r="B307" s="18">
        <f>IF($A307="","",Deals!$R304)</f>
        <v/>
      </c>
      <c r="C307" s="63">
        <f>IF($A307="","",SUMIFS(Actuals!$D$7:$D$206,Actuals!$E$7:$E$206,$A307,Actuals!$K$7:$K$206,"OK"))</f>
        <v/>
      </c>
      <c r="D307" s="63">
        <f>IF($A307="","",SUMIFS(Actuals!$I$7:$I$206,Actuals!$E$7:$E$206,$A307,Actuals!$K$7:$K$206,"OK"))</f>
        <v/>
      </c>
      <c r="E307" s="64">
        <f>IF($A307="","",$C307-$D307)</f>
        <v/>
      </c>
      <c r="F307" s="65">
        <f>IF(OR($A307="",$D307=0),"",$C307/$D307)</f>
        <v/>
      </c>
    </row>
    <row r="308">
      <c r="A308" s="16">
        <f>IF(Deals!$A305="","",Deals!$A305)</f>
        <v/>
      </c>
      <c r="B308" s="18">
        <f>IF($A308="","",Deals!$R305)</f>
        <v/>
      </c>
      <c r="C308" s="63">
        <f>IF($A308="","",SUMIFS(Actuals!$D$7:$D$206,Actuals!$E$7:$E$206,$A308,Actuals!$K$7:$K$206,"OK"))</f>
        <v/>
      </c>
      <c r="D308" s="63">
        <f>IF($A308="","",SUMIFS(Actuals!$I$7:$I$206,Actuals!$E$7:$E$206,$A308,Actuals!$K$7:$K$206,"OK"))</f>
        <v/>
      </c>
      <c r="E308" s="64">
        <f>IF($A308="","",$C308-$D308)</f>
        <v/>
      </c>
      <c r="F308" s="65">
        <f>IF(OR($A308="",$D308=0),"",$C308/$D308)</f>
        <v/>
      </c>
    </row>
    <row r="309">
      <c r="A309" s="16">
        <f>IF(Deals!$A306="","",Deals!$A306)</f>
        <v/>
      </c>
      <c r="B309" s="18">
        <f>IF($A309="","",Deals!$R306)</f>
        <v/>
      </c>
      <c r="C309" s="63">
        <f>IF($A309="","",SUMIFS(Actuals!$D$7:$D$206,Actuals!$E$7:$E$206,$A309,Actuals!$K$7:$K$206,"OK"))</f>
        <v/>
      </c>
      <c r="D309" s="63">
        <f>IF($A309="","",SUMIFS(Actuals!$I$7:$I$206,Actuals!$E$7:$E$206,$A309,Actuals!$K$7:$K$206,"OK"))</f>
        <v/>
      </c>
      <c r="E309" s="64">
        <f>IF($A309="","",$C309-$D309)</f>
        <v/>
      </c>
      <c r="F309" s="65">
        <f>IF(OR($A309="",$D309=0),"",$C309/$D309)</f>
        <v/>
      </c>
    </row>
    <row r="310">
      <c r="A310" s="16">
        <f>IF(Deals!$A307="","",Deals!$A307)</f>
        <v/>
      </c>
      <c r="B310" s="18">
        <f>IF($A310="","",Deals!$R307)</f>
        <v/>
      </c>
      <c r="C310" s="63">
        <f>IF($A310="","",SUMIFS(Actuals!$D$7:$D$206,Actuals!$E$7:$E$206,$A310,Actuals!$K$7:$K$206,"OK"))</f>
        <v/>
      </c>
      <c r="D310" s="63">
        <f>IF($A310="","",SUMIFS(Actuals!$I$7:$I$206,Actuals!$E$7:$E$206,$A310,Actuals!$K$7:$K$206,"OK"))</f>
        <v/>
      </c>
      <c r="E310" s="64">
        <f>IF($A310="","",$C310-$D310)</f>
        <v/>
      </c>
      <c r="F310" s="65">
        <f>IF(OR($A310="",$D310=0),"",$C310/$D310)</f>
        <v/>
      </c>
    </row>
    <row r="311">
      <c r="A311" s="16">
        <f>IF(Deals!$A308="","",Deals!$A308)</f>
        <v/>
      </c>
      <c r="B311" s="18">
        <f>IF($A311="","",Deals!$R308)</f>
        <v/>
      </c>
      <c r="C311" s="63">
        <f>IF($A311="","",SUMIFS(Actuals!$D$7:$D$206,Actuals!$E$7:$E$206,$A311,Actuals!$K$7:$K$206,"OK"))</f>
        <v/>
      </c>
      <c r="D311" s="63">
        <f>IF($A311="","",SUMIFS(Actuals!$I$7:$I$206,Actuals!$E$7:$E$206,$A311,Actuals!$K$7:$K$206,"OK"))</f>
        <v/>
      </c>
      <c r="E311" s="64">
        <f>IF($A311="","",$C311-$D311)</f>
        <v/>
      </c>
      <c r="F311" s="65">
        <f>IF(OR($A311="",$D311=0),"",$C311/$D311)</f>
        <v/>
      </c>
    </row>
    <row r="312">
      <c r="A312" s="16">
        <f>IF(Deals!$A309="","",Deals!$A309)</f>
        <v/>
      </c>
      <c r="B312" s="18">
        <f>IF($A312="","",Deals!$R309)</f>
        <v/>
      </c>
      <c r="C312" s="63">
        <f>IF($A312="","",SUMIFS(Actuals!$D$7:$D$206,Actuals!$E$7:$E$206,$A312,Actuals!$K$7:$K$206,"OK"))</f>
        <v/>
      </c>
      <c r="D312" s="63">
        <f>IF($A312="","",SUMIFS(Actuals!$I$7:$I$206,Actuals!$E$7:$E$206,$A312,Actuals!$K$7:$K$206,"OK"))</f>
        <v/>
      </c>
      <c r="E312" s="64">
        <f>IF($A312="","",$C312-$D312)</f>
        <v/>
      </c>
      <c r="F312" s="65">
        <f>IF(OR($A312="",$D312=0),"",$C312/$D312)</f>
        <v/>
      </c>
    </row>
    <row r="313">
      <c r="A313" s="16">
        <f>IF(Deals!$A310="","",Deals!$A310)</f>
        <v/>
      </c>
      <c r="B313" s="18">
        <f>IF($A313="","",Deals!$R310)</f>
        <v/>
      </c>
      <c r="C313" s="63">
        <f>IF($A313="","",SUMIFS(Actuals!$D$7:$D$206,Actuals!$E$7:$E$206,$A313,Actuals!$K$7:$K$206,"OK"))</f>
        <v/>
      </c>
      <c r="D313" s="63">
        <f>IF($A313="","",SUMIFS(Actuals!$I$7:$I$206,Actuals!$E$7:$E$206,$A313,Actuals!$K$7:$K$206,"OK"))</f>
        <v/>
      </c>
      <c r="E313" s="64">
        <f>IF($A313="","",$C313-$D313)</f>
        <v/>
      </c>
      <c r="F313" s="65">
        <f>IF(OR($A313="",$D313=0),"",$C313/$D313)</f>
        <v/>
      </c>
    </row>
    <row r="314">
      <c r="A314" s="16">
        <f>IF(Deals!$A311="","",Deals!$A311)</f>
        <v/>
      </c>
      <c r="B314" s="18">
        <f>IF($A314="","",Deals!$R311)</f>
        <v/>
      </c>
      <c r="C314" s="63">
        <f>IF($A314="","",SUMIFS(Actuals!$D$7:$D$206,Actuals!$E$7:$E$206,$A314,Actuals!$K$7:$K$206,"OK"))</f>
        <v/>
      </c>
      <c r="D314" s="63">
        <f>IF($A314="","",SUMIFS(Actuals!$I$7:$I$206,Actuals!$E$7:$E$206,$A314,Actuals!$K$7:$K$206,"OK"))</f>
        <v/>
      </c>
      <c r="E314" s="64">
        <f>IF($A314="","",$C314-$D314)</f>
        <v/>
      </c>
      <c r="F314" s="65">
        <f>IF(OR($A314="",$D314=0),"",$C314/$D314)</f>
        <v/>
      </c>
    </row>
    <row r="315">
      <c r="A315" s="16">
        <f>IF(Deals!$A312="","",Deals!$A312)</f>
        <v/>
      </c>
      <c r="B315" s="18">
        <f>IF($A315="","",Deals!$R312)</f>
        <v/>
      </c>
      <c r="C315" s="63">
        <f>IF($A315="","",SUMIFS(Actuals!$D$7:$D$206,Actuals!$E$7:$E$206,$A315,Actuals!$K$7:$K$206,"OK"))</f>
        <v/>
      </c>
      <c r="D315" s="63">
        <f>IF($A315="","",SUMIFS(Actuals!$I$7:$I$206,Actuals!$E$7:$E$206,$A315,Actuals!$K$7:$K$206,"OK"))</f>
        <v/>
      </c>
      <c r="E315" s="64">
        <f>IF($A315="","",$C315-$D315)</f>
        <v/>
      </c>
      <c r="F315" s="65">
        <f>IF(OR($A315="",$D315=0),"",$C315/$D315)</f>
        <v/>
      </c>
    </row>
    <row r="316">
      <c r="A316" s="16">
        <f>IF(Deals!$A313="","",Deals!$A313)</f>
        <v/>
      </c>
      <c r="B316" s="18">
        <f>IF($A316="","",Deals!$R313)</f>
        <v/>
      </c>
      <c r="C316" s="63">
        <f>IF($A316="","",SUMIFS(Actuals!$D$7:$D$206,Actuals!$E$7:$E$206,$A316,Actuals!$K$7:$K$206,"OK"))</f>
        <v/>
      </c>
      <c r="D316" s="63">
        <f>IF($A316="","",SUMIFS(Actuals!$I$7:$I$206,Actuals!$E$7:$E$206,$A316,Actuals!$K$7:$K$206,"OK"))</f>
        <v/>
      </c>
      <c r="E316" s="64">
        <f>IF($A316="","",$C316-$D316)</f>
        <v/>
      </c>
      <c r="F316" s="65">
        <f>IF(OR($A316="",$D316=0),"",$C316/$D316)</f>
        <v/>
      </c>
    </row>
    <row r="317">
      <c r="A317" s="16">
        <f>IF(Deals!$A314="","",Deals!$A314)</f>
        <v/>
      </c>
      <c r="B317" s="18">
        <f>IF($A317="","",Deals!$R314)</f>
        <v/>
      </c>
      <c r="C317" s="63">
        <f>IF($A317="","",SUMIFS(Actuals!$D$7:$D$206,Actuals!$E$7:$E$206,$A317,Actuals!$K$7:$K$206,"OK"))</f>
        <v/>
      </c>
      <c r="D317" s="63">
        <f>IF($A317="","",SUMIFS(Actuals!$I$7:$I$206,Actuals!$E$7:$E$206,$A317,Actuals!$K$7:$K$206,"OK"))</f>
        <v/>
      </c>
      <c r="E317" s="64">
        <f>IF($A317="","",$C317-$D317)</f>
        <v/>
      </c>
      <c r="F317" s="65">
        <f>IF(OR($A317="",$D317=0),"",$C317/$D317)</f>
        <v/>
      </c>
    </row>
    <row r="318">
      <c r="A318" s="16">
        <f>IF(Deals!$A315="","",Deals!$A315)</f>
        <v/>
      </c>
      <c r="B318" s="18">
        <f>IF($A318="","",Deals!$R315)</f>
        <v/>
      </c>
      <c r="C318" s="63">
        <f>IF($A318="","",SUMIFS(Actuals!$D$7:$D$206,Actuals!$E$7:$E$206,$A318,Actuals!$K$7:$K$206,"OK"))</f>
        <v/>
      </c>
      <c r="D318" s="63">
        <f>IF($A318="","",SUMIFS(Actuals!$I$7:$I$206,Actuals!$E$7:$E$206,$A318,Actuals!$K$7:$K$206,"OK"))</f>
        <v/>
      </c>
      <c r="E318" s="64">
        <f>IF($A318="","",$C318-$D318)</f>
        <v/>
      </c>
      <c r="F318" s="65">
        <f>IF(OR($A318="",$D318=0),"",$C318/$D318)</f>
        <v/>
      </c>
    </row>
    <row r="319">
      <c r="A319" s="16">
        <f>IF(Deals!$A316="","",Deals!$A316)</f>
        <v/>
      </c>
      <c r="B319" s="18">
        <f>IF($A319="","",Deals!$R316)</f>
        <v/>
      </c>
      <c r="C319" s="63">
        <f>IF($A319="","",SUMIFS(Actuals!$D$7:$D$206,Actuals!$E$7:$E$206,$A319,Actuals!$K$7:$K$206,"OK"))</f>
        <v/>
      </c>
      <c r="D319" s="63">
        <f>IF($A319="","",SUMIFS(Actuals!$I$7:$I$206,Actuals!$E$7:$E$206,$A319,Actuals!$K$7:$K$206,"OK"))</f>
        <v/>
      </c>
      <c r="E319" s="64">
        <f>IF($A319="","",$C319-$D319)</f>
        <v/>
      </c>
      <c r="F319" s="65">
        <f>IF(OR($A319="",$D319=0),"",$C319/$D319)</f>
        <v/>
      </c>
    </row>
    <row r="320">
      <c r="A320" s="16">
        <f>IF(Deals!$A317="","",Deals!$A317)</f>
        <v/>
      </c>
      <c r="B320" s="18">
        <f>IF($A320="","",Deals!$R317)</f>
        <v/>
      </c>
      <c r="C320" s="63">
        <f>IF($A320="","",SUMIFS(Actuals!$D$7:$D$206,Actuals!$E$7:$E$206,$A320,Actuals!$K$7:$K$206,"OK"))</f>
        <v/>
      </c>
      <c r="D320" s="63">
        <f>IF($A320="","",SUMIFS(Actuals!$I$7:$I$206,Actuals!$E$7:$E$206,$A320,Actuals!$K$7:$K$206,"OK"))</f>
        <v/>
      </c>
      <c r="E320" s="64">
        <f>IF($A320="","",$C320-$D320)</f>
        <v/>
      </c>
      <c r="F320" s="65">
        <f>IF(OR($A320="",$D320=0),"",$C320/$D320)</f>
        <v/>
      </c>
    </row>
    <row r="321">
      <c r="A321" s="16">
        <f>IF(Deals!$A318="","",Deals!$A318)</f>
        <v/>
      </c>
      <c r="B321" s="18">
        <f>IF($A321="","",Deals!$R318)</f>
        <v/>
      </c>
      <c r="C321" s="63">
        <f>IF($A321="","",SUMIFS(Actuals!$D$7:$D$206,Actuals!$E$7:$E$206,$A321,Actuals!$K$7:$K$206,"OK"))</f>
        <v/>
      </c>
      <c r="D321" s="63">
        <f>IF($A321="","",SUMIFS(Actuals!$I$7:$I$206,Actuals!$E$7:$E$206,$A321,Actuals!$K$7:$K$206,"OK"))</f>
        <v/>
      </c>
      <c r="E321" s="64">
        <f>IF($A321="","",$C321-$D321)</f>
        <v/>
      </c>
      <c r="F321" s="65">
        <f>IF(OR($A321="",$D321=0),"",$C321/$D321)</f>
        <v/>
      </c>
    </row>
    <row r="322">
      <c r="A322" s="16">
        <f>IF(Deals!$A319="","",Deals!$A319)</f>
        <v/>
      </c>
      <c r="B322" s="18">
        <f>IF($A322="","",Deals!$R319)</f>
        <v/>
      </c>
      <c r="C322" s="63">
        <f>IF($A322="","",SUMIFS(Actuals!$D$7:$D$206,Actuals!$E$7:$E$206,$A322,Actuals!$K$7:$K$206,"OK"))</f>
        <v/>
      </c>
      <c r="D322" s="63">
        <f>IF($A322="","",SUMIFS(Actuals!$I$7:$I$206,Actuals!$E$7:$E$206,$A322,Actuals!$K$7:$K$206,"OK"))</f>
        <v/>
      </c>
      <c r="E322" s="64">
        <f>IF($A322="","",$C322-$D322)</f>
        <v/>
      </c>
      <c r="F322" s="65">
        <f>IF(OR($A322="",$D322=0),"",$C322/$D322)</f>
        <v/>
      </c>
    </row>
    <row r="323">
      <c r="A323" s="16">
        <f>IF(Deals!$A320="","",Deals!$A320)</f>
        <v/>
      </c>
      <c r="B323" s="18">
        <f>IF($A323="","",Deals!$R320)</f>
        <v/>
      </c>
      <c r="C323" s="63">
        <f>IF($A323="","",SUMIFS(Actuals!$D$7:$D$206,Actuals!$E$7:$E$206,$A323,Actuals!$K$7:$K$206,"OK"))</f>
        <v/>
      </c>
      <c r="D323" s="63">
        <f>IF($A323="","",SUMIFS(Actuals!$I$7:$I$206,Actuals!$E$7:$E$206,$A323,Actuals!$K$7:$K$206,"OK"))</f>
        <v/>
      </c>
      <c r="E323" s="64">
        <f>IF($A323="","",$C323-$D323)</f>
        <v/>
      </c>
      <c r="F323" s="65">
        <f>IF(OR($A323="",$D323=0),"",$C323/$D323)</f>
        <v/>
      </c>
    </row>
    <row r="324">
      <c r="A324" s="16">
        <f>IF(Deals!$A321="","",Deals!$A321)</f>
        <v/>
      </c>
      <c r="B324" s="18">
        <f>IF($A324="","",Deals!$R321)</f>
        <v/>
      </c>
      <c r="C324" s="63">
        <f>IF($A324="","",SUMIFS(Actuals!$D$7:$D$206,Actuals!$E$7:$E$206,$A324,Actuals!$K$7:$K$206,"OK"))</f>
        <v/>
      </c>
      <c r="D324" s="63">
        <f>IF($A324="","",SUMIFS(Actuals!$I$7:$I$206,Actuals!$E$7:$E$206,$A324,Actuals!$K$7:$K$206,"OK"))</f>
        <v/>
      </c>
      <c r="E324" s="64">
        <f>IF($A324="","",$C324-$D324)</f>
        <v/>
      </c>
      <c r="F324" s="65">
        <f>IF(OR($A324="",$D324=0),"",$C324/$D324)</f>
        <v/>
      </c>
    </row>
    <row r="325">
      <c r="A325" s="16">
        <f>IF(Deals!$A322="","",Deals!$A322)</f>
        <v/>
      </c>
      <c r="B325" s="18">
        <f>IF($A325="","",Deals!$R322)</f>
        <v/>
      </c>
      <c r="C325" s="63">
        <f>IF($A325="","",SUMIFS(Actuals!$D$7:$D$206,Actuals!$E$7:$E$206,$A325,Actuals!$K$7:$K$206,"OK"))</f>
        <v/>
      </c>
      <c r="D325" s="63">
        <f>IF($A325="","",SUMIFS(Actuals!$I$7:$I$206,Actuals!$E$7:$E$206,$A325,Actuals!$K$7:$K$206,"OK"))</f>
        <v/>
      </c>
      <c r="E325" s="64">
        <f>IF($A325="","",$C325-$D325)</f>
        <v/>
      </c>
      <c r="F325" s="65">
        <f>IF(OR($A325="",$D325=0),"",$C325/$D325)</f>
        <v/>
      </c>
    </row>
    <row r="326">
      <c r="A326" s="16">
        <f>IF(Deals!$A323="","",Deals!$A323)</f>
        <v/>
      </c>
      <c r="B326" s="18">
        <f>IF($A326="","",Deals!$R323)</f>
        <v/>
      </c>
      <c r="C326" s="63">
        <f>IF($A326="","",SUMIFS(Actuals!$D$7:$D$206,Actuals!$E$7:$E$206,$A326,Actuals!$K$7:$K$206,"OK"))</f>
        <v/>
      </c>
      <c r="D326" s="63">
        <f>IF($A326="","",SUMIFS(Actuals!$I$7:$I$206,Actuals!$E$7:$E$206,$A326,Actuals!$K$7:$K$206,"OK"))</f>
        <v/>
      </c>
      <c r="E326" s="64">
        <f>IF($A326="","",$C326-$D326)</f>
        <v/>
      </c>
      <c r="F326" s="65">
        <f>IF(OR($A326="",$D326=0),"",$C326/$D326)</f>
        <v/>
      </c>
    </row>
    <row r="327">
      <c r="A327" s="16">
        <f>IF(Deals!$A324="","",Deals!$A324)</f>
        <v/>
      </c>
      <c r="B327" s="18">
        <f>IF($A327="","",Deals!$R324)</f>
        <v/>
      </c>
      <c r="C327" s="63">
        <f>IF($A327="","",SUMIFS(Actuals!$D$7:$D$206,Actuals!$E$7:$E$206,$A327,Actuals!$K$7:$K$206,"OK"))</f>
        <v/>
      </c>
      <c r="D327" s="63">
        <f>IF($A327="","",SUMIFS(Actuals!$I$7:$I$206,Actuals!$E$7:$E$206,$A327,Actuals!$K$7:$K$206,"OK"))</f>
        <v/>
      </c>
      <c r="E327" s="64">
        <f>IF($A327="","",$C327-$D327)</f>
        <v/>
      </c>
      <c r="F327" s="65">
        <f>IF(OR($A327="",$D327=0),"",$C327/$D327)</f>
        <v/>
      </c>
    </row>
    <row r="328">
      <c r="A328" s="16">
        <f>IF(Deals!$A325="","",Deals!$A325)</f>
        <v/>
      </c>
      <c r="B328" s="18">
        <f>IF($A328="","",Deals!$R325)</f>
        <v/>
      </c>
      <c r="C328" s="63">
        <f>IF($A328="","",SUMIFS(Actuals!$D$7:$D$206,Actuals!$E$7:$E$206,$A328,Actuals!$K$7:$K$206,"OK"))</f>
        <v/>
      </c>
      <c r="D328" s="63">
        <f>IF($A328="","",SUMIFS(Actuals!$I$7:$I$206,Actuals!$E$7:$E$206,$A328,Actuals!$K$7:$K$206,"OK"))</f>
        <v/>
      </c>
      <c r="E328" s="64">
        <f>IF($A328="","",$C328-$D328)</f>
        <v/>
      </c>
      <c r="F328" s="65">
        <f>IF(OR($A328="",$D328=0),"",$C328/$D328)</f>
        <v/>
      </c>
    </row>
    <row r="329">
      <c r="A329" s="16">
        <f>IF(Deals!$A326="","",Deals!$A326)</f>
        <v/>
      </c>
      <c r="B329" s="18">
        <f>IF($A329="","",Deals!$R326)</f>
        <v/>
      </c>
      <c r="C329" s="63">
        <f>IF($A329="","",SUMIFS(Actuals!$D$7:$D$206,Actuals!$E$7:$E$206,$A329,Actuals!$K$7:$K$206,"OK"))</f>
        <v/>
      </c>
      <c r="D329" s="63">
        <f>IF($A329="","",SUMIFS(Actuals!$I$7:$I$206,Actuals!$E$7:$E$206,$A329,Actuals!$K$7:$K$206,"OK"))</f>
        <v/>
      </c>
      <c r="E329" s="64">
        <f>IF($A329="","",$C329-$D329)</f>
        <v/>
      </c>
      <c r="F329" s="65">
        <f>IF(OR($A329="",$D329=0),"",$C329/$D329)</f>
        <v/>
      </c>
    </row>
    <row r="330">
      <c r="A330" s="16">
        <f>IF(Deals!$A327="","",Deals!$A327)</f>
        <v/>
      </c>
      <c r="B330" s="18">
        <f>IF($A330="","",Deals!$R327)</f>
        <v/>
      </c>
      <c r="C330" s="63">
        <f>IF($A330="","",SUMIFS(Actuals!$D$7:$D$206,Actuals!$E$7:$E$206,$A330,Actuals!$K$7:$K$206,"OK"))</f>
        <v/>
      </c>
      <c r="D330" s="63">
        <f>IF($A330="","",SUMIFS(Actuals!$I$7:$I$206,Actuals!$E$7:$E$206,$A330,Actuals!$K$7:$K$206,"OK"))</f>
        <v/>
      </c>
      <c r="E330" s="64">
        <f>IF($A330="","",$C330-$D330)</f>
        <v/>
      </c>
      <c r="F330" s="65">
        <f>IF(OR($A330="",$D330=0),"",$C330/$D330)</f>
        <v/>
      </c>
    </row>
    <row r="331">
      <c r="A331" s="16">
        <f>IF(Deals!$A328="","",Deals!$A328)</f>
        <v/>
      </c>
      <c r="B331" s="18">
        <f>IF($A331="","",Deals!$R328)</f>
        <v/>
      </c>
      <c r="C331" s="63">
        <f>IF($A331="","",SUMIFS(Actuals!$D$7:$D$206,Actuals!$E$7:$E$206,$A331,Actuals!$K$7:$K$206,"OK"))</f>
        <v/>
      </c>
      <c r="D331" s="63">
        <f>IF($A331="","",SUMIFS(Actuals!$I$7:$I$206,Actuals!$E$7:$E$206,$A331,Actuals!$K$7:$K$206,"OK"))</f>
        <v/>
      </c>
      <c r="E331" s="64">
        <f>IF($A331="","",$C331-$D331)</f>
        <v/>
      </c>
      <c r="F331" s="65">
        <f>IF(OR($A331="",$D331=0),"",$C331/$D331)</f>
        <v/>
      </c>
    </row>
    <row r="332">
      <c r="A332" s="16">
        <f>IF(Deals!$A329="","",Deals!$A329)</f>
        <v/>
      </c>
      <c r="B332" s="18">
        <f>IF($A332="","",Deals!$R329)</f>
        <v/>
      </c>
      <c r="C332" s="63">
        <f>IF($A332="","",SUMIFS(Actuals!$D$7:$D$206,Actuals!$E$7:$E$206,$A332,Actuals!$K$7:$K$206,"OK"))</f>
        <v/>
      </c>
      <c r="D332" s="63">
        <f>IF($A332="","",SUMIFS(Actuals!$I$7:$I$206,Actuals!$E$7:$E$206,$A332,Actuals!$K$7:$K$206,"OK"))</f>
        <v/>
      </c>
      <c r="E332" s="64">
        <f>IF($A332="","",$C332-$D332)</f>
        <v/>
      </c>
      <c r="F332" s="65">
        <f>IF(OR($A332="",$D332=0),"",$C332/$D332)</f>
        <v/>
      </c>
    </row>
    <row r="333">
      <c r="A333" s="16">
        <f>IF(Deals!$A330="","",Deals!$A330)</f>
        <v/>
      </c>
      <c r="B333" s="18">
        <f>IF($A333="","",Deals!$R330)</f>
        <v/>
      </c>
      <c r="C333" s="63">
        <f>IF($A333="","",SUMIFS(Actuals!$D$7:$D$206,Actuals!$E$7:$E$206,$A333,Actuals!$K$7:$K$206,"OK"))</f>
        <v/>
      </c>
      <c r="D333" s="63">
        <f>IF($A333="","",SUMIFS(Actuals!$I$7:$I$206,Actuals!$E$7:$E$206,$A333,Actuals!$K$7:$K$206,"OK"))</f>
        <v/>
      </c>
      <c r="E333" s="64">
        <f>IF($A333="","",$C333-$D333)</f>
        <v/>
      </c>
      <c r="F333" s="65">
        <f>IF(OR($A333="",$D333=0),"",$C333/$D333)</f>
        <v/>
      </c>
    </row>
    <row r="334">
      <c r="A334" s="16">
        <f>IF(Deals!$A331="","",Deals!$A331)</f>
        <v/>
      </c>
      <c r="B334" s="18">
        <f>IF($A334="","",Deals!$R331)</f>
        <v/>
      </c>
      <c r="C334" s="63">
        <f>IF($A334="","",SUMIFS(Actuals!$D$7:$D$206,Actuals!$E$7:$E$206,$A334,Actuals!$K$7:$K$206,"OK"))</f>
        <v/>
      </c>
      <c r="D334" s="63">
        <f>IF($A334="","",SUMIFS(Actuals!$I$7:$I$206,Actuals!$E$7:$E$206,$A334,Actuals!$K$7:$K$206,"OK"))</f>
        <v/>
      </c>
      <c r="E334" s="64">
        <f>IF($A334="","",$C334-$D334)</f>
        <v/>
      </c>
      <c r="F334" s="65">
        <f>IF(OR($A334="",$D334=0),"",$C334/$D334)</f>
        <v/>
      </c>
    </row>
    <row r="335">
      <c r="A335" s="16">
        <f>IF(Deals!$A332="","",Deals!$A332)</f>
        <v/>
      </c>
      <c r="B335" s="18">
        <f>IF($A335="","",Deals!$R332)</f>
        <v/>
      </c>
      <c r="C335" s="63">
        <f>IF($A335="","",SUMIFS(Actuals!$D$7:$D$206,Actuals!$E$7:$E$206,$A335,Actuals!$K$7:$K$206,"OK"))</f>
        <v/>
      </c>
      <c r="D335" s="63">
        <f>IF($A335="","",SUMIFS(Actuals!$I$7:$I$206,Actuals!$E$7:$E$206,$A335,Actuals!$K$7:$K$206,"OK"))</f>
        <v/>
      </c>
      <c r="E335" s="64">
        <f>IF($A335="","",$C335-$D335)</f>
        <v/>
      </c>
      <c r="F335" s="65">
        <f>IF(OR($A335="",$D335=0),"",$C335/$D335)</f>
        <v/>
      </c>
    </row>
    <row r="336">
      <c r="A336" s="16">
        <f>IF(Deals!$A333="","",Deals!$A333)</f>
        <v/>
      </c>
      <c r="B336" s="18">
        <f>IF($A336="","",Deals!$R333)</f>
        <v/>
      </c>
      <c r="C336" s="63">
        <f>IF($A336="","",SUMIFS(Actuals!$D$7:$D$206,Actuals!$E$7:$E$206,$A336,Actuals!$K$7:$K$206,"OK"))</f>
        <v/>
      </c>
      <c r="D336" s="63">
        <f>IF($A336="","",SUMIFS(Actuals!$I$7:$I$206,Actuals!$E$7:$E$206,$A336,Actuals!$K$7:$K$206,"OK"))</f>
        <v/>
      </c>
      <c r="E336" s="64">
        <f>IF($A336="","",$C336-$D336)</f>
        <v/>
      </c>
      <c r="F336" s="65">
        <f>IF(OR($A336="",$D336=0),"",$C336/$D336)</f>
        <v/>
      </c>
    </row>
    <row r="337">
      <c r="A337" s="16">
        <f>IF(Deals!$A334="","",Deals!$A334)</f>
        <v/>
      </c>
      <c r="B337" s="18">
        <f>IF($A337="","",Deals!$R334)</f>
        <v/>
      </c>
      <c r="C337" s="63">
        <f>IF($A337="","",SUMIFS(Actuals!$D$7:$D$206,Actuals!$E$7:$E$206,$A337,Actuals!$K$7:$K$206,"OK"))</f>
        <v/>
      </c>
      <c r="D337" s="63">
        <f>IF($A337="","",SUMIFS(Actuals!$I$7:$I$206,Actuals!$E$7:$E$206,$A337,Actuals!$K$7:$K$206,"OK"))</f>
        <v/>
      </c>
      <c r="E337" s="64">
        <f>IF($A337="","",$C337-$D337)</f>
        <v/>
      </c>
      <c r="F337" s="65">
        <f>IF(OR($A337="",$D337=0),"",$C337/$D337)</f>
        <v/>
      </c>
    </row>
    <row r="338">
      <c r="A338" s="16">
        <f>IF(Deals!$A335="","",Deals!$A335)</f>
        <v/>
      </c>
      <c r="B338" s="18">
        <f>IF($A338="","",Deals!$R335)</f>
        <v/>
      </c>
      <c r="C338" s="63">
        <f>IF($A338="","",SUMIFS(Actuals!$D$7:$D$206,Actuals!$E$7:$E$206,$A338,Actuals!$K$7:$K$206,"OK"))</f>
        <v/>
      </c>
      <c r="D338" s="63">
        <f>IF($A338="","",SUMIFS(Actuals!$I$7:$I$206,Actuals!$E$7:$E$206,$A338,Actuals!$K$7:$K$206,"OK"))</f>
        <v/>
      </c>
      <c r="E338" s="64">
        <f>IF($A338="","",$C338-$D338)</f>
        <v/>
      </c>
      <c r="F338" s="65">
        <f>IF(OR($A338="",$D338=0),"",$C338/$D338)</f>
        <v/>
      </c>
    </row>
    <row r="339">
      <c r="A339" s="16">
        <f>IF(Deals!$A336="","",Deals!$A336)</f>
        <v/>
      </c>
      <c r="B339" s="18">
        <f>IF($A339="","",Deals!$R336)</f>
        <v/>
      </c>
      <c r="C339" s="63">
        <f>IF($A339="","",SUMIFS(Actuals!$D$7:$D$206,Actuals!$E$7:$E$206,$A339,Actuals!$K$7:$K$206,"OK"))</f>
        <v/>
      </c>
      <c r="D339" s="63">
        <f>IF($A339="","",SUMIFS(Actuals!$I$7:$I$206,Actuals!$E$7:$E$206,$A339,Actuals!$K$7:$K$206,"OK"))</f>
        <v/>
      </c>
      <c r="E339" s="64">
        <f>IF($A339="","",$C339-$D339)</f>
        <v/>
      </c>
      <c r="F339" s="65">
        <f>IF(OR($A339="",$D339=0),"",$C339/$D339)</f>
        <v/>
      </c>
    </row>
    <row r="340">
      <c r="A340" s="16">
        <f>IF(Deals!$A337="","",Deals!$A337)</f>
        <v/>
      </c>
      <c r="B340" s="18">
        <f>IF($A340="","",Deals!$R337)</f>
        <v/>
      </c>
      <c r="C340" s="63">
        <f>IF($A340="","",SUMIFS(Actuals!$D$7:$D$206,Actuals!$E$7:$E$206,$A340,Actuals!$K$7:$K$206,"OK"))</f>
        <v/>
      </c>
      <c r="D340" s="63">
        <f>IF($A340="","",SUMIFS(Actuals!$I$7:$I$206,Actuals!$E$7:$E$206,$A340,Actuals!$K$7:$K$206,"OK"))</f>
        <v/>
      </c>
      <c r="E340" s="64">
        <f>IF($A340="","",$C340-$D340)</f>
        <v/>
      </c>
      <c r="F340" s="65">
        <f>IF(OR($A340="",$D340=0),"",$C340/$D340)</f>
        <v/>
      </c>
    </row>
    <row r="341">
      <c r="A341" s="16">
        <f>IF(Deals!$A338="","",Deals!$A338)</f>
        <v/>
      </c>
      <c r="B341" s="18">
        <f>IF($A341="","",Deals!$R338)</f>
        <v/>
      </c>
      <c r="C341" s="63">
        <f>IF($A341="","",SUMIFS(Actuals!$D$7:$D$206,Actuals!$E$7:$E$206,$A341,Actuals!$K$7:$K$206,"OK"))</f>
        <v/>
      </c>
      <c r="D341" s="63">
        <f>IF($A341="","",SUMIFS(Actuals!$I$7:$I$206,Actuals!$E$7:$E$206,$A341,Actuals!$K$7:$K$206,"OK"))</f>
        <v/>
      </c>
      <c r="E341" s="64">
        <f>IF($A341="","",$C341-$D341)</f>
        <v/>
      </c>
      <c r="F341" s="65">
        <f>IF(OR($A341="",$D341=0),"",$C341/$D341)</f>
        <v/>
      </c>
    </row>
    <row r="342">
      <c r="A342" s="16">
        <f>IF(Deals!$A339="","",Deals!$A339)</f>
        <v/>
      </c>
      <c r="B342" s="18">
        <f>IF($A342="","",Deals!$R339)</f>
        <v/>
      </c>
      <c r="C342" s="63">
        <f>IF($A342="","",SUMIFS(Actuals!$D$7:$D$206,Actuals!$E$7:$E$206,$A342,Actuals!$K$7:$K$206,"OK"))</f>
        <v/>
      </c>
      <c r="D342" s="63">
        <f>IF($A342="","",SUMIFS(Actuals!$I$7:$I$206,Actuals!$E$7:$E$206,$A342,Actuals!$K$7:$K$206,"OK"))</f>
        <v/>
      </c>
      <c r="E342" s="64">
        <f>IF($A342="","",$C342-$D342)</f>
        <v/>
      </c>
      <c r="F342" s="65">
        <f>IF(OR($A342="",$D342=0),"",$C342/$D342)</f>
        <v/>
      </c>
    </row>
    <row r="343">
      <c r="A343" s="16">
        <f>IF(Deals!$A340="","",Deals!$A340)</f>
        <v/>
      </c>
      <c r="B343" s="18">
        <f>IF($A343="","",Deals!$R340)</f>
        <v/>
      </c>
      <c r="C343" s="63">
        <f>IF($A343="","",SUMIFS(Actuals!$D$7:$D$206,Actuals!$E$7:$E$206,$A343,Actuals!$K$7:$K$206,"OK"))</f>
        <v/>
      </c>
      <c r="D343" s="63">
        <f>IF($A343="","",SUMIFS(Actuals!$I$7:$I$206,Actuals!$E$7:$E$206,$A343,Actuals!$K$7:$K$206,"OK"))</f>
        <v/>
      </c>
      <c r="E343" s="64">
        <f>IF($A343="","",$C343-$D343)</f>
        <v/>
      </c>
      <c r="F343" s="65">
        <f>IF(OR($A343="",$D343=0),"",$C343/$D343)</f>
        <v/>
      </c>
    </row>
    <row r="344">
      <c r="A344" s="16">
        <f>IF(Deals!$A341="","",Deals!$A341)</f>
        <v/>
      </c>
      <c r="B344" s="18">
        <f>IF($A344="","",Deals!$R341)</f>
        <v/>
      </c>
      <c r="C344" s="63">
        <f>IF($A344="","",SUMIFS(Actuals!$D$7:$D$206,Actuals!$E$7:$E$206,$A344,Actuals!$K$7:$K$206,"OK"))</f>
        <v/>
      </c>
      <c r="D344" s="63">
        <f>IF($A344="","",SUMIFS(Actuals!$I$7:$I$206,Actuals!$E$7:$E$206,$A344,Actuals!$K$7:$K$206,"OK"))</f>
        <v/>
      </c>
      <c r="E344" s="64">
        <f>IF($A344="","",$C344-$D344)</f>
        <v/>
      </c>
      <c r="F344" s="65">
        <f>IF(OR($A344="",$D344=0),"",$C344/$D344)</f>
        <v/>
      </c>
    </row>
    <row r="345">
      <c r="A345" s="16">
        <f>IF(Deals!$A342="","",Deals!$A342)</f>
        <v/>
      </c>
      <c r="B345" s="18">
        <f>IF($A345="","",Deals!$R342)</f>
        <v/>
      </c>
      <c r="C345" s="63">
        <f>IF($A345="","",SUMIFS(Actuals!$D$7:$D$206,Actuals!$E$7:$E$206,$A345,Actuals!$K$7:$K$206,"OK"))</f>
        <v/>
      </c>
      <c r="D345" s="63">
        <f>IF($A345="","",SUMIFS(Actuals!$I$7:$I$206,Actuals!$E$7:$E$206,$A345,Actuals!$K$7:$K$206,"OK"))</f>
        <v/>
      </c>
      <c r="E345" s="64">
        <f>IF($A345="","",$C345-$D345)</f>
        <v/>
      </c>
      <c r="F345" s="65">
        <f>IF(OR($A345="",$D345=0),"",$C345/$D345)</f>
        <v/>
      </c>
    </row>
    <row r="346">
      <c r="A346" s="16">
        <f>IF(Deals!$A343="","",Deals!$A343)</f>
        <v/>
      </c>
      <c r="B346" s="18">
        <f>IF($A346="","",Deals!$R343)</f>
        <v/>
      </c>
      <c r="C346" s="63">
        <f>IF($A346="","",SUMIFS(Actuals!$D$7:$D$206,Actuals!$E$7:$E$206,$A346,Actuals!$K$7:$K$206,"OK"))</f>
        <v/>
      </c>
      <c r="D346" s="63">
        <f>IF($A346="","",SUMIFS(Actuals!$I$7:$I$206,Actuals!$E$7:$E$206,$A346,Actuals!$K$7:$K$206,"OK"))</f>
        <v/>
      </c>
      <c r="E346" s="64">
        <f>IF($A346="","",$C346-$D346)</f>
        <v/>
      </c>
      <c r="F346" s="65">
        <f>IF(OR($A346="",$D346=0),"",$C346/$D346)</f>
        <v/>
      </c>
    </row>
    <row r="347">
      <c r="A347" s="16">
        <f>IF(Deals!$A344="","",Deals!$A344)</f>
        <v/>
      </c>
      <c r="B347" s="18">
        <f>IF($A347="","",Deals!$R344)</f>
        <v/>
      </c>
      <c r="C347" s="63">
        <f>IF($A347="","",SUMIFS(Actuals!$D$7:$D$206,Actuals!$E$7:$E$206,$A347,Actuals!$K$7:$K$206,"OK"))</f>
        <v/>
      </c>
      <c r="D347" s="63">
        <f>IF($A347="","",SUMIFS(Actuals!$I$7:$I$206,Actuals!$E$7:$E$206,$A347,Actuals!$K$7:$K$206,"OK"))</f>
        <v/>
      </c>
      <c r="E347" s="64">
        <f>IF($A347="","",$C347-$D347)</f>
        <v/>
      </c>
      <c r="F347" s="65">
        <f>IF(OR($A347="",$D347=0),"",$C347/$D347)</f>
        <v/>
      </c>
    </row>
    <row r="348">
      <c r="A348" s="16">
        <f>IF(Deals!$A345="","",Deals!$A345)</f>
        <v/>
      </c>
      <c r="B348" s="18">
        <f>IF($A348="","",Deals!$R345)</f>
        <v/>
      </c>
      <c r="C348" s="63">
        <f>IF($A348="","",SUMIFS(Actuals!$D$7:$D$206,Actuals!$E$7:$E$206,$A348,Actuals!$K$7:$K$206,"OK"))</f>
        <v/>
      </c>
      <c r="D348" s="63">
        <f>IF($A348="","",SUMIFS(Actuals!$I$7:$I$206,Actuals!$E$7:$E$206,$A348,Actuals!$K$7:$K$206,"OK"))</f>
        <v/>
      </c>
      <c r="E348" s="64">
        <f>IF($A348="","",$C348-$D348)</f>
        <v/>
      </c>
      <c r="F348" s="65">
        <f>IF(OR($A348="",$D348=0),"",$C348/$D348)</f>
        <v/>
      </c>
    </row>
    <row r="349">
      <c r="A349" s="16">
        <f>IF(Deals!$A346="","",Deals!$A346)</f>
        <v/>
      </c>
      <c r="B349" s="18">
        <f>IF($A349="","",Deals!$R346)</f>
        <v/>
      </c>
      <c r="C349" s="63">
        <f>IF($A349="","",SUMIFS(Actuals!$D$7:$D$206,Actuals!$E$7:$E$206,$A349,Actuals!$K$7:$K$206,"OK"))</f>
        <v/>
      </c>
      <c r="D349" s="63">
        <f>IF($A349="","",SUMIFS(Actuals!$I$7:$I$206,Actuals!$E$7:$E$206,$A349,Actuals!$K$7:$K$206,"OK"))</f>
        <v/>
      </c>
      <c r="E349" s="64">
        <f>IF($A349="","",$C349-$D349)</f>
        <v/>
      </c>
      <c r="F349" s="65">
        <f>IF(OR($A349="",$D349=0),"",$C349/$D349)</f>
        <v/>
      </c>
    </row>
    <row r="350">
      <c r="A350" s="16">
        <f>IF(Deals!$A347="","",Deals!$A347)</f>
        <v/>
      </c>
      <c r="B350" s="18">
        <f>IF($A350="","",Deals!$R347)</f>
        <v/>
      </c>
      <c r="C350" s="63">
        <f>IF($A350="","",SUMIFS(Actuals!$D$7:$D$206,Actuals!$E$7:$E$206,$A350,Actuals!$K$7:$K$206,"OK"))</f>
        <v/>
      </c>
      <c r="D350" s="63">
        <f>IF($A350="","",SUMIFS(Actuals!$I$7:$I$206,Actuals!$E$7:$E$206,$A350,Actuals!$K$7:$K$206,"OK"))</f>
        <v/>
      </c>
      <c r="E350" s="64">
        <f>IF($A350="","",$C350-$D350)</f>
        <v/>
      </c>
      <c r="F350" s="65">
        <f>IF(OR($A350="",$D350=0),"",$C350/$D350)</f>
        <v/>
      </c>
    </row>
    <row r="351">
      <c r="A351" s="16">
        <f>IF(Deals!$A348="","",Deals!$A348)</f>
        <v/>
      </c>
      <c r="B351" s="18">
        <f>IF($A351="","",Deals!$R348)</f>
        <v/>
      </c>
      <c r="C351" s="63">
        <f>IF($A351="","",SUMIFS(Actuals!$D$7:$D$206,Actuals!$E$7:$E$206,$A351,Actuals!$K$7:$K$206,"OK"))</f>
        <v/>
      </c>
      <c r="D351" s="63">
        <f>IF($A351="","",SUMIFS(Actuals!$I$7:$I$206,Actuals!$E$7:$E$206,$A351,Actuals!$K$7:$K$206,"OK"))</f>
        <v/>
      </c>
      <c r="E351" s="64">
        <f>IF($A351="","",$C351-$D351)</f>
        <v/>
      </c>
      <c r="F351" s="65">
        <f>IF(OR($A351="",$D351=0),"",$C351/$D351)</f>
        <v/>
      </c>
    </row>
    <row r="352">
      <c r="A352" s="16">
        <f>IF(Deals!$A349="","",Deals!$A349)</f>
        <v/>
      </c>
      <c r="B352" s="18">
        <f>IF($A352="","",Deals!$R349)</f>
        <v/>
      </c>
      <c r="C352" s="63">
        <f>IF($A352="","",SUMIFS(Actuals!$D$7:$D$206,Actuals!$E$7:$E$206,$A352,Actuals!$K$7:$K$206,"OK"))</f>
        <v/>
      </c>
      <c r="D352" s="63">
        <f>IF($A352="","",SUMIFS(Actuals!$I$7:$I$206,Actuals!$E$7:$E$206,$A352,Actuals!$K$7:$K$206,"OK"))</f>
        <v/>
      </c>
      <c r="E352" s="64">
        <f>IF($A352="","",$C352-$D352)</f>
        <v/>
      </c>
      <c r="F352" s="65">
        <f>IF(OR($A352="",$D352=0),"",$C352/$D352)</f>
        <v/>
      </c>
    </row>
    <row r="353">
      <c r="A353" s="16">
        <f>IF(Deals!$A350="","",Deals!$A350)</f>
        <v/>
      </c>
      <c r="B353" s="18">
        <f>IF($A353="","",Deals!$R350)</f>
        <v/>
      </c>
      <c r="C353" s="63">
        <f>IF($A353="","",SUMIFS(Actuals!$D$7:$D$206,Actuals!$E$7:$E$206,$A353,Actuals!$K$7:$K$206,"OK"))</f>
        <v/>
      </c>
      <c r="D353" s="63">
        <f>IF($A353="","",SUMIFS(Actuals!$I$7:$I$206,Actuals!$E$7:$E$206,$A353,Actuals!$K$7:$K$206,"OK"))</f>
        <v/>
      </c>
      <c r="E353" s="64">
        <f>IF($A353="","",$C353-$D353)</f>
        <v/>
      </c>
      <c r="F353" s="65">
        <f>IF(OR($A353="",$D353=0),"",$C353/$D353)</f>
        <v/>
      </c>
    </row>
    <row r="354">
      <c r="A354" s="16">
        <f>IF(Deals!$A351="","",Deals!$A351)</f>
        <v/>
      </c>
      <c r="B354" s="18">
        <f>IF($A354="","",Deals!$R351)</f>
        <v/>
      </c>
      <c r="C354" s="63">
        <f>IF($A354="","",SUMIFS(Actuals!$D$7:$D$206,Actuals!$E$7:$E$206,$A354,Actuals!$K$7:$K$206,"OK"))</f>
        <v/>
      </c>
      <c r="D354" s="63">
        <f>IF($A354="","",SUMIFS(Actuals!$I$7:$I$206,Actuals!$E$7:$E$206,$A354,Actuals!$K$7:$K$206,"OK"))</f>
        <v/>
      </c>
      <c r="E354" s="64">
        <f>IF($A354="","",$C354-$D354)</f>
        <v/>
      </c>
      <c r="F354" s="65">
        <f>IF(OR($A354="",$D354=0),"",$C354/$D354)</f>
        <v/>
      </c>
    </row>
    <row r="355">
      <c r="A355" s="16">
        <f>IF(Deals!$A352="","",Deals!$A352)</f>
        <v/>
      </c>
      <c r="B355" s="18">
        <f>IF($A355="","",Deals!$R352)</f>
        <v/>
      </c>
      <c r="C355" s="63">
        <f>IF($A355="","",SUMIFS(Actuals!$D$7:$D$206,Actuals!$E$7:$E$206,$A355,Actuals!$K$7:$K$206,"OK"))</f>
        <v/>
      </c>
      <c r="D355" s="63">
        <f>IF($A355="","",SUMIFS(Actuals!$I$7:$I$206,Actuals!$E$7:$E$206,$A355,Actuals!$K$7:$K$206,"OK"))</f>
        <v/>
      </c>
      <c r="E355" s="64">
        <f>IF($A355="","",$C355-$D355)</f>
        <v/>
      </c>
      <c r="F355" s="65">
        <f>IF(OR($A355="",$D355=0),"",$C355/$D355)</f>
        <v/>
      </c>
    </row>
    <row r="356">
      <c r="A356" s="16">
        <f>IF(Deals!$A353="","",Deals!$A353)</f>
        <v/>
      </c>
      <c r="B356" s="18">
        <f>IF($A356="","",Deals!$R353)</f>
        <v/>
      </c>
      <c r="C356" s="63">
        <f>IF($A356="","",SUMIFS(Actuals!$D$7:$D$206,Actuals!$E$7:$E$206,$A356,Actuals!$K$7:$K$206,"OK"))</f>
        <v/>
      </c>
      <c r="D356" s="63">
        <f>IF($A356="","",SUMIFS(Actuals!$I$7:$I$206,Actuals!$E$7:$E$206,$A356,Actuals!$K$7:$K$206,"OK"))</f>
        <v/>
      </c>
      <c r="E356" s="64">
        <f>IF($A356="","",$C356-$D356)</f>
        <v/>
      </c>
      <c r="F356" s="65">
        <f>IF(OR($A356="",$D356=0),"",$C356/$D356)</f>
        <v/>
      </c>
    </row>
    <row r="357">
      <c r="A357" s="16">
        <f>IF(Deals!$A354="","",Deals!$A354)</f>
        <v/>
      </c>
      <c r="B357" s="18">
        <f>IF($A357="","",Deals!$R354)</f>
        <v/>
      </c>
      <c r="C357" s="63">
        <f>IF($A357="","",SUMIFS(Actuals!$D$7:$D$206,Actuals!$E$7:$E$206,$A357,Actuals!$K$7:$K$206,"OK"))</f>
        <v/>
      </c>
      <c r="D357" s="63">
        <f>IF($A357="","",SUMIFS(Actuals!$I$7:$I$206,Actuals!$E$7:$E$206,$A357,Actuals!$K$7:$K$206,"OK"))</f>
        <v/>
      </c>
      <c r="E357" s="64">
        <f>IF($A357="","",$C357-$D357)</f>
        <v/>
      </c>
      <c r="F357" s="65">
        <f>IF(OR($A357="",$D357=0),"",$C357/$D357)</f>
        <v/>
      </c>
    </row>
    <row r="358">
      <c r="A358" s="16">
        <f>IF(Deals!$A355="","",Deals!$A355)</f>
        <v/>
      </c>
      <c r="B358" s="18">
        <f>IF($A358="","",Deals!$R355)</f>
        <v/>
      </c>
      <c r="C358" s="63">
        <f>IF($A358="","",SUMIFS(Actuals!$D$7:$D$206,Actuals!$E$7:$E$206,$A358,Actuals!$K$7:$K$206,"OK"))</f>
        <v/>
      </c>
      <c r="D358" s="63">
        <f>IF($A358="","",SUMIFS(Actuals!$I$7:$I$206,Actuals!$E$7:$E$206,$A358,Actuals!$K$7:$K$206,"OK"))</f>
        <v/>
      </c>
      <c r="E358" s="64">
        <f>IF($A358="","",$C358-$D358)</f>
        <v/>
      </c>
      <c r="F358" s="65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68" t="n">
        <v>46223</v>
      </c>
    </row>
    <row r="4">
      <c r="A4" s="12" t="inlineStr">
        <is>
          <t>Probability-weight the Capacity view? (Yes/No)</t>
        </is>
      </c>
      <c r="B4" s="69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 (legacy)</t>
        </is>
      </c>
      <c r="G7" s="7" t="inlineStr">
        <is>
          <t>Entity classification (legacy)</t>
        </is>
      </c>
      <c r="H7" s="7" t="inlineStr">
        <is>
          <t>Scope (legacy)</t>
        </is>
      </c>
      <c r="I7" s="7" t="inlineStr">
        <is>
          <t>Timeline (legacy)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  <c r="M7" s="7" t="inlineStr">
        <is>
          <t>TDD deal type</t>
        </is>
      </c>
      <c r="N7" s="7" t="inlineStr">
        <is>
          <t>TDD scope</t>
        </is>
      </c>
      <c r="O7" s="7" t="inlineStr">
        <is>
          <t>Other TDD scoping</t>
        </is>
      </c>
      <c r="P7" s="7" t="inlineStr">
        <is>
          <t>Corporate tax modeling</t>
        </is>
      </c>
      <c r="Q7" s="7" t="inlineStr">
        <is>
          <t>Tick (Y)</t>
        </is>
      </c>
    </row>
    <row r="8">
      <c r="A8" s="52" t="inlineStr">
        <is>
          <t>Partner</t>
        </is>
      </c>
      <c r="B8" s="46" t="n">
        <v>2</v>
      </c>
      <c r="D8" s="45" t="inlineStr">
        <is>
          <t>Proposal</t>
        </is>
      </c>
      <c r="E8" s="45" t="inlineStr">
        <is>
          <t>Pre-LOI</t>
        </is>
      </c>
      <c r="F8" s="45" t="inlineStr">
        <is>
          <t>Stock</t>
        </is>
      </c>
      <c r="G8" s="45" t="inlineStr">
        <is>
          <t>Corp</t>
        </is>
      </c>
      <c r="H8" s="45" t="inlineStr">
        <is>
          <t>TDD</t>
        </is>
      </c>
      <c r="I8" s="45" t="inlineStr">
        <is>
          <t>Standard</t>
        </is>
      </c>
      <c r="J8" s="45" t="inlineStr">
        <is>
          <t>Active</t>
        </is>
      </c>
      <c r="K8" s="45" t="inlineStr">
        <is>
          <t>Yes</t>
        </is>
      </c>
      <c r="L8" s="45" t="inlineStr">
        <is>
          <t>Partner</t>
        </is>
      </c>
      <c r="M8" s="45" t="inlineStr">
        <is>
          <t>Asset Deal (or DRE)</t>
        </is>
      </c>
      <c r="N8" s="45" t="inlineStr">
        <is>
          <t>Inquiry basis</t>
        </is>
      </c>
      <c r="O8" s="45" t="inlineStr">
        <is>
          <t>Carve out</t>
        </is>
      </c>
      <c r="P8" s="45" t="inlineStr">
        <is>
          <t>Basic (no roll up)</t>
        </is>
      </c>
      <c r="Q8" s="45" t="inlineStr">
        <is>
          <t>Y</t>
        </is>
      </c>
    </row>
    <row r="9">
      <c r="A9" s="52" t="inlineStr">
        <is>
          <t>MD</t>
        </is>
      </c>
      <c r="B9" s="46" t="n">
        <v>3</v>
      </c>
      <c r="D9" s="45" t="inlineStr">
        <is>
          <t>Active</t>
        </is>
      </c>
      <c r="E9" s="45" t="inlineStr">
        <is>
          <t>Diligence</t>
        </is>
      </c>
      <c r="F9" s="45" t="inlineStr">
        <is>
          <t>Asset</t>
        </is>
      </c>
      <c r="G9" s="45" t="inlineStr">
        <is>
          <t>Flow-through</t>
        </is>
      </c>
      <c r="H9" s="45" t="inlineStr">
        <is>
          <t>Structuring</t>
        </is>
      </c>
      <c r="I9" s="45" t="inlineStr">
        <is>
          <t>Compressed</t>
        </is>
      </c>
      <c r="J9" s="45" t="inlineStr">
        <is>
          <t>Inactive</t>
        </is>
      </c>
      <c r="K9" s="45" t="inlineStr">
        <is>
          <t>No</t>
        </is>
      </c>
      <c r="L9" s="45" t="inlineStr">
        <is>
          <t>MD</t>
        </is>
      </c>
      <c r="M9" s="45" t="inlineStr">
        <is>
          <t>Partnership with push out</t>
        </is>
      </c>
      <c r="N9" s="45" t="inlineStr">
        <is>
          <t>Limited Procedures</t>
        </is>
      </c>
      <c r="O9" s="45" t="inlineStr">
        <is>
          <t>Non-US jurisdiction coordination</t>
        </is>
      </c>
      <c r="P9" s="45" t="inlineStr">
        <is>
          <t>Building roll up</t>
        </is>
      </c>
      <c r="Q9" s="62" t="n"/>
    </row>
    <row r="10">
      <c r="A10" s="52" t="inlineStr">
        <is>
          <t>Director</t>
        </is>
      </c>
      <c r="B10" s="46" t="n">
        <v>5</v>
      </c>
      <c r="D10" s="45" t="inlineStr">
        <is>
          <t>On hold</t>
        </is>
      </c>
      <c r="E10" s="45" t="inlineStr">
        <is>
          <t>Signing to close</t>
        </is>
      </c>
      <c r="F10" s="45" t="inlineStr">
        <is>
          <t>Partnership</t>
        </is>
      </c>
      <c r="G10" s="45" t="inlineStr">
        <is>
          <t>Mixed</t>
        </is>
      </c>
      <c r="H10" s="45" t="inlineStr">
        <is>
          <t>Modeling</t>
        </is>
      </c>
      <c r="I10" s="62" t="n"/>
      <c r="J10" s="62" t="n"/>
      <c r="K10" s="62" t="n"/>
      <c r="L10" s="45" t="inlineStr">
        <is>
          <t>Director</t>
        </is>
      </c>
      <c r="M10" s="45" t="inlineStr">
        <is>
          <t>Partnership no push out</t>
        </is>
      </c>
      <c r="N10" s="45" t="inlineStr">
        <is>
          <t>Key Findings</t>
        </is>
      </c>
      <c r="O10" s="45" t="inlineStr">
        <is>
          <t>8A / Taxand</t>
        </is>
      </c>
      <c r="P10" s="62" t="n"/>
      <c r="Q10" s="62" t="n"/>
    </row>
    <row r="11">
      <c r="A11" s="52" t="inlineStr">
        <is>
          <t>VP</t>
        </is>
      </c>
      <c r="B11" s="46" t="n">
        <v>8</v>
      </c>
      <c r="D11" s="45" t="inlineStr">
        <is>
          <t>Pens down</t>
        </is>
      </c>
      <c r="E11" s="45" t="inlineStr">
        <is>
          <t>Post-close</t>
        </is>
      </c>
      <c r="F11" s="45" t="inlineStr">
        <is>
          <t>Mixed</t>
        </is>
      </c>
      <c r="G11" s="45" t="inlineStr">
        <is>
          <t>N/A</t>
        </is>
      </c>
      <c r="H11" s="45" t="inlineStr">
        <is>
          <t>TDD + Structuring</t>
        </is>
      </c>
      <c r="I11" s="62" t="n"/>
      <c r="J11" s="62" t="n"/>
      <c r="K11" s="62" t="n"/>
      <c r="L11" s="45" t="inlineStr">
        <is>
          <t>VP</t>
        </is>
      </c>
      <c r="M11" s="45" t="inlineStr">
        <is>
          <t>C Corporation</t>
        </is>
      </c>
      <c r="N11" s="62" t="n"/>
      <c r="O11" s="45" t="inlineStr">
        <is>
          <t>N/A</t>
        </is>
      </c>
      <c r="P11" s="62" t="n"/>
      <c r="Q11" s="62" t="n"/>
    </row>
    <row r="12">
      <c r="A12" s="52" t="inlineStr">
        <is>
          <t>Senior Associate</t>
        </is>
      </c>
      <c r="B12" s="46" t="n">
        <v>10</v>
      </c>
      <c r="D12" s="45" t="inlineStr">
        <is>
          <t>Complete - to invoice</t>
        </is>
      </c>
      <c r="E12" s="62" t="n"/>
      <c r="F12" s="45" t="inlineStr">
        <is>
          <t>N/A</t>
        </is>
      </c>
      <c r="G12" s="62" t="n"/>
      <c r="H12" s="45" t="inlineStr">
        <is>
          <t>Full scope</t>
        </is>
      </c>
      <c r="I12" s="62" t="n"/>
      <c r="J12" s="62" t="n"/>
      <c r="K12" s="62" t="n"/>
      <c r="L12" s="45" t="inlineStr">
        <is>
          <t>Senior Associate</t>
        </is>
      </c>
      <c r="M12" s="45" t="inlineStr">
        <is>
          <t>S Corporation</t>
        </is>
      </c>
      <c r="N12" s="62" t="n"/>
      <c r="O12" s="62" t="n"/>
      <c r="P12" s="62" t="n"/>
      <c r="Q12" s="62" t="n"/>
    </row>
    <row r="13">
      <c r="A13" s="52" t="inlineStr">
        <is>
          <t>Renewable Specialist</t>
        </is>
      </c>
      <c r="B13" s="46" t="n">
        <v>2</v>
      </c>
      <c r="D13" s="45" t="inlineStr">
        <is>
          <t>Invoiced</t>
        </is>
      </c>
      <c r="E13" s="62" t="n"/>
      <c r="F13" s="62" t="n"/>
      <c r="G13" s="62" t="n"/>
      <c r="H13" s="45" t="inlineStr">
        <is>
          <t>PW&amp;A / Review</t>
        </is>
      </c>
      <c r="I13" s="62" t="n"/>
      <c r="J13" s="62" t="n"/>
      <c r="K13" s="62" t="n"/>
      <c r="L13" s="45" t="inlineStr">
        <is>
          <t>Renewable Specialist</t>
        </is>
      </c>
      <c r="M13" s="62" t="n"/>
      <c r="N13" s="62" t="n"/>
      <c r="O13" s="62" t="n"/>
      <c r="P13" s="62" t="n"/>
      <c r="Q13" s="62" t="n"/>
    </row>
    <row r="14">
      <c r="A14" s="52" t="inlineStr">
        <is>
          <t>Associate</t>
        </is>
      </c>
      <c r="B14" s="46" t="n">
        <v>12</v>
      </c>
      <c r="D14" s="45" t="inlineStr">
        <is>
          <t>Closed</t>
        </is>
      </c>
      <c r="E14" s="62" t="n"/>
      <c r="F14" s="62" t="n"/>
      <c r="G14" s="62" t="n"/>
      <c r="H14" s="45" t="inlineStr">
        <is>
          <t>SALT</t>
        </is>
      </c>
      <c r="I14" s="62" t="n"/>
      <c r="J14" s="62" t="n"/>
      <c r="K14" s="62" t="n"/>
      <c r="L14" s="45" t="inlineStr">
        <is>
          <t>Associate</t>
        </is>
      </c>
      <c r="M14" s="62" t="n"/>
      <c r="N14" s="62" t="n"/>
      <c r="O14" s="62" t="n"/>
      <c r="P14" s="62" t="n"/>
      <c r="Q14" s="62" t="n"/>
    </row>
    <row r="15">
      <c r="D15" s="45" t="inlineStr">
        <is>
          <t>Dead</t>
        </is>
      </c>
      <c r="E15" s="62" t="n"/>
      <c r="F15" s="62" t="n"/>
      <c r="G15" s="62" t="n"/>
      <c r="H15" s="45" t="inlineStr">
        <is>
          <t>Other</t>
        </is>
      </c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</row>
    <row r="16">
      <c r="D16" s="45" t="inlineStr">
        <is>
          <t>Internal</t>
        </is>
      </c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62" t="n"/>
      <c r="Q16" s="62" t="n"/>
    </row>
    <row r="17">
      <c r="A17" s="6" t="inlineStr">
        <is>
          <t>Lists to the right feed the dropdowns. Add values as the practice evolves; deleting a value in use does not change existing rows.</t>
        </is>
      </c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2" t="n"/>
      <c r="O17" s="62" t="n"/>
      <c r="P17" s="62" t="n"/>
      <c r="Q17" s="62" t="n"/>
    </row>
    <row r="18"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62" t="n"/>
      <c r="O18" s="62" t="n"/>
      <c r="P18" s="62" t="n"/>
      <c r="Q18" s="62" t="n"/>
    </row>
    <row r="19">
      <c r="A19" s="12" t="inlineStr">
        <is>
          <t>Check-in as-of date (update before each check-in)</t>
        </is>
      </c>
      <c r="B19" s="68" t="n">
        <v>46222</v>
      </c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2" t="n"/>
      <c r="P19" s="62" t="n"/>
      <c r="Q19" s="62" t="n"/>
    </row>
    <row r="20">
      <c r="A20" s="12" t="inlineStr">
        <is>
          <t>Stale-deal threshold (weeks since added, no update)</t>
        </is>
      </c>
      <c r="B20" s="47" t="n">
        <v>4</v>
      </c>
      <c r="D20" s="62" t="n"/>
      <c r="E20" s="62" t="n"/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2" t="n"/>
      <c r="P20" s="62" t="n"/>
      <c r="Q20" s="62" t="n"/>
    </row>
    <row r="21"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62" t="n"/>
    </row>
    <row r="22"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62" t="n"/>
    </row>
    <row r="23"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62" t="n"/>
      <c r="Q23" s="62" t="n"/>
    </row>
    <row r="24"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</row>
    <row r="25"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62" t="n"/>
      <c r="O25" s="62" t="n"/>
      <c r="P25" s="62" t="n"/>
      <c r="Q25" s="62" t="n"/>
    </row>
    <row r="26"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62" t="n"/>
    </row>
    <row r="27">
      <c r="D27" s="62" t="n"/>
      <c r="E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62" t="n"/>
    </row>
    <row r="28"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2" t="n"/>
    </row>
    <row r="29"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62" t="n"/>
    </row>
    <row r="30"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62" t="n"/>
      <c r="O30" s="62" t="n"/>
      <c r="P30" s="62" t="n"/>
      <c r="Q30" s="6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F8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 &amp; data health</t>
        </is>
      </c>
    </row>
    <row r="2">
      <c r="A2" s="6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52" t="inlineStr">
        <is>
          <t>Assignments pointing at an unknown person</t>
        </is>
      </c>
      <c r="B6" s="55">
        <f>COUNTIF(Assignments!$B$2:$B$769,"~?")</f>
        <v/>
      </c>
      <c r="C6" s="52">
        <f>IF($B6=0,"OK","CHECK")</f>
        <v/>
      </c>
    </row>
    <row r="7">
      <c r="A7" s="52" t="inlineStr">
        <is>
          <t>Assignments pointing at an unknown project code</t>
        </is>
      </c>
      <c r="B7" s="55">
        <f>COUNTIF(Assignments!$D$2:$D$769,"~?")</f>
        <v/>
      </c>
      <c r="C7" s="52">
        <f>IF($B7=0,"OK","CHECK")</f>
        <v/>
      </c>
    </row>
    <row r="8">
      <c r="A8" s="52" t="inlineStr">
        <is>
          <t>Duplicate project codes on the Deals tab</t>
        </is>
      </c>
      <c r="B8" s="55">
        <f>SUMPRODUCT((COUNTIF(Deals!$A$2:$A$355,Deals!$A$2:$A$355)&gt;1)*(Deals!$A$2:$A$355&lt;&gt;""))</f>
        <v/>
      </c>
      <c r="C8" s="52">
        <f>IF($B8=0,"OK","CHECK")</f>
        <v/>
      </c>
    </row>
    <row r="9">
      <c r="A9" s="52" t="inlineStr">
        <is>
          <t>Active/Proposal deals with nobody staffed (incl. EXAMPLE row)</t>
        </is>
      </c>
      <c r="B9" s="55">
        <f>COUNTIFS(Deals!$F$2:$F$355,"Active",Deals!$Q$2:$Q$355,0)+COUNTIFS(Deals!$F$2:$F$355,"Proposal",Deals!$Q$2:$Q$355,0)</f>
        <v/>
      </c>
      <c r="C9" s="6">
        <f>"see Check-in tab"</f>
        <v/>
      </c>
    </row>
    <row r="10"/>
    <row r="11"/>
    <row r="12" ht="28" customHeight="1">
      <c r="A12" s="15" t="inlineStr">
        <is>
          <t>Topic</t>
        </is>
      </c>
      <c r="B12" s="15" t="inlineStr">
        <is>
          <t>Person</t>
        </is>
      </c>
      <c r="C12" s="15" t="inlineStr">
        <is>
          <t>Project</t>
        </is>
      </c>
      <c r="D12" s="15" t="inlineStr">
        <is>
          <t>Detail</t>
        </is>
      </c>
      <c r="E12" s="15" t="inlineStr">
        <is>
          <t>Suggested action</t>
        </is>
      </c>
      <c r="F12" s="15" t="inlineStr">
        <is>
          <t>Your decision</t>
        </is>
      </c>
    </row>
    <row r="13">
      <c r="A13" s="51" t="inlineStr">
        <is>
          <t>1) REVIEWED 2026-07-19  (10 items)  -  team's answer in the last column; amber = still partly open</t>
        </is>
      </c>
      <c r="F13" s="62" t="n"/>
    </row>
    <row r="14">
      <c r="A14" s="3" t="inlineStr">
        <is>
          <t>Ambiguous 'Kyle' rows skipped</t>
        </is>
      </c>
      <c r="B14" s="3" t="inlineStr">
        <is>
          <t>Kyle (?)</t>
        </is>
      </c>
      <c r="C14" s="3" t="inlineStr">
        <is>
          <t>CopiaAdHoc_1, Dorsia_1, Gateway_3, Guardian_3, Shika_1</t>
        </is>
      </c>
      <c r="D14" s="3" t="inlineStr">
        <is>
          <t>Summary tab has one 'Kyle' block; these projects have neither/both Kyles on the register so the status was not applied</t>
        </is>
      </c>
      <c r="E14" s="3" t="inlineStr">
        <is>
          <t>Check which Kyle and set Active? manually</t>
        </is>
      </c>
      <c r="F14" s="70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3" t="inlineStr">
        <is>
          <t>Check-in tab definitions to confirm</t>
        </is>
      </c>
      <c r="B15" s="3" t="inlineStr"/>
      <c r="C15" s="3" t="inlineStr">
        <is>
          <t>Check-in tab</t>
        </is>
      </c>
      <c r="D15" s="3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</t>
        </is>
      </c>
      <c r="E15" s="3" t="inlineStr">
        <is>
          <t>Confirm these definitions match what the team means; tune the stale-weeks threshold (Settings!B20)</t>
        </is>
      </c>
      <c r="F15" s="71" t="n"/>
    </row>
    <row r="16">
      <c r="A16" s="3" t="inlineStr">
        <is>
          <t>Deal dates blank</t>
        </is>
      </c>
      <c r="B16" s="3" t="inlineStr"/>
      <c r="C16" s="3" t="inlineStr">
        <is>
          <t>All deals</t>
        </is>
      </c>
      <c r="D16" s="3" t="inlineStr">
        <is>
          <t>The July 9 file has no dates, so every deal counts in every week of the Capacity view</t>
        </is>
      </c>
      <c r="E16" s="3" t="inlineStr">
        <is>
          <t>Fill Expected start/end (yellow cells) to time-phase the load</t>
        </is>
      </c>
      <c r="F16" s="70" t="inlineStr">
        <is>
          <t>No start/end dates yet (per review). Deals keep counting in every week until dates are added; the Step 3 phase curve activates then.</t>
        </is>
      </c>
    </row>
    <row r="17">
      <c r="A17" s="3" t="inlineStr">
        <is>
          <t>Fee-allocation parameters awaited</t>
        </is>
      </c>
      <c r="B17" s="3" t="inlineStr"/>
      <c r="C17" s="3" t="inlineStr">
        <is>
          <t>Templates tab + Deals scoping</t>
        </is>
      </c>
      <c r="D17" s="3" t="inlineStr">
        <is>
          <t>Step 8 added Justine's workstream taxonomy (Deals AH-AX) and the fee-&gt;hours parameter tables (Templates): rate card by level, split-% matrix by workstream group, default durations - all PLACEHOLDERS.</t>
        </is>
      </c>
      <c r="E17" s="3" t="inlineStr">
        <is>
          <t>Provide the real rate card + level-split % matrix; then Step 9 wires per-deal fees to hours</t>
        </is>
      </c>
      <c r="F17" s="71" t="n"/>
    </row>
    <row r="18">
      <c r="A18" s="3" t="inlineStr">
        <is>
          <t>Level-default hours are placeholders</t>
        </is>
      </c>
      <c r="B18" s="3" t="inlineStr"/>
      <c r="C18" s="3" t="inlineStr">
        <is>
          <t>Settings B8:B14</t>
        </is>
      </c>
      <c r="D18" s="3" t="inlineStr">
        <is>
          <t>Hours/wk per level are directional guesses; used only for deals with no archetype set</t>
        </is>
      </c>
      <c r="E18" s="3" t="inlineStr">
        <is>
          <t>Tune with the team, or assign archetypes instead</t>
        </is>
      </c>
      <c r="F18" s="71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3" t="inlineStr">
        <is>
          <t>NetSuite actuals - go-live setup</t>
        </is>
      </c>
      <c r="B19" s="3" t="inlineStr"/>
      <c r="C19" s="3" t="inlineStr">
        <is>
          <t>Actuals tab</t>
        </is>
      </c>
      <c r="D19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3" t="inlineStr">
        <is>
          <t>Build the NetSuite saved search to the CSV contract (Guide), delete the sample rows, and fill the name-mapping table for any mismatches</t>
        </is>
      </c>
      <c r="F19" s="71" t="n"/>
    </row>
    <row r="20">
      <c r="A20" s="3" t="inlineStr">
        <is>
          <t>Proposal probabilities defaulted</t>
        </is>
      </c>
      <c r="B20" s="3" t="inlineStr"/>
      <c r="C20" s="3" t="inlineStr">
        <is>
          <t>All 'Proposal' deals</t>
        </is>
      </c>
      <c r="D20" s="3" t="inlineStr">
        <is>
          <t>Probability prefilled at 50% (WIP deals at 100%)</t>
        </is>
      </c>
      <c r="E20" s="3" t="inlineStr">
        <is>
          <t>Set real probabilities in the yellow Probability cells (Deals tab)</t>
        </is>
      </c>
      <c r="F20" s="71" t="inlineStr">
        <is>
          <t>Semantics confirmed: probability = chance the proposal converts to WIP. Kept the 50% default pending per-proposal estimates.</t>
        </is>
      </c>
    </row>
    <row r="21">
      <c r="A21" s="3" t="inlineStr">
        <is>
          <t>Unclear personal status</t>
        </is>
      </c>
      <c r="B21" s="3" t="inlineStr">
        <is>
          <t>Patch</t>
        </is>
      </c>
      <c r="C21" s="3" t="inlineStr">
        <is>
          <t>CLS_1</t>
        </is>
      </c>
      <c r="D21" s="3" t="inlineStr">
        <is>
          <t>'Not sure what's going on with this one. This is an old project.'</t>
        </is>
      </c>
      <c r="E21" s="3" t="inlineStr">
        <is>
          <t>Set Active? on the Assignments tab</t>
        </is>
      </c>
      <c r="F21" s="70" t="inlineStr">
        <is>
          <t>Patch INACTIVE on CLS_1 (user: no) - applied.</t>
        </is>
      </c>
    </row>
    <row r="22">
      <c r="A22" s="3" t="inlineStr">
        <is>
          <t>Unclear personal status</t>
        </is>
      </c>
      <c r="B22" s="3" t="inlineStr">
        <is>
          <t>Patch</t>
        </is>
      </c>
      <c r="C22" s="3" t="inlineStr">
        <is>
          <t>MIF_1</t>
        </is>
      </c>
      <c r="D22" s="3" t="inlineStr">
        <is>
          <t>'Don't know what this is'</t>
        </is>
      </c>
      <c r="E22" s="3" t="inlineStr">
        <is>
          <t>Set Active? on the Assignments tab</t>
        </is>
      </c>
      <c r="F22" s="70" t="inlineStr">
        <is>
          <t>Patch ACTIVE on MIF_1 (user: yes) - applied.</t>
        </is>
      </c>
    </row>
    <row r="23">
      <c r="A23" s="3" t="inlineStr">
        <is>
          <t>Weekly capacity is a placeholder</t>
        </is>
      </c>
      <c r="B23" s="3" t="inlineStr"/>
      <c r="C23" s="3" t="inlineStr">
        <is>
          <t>All roster</t>
        </is>
      </c>
      <c r="D23" s="3" t="inlineStr">
        <is>
          <t>Everyone is set to 40 h/wk (Roster column D)</t>
        </is>
      </c>
      <c r="E23" s="3" t="inlineStr">
        <is>
          <t>Set each person's real weekly capacity</t>
        </is>
      </c>
      <c r="F23" s="70" t="inlineStr">
        <is>
          <t>Confirmed 40 h/wk per person (real, no longer a placeholder).</t>
        </is>
      </c>
    </row>
    <row r="24">
      <c r="F24" s="62" t="n"/>
    </row>
    <row r="25">
      <c r="A25" s="72" t="inlineStr">
        <is>
          <t>2) RESOLVED FROM SOURCE DATA  (28 items)  -  audit trail, no action needed</t>
        </is>
      </c>
      <c r="F25" s="62" t="n"/>
    </row>
    <row r="26">
      <c r="A26" s="3" t="inlineStr">
        <is>
          <t>Duplicate register rows merged</t>
        </is>
      </c>
      <c r="B26" s="3" t="inlineStr"/>
      <c r="C26" s="3" t="inlineStr">
        <is>
          <t>Cosmetic _1</t>
        </is>
      </c>
      <c r="D26" s="3" t="inlineStr">
        <is>
          <t>Two rows in the July 9 register, same client; differ mainly in status - kept lifecycle 'Active'</t>
        </is>
      </c>
      <c r="E26" s="3" t="inlineStr">
        <is>
          <t>Confirmed one engagement; no action needed</t>
        </is>
      </c>
      <c r="F26" s="73" t="inlineStr">
        <is>
          <t>resolved</t>
        </is>
      </c>
    </row>
    <row r="27">
      <c r="A27" s="3" t="inlineStr">
        <is>
          <t>Effort templates are placeholders</t>
        </is>
      </c>
      <c r="B27" s="3" t="inlineStr"/>
      <c r="C27" s="3" t="inlineStr">
        <is>
          <t>Templates tab (legacy)</t>
        </is>
      </c>
      <c r="D27" s="3" t="inlineStr">
        <is>
          <t>Step 3 archetypes -&gt; hrs/wk by level. Now LEGACY - superseded by the fee-&gt;workstream model (Step 8/9); kept hidden for reference.</t>
        </is>
      </c>
      <c r="E27" s="3" t="inlineStr">
        <is>
          <t>No action - replaced by the fee-allocation parameters below</t>
        </is>
      </c>
      <c r="F27" s="73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George</t>
        </is>
      </c>
      <c r="C28" s="3" t="inlineStr">
        <is>
          <t>Brick_1</t>
        </is>
      </c>
      <c r="D28" s="3" t="inlineStr">
        <is>
          <t>Not in the register; found on the Summary tab (status: 'Ongoing'). Client recovered from source: Fengate.</t>
        </is>
      </c>
      <c r="E28" s="3" t="inlineStr">
        <is>
          <t>Client filled in - confirm, then add deal attributes (type / scope / complexity) when known</t>
        </is>
      </c>
      <c r="F28" s="73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George</t>
        </is>
      </c>
      <c r="C29" s="3" t="inlineStr">
        <is>
          <t>Manchester_1</t>
        </is>
      </c>
      <c r="D29" s="3" t="inlineStr">
        <is>
          <t>Not in the register; found on the Summary tab (status: 'Ongoing'). Client recovered from source: Fengate.</t>
        </is>
      </c>
      <c r="E29" s="3" t="inlineStr">
        <is>
          <t>Client filled in - confirm, then add deal attributes (type / scope / complexity) when known</t>
        </is>
      </c>
      <c r="F29" s="73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George</t>
        </is>
      </c>
      <c r="C30" s="3" t="inlineStr">
        <is>
          <t>Bolt_2</t>
        </is>
      </c>
      <c r="D30" s="3" t="inlineStr">
        <is>
          <t>Not in the register; found on the Summary tab (status: 'Ongoing'). Client recovered from source: Brookfield.</t>
        </is>
      </c>
      <c r="E30" s="3" t="inlineStr">
        <is>
          <t>Client filled in - confirm, then add deal attributes (type / scope / complexity) when known</t>
        </is>
      </c>
      <c r="F30" s="73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George</t>
        </is>
      </c>
      <c r="C31" s="3" t="inlineStr">
        <is>
          <t>Instinct_1</t>
        </is>
      </c>
      <c r="D31" s="3" t="inlineStr">
        <is>
          <t>Not in the register; found on the Summary tab (status: 'Ongoing'). Client recovered from source: Brookfield.</t>
        </is>
      </c>
      <c r="E31" s="3" t="inlineStr">
        <is>
          <t>Client filled in - confirm, then add deal attributes (type / scope / complexity) when known</t>
        </is>
      </c>
      <c r="F31" s="73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Justine</t>
        </is>
      </c>
      <c r="C32" s="3" t="inlineStr">
        <is>
          <t>EV3</t>
        </is>
      </c>
      <c r="D32" s="3" t="inlineStr">
        <is>
          <t>Not in the register; found on the Summary tab (status: 'Proposal'). Client recovered from source: Kalos LLP.</t>
        </is>
      </c>
      <c r="E32" s="3" t="inlineStr">
        <is>
          <t>Client filled in - confirm, then add deal attributes (type / scope / complexity) when known</t>
        </is>
      </c>
      <c r="F32" s="73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Justine</t>
        </is>
      </c>
      <c r="C33" s="3" t="inlineStr">
        <is>
          <t>Westfold</t>
        </is>
      </c>
      <c r="D33" s="3" t="inlineStr">
        <is>
          <t>Not in the register; found on the Summary tab (status: 'Ongoing'). Client recovered from source: EQT Group.</t>
        </is>
      </c>
      <c r="E33" s="3" t="inlineStr">
        <is>
          <t>Client filled in - confirm, then add deal attributes (type / scope / complexity) when known</t>
        </is>
      </c>
      <c r="F33" s="73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Justine</t>
        </is>
      </c>
      <c r="C34" s="3" t="inlineStr">
        <is>
          <t>Scale Add On</t>
        </is>
      </c>
      <c r="D34" s="3" t="inlineStr">
        <is>
          <t>Not in the register; found on the Summary tab (status: 'Proposal - to be coming soon'). Client recovered from source: EQT Group.</t>
        </is>
      </c>
      <c r="E34" s="3" t="inlineStr">
        <is>
          <t>Client filled in - confirm, then add deal attributes (type / scope / complexity) when known</t>
        </is>
      </c>
      <c r="F34" s="73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Justine</t>
        </is>
      </c>
      <c r="C35" s="3" t="inlineStr">
        <is>
          <t>EOS</t>
        </is>
      </c>
      <c r="D35" s="3" t="inlineStr">
        <is>
          <t>Not in the register; found on the Summary tab (status: 'Ongoing'). Client recovered from source: Eight Advisory.</t>
        </is>
      </c>
      <c r="E35" s="3" t="inlineStr">
        <is>
          <t>Client filled in - confirm, then add deal attributes (type / scope / complexity) when known</t>
        </is>
      </c>
      <c r="F35" s="73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Justine</t>
        </is>
      </c>
      <c r="C36" s="3" t="inlineStr">
        <is>
          <t>Gerflor REORG</t>
        </is>
      </c>
      <c r="D36" s="3" t="inlineStr">
        <is>
          <t>Not in the register; found on the Summary tab (status: 'Proposal'). Client recovered from source: Arsene TaxAnd.</t>
        </is>
      </c>
      <c r="E36" s="3" t="inlineStr">
        <is>
          <t>Client filled in - confirm, then add deal attributes (type / scope / complexity) when known</t>
        </is>
      </c>
      <c r="F36" s="73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Justine</t>
        </is>
      </c>
      <c r="C37" s="3" t="inlineStr">
        <is>
          <t>Theta_1</t>
        </is>
      </c>
      <c r="D37" s="3" t="inlineStr">
        <is>
          <t>Not in the register; found on the Summary tab (status: 'Proposal'). Client recovered from source: Thetha FIRPTA.</t>
        </is>
      </c>
      <c r="E37" s="3" t="inlineStr">
        <is>
          <t>Client filled in - confirm, then add deal attributes (type / scope / complexity) when known</t>
        </is>
      </c>
      <c r="F37" s="73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Legolas_1</t>
        </is>
      </c>
      <c r="D38" s="3" t="inlineStr">
        <is>
          <t>Not in the register; found on the Summary tab (status: 'Closed'). Client recovered from source: SkyKnight Capital.</t>
        </is>
      </c>
      <c r="E38" s="3" t="inlineStr">
        <is>
          <t>Client filled in - confirm, then add deal attributes (type / scope / complexity) when known</t>
        </is>
      </c>
      <c r="F38" s="73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Nina</t>
        </is>
      </c>
      <c r="C39" s="3" t="inlineStr">
        <is>
          <t>Avlino_1</t>
        </is>
      </c>
      <c r="D39" s="3" t="inlineStr">
        <is>
          <t>Not in the register; found on the Summary tab (status: 'Ongoing'). Client recovered from source: Diversis Capital.</t>
        </is>
      </c>
      <c r="E39" s="3" t="inlineStr">
        <is>
          <t>Client filled in - confirm, then add deal attributes (type / scope / complexity) when known</t>
        </is>
      </c>
      <c r="F39" s="73" t="inlineStr">
        <is>
          <t>resolved</t>
        </is>
      </c>
    </row>
    <row r="40">
      <c r="A40" s="3" t="inlineStr">
        <is>
          <t>Engagement recovered from Summary tab</t>
        </is>
      </c>
      <c r="B40" s="3" t="inlineStr">
        <is>
          <t>Nina</t>
        </is>
      </c>
      <c r="C40" s="3" t="inlineStr">
        <is>
          <t>EOS VDD_1</t>
        </is>
      </c>
      <c r="D40" s="3" t="inlineStr">
        <is>
          <t>Not in the register; found on the Summary tab (status: 'Ongoing'). Client recovered from source: Eight Advisory.</t>
        </is>
      </c>
      <c r="E40" s="3" t="inlineStr">
        <is>
          <t>Client filled in - confirm, then add deal attributes (type / scope / complexity) when known</t>
        </is>
      </c>
      <c r="F40" s="73" t="inlineStr">
        <is>
          <t>resolved</t>
        </is>
      </c>
    </row>
    <row r="41">
      <c r="A41" s="3" t="inlineStr">
        <is>
          <t>Engagement recovered from Summary tab</t>
        </is>
      </c>
      <c r="B41" s="3" t="inlineStr">
        <is>
          <t>Nina</t>
        </is>
      </c>
      <c r="C41" s="3" t="inlineStr">
        <is>
          <t>EV3_1</t>
        </is>
      </c>
      <c r="D41" s="3" t="inlineStr">
        <is>
          <t>Not in the register; found on the Summary tab (status: 'Proposal sent'). Client recovered from source: Eva Equity partners.</t>
        </is>
      </c>
      <c r="E41" s="3" t="inlineStr">
        <is>
          <t>Client filled in - confirm, then add deal attributes (type / scope / complexity) when known</t>
        </is>
      </c>
      <c r="F41" s="73" t="inlineStr">
        <is>
          <t>resolved</t>
        </is>
      </c>
    </row>
    <row r="42">
      <c r="A42" s="3" t="inlineStr">
        <is>
          <t>Engagement recovered from Summary tab</t>
        </is>
      </c>
      <c r="B42" s="3" t="inlineStr">
        <is>
          <t>Nina</t>
        </is>
      </c>
      <c r="C42" s="3" t="inlineStr">
        <is>
          <t>Irradiant_ITC_1</t>
        </is>
      </c>
      <c r="D42" s="3" t="inlineStr">
        <is>
          <t>Not in the register; found on the Summary tab (status: 'Ongoing'). Client recovered from source: Apollo.</t>
        </is>
      </c>
      <c r="E42" s="3" t="inlineStr">
        <is>
          <t>Client filled in - confirm, then add deal attributes (type / scope / complexity) when known</t>
        </is>
      </c>
      <c r="F42" s="73" t="inlineStr">
        <is>
          <t>resolved</t>
        </is>
      </c>
    </row>
    <row r="43">
      <c r="A43" s="3" t="inlineStr">
        <is>
          <t>Engagement recovered from Summary tab</t>
        </is>
      </c>
      <c r="B43" s="3" t="inlineStr">
        <is>
          <t>Nina</t>
        </is>
      </c>
      <c r="C43" s="3" t="inlineStr">
        <is>
          <t>kingfisher FIRPTA</t>
        </is>
      </c>
      <c r="D43" s="3" t="inlineStr">
        <is>
          <t>Not in the register; found on the Summary tab (status: 'Proposal sent'). Client recovered from source: CVC.</t>
        </is>
      </c>
      <c r="E43" s="3" t="inlineStr">
        <is>
          <t>Client filled in - confirm, then add deal attributes (type / scope / complexity) when known</t>
        </is>
      </c>
      <c r="F43" s="73" t="inlineStr">
        <is>
          <t>resolved</t>
        </is>
      </c>
    </row>
    <row r="44">
      <c r="A44" s="3" t="inlineStr">
        <is>
          <t>Engagement recovered from Summary tab</t>
        </is>
      </c>
      <c r="B44" s="3" t="inlineStr">
        <is>
          <t>Nina</t>
        </is>
      </c>
      <c r="C44" s="3" t="inlineStr">
        <is>
          <t>code not yet requested</t>
        </is>
      </c>
      <c r="D44" s="3" t="inlineStr">
        <is>
          <t>Not in the register; found on the Summary tab (status: 'Proposal'). Client recovered from source: Mascarene.</t>
        </is>
      </c>
      <c r="E44" s="3" t="inlineStr">
        <is>
          <t>Client filled in - confirm, then add deal attributes (type / scope / complexity) when known</t>
        </is>
      </c>
      <c r="F44" s="73" t="inlineStr">
        <is>
          <t>resolved</t>
        </is>
      </c>
    </row>
    <row r="45">
      <c r="A45" s="3" t="inlineStr">
        <is>
          <t>Engagement recovered from Summary tab</t>
        </is>
      </c>
      <c r="B45" s="3" t="inlineStr">
        <is>
          <t>Nina</t>
        </is>
      </c>
      <c r="C45" s="3" t="inlineStr">
        <is>
          <t>Chile_1</t>
        </is>
      </c>
      <c r="D45" s="3" t="inlineStr">
        <is>
          <t>Not in the register; found on the Summary tab (status: 'Ongoing'). Client recovered from source: Inn-Flow.</t>
        </is>
      </c>
      <c r="E45" s="3" t="inlineStr">
        <is>
          <t>Client filled in - confirm, then add deal attributes (type / scope / complexity) when known</t>
        </is>
      </c>
      <c r="F45" s="73" t="inlineStr">
        <is>
          <t>resolved</t>
        </is>
      </c>
    </row>
    <row r="46">
      <c r="A46" s="3" t="inlineStr">
        <is>
          <t>Engagement recovered from Summary tab</t>
        </is>
      </c>
      <c r="B46" s="3" t="inlineStr">
        <is>
          <t>Nina</t>
        </is>
      </c>
      <c r="C46" s="3" t="inlineStr">
        <is>
          <t>Pinnacel</t>
        </is>
      </c>
      <c r="D46" s="3" t="inlineStr">
        <is>
          <t>Not in the register; found on the Summary tab (status: 'Proposal sent'). Client recovered from source: Gauge.</t>
        </is>
      </c>
      <c r="E46" s="3" t="inlineStr">
        <is>
          <t>Client filled in - confirm, then add deal attributes (type / scope / complexity) when known</t>
        </is>
      </c>
      <c r="F46" s="73" t="inlineStr">
        <is>
          <t>resolved</t>
        </is>
      </c>
    </row>
    <row r="47">
      <c r="A47" s="3" t="inlineStr">
        <is>
          <t>Engagement recovered from Summary tab</t>
        </is>
      </c>
      <c r="B47" s="3" t="inlineStr">
        <is>
          <t>Nina</t>
        </is>
      </c>
      <c r="C47" s="3" t="inlineStr">
        <is>
          <t>Cirque</t>
        </is>
      </c>
      <c r="D47" s="3" t="inlineStr">
        <is>
          <t>Not in the register; found on the Summary tab (status: 'Proposal sent'). Client recovered from source: Gauge.</t>
        </is>
      </c>
      <c r="E47" s="3" t="inlineStr">
        <is>
          <t>Client filled in - confirm, then add deal attributes (type / scope / complexity) when known</t>
        </is>
      </c>
      <c r="F47" s="73" t="inlineStr">
        <is>
          <t>resolved</t>
        </is>
      </c>
    </row>
    <row r="48">
      <c r="A48" s="3" t="inlineStr">
        <is>
          <t>Engagement recovered from Summary tab</t>
        </is>
      </c>
      <c r="B48" s="3" t="inlineStr">
        <is>
          <t>Nina</t>
        </is>
      </c>
      <c r="C48" s="3" t="inlineStr">
        <is>
          <t>shareplan</t>
        </is>
      </c>
      <c r="D48" s="3" t="inlineStr">
        <is>
          <t>Not in the register; found on the Summary tab (status: 'Proposal sent'). Client recovered from source: Garrigues.</t>
        </is>
      </c>
      <c r="E48" s="3" t="inlineStr">
        <is>
          <t>Client filled in - confirm, then add deal attributes (type / scope / complexity) when known</t>
        </is>
      </c>
      <c r="F48" s="73" t="inlineStr">
        <is>
          <t>resolved</t>
        </is>
      </c>
    </row>
    <row r="49">
      <c r="A49" s="3" t="inlineStr">
        <is>
          <t>Engagement recovered from Summary tab</t>
        </is>
      </c>
      <c r="B49" s="3" t="inlineStr">
        <is>
          <t>Spencer</t>
        </is>
      </c>
      <c r="C49" s="3" t="inlineStr">
        <is>
          <t>Lockup</t>
        </is>
      </c>
      <c r="D49" s="3" t="inlineStr">
        <is>
          <t>Not in the register; found on the Summary tab (status: 'Proposal'). Client recovered from source: Brighthill Energy.</t>
        </is>
      </c>
      <c r="E49" s="3" t="inlineStr">
        <is>
          <t>Client filled in - confirm, then add deal attributes (type / scope / complexity) when known</t>
        </is>
      </c>
      <c r="F49" s="73" t="inlineStr">
        <is>
          <t>resolved</t>
        </is>
      </c>
    </row>
    <row r="50">
      <c r="A50" s="3" t="inlineStr">
        <is>
          <t>Name collision - resolved</t>
        </is>
      </c>
      <c r="B50" s="3" t="inlineStr"/>
      <c r="C50" s="3" t="inlineStr">
        <is>
          <t>EV3 / EV3_1</t>
        </is>
      </c>
      <c r="D50" s="3" t="inlineStr">
        <is>
          <t>Different clients (EV3 = Kalos LLP; EV3_1 = Eva Equity partners) - coincidental code similarity, not a duplicate</t>
        </is>
      </c>
      <c r="E50" s="3" t="inlineStr">
        <is>
          <t>Kept as two separate engagements; no action needed</t>
        </is>
      </c>
      <c r="F50" s="73" t="inlineStr">
        <is>
          <t>resolved</t>
        </is>
      </c>
    </row>
    <row r="51">
      <c r="A51" s="3" t="inlineStr">
        <is>
          <t>Old 'Filtered Status' tab</t>
        </is>
      </c>
      <c r="B51" s="3" t="inlineStr"/>
      <c r="C51" s="3" t="inlineStr">
        <is>
          <t>-</t>
        </is>
      </c>
      <c r="D51" s="3" t="inlineStr">
        <is>
          <t>It was a manual pivot of the per-person survey; superseded by the Assignments tab filters</t>
        </is>
      </c>
      <c r="E51" s="3" t="inlineStr">
        <is>
          <t>Nothing to do</t>
        </is>
      </c>
      <c r="F51" s="73" t="inlineStr">
        <is>
          <t>resolved</t>
        </is>
      </c>
    </row>
    <row r="52">
      <c r="A52" s="3" t="inlineStr">
        <is>
          <t>Unusual register status</t>
        </is>
      </c>
      <c r="B52" s="3" t="inlineStr"/>
      <c r="C52" s="3" t="inlineStr">
        <is>
          <t>ProEnergy_3</t>
        </is>
      </c>
      <c r="D52" s="3" t="inlineStr">
        <is>
          <t>'General Code' mapped to lifecycle 'Internal'</t>
        </is>
      </c>
      <c r="E52" s="3" t="inlineStr">
        <is>
          <t>Confirm or correct the Lifecycle on the Deals tab</t>
        </is>
      </c>
      <c r="F52" s="73" t="inlineStr">
        <is>
          <t>resolved</t>
        </is>
      </c>
    </row>
    <row r="53">
      <c r="A53" s="3" t="inlineStr">
        <is>
          <t>Unusual register status</t>
        </is>
      </c>
      <c r="B53" s="3" t="inlineStr"/>
      <c r="C53" s="3" t="inlineStr">
        <is>
          <t>Aypa Power General PW&amp;A Advisory_1</t>
        </is>
      </c>
      <c r="D53" s="3" t="inlineStr">
        <is>
          <t>'Not active' mapped to lifecycle 'On hold'</t>
        </is>
      </c>
      <c r="E53" s="3" t="inlineStr">
        <is>
          <t>Confirm or correct the Lifecycle on the Deals tab</t>
        </is>
      </c>
      <c r="F53" s="73" t="inlineStr">
        <is>
          <t>resolved</t>
        </is>
      </c>
    </row>
    <row r="54">
      <c r="F54" s="62" t="n"/>
    </row>
    <row r="55">
      <c r="F55" s="62" t="n"/>
    </row>
    <row r="56">
      <c r="A56" s="12" t="inlineStr">
        <is>
          <t>Per-person status mapping (raw text -&gt; Active?/Inactive)</t>
        </is>
      </c>
      <c r="F56" s="62" t="n"/>
    </row>
    <row r="57" ht="28" customHeight="1">
      <c r="A57" s="15" t="inlineStr">
        <is>
          <t>Raw status (as typed)</t>
        </is>
      </c>
      <c r="B57" s="15" t="inlineStr">
        <is>
          <t>Mapped to</t>
        </is>
      </c>
      <c r="C57" s="15" t="inlineStr"/>
      <c r="D57" s="15" t="inlineStr"/>
      <c r="E57" s="15" t="inlineStr"/>
      <c r="F57" s="74" t="inlineStr"/>
    </row>
    <row r="58">
      <c r="A58" s="52" t="inlineStr">
        <is>
          <t>closing</t>
        </is>
      </c>
      <c r="B58" s="52" t="inlineStr">
        <is>
          <t>Active</t>
        </is>
      </c>
      <c r="F58" s="62" t="n"/>
    </row>
    <row r="59">
      <c r="A59" s="52" t="inlineStr">
        <is>
          <t>finished phase i</t>
        </is>
      </c>
      <c r="B59" s="52" t="inlineStr">
        <is>
          <t>Active</t>
        </is>
      </c>
      <c r="F59" s="62" t="n"/>
    </row>
    <row r="60">
      <c r="A60" s="52" t="inlineStr">
        <is>
          <t>ongoing</t>
        </is>
      </c>
      <c r="B60" s="52" t="inlineStr">
        <is>
          <t>Active</t>
        </is>
      </c>
      <c r="F60" s="62" t="n"/>
    </row>
    <row r="61">
      <c r="A61" s="52" t="inlineStr">
        <is>
          <t>ongoing / jeremy</t>
        </is>
      </c>
      <c r="B61" s="52" t="inlineStr">
        <is>
          <t>Active</t>
        </is>
      </c>
      <c r="F61" s="62" t="n"/>
    </row>
    <row r="62">
      <c r="A62" s="52" t="inlineStr">
        <is>
          <t>ongoing ad-hod</t>
        </is>
      </c>
      <c r="B62" s="52" t="inlineStr">
        <is>
          <t>Active</t>
        </is>
      </c>
      <c r="F62" s="62" t="n"/>
    </row>
    <row r="63">
      <c r="A63" s="52" t="inlineStr">
        <is>
          <t>ongoing--close to invoicing</t>
        </is>
      </c>
      <c r="B63" s="52" t="inlineStr">
        <is>
          <t>Active</t>
        </is>
      </c>
      <c r="F63" s="62" t="n"/>
    </row>
    <row r="64">
      <c r="A64" s="52" t="inlineStr">
        <is>
          <t>proposal</t>
        </is>
      </c>
      <c r="B64" s="52" t="inlineStr">
        <is>
          <t>Active</t>
        </is>
      </c>
      <c r="F64" s="62" t="n"/>
    </row>
    <row r="65">
      <c r="A65" s="52" t="inlineStr">
        <is>
          <t>proposal - to be coming soon</t>
        </is>
      </c>
      <c r="B65" s="52" t="inlineStr">
        <is>
          <t>Active</t>
        </is>
      </c>
      <c r="F65" s="62" t="n"/>
    </row>
    <row r="66">
      <c r="A66" s="52" t="inlineStr">
        <is>
          <t>proposal sent</t>
        </is>
      </c>
      <c r="B66" s="52" t="inlineStr">
        <is>
          <t>Active</t>
        </is>
      </c>
      <c r="F66" s="62" t="n"/>
    </row>
    <row r="67">
      <c r="A67" s="52" t="inlineStr">
        <is>
          <t>salt deal</t>
        </is>
      </c>
      <c r="B67" s="52" t="inlineStr">
        <is>
          <t>Active</t>
        </is>
      </c>
      <c r="F67" s="62" t="n"/>
    </row>
    <row r="68">
      <c r="A68" s="52" t="inlineStr">
        <is>
          <t>tdd done / structuring ongoing</t>
        </is>
      </c>
      <c r="B68" s="52" t="inlineStr">
        <is>
          <t>Active</t>
        </is>
      </c>
      <c r="F68" s="62" t="n"/>
    </row>
    <row r="69">
      <c r="A69" s="52" t="inlineStr">
        <is>
          <t>waiting greenlight to kick off diligence.</t>
        </is>
      </c>
      <c r="B69" s="52" t="inlineStr">
        <is>
          <t>Active</t>
        </is>
      </c>
      <c r="F69" s="62" t="n"/>
    </row>
    <row r="70">
      <c r="A70" s="52" t="inlineStr">
        <is>
          <t>client stopped responding to us re: invoicing.</t>
        </is>
      </c>
      <c r="B70" s="52" t="inlineStr">
        <is>
          <t>Inactive</t>
        </is>
      </c>
      <c r="F70" s="62" t="n"/>
    </row>
    <row r="71">
      <c r="A71" s="52" t="inlineStr">
        <is>
          <t>closed</t>
        </is>
      </c>
      <c r="B71" s="52" t="inlineStr">
        <is>
          <t>Inactive</t>
        </is>
      </c>
      <c r="F71" s="62" t="n"/>
    </row>
    <row r="72">
      <c r="A72" s="52" t="inlineStr">
        <is>
          <t>closed to be invoiced</t>
        </is>
      </c>
      <c r="B72" s="52" t="inlineStr">
        <is>
          <t>Inactive</t>
        </is>
      </c>
      <c r="F72" s="62" t="n"/>
    </row>
    <row r="73">
      <c r="A73" s="52" t="inlineStr">
        <is>
          <t>closed--wire for payment should have been already sent</t>
        </is>
      </c>
      <c r="B73" s="52" t="inlineStr">
        <is>
          <t>Inactive</t>
        </is>
      </c>
    </row>
    <row r="74">
      <c r="A74" s="52" t="inlineStr">
        <is>
          <t>dead</t>
        </is>
      </c>
      <c r="B74" s="52" t="inlineStr">
        <is>
          <t>Inactive</t>
        </is>
      </c>
    </row>
    <row r="75">
      <c r="A75" s="52" t="inlineStr">
        <is>
          <t>died</t>
        </is>
      </c>
      <c r="B75" s="52" t="inlineStr">
        <is>
          <t>Inactive</t>
        </is>
      </c>
    </row>
    <row r="76">
      <c r="A76" s="52" t="inlineStr">
        <is>
          <t>don't know what this is</t>
        </is>
      </c>
      <c r="B76" s="52" t="inlineStr">
        <is>
          <t>Inactive</t>
        </is>
      </c>
    </row>
    <row r="77">
      <c r="A77" s="52" t="inlineStr">
        <is>
          <t>invoiced</t>
        </is>
      </c>
      <c r="B77" s="52" t="inlineStr">
        <is>
          <t>Inactive</t>
        </is>
      </c>
    </row>
    <row r="78">
      <c r="A78" s="52" t="inlineStr">
        <is>
          <t>invoicing soon</t>
        </is>
      </c>
      <c r="B78" s="52" t="inlineStr">
        <is>
          <t>Inactive</t>
        </is>
      </c>
    </row>
    <row r="79">
      <c r="A79" s="52" t="inlineStr">
        <is>
          <t>not involved in ongoing work</t>
        </is>
      </c>
      <c r="B79" s="52" t="inlineStr">
        <is>
          <t>Inactive</t>
        </is>
      </c>
    </row>
    <row r="80">
      <c r="A80" s="52" t="inlineStr">
        <is>
          <t>not really involved in ongoing work</t>
        </is>
      </c>
      <c r="B80" s="52" t="inlineStr">
        <is>
          <t>Inactive</t>
        </is>
      </c>
    </row>
    <row r="81">
      <c r="A81" s="52" t="inlineStr">
        <is>
          <t>not sure what's going on with this one. this is an old project.</t>
        </is>
      </c>
      <c r="B81" s="52" t="inlineStr">
        <is>
          <t>Inactive</t>
        </is>
      </c>
    </row>
    <row r="82">
      <c r="A82" s="52" t="inlineStr">
        <is>
          <t>on pause</t>
        </is>
      </c>
      <c r="B82" s="52" t="inlineStr">
        <is>
          <t>Inactive</t>
        </is>
      </c>
    </row>
    <row r="83">
      <c r="A83" s="52" t="inlineStr">
        <is>
          <t>ongoing but not involved with</t>
        </is>
      </c>
      <c r="B83" s="52" t="inlineStr">
        <is>
          <t>Inactive</t>
        </is>
      </c>
    </row>
    <row r="84">
      <c r="A84" s="52" t="inlineStr">
        <is>
          <t>pencils down</t>
        </is>
      </c>
      <c r="B84" s="52" t="inlineStr">
        <is>
          <t>Inactive</t>
        </is>
      </c>
    </row>
    <row r="85">
      <c r="A85" s="52" t="inlineStr">
        <is>
          <t>penicls down</t>
        </is>
      </c>
      <c r="B85" s="52" t="inlineStr">
        <is>
          <t>Inactive</t>
        </is>
      </c>
    </row>
    <row r="86">
      <c r="A86" s="52" t="inlineStr">
        <is>
          <t>pens dowm</t>
        </is>
      </c>
      <c r="B86" s="52" t="inlineStr">
        <is>
          <t>Inactive</t>
        </is>
      </c>
    </row>
    <row r="87">
      <c r="A87" s="52" t="inlineStr">
        <is>
          <t>pens down</t>
        </is>
      </c>
      <c r="B87" s="52" t="inlineStr">
        <is>
          <t>Inactive</t>
        </is>
      </c>
    </row>
    <row r="88">
      <c r="A88" s="52" t="inlineStr">
        <is>
          <t>this was probably when i was helping check tax insurance datarooms.</t>
        </is>
      </c>
      <c r="B88" s="52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3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2026-07-21T22:37:18Z</dcterms:created>
  <dcterms:modified xsi:type="dcterms:W3CDTF">2026-07-21T22:37:19Z</dcterms:modified>
</cp:coreProperties>
</file>